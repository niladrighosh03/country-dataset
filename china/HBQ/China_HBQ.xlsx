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ju" sheetId="1" r:id="rId4"/>
    <sheet state="visible" name="dragon boat racing" sheetId="2" r:id="rId5"/>
    <sheet state="visible" name="go" sheetId="3" r:id="rId6"/>
    <sheet state="visible" name="jianzi" sheetId="4" r:id="rId7"/>
    <sheet state="visible" name="kung fu" sheetId="5" r:id="rId8"/>
    <sheet state="visible" name="tai chi" sheetId="6" r:id="rId9"/>
  </sheets>
  <definedNames/>
  <calcPr/>
</workbook>
</file>

<file path=xl/sharedStrings.xml><?xml version="1.0" encoding="utf-8"?>
<sst xmlns="http://schemas.openxmlformats.org/spreadsheetml/2006/main" count="2857" uniqueCount="2555">
  <si>
    <t>Question No.</t>
  </si>
  <si>
    <t>Question</t>
  </si>
  <si>
    <t>Options</t>
  </si>
  <si>
    <t>Answer</t>
  </si>
  <si>
    <t>Description</t>
  </si>
  <si>
    <t>问题</t>
  </si>
  <si>
    <t>选项</t>
  </si>
  <si>
    <t>答案</t>
  </si>
  <si>
    <t>Who is credited with the creation of Cuju, the ancient Chinese sport?</t>
  </si>
  <si>
    <t>A) Emperor Wu of Han, B) King Zhaoxiang of Qin, C) General Zhang He, D) Confucius</t>
  </si>
  <si>
    <t>A) Emperor Wu of Han</t>
  </si>
  <si>
    <t>Cuju is believed to have been created during the Han Dynasty under Emperor Wu.</t>
  </si>
  <si>
    <t>In which dynasty did Cuju become a popular sport in China?</t>
  </si>
  <si>
    <t>A) Tang Dynasty, B) Song Dynasty, C) Han Dynasty, D) Qing Dynasty</t>
  </si>
  <si>
    <t>C) Han Dynasty</t>
  </si>
  <si>
    <t>Cuju gained prominence during the Han Dynasty, roughly around the 2nd century BC.</t>
  </si>
  <si>
    <t>What does the name 'Cuju' literally mean in Chinese?</t>
  </si>
  <si>
    <t>A) Kick Ball, B) Play Game, C) Ancient Soccer, D) Royal Sport</t>
  </si>
  <si>
    <t>A) Kick Ball</t>
  </si>
  <si>
    <t>Cuju translates directly to 'kick ball' in Chinese, reflecting the nature of the sport.</t>
  </si>
  <si>
    <t>Which historical document first recorded the sport Cuju?</t>
  </si>
  <si>
    <t>A) The Records of the Grand Historian, B) The Book of Songs, C) The Zuo Zhuan, D) The Spring and Autumn Annals</t>
  </si>
  <si>
    <t>A) The Records of the Grand Historian</t>
  </si>
  <si>
    <t>Cuju was first documented in the historical text 'Shiji' (The Records of the Grand Historian).</t>
  </si>
  <si>
    <t>Which emperor of the Tang Dynasty was known to have promoted Cuju?</t>
  </si>
  <si>
    <t>A) Emperor Taizong, B) Emperor Xuanzong, C) Emperor Wu, D) Emperor Taizu</t>
  </si>
  <si>
    <t>B) Emperor Xuanzong</t>
  </si>
  <si>
    <t>Emperor Xuanzong was known for encouraging the game of Cuju during the Tang Dynasty.</t>
  </si>
  <si>
    <t>Which ancient civilization is the origin of the sport Cuju?</t>
  </si>
  <si>
    <t>A) China, B) India, C) Greece, D) Rome</t>
  </si>
  <si>
    <t>A) China</t>
  </si>
  <si>
    <t>Cuju originated in China during the Han Dynasty as a form of ball game.</t>
  </si>
  <si>
    <t>During which period did Cuju become an official military training exercise?</t>
  </si>
  <si>
    <t>A) Eastern Han, B) Sui Dynasty, C) Tang Dynasty, D) Yuan Dynasty</t>
  </si>
  <si>
    <t>A) Eastern Han</t>
  </si>
  <si>
    <t>Cuju was used as a military training exercise during the Eastern Han period.</t>
  </si>
  <si>
    <t>Which region in China is considered the birthplace of Cuju?</t>
  </si>
  <si>
    <t>A) Central China, B) Southern China, C) Northern China, D) Western China</t>
  </si>
  <si>
    <t>C) Northern China</t>
  </si>
  <si>
    <t>Cuju is believed to have originated in Northern China, particularly during the Zhou Dynasty.</t>
  </si>
  <si>
    <t>What was the primary material used for the ball in Cuju during ancient times?</t>
  </si>
  <si>
    <t>A) Leather, B) Wood, C) Stone, D) Bamboo</t>
  </si>
  <si>
    <t>A) Leather</t>
  </si>
  <si>
    <t>The ball used in Cuju was traditionally made of leather, similar to early forms of soccer balls.</t>
  </si>
  <si>
    <t>Which Chinese emperor is known for encouraging Cuju in the royal court?</t>
  </si>
  <si>
    <t>A) Emperor Kangxi, B) Emperor Taizong, C) Emperor Wu of Han, D) Emperor Qianlong</t>
  </si>
  <si>
    <t>C) Emperor Wu of Han</t>
  </si>
  <si>
    <t>Emperor Wu of Han is credited for encouraging Cuju at the royal court during the Han Dynasty.</t>
  </si>
  <si>
    <t>Cuju influenced which modern sport?</t>
  </si>
  <si>
    <t>A) Basketball, B) Soccer, C) Volleyball, D) Tennis</t>
  </si>
  <si>
    <t>B) Soccer</t>
  </si>
  <si>
    <t>Cuju is considered an ancient form of soccer and heavily influenced the modern game.</t>
  </si>
  <si>
    <t>In the Tang Dynasty, Cuju was commonly played by which social class?</t>
  </si>
  <si>
    <t>A) Nobles, B) Peasants, C) Merchants, D) Soldiers</t>
  </si>
  <si>
    <t>A) Nobles</t>
  </si>
  <si>
    <t>During the Tang Dynasty, Cuju was popular among the nobility and royal courts.</t>
  </si>
  <si>
    <t>In ancient China, which was a common Cuju playing field?</t>
  </si>
  <si>
    <t>A) Open courtyard, B) Large fields, C) Rooftops, D) Temple grounds</t>
  </si>
  <si>
    <t>B) Large fields</t>
  </si>
  <si>
    <t>Cuju was typically played on large, open fields with marked goals at either end.</t>
  </si>
  <si>
    <t>How many players were typically involved in a traditional game of Cuju?</t>
  </si>
  <si>
    <t>A) 2, B) 4, C) 10, D) 12</t>
  </si>
  <si>
    <t>C) 10</t>
  </si>
  <si>
    <t>A traditional game of Cuju involved two teams, each with 5 players.</t>
  </si>
  <si>
    <t>Which modern sport is most closely related to Cuju?</t>
  </si>
  <si>
    <t>A) Rugby, B) Soccer, C) Cricket, D) Baseball</t>
  </si>
  <si>
    <t>Cuju is considered the precursor to modern soccer, with similar rules involving kicking a ball.</t>
  </si>
  <si>
    <t>Which ancient Chinese text mentions Cuju as a popular activity?</t>
  </si>
  <si>
    <t>A) Zuo Zhuan, B) Han Shu, C) Dao De Jing, D) Shi Jing</t>
  </si>
  <si>
    <t>B) Han Shu</t>
  </si>
  <si>
    <t>The 'Han Shu' (Book of Han) mentions Cuju as a popular pastime during the Han Dynasty.</t>
  </si>
  <si>
    <t>In ancient China, Cuju was sometimes used for which other purpose besides recreation?</t>
  </si>
  <si>
    <t>A) Meditation, B) Military training, C) Healing, D) Religious ceremonies</t>
  </si>
  <si>
    <t>B) Military training</t>
  </si>
  <si>
    <t>Cuju was also used as a form of military training to improve footwork and agility.</t>
  </si>
  <si>
    <t>Which dynasty is credited with codifying the rules of Cuju?</t>
  </si>
  <si>
    <t>A) Sui Dynasty, B) Yuan Dynasty, C) Tang Dynasty, D) Song Dynasty</t>
  </si>
  <si>
    <t>C) Tang Dynasty</t>
  </si>
  <si>
    <t>The rules of Cuju were codified during the Tang Dynasty, leading to its formal recognition.</t>
  </si>
  <si>
    <t>Which event in Chinese history helped Cuju gain further popularity?</t>
  </si>
  <si>
    <t>A) The Silk Road Trade, B) The Tang Dynasty Expansion, C) The Qin Unification, D) The invention of paper</t>
  </si>
  <si>
    <t>B) The Tang Dynasty Expansion</t>
  </si>
  <si>
    <t>Cuju gained widespread popularity during the Tang Dynasty, which saw significant expansion and cultural exchange.</t>
  </si>
  <si>
    <t>During which Chinese festival was Cuju often played?</t>
  </si>
  <si>
    <t>A) Mid-Autumn Festival, B) Qingming Festival, C) Lantern Festival, D) Dragon Boat Festival</t>
  </si>
  <si>
    <t>C) Lantern Festival</t>
  </si>
  <si>
    <t>Cuju was often played during the Lantern Festival, part of the celebrations in ancient China.</t>
  </si>
  <si>
    <t>Which emperor of the Song Dynasty promoted Cuju?</t>
  </si>
  <si>
    <t>A) Emperor Taizu, B) Emperor Huizong, C) Emperor Shenzong, D) Emperor Gaozong</t>
  </si>
  <si>
    <t>B) Emperor Huizong</t>
  </si>
  <si>
    <t>Emperor Huizong of the Song Dynasty promoted Cuju as part of court entertainment.</t>
  </si>
  <si>
    <t>What shape was the Cuju ball in ancient times?</t>
  </si>
  <si>
    <t>A) Square, B) Round, C) Triangular, D) Oval</t>
  </si>
  <si>
    <t>B) Round</t>
  </si>
  <si>
    <t>The Cuju ball was round, resembling the modern soccer ball in shape.</t>
  </si>
  <si>
    <t>Which other sport in ancient China is sometimes confused with Cuju?</t>
  </si>
  <si>
    <t>A) Polo, B) Archery, C) Jujutsu, D) Wushu</t>
  </si>
  <si>
    <t>A) Polo</t>
  </si>
  <si>
    <t>Cuju is often confused with polo due to the similar use of horses, but the primary focus of Cuju is on ball kicking.</t>
  </si>
  <si>
    <t>How did the game of Cuju influence the development of modern soccer?</t>
  </si>
  <si>
    <t>A) It introduced the use of goals, B) It developed the concept of dribbling, C) It created offside rules, D) It invented the penalty kick</t>
  </si>
  <si>
    <t>A) It introduced the use of goals</t>
  </si>
  <si>
    <t>Cuju introduced the use of goals in a ball game, a concept that carried over into modern soccer.</t>
  </si>
  <si>
    <t>Which ancient Chinese dynasty saw the first recorded mention of Cuju?</t>
  </si>
  <si>
    <t>A) Zhou Dynasty, B) Han Dynasty, C) Qin Dynasty, D) Tang Dynasty</t>
  </si>
  <si>
    <t>B) Han Dynasty</t>
  </si>
  <si>
    <t>Cuju was first mentioned during the Han Dynasty, marking its early origins.</t>
  </si>
  <si>
    <t>What was the primary purpose of Cuju during its early years?</t>
  </si>
  <si>
    <t>A) Entertainment, B) Military training, C) Religious ceremonies, D) Health exercise</t>
  </si>
  <si>
    <t>Cuju was initially used as a training exercise for soldiers to improve agility and coordination.</t>
  </si>
  <si>
    <t>Which Chinese historian first documented Cuju in historical records?</t>
  </si>
  <si>
    <t>A) Sima Qian, B) Ban Gu, C) Zhang Yi, D) Wang Chong</t>
  </si>
  <si>
    <t>A) Sima Qian</t>
  </si>
  <si>
    <t>Sima Qian, in his 'Records of the Grand Historian', documented Cuju's early history.</t>
  </si>
  <si>
    <t>Cuju was primarily played in which region of China during the Han Dynasty?</t>
  </si>
  <si>
    <t>A) Northern China, B) Southern China, C) Western China, D) Eastern China</t>
  </si>
  <si>
    <t>A) Northern China</t>
  </si>
  <si>
    <t>Cuju originated and was primarily played in Northern China during the Han Dynasty.</t>
  </si>
  <si>
    <t>In which royal court did Cuju become a formal activity during the Tang Dynasty?</t>
  </si>
  <si>
    <t>A) Emperor Taizong's court, B) Emperor Xuanzong's court, C) Emperor Wuzong's court, D) Emperor Zhongzong's court</t>
  </si>
  <si>
    <t>B) Emperor Xuanzong's court</t>
  </si>
  <si>
    <t>Emperor Xuanzong of the Tang Dynasty promoted Cuju as a formal activity in his royal court.</t>
  </si>
  <si>
    <t>What did the ball used in Cuju during the Tang Dynasty contain?</t>
  </si>
  <si>
    <t>A) Sand, B) Air, C) Straw, D) Feathers</t>
  </si>
  <si>
    <t>B) Air</t>
  </si>
  <si>
    <t>The Cuju ball used in the Tang Dynasty was inflated with air, similar to modern soccer balls.</t>
  </si>
  <si>
    <t>Which festival in ancient China saw Cuju competitions as part of its celebrations?</t>
  </si>
  <si>
    <t>A) Dragon Boat Festival, B) Mid-Autumn Festival, C) Lantern Festival, D) Qingming Festival</t>
  </si>
  <si>
    <t>Cuju competitions were commonly held during the Lantern Festival as part of festive activities.</t>
  </si>
  <si>
    <t>Which military leader is often associated with promoting Cuju during the Han Dynasty?</t>
  </si>
  <si>
    <t>A) General Zhang Fei, B) General Cao Cao, C) General Ma Yuan, D) General Lu Bu</t>
  </si>
  <si>
    <t>C) General Ma Yuan</t>
  </si>
  <si>
    <t>General Ma Yuan is credited with promoting Cuju for military training during the Han Dynasty.</t>
  </si>
  <si>
    <t>Which dynasty saw the peak of Cuju's popularity?</t>
  </si>
  <si>
    <t>A) Yuan Dynasty, B) Tang Dynasty, C) Song Dynasty, D) Qing Dynasty</t>
  </si>
  <si>
    <t>B) Tang Dynasty</t>
  </si>
  <si>
    <t>The Tang Dynasty is often regarded as the peak period of Cuju's popularity in ancient China.</t>
  </si>
  <si>
    <t>What was the primary playing field of Cuju in ancient China?</t>
  </si>
  <si>
    <t>A) Open fields, B) Paved roads, C) Imperial palaces, D) Small arenas</t>
  </si>
  <si>
    <t>A) Open fields</t>
  </si>
  <si>
    <t>Cuju was typically played on large, open fields, similar to early forms of soccer pitches.</t>
  </si>
  <si>
    <t>In ancient China, Cuju was often played as part of what kind of royal event?</t>
  </si>
  <si>
    <t>A) Wedding celebrations, B) Harvest festivals, C) Military training, D) Imperial examinations</t>
  </si>
  <si>
    <t>C) Military training</t>
  </si>
  <si>
    <t>Cuju was used for military training exercises, especially for improving agility and teamwork.</t>
  </si>
  <si>
    <t>Which cultural group in China is said to have popularized Cuju during the Tang Dynasty?</t>
  </si>
  <si>
    <t>A) The Tang Dynasty nobles, B) The scholars, C) The peasants, D) The soldiers</t>
  </si>
  <si>
    <t>A) The Tang Dynasty nobles</t>
  </si>
  <si>
    <t>Nobles and the royal court of the Tang Dynasty were instrumental in popularizing Cuju.</t>
  </si>
  <si>
    <t>Which aspect of Cuju was incorporated into the military training of ancient Chinese soldiers?</t>
  </si>
  <si>
    <t>A) Physical endurance, B) Teamwork, C) Kicking precision, D) Weapon training</t>
  </si>
  <si>
    <t>B) Teamwork</t>
  </si>
  <si>
    <t>Cuju helped soldiers develop teamwork, coordination, and physical agility during training.</t>
  </si>
  <si>
    <t>What role did Cuju play during the Tang Dynasty's social gatherings?</t>
  </si>
  <si>
    <t>A) It was a form of entertainment, B) It was used for betting, C) It was a form of religious ritual, D) It was a competition</t>
  </si>
  <si>
    <t>A) It was a form of entertainment</t>
  </si>
  <si>
    <t>Cuju was enjoyed as a recreational activity during social gatherings and festivals in the Tang Dynasty.</t>
  </si>
  <si>
    <t>Which emperor of the Tang Dynasty established the formal rules for Cuju?</t>
  </si>
  <si>
    <t>A) Emperor Taizong, B) Emperor Xuanzong, C) Emperor Zhongzong, D) Emperor Wuzong</t>
  </si>
  <si>
    <t>Emperor Xuanzong is credited with establishing formal rules for Cuju during his reign in the Tang Dynasty.</t>
  </si>
  <si>
    <t>In ancient China, who typically played Cuju?</t>
  </si>
  <si>
    <t>A) Only the nobility, B) Only soldiers, C) The general public, D) Only scholars</t>
  </si>
  <si>
    <t>C) The general public</t>
  </si>
  <si>
    <t>Cuju was played by people from various social classes, including the nobility, soldiers, and the general public.</t>
  </si>
  <si>
    <t>Which modern sport is often considered a distant descendant of Cuju?</t>
  </si>
  <si>
    <t>A) Rugby, B) Soccer, C) Basketball, D) Baseball</t>
  </si>
  <si>
    <t>Cuju is considered one of the earliest forms of soccer, with similar rules involving kicking a ball into a goal.</t>
  </si>
  <si>
    <t>Which emperor is believed to have been particularly fond of Cuju, promoting it in his court?</t>
  </si>
  <si>
    <t>A) Emperor Yang of Sui, B) Emperor Wu of Han, C) Emperor Taizong of Tang, D) Emperor Xuanzong of Tang</t>
  </si>
  <si>
    <t>D) Emperor Xuanzong of Tang</t>
  </si>
  <si>
    <t>Emperor Xuanzong of the Tang Dynasty was particularly fond of Cuju and promoted it at his court.</t>
  </si>
  <si>
    <t>Cuju was a form of recreation commonly enjoyed during which historical period in China?</t>
  </si>
  <si>
    <t>A) The Warring States period, B) The Han Dynasty, C) The Tang Dynasty, D) The Yuan Dynasty</t>
  </si>
  <si>
    <t>C) The Tang Dynasty</t>
  </si>
  <si>
    <t>Cuju became widely enjoyed as a recreational activity during the Tang Dynasty.</t>
  </si>
  <si>
    <t>Which type of ball was used in Cuju during the Tang Dynasty?</t>
  </si>
  <si>
    <t>A) Wooden ball, B) Leather ball, C) Ceramic ball, D) Inflated leather ball</t>
  </si>
  <si>
    <t>D) Inflated leather ball</t>
  </si>
  <si>
    <t>The Cuju ball was an inflated leather ball, similar to the modern soccer ball.</t>
  </si>
  <si>
    <t>During the Yuan Dynasty, Cuju became popular among which group?</t>
  </si>
  <si>
    <t>A) Foreign merchants, B) The Mongol rulers, C) Chinese peasants, D) Buddhist monks</t>
  </si>
  <si>
    <t>B) The Mongol rulers</t>
  </si>
  <si>
    <t>The Mongol rulers of the Yuan Dynasty enjoyed and promoted Cuju as part of their court culture.</t>
  </si>
  <si>
    <t>What is one of the earliest depictions of Cuju in art?</t>
  </si>
  <si>
    <t>A) A Tang Dynasty painting, B) A Han Dynasty bronze, C) A Song Dynasty sculpture, D) A Qing Dynasty scroll</t>
  </si>
  <si>
    <t>A) A Tang Dynasty painting</t>
  </si>
  <si>
    <t>One of the earliest depictions of Cuju is found in Tang Dynasty artwork showing players kicking a ball.</t>
  </si>
  <si>
    <t>Which royal position was Cuju most associated with in ancient China?</t>
  </si>
  <si>
    <t>A) Imperial court official, B) Military general, C) Royal sportsman, D) Imperial concubine</t>
  </si>
  <si>
    <t>A) Imperial court official</t>
  </si>
  <si>
    <t>Cuju was associated with high-ranking officials and noble figures who played the game at the royal courts.</t>
  </si>
  <si>
    <t>Which social class in ancient China was most likely to play Cuju?</t>
  </si>
  <si>
    <t>A) The nobility, B) Farmers, C) Soldiers, D) Merchants</t>
  </si>
  <si>
    <t>A) The nobility</t>
  </si>
  <si>
    <t>Cuju was particularly popular among the nobility, who played it as a form of entertainment and physical exercise.</t>
  </si>
  <si>
    <t>In which Chinese dynasty did Cuju begin to resemble the modern sport of soccer?</t>
  </si>
  <si>
    <t>A) Zhou Dynasty, B) Han Dynasty, C) Tang Dynasty, D) Song Dynasty</t>
  </si>
  <si>
    <t>During the Tang Dynasty, Cuju evolved into a form that closely resembled modern soccer.</t>
  </si>
  <si>
    <t>What was the original name of the game Cuju in ancient China?</t>
  </si>
  <si>
    <t>A) Xiang Qi, B) Tsu Chu, C) Wei Qi, D) Ba Duan Jin</t>
  </si>
  <si>
    <t>B) Tsu Chu</t>
  </si>
  <si>
    <t>Cuju was originally called Tsu Chu, meaning 'kick ball' in ancient Chinese.</t>
  </si>
  <si>
    <t>What was a distinctive feature of Cuju compared to other ancient ball games?</t>
  </si>
  <si>
    <t>A) Use of hands, B) Use of a net, C) Kicking the ball, D) No goalposts</t>
  </si>
  <si>
    <t>C) Kicking the ball</t>
  </si>
  <si>
    <t>Unlike many other ancient games, Cuju was unique in that it involved kicking a ball instead of using hands.</t>
  </si>
  <si>
    <t>In which era did Cuju start to decline in popularity?</t>
  </si>
  <si>
    <t>A) Tang Dynasty, B) Yuan Dynasty, C) Song Dynasty, D) Ming Dynasty</t>
  </si>
  <si>
    <t>D) Ming Dynasty</t>
  </si>
  <si>
    <t>Cuju began to decline in popularity during the Ming Dynasty, as other forms of entertainment and sports emerged.</t>
  </si>
  <si>
    <t>Cuju was primarily played during which dynasty in China?</t>
  </si>
  <si>
    <t>A) Qin Dynasty, B) Tang Dynasty, C) Han Dynasty, D) Yuan Dynasty</t>
  </si>
  <si>
    <t>Cuju was most popular during the Tang Dynasty, though it originated earlier.</t>
  </si>
  <si>
    <t>What is one of the most famous Cuju teams from history?</t>
  </si>
  <si>
    <t>A) Tang Dynasty Imperial Team, B) Yuan Dynasty Warriors, C) Song Dynasty Soccer Club, D) Qin Dynasty Army</t>
  </si>
  <si>
    <t>A) Tang Dynasty Imperial Team</t>
  </si>
  <si>
    <t>The Tang Dynasty Imperial Team is known for being one of the most famous teams in Cuju history.</t>
  </si>
  <si>
    <t>Which historical figure is famously associated with Cuju?</t>
  </si>
  <si>
    <t>A) Emperor Taizong, B) Confucius, C) Sun Tzu, D) Laozi</t>
  </si>
  <si>
    <t>A) Emperor Taizong</t>
  </si>
  <si>
    <t>Emperor Taizong is one of the famous figures who supported and promoted Cuju during the Tang Dynasty.</t>
  </si>
  <si>
    <t>What is the origin of Cuju?</t>
  </si>
  <si>
    <t>A) Greece, B) India, C) China, D) Japan</t>
  </si>
  <si>
    <t>C) China</t>
  </si>
  <si>
    <t>Cuju is an ancient Chinese sport that dates back to the Han Dynasty.</t>
  </si>
  <si>
    <t>What material is traditionally used for the Cuju ball?</t>
  </si>
  <si>
    <t>A) Metal, B) Wood, C) Leather, D) Plastic</t>
  </si>
  <si>
    <t>C) Leather</t>
  </si>
  <si>
    <t>The Cuju ball was traditionally made from leather, sometimes filled with feathers.</t>
  </si>
  <si>
    <t>Which dynasty saw the popularization of Cuju?</t>
  </si>
  <si>
    <t>A) Han Dynasty, B) Tang Dynasty, C) Ming Dynasty, D) Yuan Dynasty</t>
  </si>
  <si>
    <t>Cuju reached its peak popularity during the Tang Dynasty in China.</t>
  </si>
  <si>
    <t>What was the main social context of Cuju in ancient China?</t>
  </si>
  <si>
    <t>A) Military training, B) Religious ceremonies, C) Royal entertainment, D) Farming festivals</t>
  </si>
  <si>
    <t>C) Royal entertainment</t>
  </si>
  <si>
    <t>Cuju was often played as a form of entertainment, especially for the royal courts in ancient China.</t>
  </si>
  <si>
    <t>What type of surface is traditionally used for playing Cuju?</t>
  </si>
  <si>
    <t>A) Grass, B) Hard dirt, C) Sand, D) Artificial turf</t>
  </si>
  <si>
    <t>A) Grass</t>
  </si>
  <si>
    <t>Cuju was traditionally played on grass fields, similar to soccer.</t>
  </si>
  <si>
    <t>In a Cuju game, the ball is made of leather and filled with feathers. What was the historical reason for using feathers in the construction of the Cuju ball?</t>
  </si>
  <si>
    <t>A) To increase the speed of the ball, B) To make the ball more lightweight, C) To improve the ball's bounce, D) To ensure durability</t>
  </si>
  <si>
    <t>B) To make the ball more lightweight</t>
  </si>
  <si>
    <t>Feathers were used in the Cuju ball to reduce its weight, making it easier to kick and control during the game.</t>
  </si>
  <si>
    <t>In the ancient practice of Cuju, the players were most often part of which social group in Chinese society?</t>
  </si>
  <si>
    <t>A) Royalty and nobility, B) Soldiers and military personnel, C) Peasants, D) Merchants</t>
  </si>
  <si>
    <t>B) Soldiers and military personnel</t>
  </si>
  <si>
    <t>Cuju was initially practiced by soldiers and military personnel, as it helped improve their agility, strength, and teamwork.</t>
  </si>
  <si>
    <t>Which historical dynasty is credited with formalizing the rules of Cuju, making it a widely practiced sport in ancient China?</t>
  </si>
  <si>
    <t>A) Han Dynasty, B) Tang Dynasty, C) Ming Dynasty, D) Qin Dynasty</t>
  </si>
  <si>
    <t>During the Tang Dynasty, Cuju was formally structured with rules and regulations, contributing to its rise in popularity across China.</t>
  </si>
  <si>
    <t>In ancient Cuju, which of the following items was essential for a player to wear during a match?</t>
  </si>
  <si>
    <t>A) Helmet, B) Armguards, C) Footwear, D) Gloves</t>
  </si>
  <si>
    <t>C) Footwear</t>
  </si>
  <si>
    <t>Footwear was essential in Cuju to help players control the ball and protect their feet while making powerful kicks.</t>
  </si>
  <si>
    <t>What was the name of the ancient Cuju competition that took place during the Chinese New Year, where teams competed for fame and honor?</t>
  </si>
  <si>
    <t>A) Yuan Kuai, B) Qiuxiang, C) Qiu Yin, D) Zheng Bao</t>
  </si>
  <si>
    <t>B) Qiuxiang</t>
  </si>
  <si>
    <t>The Qiuxiang competition was a popular Cuju event held during the Chinese New Year, where teams competed for honor and prestige.</t>
  </si>
  <si>
    <t>In ancient Cuju matches, what was a common training method for players to improve their kicking accuracy?</t>
  </si>
  <si>
    <t>A) Practicing against a wall, B) Playing with smaller balls, C) Kicking at stationary targets, D) Running long distances</t>
  </si>
  <si>
    <t>C) Kicking at stationary targets</t>
  </si>
  <si>
    <t>Ancient Cuju players often trained by kicking at stationary targets to improve their accuracy and precision when aiming for the goal.</t>
  </si>
  <si>
    <t>In ancient Cuju, which of the following was a common feature of the playing field?</t>
  </si>
  <si>
    <t>A) A circular playing area, B) A rectangular playing area with goals at both ends, C) A square playing area, D) A multi-level playing field</t>
  </si>
  <si>
    <t>B) A rectangular playing area with goals at both ends</t>
  </si>
  <si>
    <t>Like modern soccer, ancient Cuju was played on a rectangular field with goals at both ends for scoring.</t>
  </si>
  <si>
    <t>In ancient Cuju, what was a typical reward for winning a match or tournament?</t>
  </si>
  <si>
    <t>A) A monetary prize, B) A ceremonial title or honor, C) A large feast, D) An increase in social status</t>
  </si>
  <si>
    <t>B) A ceremonial title or honor</t>
  </si>
  <si>
    <t>Victors of Cuju matches or tournaments were often rewarded with titles or honors as part of their status in society.</t>
  </si>
  <si>
    <t>What was the significance of Cuju in ancient China?</t>
  </si>
  <si>
    <t>A) A form of martial arts, B) A form of entertainment, C) A military training exercise, D) A form of religious ritual</t>
  </si>
  <si>
    <t>B) A form of entertainment</t>
  </si>
  <si>
    <t>Cuju was a popular form of entertainment, played by both commoners and nobility.</t>
  </si>
  <si>
    <t>What is Cuju often considered the ancestor of?</t>
  </si>
  <si>
    <t>A) Basketball, B) Soccer, C) Volleyball, D) Rugby</t>
  </si>
  <si>
    <t>Cuju is often considered the ancestor of modern soccer due to its similar rules and objective.</t>
  </si>
  <si>
    <t>What is the traditional Cuju ball made from?</t>
  </si>
  <si>
    <t>A) Leather, B) Wood, C) Silk, D) Rubber</t>
  </si>
  <si>
    <t>The traditional Cuju ball was made from leather, often filled with feathers or hair.</t>
  </si>
  <si>
    <t>What is the modern-day legacy of Cuju?</t>
  </si>
  <si>
    <t>A) It is considered the origin of football, B) It is a forgotten game, C) It is played worldwide professionally, D) It is banned in many countries</t>
  </si>
  <si>
    <t>A) It is considered the origin of football</t>
  </si>
  <si>
    <t>Cuju is often regarded as the precursor to modern football (soccer).</t>
  </si>
  <si>
    <t>What is Cuju's traditional connection to military training?</t>
  </si>
  <si>
    <t>A) It was used to train soldiers for agility, B) It was played as a war simulation, C) It was a military ritual, D) It was unrelated</t>
  </si>
  <si>
    <t>A) It was used to train soldiers for agility</t>
  </si>
  <si>
    <t>Cuju was believed to have been used by the military for training in agility and coordination.</t>
  </si>
  <si>
    <t>What did the ancient Cuju players wear?</t>
  </si>
  <si>
    <t>A) Armor, B) Traditional robes, C) Tunics and shorts, D) Casual clothing</t>
  </si>
  <si>
    <t>B) Traditional robes</t>
  </si>
  <si>
    <t>Ancient Cuju players often wore traditional Chinese robes while playing.</t>
  </si>
  <si>
    <t>Cuju originated in which country?</t>
  </si>
  <si>
    <t>A) China B) Japan C) Korea D) India</t>
  </si>
  <si>
    <t>Cuju is considered an early form of which modern sport?</t>
  </si>
  <si>
    <t>A) Soccer B) Volleyball C) Basketball D) Hockey</t>
  </si>
  <si>
    <t>A) Soccer</t>
  </si>
  <si>
    <t>During which dynasty was Cuju first recorded?</t>
  </si>
  <si>
    <t>A) Han dynasty B) Tang dynasty C) Song dynasty D) Ming dynasty</t>
  </si>
  <si>
    <t>A) Han dynasty</t>
  </si>
  <si>
    <t>Cuju was primarily played for which purpose?</t>
  </si>
  <si>
    <t>A) Military training B) Religious rituals C) Entertainment D) Hunting</t>
  </si>
  <si>
    <t>A) Military training</t>
  </si>
  <si>
    <t>The word “Cuju” literally means what?</t>
  </si>
  <si>
    <t>A) Kick ball B) Hand ball C) Throw ball D) Head ball</t>
  </si>
  <si>
    <t>A) Kick ball</t>
  </si>
  <si>
    <t>Cuju became popular among which class in ancient China?</t>
  </si>
  <si>
    <t>A) Soldiers B) Farmers C) Merchants D) Nobility</t>
  </si>
  <si>
    <t>D) Nobility</t>
  </si>
  <si>
    <t>Which ancient Chinese text mentions Cuju?</t>
  </si>
  <si>
    <t>A) Zhou Li B) Tao Te Ching C) I Ching D) Analects</t>
  </si>
  <si>
    <t>A) Zhou Li</t>
  </si>
  <si>
    <t>Cuju was played with which type of ball?</t>
  </si>
  <si>
    <t>A) Leather B) Wood C) Metal D) Cloth</t>
  </si>
  <si>
    <t>Cuju matches were often played during which events?</t>
  </si>
  <si>
    <t>A) Festivals B) Weddings C) Funerals D) Markets</t>
  </si>
  <si>
    <t>A) Festivals</t>
  </si>
  <si>
    <t>Cuju rules were standardized in which dynasty?</t>
  </si>
  <si>
    <t>A) Tang dynasty B) Han dynasty C) Song dynasty D) Ming dynasty</t>
  </si>
  <si>
    <t>C) Song dynasty</t>
  </si>
  <si>
    <t>Cuju players were trained in which skills?</t>
  </si>
  <si>
    <t>A) Kicking, passing, dribbling B) Archery C) Wrestling D) Martial arts</t>
  </si>
  <si>
    <t>A) Kicking, passing, dribbling</t>
  </si>
  <si>
    <t>Cuju was traditionally played on what type of surface?</t>
  </si>
  <si>
    <t>A) Grass B) Sand C) Wooden floor D) Stone</t>
  </si>
  <si>
    <t>Cuju contributed to the development of which sport in other countries?</t>
  </si>
  <si>
    <t>A) Soccer B) Rugby C) Volleyball D) Basketball</t>
  </si>
  <si>
    <t>Cuju matches were historically held in which setting?</t>
  </si>
  <si>
    <t>A) Open fields and courtyards B) Indoor arenas C) Streets D) Temples</t>
  </si>
  <si>
    <t>A) Open fields and courtyards</t>
  </si>
  <si>
    <t>Which dynasty encouraged Cuju as part of military training?</t>
  </si>
  <si>
    <t>A) Han dynasty B) Tang dynasty C) Ming dynasty D) Qing dynasty</t>
  </si>
  <si>
    <t>Cuju balls were filled with which material?</t>
  </si>
  <si>
    <t>A) Feathers or hair B) Sand C) Stone D) Metal</t>
  </si>
  <si>
    <t>A) Feathers or hair</t>
  </si>
  <si>
    <t>Cuju players wore what during matches?</t>
  </si>
  <si>
    <t>A) Loose robes B) Armor C) Sandals D) Shoes</t>
  </si>
  <si>
    <t>A) Loose robes</t>
  </si>
  <si>
    <t>Cuju was originally played by how many players per team?</t>
  </si>
  <si>
    <t>A) Varies, typically 7-12 B) 5 C) 11 D) 9</t>
  </si>
  <si>
    <t>A) Varies, typically 7-12</t>
  </si>
  <si>
    <t>The objective of Cuju was to?</t>
  </si>
  <si>
    <t>A) Kick ball into a target B) Score points by throwing C) Capture opponent’s ball D) Hit a target with hand</t>
  </si>
  <si>
    <t>A) Kick ball into a target</t>
  </si>
  <si>
    <t>Cuju evolved into a spectator sport during which dynasty?</t>
  </si>
  <si>
    <t>A) Tang dynasty</t>
  </si>
  <si>
    <t>Which modern country recognizes Cuju as part of its cultural heritage?</t>
  </si>
  <si>
    <t>A) China B) Japan C) Korea D) Vietnam</t>
  </si>
  <si>
    <t>Cuju illustrations can be found in which ancient medium?</t>
  </si>
  <si>
    <t>A) Stone carvings and paintings B) Manuscripts C) Scrolls D) Bronze statues</t>
  </si>
  <si>
    <t>C) Scrolls</t>
  </si>
  <si>
    <t>Which skill was highly valued in Cuju?</t>
  </si>
  <si>
    <t>A) Footwork and accuracy B) Hand-eye coordination C) Strength only D) Agility only</t>
  </si>
  <si>
    <t>A) Footwork and accuracy</t>
  </si>
  <si>
    <t>Cuju was considered a preparation for what in ancient China?</t>
  </si>
  <si>
    <t>A) War B) Hunting C) Diplomacy D) Agriculture</t>
  </si>
  <si>
    <t>A) War</t>
  </si>
  <si>
    <t>Cuju balls were sometimes decorated with?</t>
  </si>
  <si>
    <t>A) Colors or patterns B) Metal studs C) Jewels D) Feathers only</t>
  </si>
  <si>
    <t>A) Colors or patterns</t>
  </si>
  <si>
    <t>During which dynasty did Cuju reach peak popularity?</t>
  </si>
  <si>
    <t>Cuju was historically played by which genders?</t>
  </si>
  <si>
    <t>A) Men primarily B) Women primarily C) Both equally D) Children only</t>
  </si>
  <si>
    <t>A) Men primarily</t>
  </si>
  <si>
    <t>Cuju training improved what in soldiers?</t>
  </si>
  <si>
    <t>A) Coordination and stamina B) Archery C) Horse riding D) Swordsmanship</t>
  </si>
  <si>
    <t>A) Coordination and stamina</t>
  </si>
  <si>
    <t>Cuju matches were part of which celebrations?</t>
  </si>
  <si>
    <t>A) Royal festivals B) Weddings C) Harvests D) Funerals</t>
  </si>
  <si>
    <t>A) Royal festivals</t>
  </si>
  <si>
    <t>Cuju is considered a precursor to which global sport?</t>
  </si>
  <si>
    <t>A) Soccer B) Rugby C) Basketball D) Volleyball</t>
  </si>
  <si>
    <t>Cuju was played with the feet only or also with hands?</t>
  </si>
  <si>
    <t>A) Feet only B) Hands only C) Both D) Head only</t>
  </si>
  <si>
    <t>A) Feet only</t>
  </si>
  <si>
    <t>Cuju competitions were sometimes used to?</t>
  </si>
  <si>
    <t>A) Entertain the court B) Train animals C) Conduct business D) Perform rituals</t>
  </si>
  <si>
    <t>A) Entertain the court</t>
  </si>
  <si>
    <t>Cuju was known for promoting which qualities in players?</t>
  </si>
  <si>
    <t>A) Agility, teamwork, strategy B) Strength only C) Speed only D) Accuracy only</t>
  </si>
  <si>
    <t>A) Agility, teamwork, strategy</t>
  </si>
  <si>
    <t>Ancient Cuju fields were marked with?</t>
  </si>
  <si>
    <t>A) Stones or lines in the ground B) Flags C) Ropes D) Mats</t>
  </si>
  <si>
    <t>A) Stones or lines in the ground</t>
  </si>
  <si>
    <t>Cuju became less popular during which period?</t>
  </si>
  <si>
    <t>A) Ming dynasty decline B) Tang dynasty C) Han dynasty D) Song dynasty</t>
  </si>
  <si>
    <t>A) Ming dynasty decline</t>
  </si>
  <si>
    <t>Cuju was revived in modern times primarily for?</t>
  </si>
  <si>
    <t>A) Cultural preservation B) Military training C) Competitive sports D) Entertainment</t>
  </si>
  <si>
    <t>A) Cultural preservation</t>
  </si>
  <si>
    <t>Cuju spread to Japan and Korea through?</t>
  </si>
  <si>
    <t>A) Cultural exchange B) Trade only C) Conquest D) Migration only</t>
  </si>
  <si>
    <t>A) Cultural exchange</t>
  </si>
  <si>
    <t>Cuju balls were lightweight to allow what?</t>
  </si>
  <si>
    <t>A) Greater control and kicks B) Long-distance throws C) Durability only D) Decoration</t>
  </si>
  <si>
    <t>A) Greater control and kicks</t>
  </si>
  <si>
    <t>Cuju was historically played with a goal made of?</t>
  </si>
  <si>
    <t>A) A net or target ring B) Wooden posts C) Stone blocks D) Rope</t>
  </si>
  <si>
    <t>A) A net or target ring</t>
  </si>
  <si>
    <t>Cuju required what type of field dimension traditionally?</t>
  </si>
  <si>
    <t>A) Rectangular with open space B) Circular C) Square D) Indoor only</t>
  </si>
  <si>
    <t>A) Rectangular with open space</t>
  </si>
  <si>
    <t>Which age group traditionally played Cuju?</t>
  </si>
  <si>
    <t>A) Adults B) Children only C) Elderly only D) All ages</t>
  </si>
  <si>
    <t>A) Adults</t>
  </si>
  <si>
    <t>Cuju was mentioned in historical Chinese literature to highlight?</t>
  </si>
  <si>
    <t>A) Physical skill and strategy B) Moral values C) Wealth D) Religion</t>
  </si>
  <si>
    <t>A) Physical skill and strategy</t>
  </si>
  <si>
    <t>Cuju players often wore which type of footwear?</t>
  </si>
  <si>
    <t>A) Barefoot B) Sandals C) Shoes D) Boots</t>
  </si>
  <si>
    <t>A) Barefoot</t>
  </si>
  <si>
    <t>Cuju balls were stitched with what material?</t>
  </si>
  <si>
    <t>A) Leather strips B) Cloth C) Rope D) Metal</t>
  </si>
  <si>
    <t>A) Leather strips</t>
  </si>
  <si>
    <t>Cuju competitions could last how long?</t>
  </si>
  <si>
    <t>A) Hours B) Minutes C) Days D) Weeks</t>
  </si>
  <si>
    <t>A) Hours</t>
  </si>
  <si>
    <t>Cuju was banned temporarily in which period?</t>
  </si>
  <si>
    <t>A) Certain Ming dynasty eras B) Han dynasty C) Tang dynasty D) Song dynasty</t>
  </si>
  <si>
    <t>A) Certain Ming dynasty eras</t>
  </si>
  <si>
    <t>Cuju was part of training in which institution?</t>
  </si>
  <si>
    <t>A) Military academies B) Schools C) Temples D) Guilds</t>
  </si>
  <si>
    <t>A) Military academies</t>
  </si>
  <si>
    <t>Cuju spread to Europe in which century?</t>
  </si>
  <si>
    <t>A) 19th century B) 17th century C) 15th century D) 20th century</t>
  </si>
  <si>
    <t>A) 19th century</t>
  </si>
  <si>
    <t>Cuju was sometimes played during what social events?</t>
  </si>
  <si>
    <t>A) Festivals and royal ceremonies B) Weddings only C) Harvest only D) Funerals only</t>
  </si>
  <si>
    <t>A) Festivals and royal ceremonies</t>
  </si>
  <si>
    <t>Cuju was considered a way to improve which attributes?</t>
  </si>
  <si>
    <t>A) Agility, balance, coordination B) Strength only C) Endurance only D) Speed only</t>
  </si>
  <si>
    <t>A) Agility, balance, coordination</t>
  </si>
  <si>
    <t>Cuju illustrations can be found in which ancient records?</t>
  </si>
  <si>
    <t>A) Ming dynasty scrolls B) Han dynasty manuscripts C) Tang dynasty paintings D) Song dynasty texts</t>
  </si>
  <si>
    <t>C) Tang dynasty paintings</t>
  </si>
  <si>
    <t>Cuju competitions were judged based on what?</t>
  </si>
  <si>
    <t>A) Accuracy and technique B) Speed only C) Style only D) Strength only</t>
  </si>
  <si>
    <t>A) Accuracy and technique</t>
  </si>
  <si>
    <t>Cuju involved which type of kicking?</t>
  </si>
  <si>
    <t>A) Foot only B) Hand kicks C) Head kicks D) Knee strikes</t>
  </si>
  <si>
    <t>A) Foot only</t>
  </si>
  <si>
    <t>Cuju helped prepare soldiers for which type of battle scenario?</t>
  </si>
  <si>
    <t>A) Foot combat B) Mounted archery C) Siege warfare D) Naval battles</t>
  </si>
  <si>
    <t>A) Foot combat</t>
  </si>
  <si>
    <t>Cuju balls were inflated using what material?</t>
  </si>
  <si>
    <t>A) Air or feathers B) Water C) Sand D) Cloth</t>
  </si>
  <si>
    <t>A) Air or feathers</t>
  </si>
  <si>
    <t>Cuju was considered both recreational and what?</t>
  </si>
  <si>
    <t>A) Training for war B) Religious ritual C) Gambling D) Hunting</t>
  </si>
  <si>
    <t>A) Training for war</t>
  </si>
  <si>
    <t>Cuju training emphasized what quality above all?</t>
  </si>
  <si>
    <t>A) Accuracy and footwork B) Strength only C) Speed only D) Flexibility only</t>
  </si>
  <si>
    <t>A) Accuracy and footwork</t>
  </si>
  <si>
    <t>Cuju eventually influenced which Japanese sport?</t>
  </si>
  <si>
    <t>A) Kemari B) Sumo C) Kendo D) Karate</t>
  </si>
  <si>
    <t>A) Kemari</t>
  </si>
  <si>
    <t>Cuju matches were organized by whom historically?</t>
  </si>
  <si>
    <t>A) Royal courts and local officials B) Soldiers only C) Farmers only D) Monks only</t>
  </si>
  <si>
    <t>A) Royal courts and local officials</t>
  </si>
  <si>
    <t>Cuju balls sometimes had tassels or markers for what purpose?</t>
  </si>
  <si>
    <t>A) Visibility and decoration B) Speed only C) Weight D) Balance</t>
  </si>
  <si>
    <t>A) Visibility and decoration</t>
  </si>
  <si>
    <t>Cuju was recognized by which organization in modern times for historical value?</t>
  </si>
  <si>
    <t>A) FIFA B) IOC C) UNESCO D) Chinese Olympic Committee</t>
  </si>
  <si>
    <t>C) UNESCO</t>
  </si>
  <si>
    <t>Cuju training contributed to which mental skill?</t>
  </si>
  <si>
    <t>A) Strategic thinking B) Memorization C) Calculation D) Meditation</t>
  </si>
  <si>
    <t>A) Strategic thinking</t>
  </si>
  <si>
    <t>Cuju matches could involve which type of scoring?</t>
  </si>
  <si>
    <t>A) Points for accuracy B) Duration only C) Number of kicks D) Audience approval</t>
  </si>
  <si>
    <t>A) Points for accuracy</t>
  </si>
  <si>
    <t>Cuju is depicted in which cultural medium today?</t>
  </si>
  <si>
    <t>A) Museums and art galleries B) Television C) Books only D) Street performances</t>
  </si>
  <si>
    <t>A) Museums and art galleries</t>
  </si>
  <si>
    <t>Cuju’s influence on soccer is seen primarily in what aspect?</t>
  </si>
  <si>
    <t>A) Kicking technique and ball control B) Running C) Team size D) Goal design</t>
  </si>
  <si>
    <t>A) Kicking technique and ball control</t>
  </si>
  <si>
    <t>Cuju was historically a solo or team game?</t>
  </si>
  <si>
    <t>A) Team game B) Solo only C) Individual duels D) Small groups only</t>
  </si>
  <si>
    <t>A) Team game</t>
  </si>
  <si>
    <t>Cuju balls were repaired using what materials?</t>
  </si>
  <si>
    <t>A) Leather patches B) Wood C) Cloth only D) Metal strips</t>
  </si>
  <si>
    <t>A) Leather patches</t>
  </si>
  <si>
    <t>Cuju players often practiced what besides kicking?</t>
  </si>
  <si>
    <t>A) Passing and ball control B) Archery C) Wrestling D) Sword fighting</t>
  </si>
  <si>
    <t>A) Passing and ball control</t>
  </si>
  <si>
    <t>Cuju helped soldiers improve which physical quality?</t>
  </si>
  <si>
    <t>A) Endurance and agility B) Strength only C) Flexibility only D) Speed only</t>
  </si>
  <si>
    <t>A) Endurance and agility</t>
  </si>
  <si>
    <t>Cuju competitions were sometimes linked with what reward?</t>
  </si>
  <si>
    <t>A) Prizes and recognition B) Food only C) Titles only D) Honors only</t>
  </si>
  <si>
    <t>A) Prizes and recognition</t>
  </si>
  <si>
    <t>Cuju’s decline occurred due to what factor historically?</t>
  </si>
  <si>
    <t>A) Ming dynasty restrictions B) Lack of interest C) War only D) Religious bans</t>
  </si>
  <si>
    <t>A) Ming dynasty restrictions</t>
  </si>
  <si>
    <t>Cuju training included which warm-up activity?</t>
  </si>
  <si>
    <t>A) Stretching and light foot drills B) Jumping only C) Archery D) Sword practice</t>
  </si>
  <si>
    <t>A) Stretching and light foot drills</t>
  </si>
  <si>
    <t>Cuju’s strategic aspect included?</t>
  </si>
  <si>
    <t>A) Passing and positioning B) Speed only C) Strength only D) Stamina only</t>
  </si>
  <si>
    <t>A) Passing and positioning</t>
  </si>
  <si>
    <t>Cuju matches sometimes included how many spectators?</t>
  </si>
  <si>
    <t>A) Large crowds in royal courts B) Small gatherings C) Families only D) Soldiers only</t>
  </si>
  <si>
    <t>A) Large crowds in royal courts</t>
  </si>
  <si>
    <t>Cuju illustrations influenced which art form?</t>
  </si>
  <si>
    <t>A) Chinese paintings B) Calligraphy C) Sculpture only D) Ceramics only</t>
  </si>
  <si>
    <t>A) Chinese paintings</t>
  </si>
  <si>
    <t>Cuju balls were replaced with modern materials for what reason?</t>
  </si>
  <si>
    <t>A) Durability and standardization B) Decoration only C) Weight only D) Safety only</t>
  </si>
  <si>
    <t>A) Durability and standardization</t>
  </si>
  <si>
    <t>Cuju today is preserved primarily for?</t>
  </si>
  <si>
    <t>A) Cultural and historical significance B) Competitive sport C) Recreation only D) Physical training only</t>
  </si>
  <si>
    <t>A) Cultural and historical significance</t>
  </si>
  <si>
    <t>Dragon Boat Racing originated in which country?</t>
  </si>
  <si>
    <t>A) Japan, B) China, C) Thailand, D) Vietnam</t>
  </si>
  <si>
    <t>B) China</t>
  </si>
  <si>
    <t>Dragon Boat Racing originated in China over 2,000 years ago.</t>
  </si>
  <si>
    <t>Dragon Boat Racing is traditionally held to honor which ancient Chinese poet?</t>
  </si>
  <si>
    <t>A) Li Bai, B) Qu Yuan, C) Confucius, D) Wang Wei</t>
  </si>
  <si>
    <t>B) Qu Yuan</t>
  </si>
  <si>
    <t>The race commemorates Qu Yuan, a revered Chinese poet.</t>
  </si>
  <si>
    <t>Dragon Boat Racing is associated with which Chinese festival?</t>
  </si>
  <si>
    <t>A) Spring Festival, B) Qingming Festival, C) Dragon Boat Festival, D) Mid-Autumn Festival</t>
  </si>
  <si>
    <t>C) Dragon Boat Festival</t>
  </si>
  <si>
    <t>The race takes place during the Dragon Boat Festival, held on the fifth day of the fifth lunar month.</t>
  </si>
  <si>
    <t>In which Chinese dynasty did Dragon Boat Racing become popular?</t>
  </si>
  <si>
    <t>A) Tang, B) Qin, C) Han, D) Zhou</t>
  </si>
  <si>
    <t>A) Tang</t>
  </si>
  <si>
    <t>Dragon Boat Racing gained popularity during the Tang Dynasty.</t>
  </si>
  <si>
    <t>Qu Yuan was known for his loyalty to which Chinese kingdom?</t>
  </si>
  <si>
    <t>A) Chu, B) Qin, C) Han, D) Wei</t>
  </si>
  <si>
    <t>A) Chu</t>
  </si>
  <si>
    <t>Qu Yuan served the Kingdom of Chu and wrote patriotic poems.</t>
  </si>
  <si>
    <t>Dragon Boat Racing has been practiced in China for approximately how many years?</t>
  </si>
  <si>
    <t>A) 1,000, B) 1,500, C) 2,000, D) 2,500</t>
  </si>
  <si>
    <t>C) 2,000</t>
  </si>
  <si>
    <t>Dragon Boat Racing dates back over 2,000 years in China.</t>
  </si>
  <si>
    <t>Qu Yuan drowned himself in which river?</t>
  </si>
  <si>
    <t>A) Yangtze, B) Yellow, C) Miluo, D) Pearl</t>
  </si>
  <si>
    <t>C) Miluo</t>
  </si>
  <si>
    <t>Qu Yuan drowned in the Miluo River in despair over his country's future.</t>
  </si>
  <si>
    <t>What were villagers originally trying to protect Qu Yuan's body from?</t>
  </si>
  <si>
    <t>A) Spirits, B) River currents, C) Fish and evil spirits, D) Other kingdoms</t>
  </si>
  <si>
    <t>C) Fish and evil spirits</t>
  </si>
  <si>
    <t>Villagers beat drums to scare away fish and evil spirits from Qu Yuan's body.</t>
  </si>
  <si>
    <t>What is typically eaten during the Dragon Boat Festival in honor of Qu Yuan?</t>
  </si>
  <si>
    <t>A) Dumplings, B) Mooncakes, C) Zongzi, D) Rice balls</t>
  </si>
  <si>
    <t>C) Zongzi</t>
  </si>
  <si>
    <t>Zongzi, sticky rice dumplings, are traditionally eaten during the Dragon Boat Festival.</t>
  </si>
  <si>
    <t>The first Dragon Boat races were meant to symbolize which of the following?</t>
  </si>
  <si>
    <t>A) A search for lost treasures, B) A reenactment of war, C) A search for Qu Yuan, D) A tribute to ancestors</t>
  </si>
  <si>
    <t>C) A search for Qu Yuan</t>
  </si>
  <si>
    <t>The race symbolizes villagers' efforts to search for Qu Yuan in the river.</t>
  </si>
  <si>
    <t>Dragon boats are traditionally decorated to resemble which mythical creature?</t>
  </si>
  <si>
    <t>A) Lion, B) Phoenix, C) Dragon, D) Tiger</t>
  </si>
  <si>
    <t>C) Dragon</t>
  </si>
  <si>
    <t>Boats are decorated to resemble dragons, symbolizing strength and protection.</t>
  </si>
  <si>
    <t>Why did ancient Chinese people throw rice into the river during the Dragon Boat Festival?</t>
  </si>
  <si>
    <t>A) To feed the fish, B) To honor ancestors, C) To feed Qu Yuan's spirit, D) To calm the river</t>
  </si>
  <si>
    <t>C) To feed Qu Yuan's spirit</t>
  </si>
  <si>
    <t>Rice was thrown to feed Qu Yuan's spirit and prevent fish from disturbing him.</t>
  </si>
  <si>
    <t>When did Dragon Boat Racing first become popular internationally?</t>
  </si>
  <si>
    <t>A) 1950s, B) 1960s, C) 1970s, D) 1980s</t>
  </si>
  <si>
    <t>C) 1970s</t>
  </si>
  <si>
    <t>The sport gained international popularity in the 1970s.</t>
  </si>
  <si>
    <t>Which major city hosted the first international Dragon Boat competition?</t>
  </si>
  <si>
    <t>A) Hong Kong, B) Beijing, C) Shanghai, D) Taipei</t>
  </si>
  <si>
    <t>A) Hong Kong</t>
  </si>
  <si>
    <t>Hong Kong hosted the first international Dragon Boat competition in 1976.</t>
  </si>
  <si>
    <t>What is the traditional length of a dragon boat?</t>
  </si>
  <si>
    <t>A) 12 meters, B) 15 meters, C) 18 meters, D) 20 meters</t>
  </si>
  <si>
    <t>B) 15 meters</t>
  </si>
  <si>
    <t>Traditional dragon boats are around 15 meters long, accommodating a large team.</t>
  </si>
  <si>
    <t>Which Chinese emperor is believed to have promoted Dragon Boat Racing as a national event?</t>
  </si>
  <si>
    <t>A) Emperor Taizong, B) Emperor Qin Shi Huang, C) Emperor Wu of Han, D) Emperor Gaozu</t>
  </si>
  <si>
    <t>Emperor Taizong of the Tang Dynasty promoted Dragon Boat Racing nationally.</t>
  </si>
  <si>
    <t>What is the traditional purpose of the drumbeat during Dragon Boat Racing?</t>
  </si>
  <si>
    <t>A) To synchronize paddling, B) To signal victory, C) To scare away fish, D) To honor ancestors</t>
  </si>
  <si>
    <t>A) To synchronize paddling</t>
  </si>
  <si>
    <t>The drumbeat helps rowers synchronize their strokes for maximum speed and unity.</t>
  </si>
  <si>
    <t>Which type of rice dumpling is traditionally eaten during the Dragon Boat Festival?</t>
  </si>
  <si>
    <t>A) Mochi, B) Zongzi, C) Baozi, D) Jiaozi</t>
  </si>
  <si>
    <t>B) Zongzi</t>
  </si>
  <si>
    <t>Zongzi, glutinous rice wrapped in bamboo leaves, is a traditional food for the festival.</t>
  </si>
  <si>
    <t>Dragon Boat Racing was originally held to ensure what in ancient China?</t>
  </si>
  <si>
    <t>A) Victory in wars, B) Fertile harvests, C) Good health, D) Rain for crops</t>
  </si>
  <si>
    <t>D) Rain for crops</t>
  </si>
  <si>
    <t>Early Dragon Boat Racing was believed to attract rain for agricultural prosperity.</t>
  </si>
  <si>
    <t>Who is considered the â€˜father' of modern Dragon Boat Racing?</t>
  </si>
  <si>
    <t>A) Li Kai, B) Geoffrey Bond, C) Qu Yuan, D) Stanley Tan</t>
  </si>
  <si>
    <t>B) Geoffrey Bond</t>
  </si>
  <si>
    <t>Geoffrey Bond is recognized as the father of modern Dragon Boat Racing, promoting it internationally.</t>
  </si>
  <si>
    <t>The Dragon Boat Festival marks which important event in Qu Yuan's life?</t>
  </si>
  <si>
    <t>A) His exile, B) His poetry debut, C) His death, D) His promotion</t>
  </si>
  <si>
    <t>C) His death</t>
  </si>
  <si>
    <t>The festival commemorates the anniversary of Qu Yuan's death.</t>
  </si>
  <si>
    <t>Which event led to the villagers' search for Qu Yuan on the river?</t>
  </si>
  <si>
    <t>A) A natural disaster, B) His disappearance, C) His drowning, D) A war</t>
  </si>
  <si>
    <t>C) His drowning</t>
  </si>
  <si>
    <t>After Qu Yuan drowned himself, villagers searched for his body in the river.</t>
  </si>
  <si>
    <t>The festival is held on the fifth day of which lunar month?</t>
  </si>
  <si>
    <t>A) Fourth, B) Fifth, C) Sixth, D) Seventh</t>
  </si>
  <si>
    <t>B) Fifth</t>
  </si>
  <si>
    <t>The Dragon Boat Festival occurs on the fifth day of the fifth lunar month each year.</t>
  </si>
  <si>
    <t>In ancient China, the Dragon Boat Festival was also known as the â€˜Double Fifth' due to:</t>
  </si>
  <si>
    <t>A) Its double holiday status, B) Its two-day celebration, C) Its timing on the fifth day of the fifth month, D) Its twin river ceremonies</t>
  </si>
  <si>
    <t>C) Its timing on the fifth day of the fifth month</t>
  </si>
  <si>
    <t>The festival's date is associated with the fifth day of the fifth lunar month.</t>
  </si>
  <si>
    <t>Dragon Boat Racing was added to which international sporting event in 1994?</t>
  </si>
  <si>
    <t>A) Olympics, B) Asian Games, C) Southeast Asian Games, D) World Championships</t>
  </si>
  <si>
    <t>B) Asian Games</t>
  </si>
  <si>
    <t>Dragon Boat Racing was added to the Asian Games, promoting it further.</t>
  </si>
  <si>
    <t>The main color of traditional dragon boats is usually what?</t>
  </si>
  <si>
    <t>A) Red, B) Blue, C) Green, D) Gold</t>
  </si>
  <si>
    <t>A) Red</t>
  </si>
  <si>
    <t>Red symbolizes good luck and prosperity, a common color for dragon boats.</t>
  </si>
  <si>
    <t>Which river in Hong Kong is known for hosting annual Dragon Boat Races?</t>
  </si>
  <si>
    <t>A) Pearl River, B) Shing Mun River, C) Yangtze River, D) Li River</t>
  </si>
  <si>
    <t>B) Shing Mun River</t>
  </si>
  <si>
    <t>The Shing Mun River in Hong Kong is famous for its annual Dragon Boat Racing events.</t>
  </si>
  <si>
    <t>The Dragon Boat Festival became a national holiday in China in which year?</t>
  </si>
  <si>
    <t>A) 1989, B) 2001, C) 2008, D) 2015</t>
  </si>
  <si>
    <t>C) 2008</t>
  </si>
  <si>
    <t>In 2008, the Chinese government recognized the Dragon Boat Festival as a national holiday.</t>
  </si>
  <si>
    <t>Which ingredient is NOT traditionally part of Zongzi?</t>
  </si>
  <si>
    <t>A) Rice, B) Bamboo leaves, C) Meat, D) Noodles</t>
  </si>
  <si>
    <t>D) Noodles</t>
  </si>
  <si>
    <t>Zongzi is made of rice wrapped in bamboo leaves, sometimes with meat, but never noodles.</t>
  </si>
  <si>
    <t>Dragon Boat Racing was recognized by UNESCO as what in 2009?</t>
  </si>
  <si>
    <t>A) Cultural heritage, B) National sport, C) Religious ceremony, D) Festival ritual</t>
  </si>
  <si>
    <t>A) Cultural heritage</t>
  </si>
  <si>
    <t>UNESCO recognized Dragon Boat Racing as an Intangible Cultural Heritage of Humanity.</t>
  </si>
  <si>
    <t>The paddles used in Dragon Boat Racing are traditionally made from what?</t>
  </si>
  <si>
    <t>A) Metal, B) Bamboo, C) Wood, D) Plastic</t>
  </si>
  <si>
    <t>C) Wood</t>
  </si>
  <si>
    <t>Traditional dragon boat paddles are made from wood, reflecting ancient practices.</t>
  </si>
  <si>
    <t>In the early races, why would villagers row fiercely and beat drums?</t>
  </si>
  <si>
    <t>A) To frighten enemies, B) To ward off spirits, C) To honor the emperor, D) To show rowing skill</t>
  </si>
  <si>
    <t>B) To ward off spirits</t>
  </si>
  <si>
    <t>Villagers beat drums and rowed hard to ward off spirits from the water.</t>
  </si>
  <si>
    <t>In which dynasty was Qu Yuan's story first documented in historical records?</t>
  </si>
  <si>
    <t>A) Zhou, B) Tang, C) Han, D) Qing</t>
  </si>
  <si>
    <t>C) Han</t>
  </si>
  <si>
    <t>Qu Yuan's story was first recorded during the Han Dynasty.</t>
  </si>
  <si>
    <t>Dragon Boat Racing is believed to have started around which period?</t>
  </si>
  <si>
    <t>A) 100 BCE, B) 221 BCE, C) 278 BCE, D) 500 BCE</t>
  </si>
  <si>
    <t>C) 278 BCE</t>
  </si>
  <si>
    <t>The sport's origins date back to around 278 BCE, tied to Qu Yuan's death.</t>
  </si>
  <si>
    <t>Why are dragon boat paddles traditionally painted?</t>
  </si>
  <si>
    <t>A) To attract fish, B) To symbolize unity, C) To invoke the dragon spirit, D) To scare spirits</t>
  </si>
  <si>
    <t>C) To invoke the dragon spirit</t>
  </si>
  <si>
    <t>Painted paddles are believed to summon the dragon spirit for protection and strength.</t>
  </si>
  <si>
    <t>What event inspired the villagers to start the Dragon Boat tradition?</t>
  </si>
  <si>
    <t>A) Winning a battle, B) Saving the emperor, C) Losing Qu Yuan, D) Harvesting rice</t>
  </si>
  <si>
    <t>C) Losing Qu Yuan</t>
  </si>
  <si>
    <t>The tradition started as villagers mourned the loss of Qu Yuan in the river.</t>
  </si>
  <si>
    <t>Which of these materials was NOT traditionally used to construct dragon boats?</t>
  </si>
  <si>
    <t>A) Bamboo, B) Wood, C) Steel, D) Paint</t>
  </si>
  <si>
    <t>C) Steel</t>
  </si>
  <si>
    <t>Traditional dragon boats were made from bamboo and wood, without any steel.</t>
  </si>
  <si>
    <t>Dragon Boat Racing was introduced to which Western country in 1986?</t>
  </si>
  <si>
    <t>A) USA, B) Canada, C) Australia, D) UK</t>
  </si>
  <si>
    <t>B) Canada</t>
  </si>
  <si>
    <t>Canada held its first dragon boat race in 1986, sparking interest across the West.</t>
  </si>
  <si>
    <t>In which Chinese city is the oldest dragon boat race held annually?</t>
  </si>
  <si>
    <t>A) Guangzhou, B) Qu Yuan's hometown, C) Hong Kong, D) Suzhou</t>
  </si>
  <si>
    <t>A) Guangzhou</t>
  </si>
  <si>
    <t>Guangzhou is known for hosting one of the oldest continuous dragon boat races in China.</t>
  </si>
  <si>
    <t>The Dragon Boat Festival also serves as a time to remember which theme?</t>
  </si>
  <si>
    <t>A) Patriotism, B) Creativity, C) Innovation, D) Materialism</t>
  </si>
  <si>
    <t>A) Patriotism</t>
  </si>
  <si>
    <t>The festival honors patriotism, exemplified by Qu Yuan's loyalty and love for his country.</t>
  </si>
  <si>
    <t>Which river is famously associated with the origins of Dragon Boat Racing?</t>
  </si>
  <si>
    <t>A) Yangtze River, B) Li River, C) Xiang River, D) Yellow River</t>
  </si>
  <si>
    <t>C) Xiang River</t>
  </si>
  <si>
    <t>The Xiang River is where the ancient story of Qu Yuan and Dragon Boat Racing began.</t>
  </si>
  <si>
    <t>The Dragon Boat Festival, held for over two millennia, originated during which Chinese dynasty?</t>
  </si>
  <si>
    <t>A) Zhou, B) Han, C) Qin, D) Tang</t>
  </si>
  <si>
    <t>A) Zhou</t>
  </si>
  <si>
    <t>The Dragon Boat Festival originated during the Zhou Dynasty.</t>
  </si>
  <si>
    <t>The legend of Qu Yuan, associated with Dragon Boat Racing, is a symbol of what?</t>
  </si>
  <si>
    <t>A) Rebellion, B) Patriotism, C) Wealth, D) Romance</t>
  </si>
  <si>
    <t>B) Patriotism</t>
  </si>
  <si>
    <t>Qu Yuan's story symbolizes patriotism, as he sacrificed himself for his beliefs and love of country.</t>
  </si>
  <si>
    <t>Which element is traditionally thought to reside within the dragon boats, according to ancient beliefs?</t>
  </si>
  <si>
    <t>A) Water spirit, B) Fire spirit, C) Dragon spirit, D) Earth spirit</t>
  </si>
  <si>
    <t>C) Dragon spirit</t>
  </si>
  <si>
    <t>The dragon spirit was believed to reside within the boats, giving them protection and strength.</t>
  </si>
  <si>
    <t>Dragon Boat Racing was believed to protect against what in ancient times?</t>
  </si>
  <si>
    <t>A) Floods, B) Evil spirits, C) Plagues, D) Crop failure</t>
  </si>
  <si>
    <t>B) Evil spirits</t>
  </si>
  <si>
    <t>Racing was thought to ward off evil spirits and bring good fortune to the community.</t>
  </si>
  <si>
    <t>Which traditional practice is performed to 'wake' the dragon on the boat?</t>
  </si>
  <si>
    <t>A) Drumming, B) Painting eyes, C) Chanting, D) Offering food</t>
  </si>
  <si>
    <t>B) Painting eyes</t>
  </si>
  <si>
    <t>The eyes are painted to 'awaken' the dragon spirit in the boat before races.</t>
  </si>
  <si>
    <t>What significant historical role did the Dragon Boat Festival play in ancient China?</t>
  </si>
  <si>
    <t>A) Strengthening community bonds, B) Honoring emperors, C) Gathering soldiers, D) Displaying wealth</t>
  </si>
  <si>
    <t>A) Strengthening community bonds</t>
  </si>
  <si>
    <t>The festival brought people together, fostering unity and cultural heritage.</t>
  </si>
  <si>
    <t>Which country was one of the first outside of Asia to embrace Dragon Boat Racing?</t>
  </si>
  <si>
    <t>A) Australia, B) USA, C) Canada, D) UK</t>
  </si>
  <si>
    <t>C) Canada</t>
  </si>
  <si>
    <t>Canada was an early adopter of Dragon Boat Racing, popularizing it in the West.</t>
  </si>
  <si>
    <t>What is the primary color of the dragon head on the boat?</t>
  </si>
  <si>
    <t>A) Red, B) Gold, C) Green, D) Blue</t>
  </si>
  <si>
    <t>B) Gold</t>
  </si>
  <si>
    <t>The dragon head is typically gold, symbolizing strength and power in Chinese culture.</t>
  </si>
  <si>
    <t>Which festival is closely associated with dragon boat racing?</t>
  </si>
  <si>
    <t>A) Mid-Autumn Festival, B) Chinese New Year, C) Dragon Boat Festival, D) Lantern Festival</t>
  </si>
  <si>
    <t>The Dragon Boat Festival, celebrated on the 5th day of the 5th lunar month, is the traditional time for dragon boat races.</t>
  </si>
  <si>
    <t>What is the symbolic purpose of the dragon boat race?</t>
  </si>
  <si>
    <t>A) To celebrate a harvest, B) To honor ancestors, C) To commemorate Qu Yuan, D) To mark the summer solstice</t>
  </si>
  <si>
    <t>C) To commemorate Qu Yuan</t>
  </si>
  <si>
    <t>The race honors the poet Qu Yuan, who drowned himself to protest corruption in ancient China.</t>
  </si>
  <si>
    <t>What does the dragon's tail on the boat represent?</t>
  </si>
  <si>
    <t>A) Speed, B) Endurance, C) Power, D) Unity</t>
  </si>
  <si>
    <t>B) Endurance</t>
  </si>
  <si>
    <t>The dragon's tail at the rear of the boat symbolizes endurance in the race.</t>
  </si>
  <si>
    <t>What type of traditional clothing do dragon boat paddlers typically wear?</t>
  </si>
  <si>
    <t>A) Uniforms, B) T-shirts, C) Dragon-themed costumes, D) Traditional Chinese robes</t>
  </si>
  <si>
    <t>A) Uniforms</t>
  </si>
  <si>
    <t>Paddlers wear specialized uniforms that are comfortable and functional for racing.</t>
  </si>
  <si>
    <t>What is the traditional significance of the dragon boat's dragon head?</t>
  </si>
  <si>
    <t>A) To mark territory, B) To symbolize good luck, C) To attract attention, D) To ward off evil spirits</t>
  </si>
  <si>
    <t>B) To symbolize good luck</t>
  </si>
  <si>
    <t>The dragon head is believed to bring good luck and is a key cultural symbol in the race.</t>
  </si>
  <si>
    <t>What does the practice of dragon boat racing commemorate during the Dragon Boat Festival?</t>
  </si>
  <si>
    <t>A) The summer solstice, B) The anniversary of Qu Yuan's death, C) The harvest season, D) The founding of China</t>
  </si>
  <si>
    <t>B) The anniversary of Qu Yuan's death</t>
  </si>
  <si>
    <t>The Dragon Boat Festival commemorates Qu Yuan's death and his symbolic act of sacrifice.</t>
  </si>
  <si>
    <t>What is traditionally placed in a dragon boat before a race for good luck?</t>
  </si>
  <si>
    <t>A) Rice, B) Flowers, C) A coin, D) Incense</t>
  </si>
  <si>
    <t>C) A coin</t>
  </si>
  <si>
    <t>Placing a coin in the boat before the race is a traditional practice believed to bring good luck.</t>
  </si>
  <si>
    <t>In which part of China did dragon boat racing originate?</t>
  </si>
  <si>
    <t>A) Northern China, B) Southern China, C) Central China, D) Eastern China</t>
  </si>
  <si>
    <t>B) Southern China</t>
  </si>
  <si>
    <t>Dragon boat racing originated in the southern regions of China, particularly around the Yangtze River.</t>
  </si>
  <si>
    <t>What do the decorations on the dragon boat typically represent?</t>
  </si>
  <si>
    <t>A) Good fortune, B) Historical significance, C) Team spirit, D) Political power</t>
  </si>
  <si>
    <t>A) Good fortune</t>
  </si>
  <si>
    <t>The dragon decorations symbolize good fortune and protection for the boat during the race.</t>
  </si>
  <si>
    <t>What is the traditional seating arrangement in a dragon boat?</t>
  </si>
  <si>
    <t>A) Paddlers sit in a circle, B) Paddlers sit in two rows, C) Paddlers sit in one line, D) Paddlers are scattered</t>
  </si>
  <si>
    <t>B) Paddlers sit in two rows</t>
  </si>
  <si>
    <t>In a traditional dragon boat, paddlers are arranged in two rows facing forward to row efficiently.</t>
  </si>
  <si>
    <t>Which of the following is a common post-race tradition in dragon boat racing?</t>
  </si>
  <si>
    <t>A) Paddlers offer prayers, B) Paddlers drink ceremonial tea, C) Teams perform a victory dance, D) Teams exchange gifts</t>
  </si>
  <si>
    <t>B) Paddlers drink ceremonial tea</t>
  </si>
  <si>
    <t>After the race, paddlers often drink ceremonial tea as a way of celebrating or relaxing.</t>
  </si>
  <si>
    <t>What is typically placed at the bow of the dragon boat for good luck?</t>
  </si>
  <si>
    <t>A) A piece of jade, B) A dragon head, C) A flag, D) A coin</t>
  </si>
  <si>
    <t>B) A dragon head</t>
  </si>
  <si>
    <t>A dragon head is placed at the bow of the boat to bring good luck and protection during the race.</t>
  </si>
  <si>
    <t>What is the origin of Dragon Boat Racing?</t>
  </si>
  <si>
    <t>A) Japan, B) China, C) India, D) Thailand</t>
  </si>
  <si>
    <t>Dragon Boat Racing originated in ancient China, linked to the commemoration of Qu Yuan.</t>
  </si>
  <si>
    <t>Which of the following is a traditional food eaten during the Dragon Boat Festival?</t>
  </si>
  <si>
    <t>A) Dumplings, B) Rice cakes, C) Zongzi, D) Noodles</t>
  </si>
  <si>
    <t>Zongzi, sticky rice wrapped in bamboo leaves, is a traditional food consumed during the festival.</t>
  </si>
  <si>
    <t>How long has dragon boat racing been practiced in China?</t>
  </si>
  <si>
    <t>A) Over 1,000 years, B) Over 2,000 years, C) Over 3,000 years, D) Over 500 years</t>
  </si>
  <si>
    <t>B) Over 2,000 years</t>
  </si>
  <si>
    <t>Dragon boat racing has a history of over 2,000 years, originating in ancient China.</t>
  </si>
  <si>
    <t>What is the 'zongzi' traditionally eaten during the Dragon Boat Festival?</t>
  </si>
  <si>
    <t>A) Rice dumplings, B) Fish, C) Noodles, D) Pancakes</t>
  </si>
  <si>
    <t>A) Rice dumplings</t>
  </si>
  <si>
    <t>Zongzi is a traditional sticky rice dumpling wrapped in bamboo leaves, typically eaten during the Dragon Boat Festival.</t>
  </si>
  <si>
    <t>Which historical figure is the dragon boat race associated with?</t>
  </si>
  <si>
    <t>A) Confucius, B) Sun Tzu, C) Qu Yuan, D) Laozi</t>
  </si>
  <si>
    <t>C) Qu Yuan</t>
  </si>
  <si>
    <t>The dragon boat race honors the poet and statesman Qu Yuan, who drowned himself in protest of corruption.</t>
  </si>
  <si>
    <t>A) Japan B) China C) Korea D) Vietnam</t>
  </si>
  <si>
    <t>Dragon Boat Racing is traditionally associated with which festival?</t>
  </si>
  <si>
    <t>A) Lantern Festival B) Dragon Boat Festival C) Mid-Autumn Festival D) Spring Festival</t>
  </si>
  <si>
    <t>B) Dragon Boat Festival</t>
  </si>
  <si>
    <t>The Dragon Boat Festival commemorates which historical figure?</t>
  </si>
  <si>
    <t>A) Confucius B) Qu Yuan C) Sun Tzu D) Laozi</t>
  </si>
  <si>
    <t>During which dynasty was Dragon Boat Racing first recorded?</t>
  </si>
  <si>
    <t>A) Tang dynasty B) Han dynasty C) Ming dynasty D) Qing dynasty</t>
  </si>
  <si>
    <t>B) Han dynasty</t>
  </si>
  <si>
    <t>Dragon Boat Racing boats are decorated with what?</t>
  </si>
  <si>
    <t>A) Animal heads B) Dragon heads C) Phoenix tails D) Tiger stripes</t>
  </si>
  <si>
    <t>B) Dragon heads</t>
  </si>
  <si>
    <t>Dragon Boat Racing was historically practiced for which purpose?</t>
  </si>
  <si>
    <t>A) Religious rituals B) Military training C) Community bonding D) Trade</t>
  </si>
  <si>
    <t>C) Community bonding</t>
  </si>
  <si>
    <t>The standard length of a traditional dragon boat is approximately?</t>
  </si>
  <si>
    <t>A) 12 meters B) 18 meters C) 24 meters D) 30 meters</t>
  </si>
  <si>
    <t>C) 24 meters</t>
  </si>
  <si>
    <t>Dragon Boat Racing teams typically consist of how many paddlers?</t>
  </si>
  <si>
    <t>A) 10 B) 20 C) 40 D) 50</t>
  </si>
  <si>
    <t>C) 40</t>
  </si>
  <si>
    <t>Which province in China is famous for its Dragon Boat Racing tradition?</t>
  </si>
  <si>
    <t>A) Guangdong B) Hunan C) Hubei D) Jiangsu</t>
  </si>
  <si>
    <t>C) Hubei</t>
  </si>
  <si>
    <t>The drummer in Dragon Boat Racing serves what purpose?</t>
  </si>
  <si>
    <t>A) Counting strokes B) Steering the boat C) Cheering the team D) Timing the festival</t>
  </si>
  <si>
    <t>A) Counting strokes</t>
  </si>
  <si>
    <t>Dragon Boat Racing was originally intended to honor whom?</t>
  </si>
  <si>
    <t>A) Local governors B) River gods C) Poets D) Farmers</t>
  </si>
  <si>
    <t>B) River gods</t>
  </si>
  <si>
    <t>The Dragon Boat Festival falls on which lunar month?</t>
  </si>
  <si>
    <t>A) Third B) Fifth C) Seventh D) Ninth</t>
  </si>
  <si>
    <t>Dragon Boat Racing boats are propelled using which tool?</t>
  </si>
  <si>
    <t>A) Oars B) Paddles C) Poles D) Hands</t>
  </si>
  <si>
    <t>B) Paddles</t>
  </si>
  <si>
    <t>Dragon Boat Racing is considered a symbol of what in Chinese culture?</t>
  </si>
  <si>
    <t>A) Courage and teamwork B) Wealth C) Artistry D) Meditation</t>
  </si>
  <si>
    <t>A) Courage and teamwork</t>
  </si>
  <si>
    <t>Qu Yuan, associated with Dragon Boat Racing, was known for what profession?</t>
  </si>
  <si>
    <t>A) Poet and minister B) Warrior C) Farmer D) Merchant</t>
  </si>
  <si>
    <t>A) Poet and minister</t>
  </si>
  <si>
    <t>Dragon Boat Racing originated along which river?</t>
  </si>
  <si>
    <t>A) Yangtze B) Yellow C) Mekong D) Pearl</t>
  </si>
  <si>
    <t>B) Yellow</t>
  </si>
  <si>
    <t>The head of the dragon on the boat is often painted which color?</t>
  </si>
  <si>
    <t>A) Red B) Blue C) Green D) Yellow</t>
  </si>
  <si>
    <t>Dragon Boat Racing was historically a ritual to do what?</t>
  </si>
  <si>
    <t>A) Protect against floods B) Celebrate harvest C) Pray for warriors D) Promote trade</t>
  </si>
  <si>
    <t>A) Protect against floods</t>
  </si>
  <si>
    <t>Dragon Boat Racing paddlers must row in which manner?</t>
  </si>
  <si>
    <t>A) Synchronized B) Alternating C) Random D) Solo</t>
  </si>
  <si>
    <t>A) Synchronized</t>
  </si>
  <si>
    <t>The traditional drum used in Dragon Boat Racing is called what?</t>
  </si>
  <si>
    <t>A) Tanggu B) Dagu C) Bangu D) Yaogu</t>
  </si>
  <si>
    <t>B) Dagu</t>
  </si>
  <si>
    <t>Dragon Boat Racing competitions were first formalized in which century?</t>
  </si>
  <si>
    <t>A) 12th B) 15th C) 20th D) 18th</t>
  </si>
  <si>
    <t>C) 20th</t>
  </si>
  <si>
    <t>The dragon motif in Dragon Boat Racing symbolizes what?</t>
  </si>
  <si>
    <t>A) Strength and prosperity B) Wisdom C) Peace D) Fertility</t>
  </si>
  <si>
    <t>A) Strength and prosperity</t>
  </si>
  <si>
    <t>Which modern country also hosts Dragon Boat Racing due to Chinese influence?</t>
  </si>
  <si>
    <t>A) Singapore B) Japan C) India D) Thailand</t>
  </si>
  <si>
    <t>A) Singapore</t>
  </si>
  <si>
    <t>Dragon Boat Racing was historically linked with which type of ritual food?</t>
  </si>
  <si>
    <t>A) Dumplings B) Zongzi C) Noodles D) Rice cakes</t>
  </si>
  <si>
    <t>The boat’s tail in Dragon Boat Racing is usually shaped like which creature?</t>
  </si>
  <si>
    <t>A) Fish B) Dragon C) Tiger D) Phoenix</t>
  </si>
  <si>
    <t>B) Dragon</t>
  </si>
  <si>
    <t>Dragon Boat Racing festivals often include which of the following?</t>
  </si>
  <si>
    <t>A) Parades and performances B) Wrestling C) Archery D) Horse racing</t>
  </si>
  <si>
    <t>A) Parades and performances</t>
  </si>
  <si>
    <t>The first recorded Dragon Boat Festival was held in which dynasty?</t>
  </si>
  <si>
    <t>Dragon Boat Racing paddlers traditionally wore what?</t>
  </si>
  <si>
    <t>A) Team uniforms B) Armor C) Robes D) Hats</t>
  </si>
  <si>
    <t>A) Team uniforms</t>
  </si>
  <si>
    <t>Dragon Boat Racing serves as a remembrance of which act by Qu Yuan?</t>
  </si>
  <si>
    <t>A) Suicide in river B) Poetry recital C) Political speech D) Military victory</t>
  </si>
  <si>
    <t>A) Suicide in river</t>
  </si>
  <si>
    <t>Dragon Boat Racing boats are made primarily of what material?</t>
  </si>
  <si>
    <t>A) Wood B) Metal C) Bamboo D) Plastic</t>
  </si>
  <si>
    <t>A) Wood</t>
  </si>
  <si>
    <t>The drummer in the boat faces which direction?</t>
  </si>
  <si>
    <t>A) Front B) Back C) Side D) Above</t>
  </si>
  <si>
    <t>A) Front</t>
  </si>
  <si>
    <t>Dragon Boat Racing promotes which social value?</t>
  </si>
  <si>
    <t>A) Teamwork B) Individualism C) Meditation D) Commerce</t>
  </si>
  <si>
    <t>A) Teamwork</t>
  </si>
  <si>
    <t>Dragon Boat Racing spreads awareness of what?</t>
  </si>
  <si>
    <t>A) Cultural heritage B) Economic trade C) Military power D) Education</t>
  </si>
  <si>
    <t>Dragon Boat Racing’s traditional races were conducted on what water bodies?</t>
  </si>
  <si>
    <t>A) Rivers and lakes B) Oceans C) Ponds only D) Reservoirs only</t>
  </si>
  <si>
    <t>A) Rivers and lakes</t>
  </si>
  <si>
    <t>The drummer’s role in Dragon Boat Racing also includes?</t>
  </si>
  <si>
    <t>A) Motivation and rhythm B) Steering C) Counting food D) Decorating</t>
  </si>
  <si>
    <t>A) Motivation and rhythm</t>
  </si>
  <si>
    <t>Dragon Boat Racing is a competitive sport in which modern international event?</t>
  </si>
  <si>
    <t>A) Asian Games B) Olympics C) World Cup D) Commonwealth Games</t>
  </si>
  <si>
    <t>A) Asian Games</t>
  </si>
  <si>
    <t>Dragon Boat Racing symbolizes which seasonal event?</t>
  </si>
  <si>
    <t>A) Summer B) Winter C) Spring D) Autumn</t>
  </si>
  <si>
    <t>A) Summer</t>
  </si>
  <si>
    <t>Dragon Boat Racing boats can vary in length, usually up to?</t>
  </si>
  <si>
    <t>A) 30 meters B) 10 meters C) 50 meters D) 70 meters</t>
  </si>
  <si>
    <t>A) 30 meters</t>
  </si>
  <si>
    <t>Dragon Boat Racing requires which of the following skills?</t>
  </si>
  <si>
    <t>A) Coordination and endurance B) Strength only C) Archery D) Riding</t>
  </si>
  <si>
    <t>A) Coordination and endurance</t>
  </si>
  <si>
    <t>Which river city in China is famous for Dragon Boat races?</t>
  </si>
  <si>
    <t>A) Wuhan B) Beijing C) Shanghai D) Guangzhou</t>
  </si>
  <si>
    <t>A) Wuhan</t>
  </si>
  <si>
    <t>Dragon Boat Racing competitions were historically sponsored by whom?</t>
  </si>
  <si>
    <t>A) Local officials and emperors B) Merchants only C) Farmers only D) Soldiers only</t>
  </si>
  <si>
    <t>A) Local officials and emperors</t>
  </si>
  <si>
    <t>Dragon Boat Racing boats traditionally have how many paddlers per side?</t>
  </si>
  <si>
    <t>A) 10-20 B) 5 C) 3 D) 30</t>
  </si>
  <si>
    <t>A) 10-20</t>
  </si>
  <si>
    <t>Dragon Boat Racing is considered a symbol of which national value?</t>
  </si>
  <si>
    <t>A) Unity B) Wealth C) Power D) Meditation</t>
  </si>
  <si>
    <t>A) Unity</t>
  </si>
  <si>
    <t>Dragon Boat Racing festivals involve which traditional activity?</t>
  </si>
  <si>
    <t>A) Eating Zongzi B) Fireworks only C) Lanterns only D) Music only</t>
  </si>
  <si>
    <t>A) Eating Zongzi</t>
  </si>
  <si>
    <t>Dragon Boat Racing boats are sometimes adorned with?</t>
  </si>
  <si>
    <t>A) Flags and banners B) Lanterns only C) Flowers only D) Stones only</t>
  </si>
  <si>
    <t>A) Flags and banners</t>
  </si>
  <si>
    <t>Dragon Boat Racing helps preserve which cultural aspect?</t>
  </si>
  <si>
    <t>A) Folklore and traditions B) Military strategy C) Trade D) Commerce</t>
  </si>
  <si>
    <t>A) Folklore and traditions</t>
  </si>
  <si>
    <t>Dragon Boat Racing is believed to have protective powers against?</t>
  </si>
  <si>
    <t>A) Evil spirits B) Drought C) Storms D) Disease</t>
  </si>
  <si>
    <t>A) Evil spirits</t>
  </si>
  <si>
    <t>The first international Dragon Boat Racing competition was held in which year?</t>
  </si>
  <si>
    <t>A) 1976 B) 1950 C) 1985 D) 1992</t>
  </si>
  <si>
    <t>A) 1976</t>
  </si>
  <si>
    <t>Dragon Boat Racing is celebrated on which day of the lunar calendar?</t>
  </si>
  <si>
    <t>A) 5th day of the 5th month B) 1st day of the 5th month C) 15th day of the 7th month D) 1st day of the 10th month</t>
  </si>
  <si>
    <t>A) 5th day of the 5th month</t>
  </si>
  <si>
    <t>Dragon Boat Racing promotes which type of spirit?</t>
  </si>
  <si>
    <t>A) Team and perseverance B) Individual glory C) Meditation D) Relaxation</t>
  </si>
  <si>
    <t>A) Team and perseverance</t>
  </si>
  <si>
    <t>Dragon Boat Racing originated primarily along which region of China?</t>
  </si>
  <si>
    <t>A) Southern rivers B) Northern plains C) Coastal beaches D) Western deserts</t>
  </si>
  <si>
    <t>A) Southern rivers</t>
  </si>
  <si>
    <t>Dragon Boat Racing was linked to which agricultural practice?</t>
  </si>
  <si>
    <t>A) Water management B) Rice planting C) Tea cultivation D) Silk farming</t>
  </si>
  <si>
    <t>B) Rice planting</t>
  </si>
  <si>
    <t>Dragon Boat Racing boats can hold how many participants in total?</t>
  </si>
  <si>
    <t>A) 40-60 B) 10-20 C) 70-80 D) 100</t>
  </si>
  <si>
    <t>A) 40-60</t>
  </si>
  <si>
    <t>Dragon Boat Racing drums provide cues for?</t>
  </si>
  <si>
    <t>A) Stroke timing B) Boat direction C) Celebration only D) Starting the race only</t>
  </si>
  <si>
    <t>A) Stroke timing</t>
  </si>
  <si>
    <t>Dragon Boat Racing is recognized by which international body?</t>
  </si>
  <si>
    <t>A) International Dragon Boat Federation B) FIFA C) IOC D) FINA</t>
  </si>
  <si>
    <t>A) International Dragon Boat Federation</t>
  </si>
  <si>
    <t>Dragon Boat Racing boats are traditionally how wide?</t>
  </si>
  <si>
    <t>A) 1-1.5 meters B) 2-3 meters C) 3-4 meters D) 4-5 meters</t>
  </si>
  <si>
    <t>A) 1-1.5 meters</t>
  </si>
  <si>
    <t>Dragon Boat Racing festivals involve which ceremonial practice?</t>
  </si>
  <si>
    <t>A) Offering food to river spirits B) Sword fights C) Archery D) Horse riding</t>
  </si>
  <si>
    <t>A) Offering food to river spirits</t>
  </si>
  <si>
    <t>Dragon Boat Racing boats have a seat for which additional person besides paddlers?</t>
  </si>
  <si>
    <t>A) Steersman and drummer B) Archer C) Poet D) Singer</t>
  </si>
  <si>
    <t>A) Steersman and drummer</t>
  </si>
  <si>
    <t>Dragon Boat Racing competitions help preserve which language?</t>
  </si>
  <si>
    <t>A) Chinese folk chants B) English C) Latin D) Japanese</t>
  </si>
  <si>
    <t>A) Chinese folk chants</t>
  </si>
  <si>
    <t>Dragon Boat Racing promotes what among participants?</t>
  </si>
  <si>
    <t>A) Team cohesion B) Solo performance C) Meditation D) Trading skills</t>
  </si>
  <si>
    <t>A) Team cohesion</t>
  </si>
  <si>
    <t>Dragon Boat Racing involves which type of stroke?</t>
  </si>
  <si>
    <t>A) Forward synchronized paddling B) Backward only C) Circular D) Random</t>
  </si>
  <si>
    <t>A) Forward synchronized paddling</t>
  </si>
  <si>
    <t>Dragon Boat Racing boats traditionally have which structural feature?</t>
  </si>
  <si>
    <t>A) Long, narrow hull B) Wide flat hull C) Round hull D) Short hull</t>
  </si>
  <si>
    <t>A) Long, narrow hull</t>
  </si>
  <si>
    <t>Dragon Boat Racing symbolizes remembrance of what?</t>
  </si>
  <si>
    <t>A) Qu Yuan’s sacrifice B) Emperor’s birth C) Flood protection D) Military victory</t>
  </si>
  <si>
    <t>A) Qu Yuan’s sacrifice</t>
  </si>
  <si>
    <t>Dragon Boat Racing is now popular in which continents?</t>
  </si>
  <si>
    <t>A) Asia, Europe, North America B) Africa only C) Australia only D) South America only</t>
  </si>
  <si>
    <t>A) Asia, Europe, North America</t>
  </si>
  <si>
    <t>When was the game of Go first documented in Chinese history?</t>
  </si>
  <si>
    <t>A) 3000 BC, B) 5000 BC, C) 1000 BC, D) 2000 BC</t>
  </si>
  <si>
    <t>B) 5000 BC</t>
  </si>
  <si>
    <t>Go is one of the oldest board games, with its origins dating back to the Zhou Dynasty in ancient China around 5000 BC.</t>
  </si>
  <si>
    <t>Who is credited with spreading the game of Go to Japan?</t>
  </si>
  <si>
    <t>A) Honinbo Shusaku, B) Jowo Shosai, C) Ikeda Satoru, D) Shusaku Igo</t>
  </si>
  <si>
    <t>A) Honinbo Shusaku</t>
  </si>
  <si>
    <t>Honinbo Shusaku, a famous 19th-century Go player, helped to popularize the game in Japan.</t>
  </si>
  <si>
    <t>Which Chinese philosopher is known to have played Go?</t>
  </si>
  <si>
    <t>A) Confucius, B) Laozi, C) Sun Tzu, D) Zhuangzi</t>
  </si>
  <si>
    <t>A) Confucius</t>
  </si>
  <si>
    <t>Confucius, the famous Chinese philosopher, was known to have played Go and even mentioned it in his teachings.</t>
  </si>
  <si>
    <t>What was the primary purpose of Go during ancient Chinese times?</t>
  </si>
  <si>
    <t>A) Entertainment, B) Military strategy, C) Education, D) Religious rituals</t>
  </si>
  <si>
    <t>B) Military strategy</t>
  </si>
  <si>
    <t>Go was initially used as a strategic tool in China to teach military tactics and enhance decision-making.</t>
  </si>
  <si>
    <t>Which emperor was said to have banned the game of Go in China?</t>
  </si>
  <si>
    <t>A) Emperor Qin Shi Huang, B) Emperor Wu of Han, C) Emperor Kangxi, D) Emperor Taizong</t>
  </si>
  <si>
    <t>A) Emperor Qin Shi Huang</t>
  </si>
  <si>
    <t>Emperor Qin Shi Huang reportedly banned Go along with other intellectual pursuits during his reign in the 3rd century BC.</t>
  </si>
  <si>
    <t>The term 'Go' comes from which language?</t>
  </si>
  <si>
    <t>A) Japanese, B) Chinese, C) Korean, D) Vietnamese</t>
  </si>
  <si>
    <t>B) Chinese</t>
  </si>
  <si>
    <t>The name 'Go' is derived from the Chinese word 'Weiqi,' which means 'surrounding game.'</t>
  </si>
  <si>
    <t>In which dynasty did Go become a popular pastime in China?</t>
  </si>
  <si>
    <t>A) Tang Dynasty, B) Han Dynasty, C) Ming Dynasty, D) Song Dynasty</t>
  </si>
  <si>
    <t>A) Tang Dynasty</t>
  </si>
  <si>
    <t>Go became a widespread and popular game during the Tang Dynasty (618-907 AD) in China.</t>
  </si>
  <si>
    <t>Which famous Chinese Go player is regarded as one of the best of the Tang Dynasty?</t>
  </si>
  <si>
    <t>A) Wu Qingyuan, B) Zhang Zhong, C) Li Qing, D) Xie Yuan</t>
  </si>
  <si>
    <t>B) Zhang Zhong</t>
  </si>
  <si>
    <t>Zhang Zhong was a renowned Go player from the Tang Dynasty, regarded as one of the best players of his time.</t>
  </si>
  <si>
    <t>What is the name of the earliest known Go manual written in China?</t>
  </si>
  <si>
    <t>A) The Book of Changes, B) The Art of War, C) The Go Manual of Wei, D) The I Ching</t>
  </si>
  <si>
    <t>C) The Go Manual of Wei</t>
  </si>
  <si>
    <t>The earliest known Go manual, 'The Go Manual of Wei,' was written during the Wei Dynasty in China.</t>
  </si>
  <si>
    <t>Which is the oldest surviving Go board?</t>
  </si>
  <si>
    <t>A) Qing Dynasty Board, B) Tang Dynasty Board, C) Song Dynasty Board, D) Han Dynasty Board</t>
  </si>
  <si>
    <t>D) Han Dynasty Board</t>
  </si>
  <si>
    <t>The oldest surviving Go board dates back to the Han Dynasty, around 2000 years ago.</t>
  </si>
  <si>
    <t>Which country has the oldest known professional Go association?</t>
  </si>
  <si>
    <t>A) Japan, B) China, C) South Korea, D) Taiwan</t>
  </si>
  <si>
    <t>A) Japan</t>
  </si>
  <si>
    <t>Japan's professional Go association, founded in the 19th century, is the oldest known professional Go organization.</t>
  </si>
  <si>
    <t>Which of these countries has the most successful Go players in modern times?</t>
  </si>
  <si>
    <t>A) China, B) Japan, C) South Korea, D) Taiwan</t>
  </si>
  <si>
    <t>China has produced some of the most successful Go players in modern times, especially during the 21st century.</t>
  </si>
  <si>
    <t>What is the name of the Chinese government organization that oversees Go competitions?</t>
  </si>
  <si>
    <t>A) Chinese Go Federation, B) Chinese Chess Association, C) Chinese Strategy Board Games Committee, D) National Go Council</t>
  </si>
  <si>
    <t>A) Chinese Go Federation</t>
  </si>
  <si>
    <t>The Chinese Go Federation is the main organization responsible for overseeing Go competitions and events in China.</t>
  </si>
  <si>
    <t>What is the traditional Go board made of?</t>
  </si>
  <si>
    <t>A) Wood, B) Bamboo, C) Stone, D) Plastic</t>
  </si>
  <si>
    <t>Traditional Go boards are made from high-quality wood, often including materials such as kaya wood for professional boards.</t>
  </si>
  <si>
    <t>Who was the first Western Go player to achieve the rank of 9-dan in Japan?</t>
  </si>
  <si>
    <t>A) Thomas Hsiang, B) Michael Redmond, C) John T. McFarland, D) Christopher Welker</t>
  </si>
  <si>
    <t>B) Michael Redmond</t>
  </si>
  <si>
    <t>Michael Redmond was the first Western player to achieve the rank of 9-dan in Japan, a major achievement in Go.</t>
  </si>
  <si>
    <t>Which of the following is a famous Go proverb?</t>
  </si>
  <si>
    <t>A) A bird in hand is worth two in the bush, B) Play the board, not the opponent, C) First capture, then surround, D) Don't capture the last stone</t>
  </si>
  <si>
    <t>C) First capture, then surround</t>
  </si>
  <si>
    <t>This Go proverb advises that players should prioritize capturing opponent's stones before surrounding them.</t>
  </si>
  <si>
    <t>Which Japanese Go player became famous for his victories against professional Chinese players in the 20th century?</t>
  </si>
  <si>
    <t>A) Go Seigen, B) Honinbo Shusaku, C) Shusaku Igo, D) Isamu Kato</t>
  </si>
  <si>
    <t>A) Go Seigen</t>
  </si>
  <si>
    <t>Go Seigen was a legendary Japanese Go player who gained fame for his victories over top Chinese players.</t>
  </si>
  <si>
    <t>What is the name of the most prestigious Go tournament in the world?</t>
  </si>
  <si>
    <t>A) The International Go Cup, B) The Ing Cup, C) The Go Masters, D) The AlphaGo Challenge</t>
  </si>
  <si>
    <t>B) The Ing Cup</t>
  </si>
  <si>
    <t>The Ing Cup is one of the most prestigious international Go tournaments, with a rich history dating back to the 1990s.</t>
  </si>
  <si>
    <t>What is the name of the famous Chinese Go player known for his rivalry with Lee Sedol?</t>
  </si>
  <si>
    <t>A) Ma Xiaochun, B) Ke Jie, C) Li Shizhen, D) Wu Qingyuan</t>
  </si>
  <si>
    <t>B) Ke Jie</t>
  </si>
  <si>
    <t>Ke Jie is a famous Chinese Go player who was known for his rivalry with South Korea's Lee Sedol.</t>
  </si>
  <si>
    <t>What is the title given to a professional Go player who has reached the highest rank in China?</t>
  </si>
  <si>
    <t>A) 9-dan, B) Go Immortal, C) Master of the Board, D) Grandmaster</t>
  </si>
  <si>
    <t>A) 9-dan</t>
  </si>
  <si>
    <t>The title of 9-dan is the highest rank a professional Go player can achieve in China and is reserved for the most skilled players.</t>
  </si>
  <si>
    <t>Which Chinese general is believed to have used Go to strategize battles?</t>
  </si>
  <si>
    <t>A) Sun Tzu, B) Cao Cao, C) Zhang Fei, D) Liu Bei</t>
  </si>
  <si>
    <t>A) Sun Tzu</t>
  </si>
  <si>
    <t>Sun Tzu, the famous general and philosopher, is believed to have used Go as a metaphor for military strategy.</t>
  </si>
  <si>
    <t>In ancient China, what was the main material used for Go stones?</t>
  </si>
  <si>
    <t>A) Wood, B) Marble, C) Shell and Slate, D) Metal</t>
  </si>
  <si>
    <t>C) Shell and Slate</t>
  </si>
  <si>
    <t>In ancient China, Go stones were traditionally made of slate for black stones and shell for white stones.</t>
  </si>
  <si>
    <t>What was the name of the first professional Go association in Japan?</t>
  </si>
  <si>
    <t>A) Nihon Ki-in, B) Nihon Go-kai, C) Japan Go Association, D) Tokyo Go Association</t>
  </si>
  <si>
    <t>A) Nihon Ki-in</t>
  </si>
  <si>
    <t>The Nihon Ki-in was established in 1924 and became the first professional Go association in Japan.</t>
  </si>
  <si>
    <t>Which Emperor of China was known to have enjoyed playing Go?</t>
  </si>
  <si>
    <t>A) Emperor Taizong, B) Emperor Kangxi, C) Emperor Qianlong, D) Emperor Guangxu</t>
  </si>
  <si>
    <t>C) Emperor Qianlong</t>
  </si>
  <si>
    <t>Emperor Qianlong of the Qing Dynasty was known to be an avid Go player and often held Go tournaments in his court.</t>
  </si>
  <si>
    <t>What was the main purpose of Go in ancient Chinese royal courts?</t>
  </si>
  <si>
    <t>A) Religious ceremonies, B) Intellectual training, C) Entertainment, D) Military drills</t>
  </si>
  <si>
    <t>B) Intellectual training</t>
  </si>
  <si>
    <t>Go was considered an intellectual game, often used in royal courts to train officials and strategists.</t>
  </si>
  <si>
    <t>What is the name of the historical Chinese text that mentions Go?</t>
  </si>
  <si>
    <t>A) The Art of War, B) Book of Documents, C) Zuo's Chronicles, D) Guanzi</t>
  </si>
  <si>
    <t>A) The Art of War</t>
  </si>
  <si>
    <t>The Art of War by Sun Tzu is one of the earliest texts to mention the game of Go, highlighting its strategic value.</t>
  </si>
  <si>
    <t>Which Chinese dynasty is considered the golden age of Go development?</t>
  </si>
  <si>
    <t>A) Han Dynasty, B) Tang Dynasty, C) Song Dynasty, D) Ming Dynasty</t>
  </si>
  <si>
    <t>The Tang Dynasty (618-907 AD) is considered the golden age of Go development, with widespread popularity in China.</t>
  </si>
  <si>
    <t>Which Go player is often regarded as one of the greatest in history and a key figure in Go's development in China?</t>
  </si>
  <si>
    <t>A) Zhang Zhong, B) Wu Qingyuan, C) Go Seigen, D) Honinbo Shusaku</t>
  </si>
  <si>
    <t>C) Go Seigen</t>
  </si>
  <si>
    <t>Go Seigen is regarded as one of the greatest Go players in history, particularly influential in both China and Japan.</t>
  </si>
  <si>
    <t>In what year did the first international Go tournament take place?</t>
  </si>
  <si>
    <t>A) 1924, B) 1951, C) 1980, D) 1974</t>
  </si>
  <si>
    <t>B) 1951</t>
  </si>
  <si>
    <t>The first international Go tournament took place in 1951, marking the beginning of global Go competitions.</t>
  </si>
  <si>
    <t>Which is the first Go-related film to win international recognition?</t>
  </si>
  <si>
    <t>A) The Go Masters, B) The Go Player, C) AlphaGo, D) The Go Game</t>
  </si>
  <si>
    <t>C) AlphaGo</t>
  </si>
  <si>
    <t>The documentary 'AlphaGo' became internationally recognized for showcasing the historic Go match between AlphaGo and Lee Sedol.</t>
  </si>
  <si>
    <t>Who was the first non-Japanese player to win a major Go tournament in Japan?</t>
  </si>
  <si>
    <t>A) Michael Redmond, B) Lee Sedol, C) Cho Chikun, D) Go Seigen</t>
  </si>
  <si>
    <t>A) Michael Redmond</t>
  </si>
  <si>
    <t>Michael Redmond was the first non-Japanese player to win a major Go tournament in Japan, breaking barriers for foreign players.</t>
  </si>
  <si>
    <t>Which period in China saw Go becoming a pastime of the elite and literati?</t>
  </si>
  <si>
    <t>A) Qin Dynasty, B) Tang Dynasty, C) Han Dynasty, D) Song Dynasty</t>
  </si>
  <si>
    <t>D) Song Dynasty</t>
  </si>
  <si>
    <t>During the Song Dynasty (960-1279 AD), Go became a pastime enjoyed by the elite and literati of China.</t>
  </si>
  <si>
    <t>Which was the first Go-playing computer program to defeat a professional Go player?</t>
  </si>
  <si>
    <t>A) AlphaGo, B) HandTalk, C) Go-Moku, D) GnuGo</t>
  </si>
  <si>
    <t>A) AlphaGo</t>
  </si>
  <si>
    <t>AlphaGo, developed by DeepMind, was the first AI program to defeat a professional Go player, with its victory over Lee Sedol in 2016.</t>
  </si>
  <si>
    <t>Who is the famous Go player known for his battle with AI in the 2016 AlphaGo match?</t>
  </si>
  <si>
    <t>A) Ma Xiaochun, B) Cho Chikun, C) Lee Sedol, D) Ke Jie</t>
  </si>
  <si>
    <t>C) Lee Sedol</t>
  </si>
  <si>
    <t>Lee Sedol is the famous Go player who famously won one game against AlphaGo during their 2016 match.</t>
  </si>
  <si>
    <t>Which famous Go player was known as 'The Sage of Go'?</t>
  </si>
  <si>
    <t>A) Wu Qingyuan, B) Go Seigen, C) Honinbo Shusaku, D) Ma Xiaochun</t>
  </si>
  <si>
    <t>B) Go Seigen</t>
  </si>
  <si>
    <t>Go Seigen, one of the greatest Go players in history, was often referred to as 'The Sage of Go' for his skill and influence.</t>
  </si>
  <si>
    <t>Which country hosts the prestigious 'LG Cup', one of the major Go tournaments in the world?</t>
  </si>
  <si>
    <t>A) South Korea, B) Japan, C) China, D) Taiwan</t>
  </si>
  <si>
    <t>A) South Korea</t>
  </si>
  <si>
    <t>The LG Cup is a prestigious Go tournament hosted in South Korea, attracting top players from around the world.</t>
  </si>
  <si>
    <t>In the 1970s, which Japanese Go player gained fame for his work with AI in Go?</t>
  </si>
  <si>
    <t>A) Honinbo Shusaku, B) Cho Chikun, C) Go Seigen, D) Fujisawa Hideyuki</t>
  </si>
  <si>
    <t>D) Fujisawa Hideyuki</t>
  </si>
  <si>
    <t>Fujisawa Hideyuki was a prominent figure in the 1970s, known for his work with AI in Go and his contributions to the game's development.</t>
  </si>
  <si>
    <t>Which Go player is the first to be considered a 'prodigy' in the game's modern history?</t>
  </si>
  <si>
    <t>A) Honinbo Shusaku, B) Lee Sedol, C) Go Seigen, D) Shibano Toramaru</t>
  </si>
  <si>
    <t>Honinbo Shusaku, a 19th-century Go player, is often regarded as the first prodigy in Go history due to his exceptional skills.</t>
  </si>
  <si>
    <t>In what century did Go begin to spread to Japan from China?</t>
  </si>
  <si>
    <t>A) 8th century, B) 12th century, C) 10th century, D) 15th century</t>
  </si>
  <si>
    <t>C) 10th century</t>
  </si>
  <si>
    <t>Go began spreading from China to Japan during the 10th century, where it was further developed and institutionalized.</t>
  </si>
  <si>
    <t>Which was the first country outside of China and Japan to host a major Go tournament?</t>
  </si>
  <si>
    <t>A) South Korea, B) Taiwan, C) United States, D) France</t>
  </si>
  <si>
    <t>C) United States</t>
  </si>
  <si>
    <t>The United States was the first country outside of China and Japan to host a major Go tournament, furthering the game's global reach.</t>
  </si>
  <si>
    <t>Which ancient Chinese text mentioned the strategic use of Go?</t>
  </si>
  <si>
    <t>A) Tao Te Ching, B) The Art of War, C) Zhuangzi, D) Book of Changes</t>
  </si>
  <si>
    <t>B) The Art of War</t>
  </si>
  <si>
    <t>The Art of War by Sun Tzu uses Go as a metaphor for military strategy and decision-making.</t>
  </si>
  <si>
    <t>In ancient China, what material were Go stones made from?</t>
  </si>
  <si>
    <t>A) Jade and bone, B) Slate and shell, C) Wood and clay, D) Glass and marble</t>
  </si>
  <si>
    <t>B) Slate and shell</t>
  </si>
  <si>
    <t>In ancient China, Go stones were traditionally made from slate (for black) and shell (for white).</t>
  </si>
  <si>
    <t>What was the earliest recorded mention of Go in China?</t>
  </si>
  <si>
    <t>A) Han Dynasty, B) Zhou Dynasty, C) Qin Dynasty, D) Tang Dynasty</t>
  </si>
  <si>
    <t>B) Zhou Dynasty</t>
  </si>
  <si>
    <t>The earliest recorded mention of Go dates back to the Zhou Dynasty, around 2,500 years ago.</t>
  </si>
  <si>
    <t>What is the historical significance of the 'Go Ban'?</t>
  </si>
  <si>
    <t>A) A Go board, B) A Go club, C) A Go piece, D) A Go strategy</t>
  </si>
  <si>
    <t>A) A Go board</t>
  </si>
  <si>
    <t>The term 'Go Ban' refers to the Go board used in the game, which has been central to its practice for centuries.</t>
  </si>
  <si>
    <t>Which dynasty saw the introduction of professional Go players and tournaments in China?</t>
  </si>
  <si>
    <t>A) Tang Dynasty, B) Song Dynasty, C) Yuan Dynasty, D) Ming Dynasty</t>
  </si>
  <si>
    <t>B) Song Dynasty</t>
  </si>
  <si>
    <t>The Song Dynasty is credited with the establishment of professional Go players and tournaments in China.</t>
  </si>
  <si>
    <t>What was the role of Go in the social and political life of ancient China?</t>
  </si>
  <si>
    <t>A) A form of entertainment, B) A symbol of wisdom, C) A tool for divination, D) A military strategy</t>
  </si>
  <si>
    <t>B) A symbol of wisdom</t>
  </si>
  <si>
    <t>In ancient China, Go was seen as a symbol of wisdom and intellectual sophistication, often played by scholars and officials.</t>
  </si>
  <si>
    <t>In Go, which color of stones is traditionally played first?</t>
  </si>
  <si>
    <t>A) White, B) Black, C) Red, D) Yellow</t>
  </si>
  <si>
    <t>B) Black</t>
  </si>
  <si>
    <t>In the game of Go, the player using the black stones traditionally plays first.</t>
  </si>
  <si>
    <t>In which country did the game of Go originate?</t>
  </si>
  <si>
    <t>What is the traditional Chinese name for Go?</t>
  </si>
  <si>
    <t>A) Xiangqi B) Weiqi C) Mahjong D) Pai Gow</t>
  </si>
  <si>
    <t>B) Weiqi</t>
  </si>
  <si>
    <t>During which dynasty did Go become popular at the imperial court?</t>
  </si>
  <si>
    <t>A) Han B) Tang C) Song D) Yuan</t>
  </si>
  <si>
    <t>B) Tang</t>
  </si>
  <si>
    <t>The earliest recorded mention of Go in Chinese literature is found in which text?</t>
  </si>
  <si>
    <t>A) Zuo Zhuan B) Analects of Confucius C) Book of Songs D) Records of the Grand Historian</t>
  </si>
  <si>
    <t>A) Zuo Zhuan</t>
  </si>
  <si>
    <t>Which of the following is NOT considered one of the four arts of Chinese scholars alongside Go?</t>
  </si>
  <si>
    <t>A) Calligraphy B) Painting C) Guqin D) Martial arts</t>
  </si>
  <si>
    <t>D) Martial arts</t>
  </si>
  <si>
    <t>Go is sometimes called the “game of what”?</t>
  </si>
  <si>
    <t>A) Life B) War C) Intellect D) Strategy</t>
  </si>
  <si>
    <t>C) Intellect</t>
  </si>
  <si>
    <t>During which dynasty did the 19×19 Go board become standard?</t>
  </si>
  <si>
    <t>A) Han B) Tang C) Song D) Ming</t>
  </si>
  <si>
    <t>C) Song</t>
  </si>
  <si>
    <t>What philosophy is most closely associated with Go?</t>
  </si>
  <si>
    <t>A) Confucianism B) Taoism C) Legalism D) Buddhism</t>
  </si>
  <si>
    <t>B) Taoism</t>
  </si>
  <si>
    <t>What are the black and white stones in Go meant to represent?</t>
  </si>
  <si>
    <t>A) Yin and Yang B) Sun and Moon C) Fire and Water D) Heaven and Earth</t>
  </si>
  <si>
    <t>A) Yin and Yang</t>
  </si>
  <si>
    <t>In Korea, the game of Go is known as what?</t>
  </si>
  <si>
    <t>A) Baduk B) Weiqi C) Go D) Pente</t>
  </si>
  <si>
    <t>A) Baduk</t>
  </si>
  <si>
    <t>When was Go introduced to Japan?</t>
  </si>
  <si>
    <t>A) 5th century B) 7th century C) 9th century D) 11th century</t>
  </si>
  <si>
    <t>B) 7th century</t>
  </si>
  <si>
    <t>During which Japanese period did Go gain prominence at the court?</t>
  </si>
  <si>
    <t>A) Nara B) Heian C) Kamakura D) Edo</t>
  </si>
  <si>
    <t>A) Nara</t>
  </si>
  <si>
    <t>How many lines intersect on a standard Go board?</t>
  </si>
  <si>
    <t>A) 361 B) 400 C) 324 D) 289</t>
  </si>
  <si>
    <t>A) 361</t>
  </si>
  <si>
    <t>What is the smaller board size often used for beginners?</t>
  </si>
  <si>
    <t>A) 9×9 B) 13×13 C) 15×15 D) 17×17</t>
  </si>
  <si>
    <t>A) 9×9</t>
  </si>
  <si>
    <t>What materials were historically used for Go stones?</t>
  </si>
  <si>
    <t>A) Plastic B) Glass C) Slate and Shell D) Wood</t>
  </si>
  <si>
    <t>C) Slate and Shell</t>
  </si>
  <si>
    <t>Which country is credited with creating the first formal Go ranking system?</t>
  </si>
  <si>
    <t>B) Japan</t>
  </si>
  <si>
    <t>Which of the following was a famous historical Go player in China?</t>
  </si>
  <si>
    <t>A) Wu Qingyuan B) Sun Tzu C) Confucius D) Yi I</t>
  </si>
  <si>
    <t>A) Wu Qingyuan</t>
  </si>
  <si>
    <t>What is the main objective in a game of Go?</t>
  </si>
  <si>
    <t>A) Capture all opponent stones B) Surround more territory C) Form a line of five D) Reach the opponent’s edge</t>
  </si>
  <si>
    <t>B) Surround more territory</t>
  </si>
  <si>
    <t>Black always moves first in Go. Why?</t>
  </si>
  <si>
    <t>A) Tradition B) Strategic advantage C) Coin toss D) Random selection</t>
  </si>
  <si>
    <t>B) Strategic advantage</t>
  </si>
  <si>
    <t>Go spread to Korea, Japan, and other countries primarily via whom?</t>
  </si>
  <si>
    <t>A) Traders B) Scholars C) Soldiers D) Diplomats</t>
  </si>
  <si>
    <t>B) Scholars</t>
  </si>
  <si>
    <t>Which Go ranking system is for beginners progressing to advanced players?</t>
  </si>
  <si>
    <t>A) Dan B) Kyu C) Shodan D) Sensei</t>
  </si>
  <si>
    <t>B) Kyu</t>
  </si>
  <si>
    <t>Which Go school was established by the Tokugawa shogunate?</t>
  </si>
  <si>
    <t>A) Honinbo B) Inoue C) Yasui D) Hayashi</t>
  </si>
  <si>
    <t>A) Honinbo</t>
  </si>
  <si>
    <t>The first international Go tournament was held in which year?</t>
  </si>
  <si>
    <t>A) 1920 B) 1930 C) 1940 D) 1950</t>
  </si>
  <si>
    <t>B) 1930</t>
  </si>
  <si>
    <t>The International Go Federation was founded in:</t>
  </si>
  <si>
    <t>A) 1950 B) 1960 C) 1970 D) 1980</t>
  </si>
  <si>
    <t>A) 1950</t>
  </si>
  <si>
    <t>Which country has the oldest Go club outside of Asia?</t>
  </si>
  <si>
    <t>A) Germany B) France C) United States D) United Kingdom</t>
  </si>
  <si>
    <t>Who wrote one of the earliest Go strategy manuals in China?</t>
  </si>
  <si>
    <t>A) Sima Qian B) Emperor Wu C) Sunzi D) Yuan Yidao</t>
  </si>
  <si>
    <t>D) Yuan Yidao</t>
  </si>
  <si>
    <t>What is considered the “eternal beginner’s strategy” in Go?</t>
  </si>
  <si>
    <t>A) Fuseki B) Joseki C) Tesuji D) Tengen</t>
  </si>
  <si>
    <t>B) Joseki</t>
  </si>
  <si>
    <t>Which Go technique involves tactical skill in local battles?</t>
  </si>
  <si>
    <t>A) Fuseki B) Joseki C) Tesuji D) Ko</t>
  </si>
  <si>
    <t>C) Tesuji</t>
  </si>
  <si>
    <t>Which Go tactic is used to prevent immediate capture by the opponent?</t>
  </si>
  <si>
    <t>A) Ko B) Atari C) Sente D) Gote</t>
  </si>
  <si>
    <t>B) Atari</t>
  </si>
  <si>
    <t>The longest professional Go match lasted approximately how long?</t>
  </si>
  <si>
    <t>A) 24 hours B) 2 days C) 6 days D) 10 days</t>
  </si>
  <si>
    <t>C) 6 days</t>
  </si>
  <si>
    <t>Go boards during the Tang dynasty were typically made of:</t>
  </si>
  <si>
    <t>A) Bamboo B) Wood C) Ivory D) Stone</t>
  </si>
  <si>
    <t>B) Wood</t>
  </si>
  <si>
    <t>Go stones during the Tang dynasty were typically made of:</t>
  </si>
  <si>
    <t>A) Slate and Shell B) Wood C) Glass D) Clay</t>
  </si>
  <si>
    <t>A) Slate and Shell</t>
  </si>
  <si>
    <t>Which Japanese Go school dominated the Edo period?</t>
  </si>
  <si>
    <t>The term “Tengen” in Go refers to:</t>
  </si>
  <si>
    <t>A) Center point B) Edge territory C) Captured stone D) Ko threat</t>
  </si>
  <si>
    <t>A) Center point</t>
  </si>
  <si>
    <t>Which Go principle emphasizes initiative in local exchanges?</t>
  </si>
  <si>
    <t>A) Sente B) Gote C) Fuseki D) Ko</t>
  </si>
  <si>
    <t>A) Sente</t>
  </si>
  <si>
    <t>Which Go principle emphasizes responding to opponent’s moves?</t>
  </si>
  <si>
    <t>A) Sente B) Gote C) Joseki D) Tesuji</t>
  </si>
  <si>
    <t>B) Gote</t>
  </si>
  <si>
    <t>Go became a popular pastime among Chinese scholars during which period?</t>
  </si>
  <si>
    <t>A) Warring States B) Han C) Tang D) Song</t>
  </si>
  <si>
    <t>A) Warring States</t>
  </si>
  <si>
    <t>The famous Chinese saying “Seek simplicity in Go” emphasizes:</t>
  </si>
  <si>
    <t>A) Capture more stones B) Avoid overcomplication C) Play quickly D) Always attack</t>
  </si>
  <si>
    <t>B) Avoid overcomplication</t>
  </si>
  <si>
    <t>The first professional Go player title in Japan is called:</t>
  </si>
  <si>
    <t>A) Meijin B) Honinbo C) Kisei D) Tengen</t>
  </si>
  <si>
    <t>A) Meijin</t>
  </si>
  <si>
    <t>Which Go term refers to the opening stage of the game?</t>
  </si>
  <si>
    <t>A) Fuseki B) Joseki C) Tsumego D) Ko</t>
  </si>
  <si>
    <t>A) Fuseki</t>
  </si>
  <si>
    <t>Which Go term refers to corner and side sequences?</t>
  </si>
  <si>
    <t>Which Go tactic refers to repeating moves to gain advantage?</t>
  </si>
  <si>
    <t>A) Ko B) Atari C) Sente D) Tesuji</t>
  </si>
  <si>
    <t>A) Ko</t>
  </si>
  <si>
    <t>Which Go problem type focuses on life and death of stones?</t>
  </si>
  <si>
    <t>A) Fuseki B) Joseki C) Tsumego D) Tesuji</t>
  </si>
  <si>
    <t>C) Tsumego</t>
  </si>
  <si>
    <t>Modern Go AI first beat a professional player in which year?</t>
  </si>
  <si>
    <t>A) 2014 B) 2015 C) 2016 D) 2017</t>
  </si>
  <si>
    <t>C) 2016</t>
  </si>
  <si>
    <t>AlphaGo defeated Lee Sedol in which city?</t>
  </si>
  <si>
    <t>A) Seoul B) Beijing C) Seoul D) London</t>
  </si>
  <si>
    <t>B) Beijing</t>
  </si>
  <si>
    <t>Which country dominates the international Go scene today?</t>
  </si>
  <si>
    <t>A) Japan B) China C) Korea D) Taiwan</t>
  </si>
  <si>
    <t>Go is known for which type of strategic complexity?</t>
  </si>
  <si>
    <t>A) Finite possibilities B) Combinatorial complexity C) Minimal branches D) Short games</t>
  </si>
  <si>
    <t>B) Combinatorial complexity</t>
  </si>
  <si>
    <t>A “living group” in Go refers to:</t>
  </si>
  <si>
    <t>A) Stones that cannot be captured B) Captured territory C) Ko threat D) Sente advantage</t>
  </si>
  <si>
    <t>A) Stones that cannot be captured</t>
  </si>
  <si>
    <t>A “dead group” in Go refers to:</t>
  </si>
  <si>
    <t>A) Stones that can be captured B) Territory under control C) Center stones D) Ko threat</t>
  </si>
  <si>
    <t>A) Stones that can be captured</t>
  </si>
  <si>
    <t>Which Japanese Go player founded the Nihon Ki-in in 1924?</t>
  </si>
  <si>
    <t>A) Honinbo Shusai B) Go Seigen C) Kitani Minoru D) Fujisawa Hideyuki</t>
  </si>
  <si>
    <t>A) Honinbo Shusai</t>
  </si>
  <si>
    <t>Go boards are traditionally made from which wood?</t>
  </si>
  <si>
    <t>A) Kaya B) Pine C) Oak D) Bamboo</t>
  </si>
  <si>
    <t>A) Kaya</t>
  </si>
  <si>
    <t>“Hane” in Go refers to:</t>
  </si>
  <si>
    <t>A) Extension B) Diagonal move C) Capture D) Ko fight</t>
  </si>
  <si>
    <t>B) Diagonal move</t>
  </si>
  <si>
    <t>“Atari” in Go signifies:</t>
  </si>
  <si>
    <t>A) A captured stone B) A stone in immediate danger C) Center control D) Ko threat</t>
  </si>
  <si>
    <t>B) A stone in immediate danger</t>
  </si>
  <si>
    <t>The Go proverb “Lose your stones to gain territory” illustrates:</t>
  </si>
  <si>
    <t>A) Sacrifice strategy B) Aggressive play C) Defensive skill D) Simple tactics</t>
  </si>
  <si>
    <t>A) Sacrifice strategy</t>
  </si>
  <si>
    <t>Go emphasizes which type of balance?</t>
  </si>
  <si>
    <t>A) Territory vs. stones B) Attack vs. defense C) Time vs. moves D) A and B</t>
  </si>
  <si>
    <t>D) A and B</t>
  </si>
  <si>
    <t>Go strategy has influenced which fields?</t>
  </si>
  <si>
    <t>A) Mathematics B) AI C) Military strategy D) All of the above</t>
  </si>
  <si>
    <t>D) All of the above</t>
  </si>
  <si>
    <t>The “Handicap stones” system is used in Go to:</t>
  </si>
  <si>
    <t>A) Give beginner advantage B) Speed up the game C) End game faster D) Limit captures</t>
  </si>
  <si>
    <t>A) Give beginner advantage</t>
  </si>
  <si>
    <t>Which Go principle suggests “occupy corners first”?</t>
  </si>
  <si>
    <t>A) Fuseki B) Joseki C) Corner-first principle D) Sente</t>
  </si>
  <si>
    <t>C) Corner-first principle</t>
  </si>
  <si>
    <t>Go matches in history were often played over:</t>
  </si>
  <si>
    <t>A) Minutes B) Hours C) Days D) Weeks</t>
  </si>
  <si>
    <t>C) Days</t>
  </si>
  <si>
    <t>Which Go problem involves a single tactical move to capture?</t>
  </si>
  <si>
    <t>A) Fuseki B) Tsumego C) Joseki D) Tesuji</t>
  </si>
  <si>
    <t>B) Tsumego</t>
  </si>
  <si>
    <t>Go literature includes ancient commentaries known as:</t>
  </si>
  <si>
    <t>A) Kifu B) Tsumego C) Joseki D) Sente</t>
  </si>
  <si>
    <t>A) Kifu</t>
  </si>
  <si>
    <t>Go has influenced which famous AI research project?</t>
  </si>
  <si>
    <t>A) DeepBlue B) AlphaGo C) Watson D) GPT</t>
  </si>
  <si>
    <t>B) AlphaGo</t>
  </si>
  <si>
    <t>Which country held the first professional Go tournament outside Asia?</t>
  </si>
  <si>
    <t>A) Germany B) USA C) UK D) France</t>
  </si>
  <si>
    <t>B) USA</t>
  </si>
  <si>
    <t>Which Japanese Go player is considered one of the greatest in modern history?</t>
  </si>
  <si>
    <t>A) Honinbo Shusai B) Go Seigen C) Fujisawa Hideyuki D) Kitani Minoru</t>
  </si>
  <si>
    <t>Go has how many possible board configurations?</t>
  </si>
  <si>
    <t>A) 10^76 B) 10^100 C) 10^50 D) 10^200</t>
  </si>
  <si>
    <t>A) 10^76</t>
  </si>
  <si>
    <t>Which Go strategy prioritizes central influence?</t>
  </si>
  <si>
    <t>A) Fuseki B) Joseki C) Tengen D) Ko</t>
  </si>
  <si>
    <t>C) Tengen</t>
  </si>
  <si>
    <t>Which Go strategy involves reading sequences many moves ahead?</t>
  </si>
  <si>
    <t>A) Tesuji B) Life &amp; Death C) Yose D) Reading</t>
  </si>
  <si>
    <t>D) Reading</t>
  </si>
  <si>
    <t>Go tournaments are held in which formats?</t>
  </si>
  <si>
    <t>A) Japanese rules B) Chinese rules C) Korean rules D) All of the above</t>
  </si>
  <si>
    <t>Which Go historical period emphasized teaching children through proverbs?</t>
  </si>
  <si>
    <t>A) Tang B) Song C) Ming D) Edo</t>
  </si>
  <si>
    <t>B) Song</t>
  </si>
  <si>
    <t>“Seki” in Go refers to:</t>
  </si>
  <si>
    <t>A) Mutual life B) Ko fight C) Handicap D) Center territory</t>
  </si>
  <si>
    <t>A) Mutual life</t>
  </si>
  <si>
    <t>The “Oteai” system in Japan was used to:</t>
  </si>
  <si>
    <t>A) Rank players B) Record games C) Solve problems D) Organize tournaments</t>
  </si>
  <si>
    <t>A) Rank players</t>
  </si>
  <si>
    <t>Professional Go titles include:</t>
  </si>
  <si>
    <t>A) Meijin B) Honinbo C) Kisei D) All of the above</t>
  </si>
  <si>
    <t>Go emphasizes both local and global:</t>
  </si>
  <si>
    <t>A) Strategy B) Tactics C) Both A and B D) Neither</t>
  </si>
  <si>
    <t>C) Both A and B</t>
  </si>
  <si>
    <t>Go stones are traditionally placed on:</t>
  </si>
  <si>
    <t>A) Intersections B) Squares C) Corners D) Edges</t>
  </si>
  <si>
    <t>A) Intersections</t>
  </si>
  <si>
    <t>Which Go term refers to a strategic sacrifice for gain elsewhere?</t>
  </si>
  <si>
    <t>A) Sente B) Gote C) Sabaki D) Ko</t>
  </si>
  <si>
    <t>C) Sabaki</t>
  </si>
  <si>
    <t>Professional Go players often study which type of problems daily?</t>
  </si>
  <si>
    <t>A) Fuseki B) Tsumego C) Tesuji D) Yose</t>
  </si>
  <si>
    <t>The Go proverb “Thickness is power” emphasizes:</t>
  </si>
  <si>
    <t>A) Dense positions B) Captures C) Ko fights D) Edge play</t>
  </si>
  <si>
    <t>A) Dense positions</t>
  </si>
  <si>
    <t>Jianzi, a traditional sport from China, is played using which of the following?</t>
  </si>
  <si>
    <t>A) Ball, B) Shuttlecock, C) Hoop, D) Stick</t>
  </si>
  <si>
    <t>B) Shuttlecock</t>
  </si>
  <si>
    <t>Jianzi is played by kicking a weighted shuttlecock.</t>
  </si>
  <si>
    <t>When did Jianzi first appear as a traditional sport in China?</t>
  </si>
  <si>
    <t>A) 5th century BC, B) 1st century BC, C) 10th century, D) 18th century</t>
  </si>
  <si>
    <t>A) 5th century BC</t>
  </si>
  <si>
    <t>Jianzi dates back to the Warring States period (5th century BC).</t>
  </si>
  <si>
    <t>In ancient China, which dynasty popularized Jianzi among the common people?</t>
  </si>
  <si>
    <t>A) Tang Dynasty, B) Song Dynasty, C) Qing Dynasty, D) Ming Dynasty</t>
  </si>
  <si>
    <t>During the Song Dynasty, Jianzi became a popular pastime among common people.</t>
  </si>
  <si>
    <t>Which Chinese emperor is believed to have played Jianzi?</t>
  </si>
  <si>
    <t>A) Emperor Qin Shi Huang, B) Emperor Taizong, C) Emperor Yongle, D) Emperor Kangxi</t>
  </si>
  <si>
    <t>B) Emperor Taizong</t>
  </si>
  <si>
    <t>Emperor Taizong of the Tang Dynasty was known to have enjoyed playing Jianzi.</t>
  </si>
  <si>
    <t>Jianzi is often performed as part of which type of event in China?</t>
  </si>
  <si>
    <t>A) Traditional festivals, B) Military training, C) Religious ceremonies, D) Royal court entertainment</t>
  </si>
  <si>
    <t>A) Traditional festivals</t>
  </si>
  <si>
    <t>Jianzi is commonly played during traditional festivals and cultural events.</t>
  </si>
  <si>
    <t>Which part of China is considered the birthplace of Jianzi?</t>
  </si>
  <si>
    <t>A) Beijing, B) Zhejiang, C) Shanxi, D) Shaanxi</t>
  </si>
  <si>
    <t>A) Beijing</t>
  </si>
  <si>
    <t>Jianzi is believed to have originated in Beijing and spread throughout China.</t>
  </si>
  <si>
    <t>What modern sports event has incorporated elements of Jianzi?</t>
  </si>
  <si>
    <t>A) The Asian Games, B) The Olympics, C) The World Cup, D) The Commonwealth Games</t>
  </si>
  <si>
    <t>A) The Asian Games</t>
  </si>
  <si>
    <t>Jianzi has been featured as a demonstration sport at the Asian Games.</t>
  </si>
  <si>
    <t>What is a common feature of professional Jianzi performances today?</t>
  </si>
  <si>
    <t>A) Solo performances, B) Group performances, C) Competitions, D) Public exhibitions</t>
  </si>
  <si>
    <t>C) Competitions</t>
  </si>
  <si>
    <t>Professional Jianzi performances often take place in competitions that test skill and endurance.</t>
  </si>
  <si>
    <t>Which Chinese city holds the world Jianzi competition annually?</t>
  </si>
  <si>
    <t>A) Shanghai, B) Beijing, C) Hong Kong, D) Guangzhou</t>
  </si>
  <si>
    <t>Beijing hosts the annual world Jianzi competition, attracting top players from around the world.</t>
  </si>
  <si>
    <t>Jianzi was originally a game played with a feathered object to help train which type of warriors?</t>
  </si>
  <si>
    <t>A) Archers, B) Cavalry, C) Foot soldiers, D) Sailors</t>
  </si>
  <si>
    <t>C) Foot soldiers</t>
  </si>
  <si>
    <t>Jianzi was initially developed as a training tool for foot soldiers to improve agility.</t>
  </si>
  <si>
    <t>Which of these modern sports is most influenced by Jianzi in terms of footwork?</t>
  </si>
  <si>
    <t>A) Football, B) Badminton, C) Volleyball, D) Basketball</t>
  </si>
  <si>
    <t>B) Badminton</t>
  </si>
  <si>
    <t>Badminton's footwork and agility are greatly influenced by the techniques used in Jianzi.</t>
  </si>
  <si>
    <t>During the Tang Dynasty, what was a common way to enjoy Jianzi?</t>
  </si>
  <si>
    <t>A) By playing solo, B) By playing in teams, C) By performing stunts, D) By playing in groups in the streets</t>
  </si>
  <si>
    <t>D) By playing in groups in the streets</t>
  </si>
  <si>
    <t>During the Tang Dynasty, people often gathered in the streets to play Jianzi in groups.</t>
  </si>
  <si>
    <t>Jianzi gained popularity in which century as a form of physical exercise and recreation?</t>
  </si>
  <si>
    <t>A) 5th century BC, B) 10th century, C) 18th century, D) 20th century</t>
  </si>
  <si>
    <t>D) 20th century</t>
  </si>
  <si>
    <t>In the 20th century, Jianzi became a popular recreational and exercise activity in China.</t>
  </si>
  <si>
    <t>What is the typical size of the shuttlecock used in traditional Jianzi?</t>
  </si>
  <si>
    <t>A) 5 cm, B) 10 cm, C) 20 cm, D) 30 cm</t>
  </si>
  <si>
    <t>C) 20 cm</t>
  </si>
  <si>
    <t>Traditional Jianzi shuttlecocks are usually around 20 cm in diameter.</t>
  </si>
  <si>
    <t>Which of these materials was historically used to make the base of the Jianzi shuttlecock?</t>
  </si>
  <si>
    <t>A) Wood, B) Bamboo, C) Metal, D) Plastic</t>
  </si>
  <si>
    <t>B) Bamboo</t>
  </si>
  <si>
    <t>The base of the Jianzi shuttlecock was traditionally made from bamboo or other lightweight materials.</t>
  </si>
  <si>
    <t>In which era did Jianzi become widely recognized as a form of traditional Chinese sport?</t>
  </si>
  <si>
    <t>A) Han Dynasty, B) Tang Dynasty, C) Qing Dynasty, D) Republic of China</t>
  </si>
  <si>
    <t>The Tang Dynasty saw the rise of Jianzi as a popular sport across China.</t>
  </si>
  <si>
    <t>Which Chinese emperor is credited with formalizing the rules for Jianzi competitions?</t>
  </si>
  <si>
    <t>A) Emperor Wudi, B) Emperor Taizong, C) Emperor Kangxi, D) Emperor Yongle</t>
  </si>
  <si>
    <t>A) Emperor Wudi</t>
  </si>
  <si>
    <t>Emperor Wudi of the Han Dynasty is credited with formalizing rules for Jianzi competitions.</t>
  </si>
  <si>
    <t>What type of event is Jianzi commonly associated with in China today?</t>
  </si>
  <si>
    <t>A) National holidays, B) Traditional festivals, C) Military parades, D) Political rallies</t>
  </si>
  <si>
    <t>B) Traditional festivals</t>
  </si>
  <si>
    <t>Jianzi is often featured in cultural festivals across China, especially during the Lunar New Year.</t>
  </si>
  <si>
    <t>Which historical period is considered the beginning of Jianzi's development as a sport?</t>
  </si>
  <si>
    <t>A) Zhou Dynasty, B) Han Dynasty, C) Tang Dynasty, D) Qing Dynasty</t>
  </si>
  <si>
    <t>A) Zhou Dynasty</t>
  </si>
  <si>
    <t>Jianzi began during the Zhou Dynasty (1046-256 BC), initially as a military training exercise.</t>
  </si>
  <si>
    <t>What is the traditional name for the shuttlecock used in Jianzi?</t>
  </si>
  <si>
    <t>A) Ti jian, B) Fei zhi, C) Jianzi, D) Ping tu</t>
  </si>
  <si>
    <t>C) Jianzi</t>
  </si>
  <si>
    <t>The shuttlecock used in Jianzi is also called 'jianzi,' the same name as the sport itself.</t>
  </si>
  <si>
    <t>Which dynasty saw the first documented mention of Jianzi?</t>
  </si>
  <si>
    <t>A) Qin Dynasty, B) Han Dynasty, C) Tang Dynasty, D) Song Dynasty</t>
  </si>
  <si>
    <t>Jianzi was first documented during the Han Dynasty (206 BC - 220 AD).</t>
  </si>
  <si>
    <t>During which period did Jianzi become popular among Chinese royalty?</t>
  </si>
  <si>
    <t>The Tang Dynasty saw Jianzi becoming a pastime enjoyed by the Chinese imperial court.</t>
  </si>
  <si>
    <t>Which emperor was known for having a passion for playing Jianzi?</t>
  </si>
  <si>
    <t>A) Emperor Wu of Han, B) Emperor Taizong of Tang, C) Emperor Kangxi of Qing, D) Emperor Yongle of Ming</t>
  </si>
  <si>
    <t>B) Emperor Taizong of Tang</t>
  </si>
  <si>
    <t>Emperor Taizong of the Tang Dynasty was known for his fondness for Jianzi.</t>
  </si>
  <si>
    <t>What was the original purpose of playing Jianzi in ancient China?</t>
  </si>
  <si>
    <t>A) Military training, B) Religious purposes, C) Ritual ceremonies, D) Entertainment for the elite</t>
  </si>
  <si>
    <t>Jianzi was originally played by soldiers to improve footwork and coordination during military training.</t>
  </si>
  <si>
    <t>What type of events are most commonly associated with Jianzi in modern China?</t>
  </si>
  <si>
    <t>A) National holidays, B) International sporting events, C) Cultural festivals, D) Political rallies</t>
  </si>
  <si>
    <t>C) Cultural festivals</t>
  </si>
  <si>
    <t>Jianzi is a popular activity during traditional cultural festivals in China.</t>
  </si>
  <si>
    <t>Which modern-day sport is considered an evolution of Jianzi?</t>
  </si>
  <si>
    <t>A) Badminton, B) Football, C) Volleyball, D) Tennis</t>
  </si>
  <si>
    <t>A) Badminton</t>
  </si>
  <si>
    <t>Badminton shares similar movements and techniques with Jianzi, particularly in the use of shuttlecocks.</t>
  </si>
  <si>
    <t>Which material was traditionally used for the base of the Jianzi shuttlecock?</t>
  </si>
  <si>
    <t>A) Metal, B) Bamboo, C) Plastic, D) Wood</t>
  </si>
  <si>
    <t>The base of a traditional Jianzi shuttlecock is typically made from bamboo.</t>
  </si>
  <si>
    <t>What other body parts are commonly used in Jianzi besides the feet?</t>
  </si>
  <si>
    <t>A) Elbows, B) Knees, C) Hands, D) Shoulders</t>
  </si>
  <si>
    <t>B) Knees</t>
  </si>
  <si>
    <t>In Jianzi, players use their feet, knees, and even their head to control the shuttlecock.</t>
  </si>
  <si>
    <t>Jianzi has been a competitive sport in which international event?</t>
  </si>
  <si>
    <t>A) Summer Olympics, B) Asian Games, C) Commonwealth Games, D) World Cup</t>
  </si>
  <si>
    <t>Jianzi has been featured as a demonstration sport in the Asian Games.</t>
  </si>
  <si>
    <t>In which century did Jianzi become a recreational sport for the masses in China?</t>
  </si>
  <si>
    <t>A) 15th century, B) 16th century, C) 18th century, D) 20th century</t>
  </si>
  <si>
    <t>In the 20th century, Jianzi became a popular recreational activity among people of all ages.</t>
  </si>
  <si>
    <t>Which part of China is particularly famous for its traditional Jianzi competitions?</t>
  </si>
  <si>
    <t>A) Zhejiang, B) Guangdong, C) Beijing, D) Shanghai</t>
  </si>
  <si>
    <t>C) Beijing</t>
  </si>
  <si>
    <t>Beijing is known for its rich history of Jianzi and its annual competitions.</t>
  </si>
  <si>
    <t>What cultural significance does Jianzi have in Chinese society?</t>
  </si>
  <si>
    <t>A) It is a symbol of strength, B) It promotes teamwork, C) It is a form of artistic expression, D) It represents agility and health</t>
  </si>
  <si>
    <t>D) It represents agility and health</t>
  </si>
  <si>
    <t>Jianzi symbolizes agility, health, and the importance of physical fitness in Chinese culture.</t>
  </si>
  <si>
    <t>How is Jianzi typically enjoyed in contemporary China?</t>
  </si>
  <si>
    <t>A) As part of formal sports leagues, B) As a daily recreational activity, C) In professional competitions only, D) As a form of meditation</t>
  </si>
  <si>
    <t>B) As a daily recreational activity</t>
  </si>
  <si>
    <t>In modern China, Jianzi is often enjoyed casually as a form of recreation and exercise.</t>
  </si>
  <si>
    <t>Which dynasty contributed to the formalization of the rules for playing Jianzi?</t>
  </si>
  <si>
    <t>A) Yuan Dynasty, B) Song Dynasty, C) Tang Dynasty, D) Ming Dynasty</t>
  </si>
  <si>
    <t>During the Tang Dynasty, rules for Jianzi were formalized, turning it into a popular royal pastime.</t>
  </si>
  <si>
    <t>Which historical event significantly increased the spread of Jianzi worldwide?</t>
  </si>
  <si>
    <t>A) The Silk Road trade, B) The Chinese Revolution, C) The Opium Wars, D) The Boxer Rebellion</t>
  </si>
  <si>
    <t>A) The Silk Road trade</t>
  </si>
  <si>
    <t>Jianzi spread globally thanks to the Silk Road, through cultural exchanges between China and other regions.</t>
  </si>
  <si>
    <t>What was the traditional method of making a Jianzi shuttlecock?</t>
  </si>
  <si>
    <t>A) Using feathers and a rubber base, B) Using bamboo and silk, C) Using paper and metal, D) Using cloth and wood</t>
  </si>
  <si>
    <t>B) Using bamboo and silk</t>
  </si>
  <si>
    <t>Traditional Jianzi shuttlecocks were made using bamboo and silk, with the feathers providing balance and durability.</t>
  </si>
  <si>
    <t>In what kind of events is Jianzi most commonly featured today in China?</t>
  </si>
  <si>
    <t>A) Traditional cultural festivals, B) National sporting events, C) International competitions, D) Olympic games</t>
  </si>
  <si>
    <t>A) Traditional cultural festivals</t>
  </si>
  <si>
    <t>Jianzi is mostly featured in traditional Chinese cultural festivals, particularly during the Lunar New Year.</t>
  </si>
  <si>
    <t>Which early Chinese dynasty is believed to have contributed to the popularization of Jianzi?</t>
  </si>
  <si>
    <t>A) Shang Dynasty, B) Zhou Dynasty, C) Han Dynasty, D) Tang Dynasty</t>
  </si>
  <si>
    <t>The Zhou Dynasty (1046-256 BC) is considered the origin of Jianzi, initially practiced by military personnel.</t>
  </si>
  <si>
    <t>What is the traditional material used for the feathers in a Jianzi shuttlecock?</t>
  </si>
  <si>
    <t>A) Goose feathers, B) Duck feathers, C) Chicken feathers, D) Eagle feathers</t>
  </si>
  <si>
    <t>B) Duck feathers</t>
  </si>
  <si>
    <t>Duck feathers were traditionally used in the construction of Jianzi shuttlecocks for their durability.</t>
  </si>
  <si>
    <t>What was the role of Jianzi in ancient Chinese military training?</t>
  </si>
  <si>
    <t>A) Improve hand strength, B) Improve footwork and agility, C) Increase endurance, D) Teach weapons handling</t>
  </si>
  <si>
    <t>B) Improve footwork and agility</t>
  </si>
  <si>
    <t>Jianzi was used in military training to enhance soldiers' footwork and coordination.</t>
  </si>
  <si>
    <t>During which dynasty did Jianzi become a popular form of entertainment for the elite?</t>
  </si>
  <si>
    <t>A) Song Dynasty, B) Tang Dynasty, C) Ming Dynasty, D) Qing Dynasty</t>
  </si>
  <si>
    <t>The Tang Dynasty (618-907 AD) saw Jianzi become a fashionable pastime for Chinese royalty and elites.</t>
  </si>
  <si>
    <t>Which dynasty first saw the formal documentation of Jianzi in historical texts?</t>
  </si>
  <si>
    <t>A) Qin Dynasty, B) Han Dynasty, C) Yuan Dynasty, D) Tang Dynasty</t>
  </si>
  <si>
    <t>Jianzi was first formally documented during the Han Dynasty (206 BC - 220 AD).</t>
  </si>
  <si>
    <t>Which part of the body is most commonly used to strike the shuttlecock in Jianzi?</t>
  </si>
  <si>
    <t>A) Hands, B) Feet, C) Elbows, D) Knees</t>
  </si>
  <si>
    <t>B) Feet</t>
  </si>
  <si>
    <t>Players primarily use their feet to keep the shuttlecock in the air.</t>
  </si>
  <si>
    <t>What material is typically used to make the shuttlecock in Jianzi?</t>
  </si>
  <si>
    <t>A) Wood, B) Plastic, C) Feathers, D) Rubber</t>
  </si>
  <si>
    <t>C) Feathers</t>
  </si>
  <si>
    <t>Traditional Jianzi shuttlecocks are made of feathers and a metal or plastic base.</t>
  </si>
  <si>
    <t>Which sport is most similar to Jianzi in terms of skill and technique?</t>
  </si>
  <si>
    <t>A) Soccer, B) Volleyball, C) Badminton, D) Football</t>
  </si>
  <si>
    <t>C) Badminton</t>
  </si>
  <si>
    <t>Jianzi shares similar footwork techniques with badminton, particularly in kicking and controlling a shuttlecock.</t>
  </si>
  <si>
    <t>What is the name of the typical footwork technique used in Jianzi?</t>
  </si>
  <si>
    <t>A) Foot dribbling, B) Shuttle kicking, C) Juggling, D) Flip kick</t>
  </si>
  <si>
    <t>C) Juggling</t>
  </si>
  <si>
    <t>The footwork in Jianzi is often referred to as juggling, where players use their feet to control the shuttlecock.</t>
  </si>
  <si>
    <t>How is Jianzi typically played in modern times?</t>
  </si>
  <si>
    <t>A) As an individual sport, B) As a team sport, C) As a fitness activity, D) As a competitive event</t>
  </si>
  <si>
    <t>B) As a team sport</t>
  </si>
  <si>
    <t>Modern Jianzi is often played in teams, where players take turns kicking the shuttlecock.</t>
  </si>
  <si>
    <t>What type of competitions are common in Jianzi today?</t>
  </si>
  <si>
    <t>A) Solo performances, B) Juggling contests, C) Team relay races, D) Kicking accuracy contests</t>
  </si>
  <si>
    <t>D) Kicking accuracy contests</t>
  </si>
  <si>
    <t>Modern Jianzi competitions often focus on kicking accuracy and style.</t>
  </si>
  <si>
    <t>What is the primary objective in Jianzi?</t>
  </si>
  <si>
    <t>A) To score goals, B) To kick the shuttlecock the longest distance, C) To keep the shuttlecock in the air, D) To pass the shuttlecock to others</t>
  </si>
  <si>
    <t>C) To keep the shuttlecock in the air</t>
  </si>
  <si>
    <t>The main goal of Jianzi is to prevent the shuttlecock from touching the ground.</t>
  </si>
  <si>
    <t>Which part of the body is least used in playing Jianzi?</t>
  </si>
  <si>
    <t>A) Feet, B) Head, C) Hands, D) Knees</t>
  </si>
  <si>
    <t>C) Hands</t>
  </si>
  <si>
    <t>While hands are typically not used in Jianzi, players use their feet, head, and even knees to control the shuttlecock.</t>
  </si>
  <si>
    <t>Which aspect of footwork is emphasized in playing Jianzi?</t>
  </si>
  <si>
    <t>A) Agility, B) Speed, C) Power, D) Strength</t>
  </si>
  <si>
    <t>A) Agility</t>
  </si>
  <si>
    <t>Jianzi emphasizes agility, as players must move quickly and precisely to control the shuttlecock.</t>
  </si>
  <si>
    <t>What is the most common form of play in modern Jianzi competitions?</t>
  </si>
  <si>
    <t>A) Solo performances, B) Group competitions, C) Relay races, D) Kicking accuracy contests</t>
  </si>
  <si>
    <t>B) Group competitions</t>
  </si>
  <si>
    <t>Modern Jianzi competitions are typically played in groups, with players taking turns to keep the shuttlecock in the air.</t>
  </si>
  <si>
    <t>What type of footwear is typically worn while playing Jianzi?</t>
  </si>
  <si>
    <t>A) Barefoot, B) Sports shoes, C) Sandals, D) Boots</t>
  </si>
  <si>
    <t>Players often play Jianzi barefoot to enhance their footwork and agility.</t>
  </si>
  <si>
    <t>What is a common term used to describe the kicking techniques in Jianzi?</t>
  </si>
  <si>
    <t>A) Juggling, B) Dribbling, C) Flicking, D) Spiking</t>
  </si>
  <si>
    <t>A) Juggling</t>
  </si>
  <si>
    <t>The kicking techniques in Jianzi are often referred to as juggling, as the player continuously keeps the shuttlecock in the air.</t>
  </si>
  <si>
    <t>Which type of Jianzi competition involves players trying to perform complex tricks and stunts?</t>
  </si>
  <si>
    <t>A) Freestyle competitions, B) Kicking accuracy, C) Team relay, D) Speed competitions</t>
  </si>
  <si>
    <t>A) Freestyle competitions</t>
  </si>
  <si>
    <t>Freestyle Jianzi competitions focus on players performing complex tricks and stunts with the shuttlecock.</t>
  </si>
  <si>
    <t>What makes Jianzi unique compared to other shuttlecock sports like badminton?</t>
  </si>
  <si>
    <t>A) It is played outdoors, B) Players use their heads and feet, C) It is played with a net, D) It uses a larger shuttlecock</t>
  </si>
  <si>
    <t>B) Players use their heads and feet</t>
  </si>
  <si>
    <t>Jianzi is unique because players use their feet, knees, and even heads to control the shuttlecock.</t>
  </si>
  <si>
    <t>In which dynasty did Jianzi originate?</t>
  </si>
  <si>
    <t>A) Tang, B) Han, C) Song, D) Ming</t>
  </si>
  <si>
    <t>B) Han</t>
  </si>
  <si>
    <t>Jianzi is believed to have originated during the Han dynasty in China.</t>
  </si>
  <si>
    <t>In which country is Jianzi believed to have originated?</t>
  </si>
  <si>
    <t>A) Japan, B) South Korea, C) China, D) Thailand</t>
  </si>
  <si>
    <t>Jianzi is a traditional sport that originated in China over 2,000 years ago.</t>
  </si>
  <si>
    <t>Which traditional Chinese event often includes Jianzi as a recreational activity?</t>
  </si>
  <si>
    <t>A) Dragon Boat Festival, B) Lunar New Year, C) Mid-Autumn Festival, D) New Year's Date</t>
  </si>
  <si>
    <t>B) Lunar New Year</t>
  </si>
  <si>
    <t>Jianzi is commonly played during Lunar New Year celebrations in China.</t>
  </si>
  <si>
    <t>How many feathers are traditionally attached to the shuttlecock in Jianzi?</t>
  </si>
  <si>
    <t>A) 3, B) 4, C) 5, D) 6</t>
  </si>
  <si>
    <t>C) 5</t>
  </si>
  <si>
    <t>A Jianzi shuttlecock usually has five feathers attached for stability.</t>
  </si>
  <si>
    <t>In which year was Jianzi officially recognized as a competitive sport in China?</t>
  </si>
  <si>
    <t>A) 1960, B) 1970, C) 1980, D) 1990</t>
  </si>
  <si>
    <t>C) 1980</t>
  </si>
  <si>
    <t>Jianzi was formally recognized as a competitive sport in 1980.</t>
  </si>
  <si>
    <t>What material is traditionally used for the feathers in a Jianzi shuttlecock?</t>
  </si>
  <si>
    <t>A) Goose feathers, B) Synthetic fibers, C) Plastic, D) Cotton</t>
  </si>
  <si>
    <t>A) Goose feathers</t>
  </si>
  <si>
    <t>Goose feathers are traditionally used for making Jianzi shuttlecock feathers.</t>
  </si>
  <si>
    <t>What is the traditional playing surface for Jianzi?</t>
  </si>
  <si>
    <t>A) Grass, B) Hard court, C) Sand, D) Dirt</t>
  </si>
  <si>
    <t>Jianzi is traditionally played on a grass surface.</t>
  </si>
  <si>
    <t>Jianzi is also commonly known as what?</t>
  </si>
  <si>
    <t>A) Shuttlecock B) Hacky Sack C) Footbag D) Kite</t>
  </si>
  <si>
    <t>A) Shuttlecock</t>
  </si>
  <si>
    <t>In which country did Jianzi originate?</t>
  </si>
  <si>
    <t>A) Japan B) China C) Korea D) Thailand</t>
  </si>
  <si>
    <t>During which Chinese dynasty is Jianzi first documented?</t>
  </si>
  <si>
    <t>A) Han</t>
  </si>
  <si>
    <t>What was Jianzi originally made from?</t>
  </si>
  <si>
    <t>A) Metal B) Wood and feathers C) Plastic D) Leather</t>
  </si>
  <si>
    <t>B) Wood and feathers</t>
  </si>
  <si>
    <t>Jianzi was traditionally used to train which skill?</t>
  </si>
  <si>
    <t>A) Archery B) Footwork and agility C) Horse riding D) Sword fighting</t>
  </si>
  <si>
    <t>B) Footwork and agility</t>
  </si>
  <si>
    <t>The earliest references to Jianzi appear in texts related to:</t>
  </si>
  <si>
    <t>A) Martial arts B) Poetry C) Education D) Festivals</t>
  </si>
  <si>
    <t>A) Martial arts</t>
  </si>
  <si>
    <t>Jianzi competitions were popular among which group in ancient China?</t>
  </si>
  <si>
    <t>A) Farmers B) Scholars C) Soldiers D) Merchants</t>
  </si>
  <si>
    <t>C) Soldiers</t>
  </si>
  <si>
    <t>The game of Jianzi spread to Korea and Vietnam through:</t>
  </si>
  <si>
    <t>A) Traders B) Scholars C) Military exchanges D) Diplomats</t>
  </si>
  <si>
    <t>C) Military exchanges</t>
  </si>
  <si>
    <t>The term “Jianzi” literally means:</t>
  </si>
  <si>
    <t>A) Feathered shuttle B) Football C) Kicking game D) Balance stick</t>
  </si>
  <si>
    <t>A) Feathered shuttle</t>
  </si>
  <si>
    <t>What is the main objective in Jianzi?</t>
  </si>
  <si>
    <t>A) Keep the shuttlecock in the air B) Pass it into a goal C) Kick over a net D) Land it in a circle</t>
  </si>
  <si>
    <t>A) Keep the shuttlecock in the air</t>
  </si>
  <si>
    <t>Jianzi can be played individually or in groups. True or False?</t>
  </si>
  <si>
    <t>A) True B) False C) Only individually D) Only in teams</t>
  </si>
  <si>
    <t>A) True</t>
  </si>
  <si>
    <t>Which dynasty saw the emergence of formal Jianzi competitions?</t>
  </si>
  <si>
    <t>During which period did Jianzi become a common pastime at festivals?</t>
  </si>
  <si>
    <t>A) Han B) Tang C) Ming D) Qing</t>
  </si>
  <si>
    <t>The main skill tested in Jianzi is:</t>
  </si>
  <si>
    <t>A) Strength B) Agility and control C) Speed D) Strategy</t>
  </si>
  <si>
    <t>B) Agility and control</t>
  </si>
  <si>
    <t>The shuttlecock in traditional Jianzi had how many feathers?</t>
  </si>
  <si>
    <t>A) 2-3 B) 4-6 C) 7-9 D) 10-12</t>
  </si>
  <si>
    <t>B) 4-6</t>
  </si>
  <si>
    <t>In Vietnam, Jianzi is known as:</t>
  </si>
  <si>
    <t>A) Sepak Takraw B) Da Cau C) Kicking shuttle D) Cuju</t>
  </si>
  <si>
    <t>B) Da Cau</t>
  </si>
  <si>
    <t>In Korea, Jianzi is known as:</t>
  </si>
  <si>
    <t>A) Jegichagi B) Sepak Takraw C) Tuho D) Gonu</t>
  </si>
  <si>
    <t>A) Jegichagi</t>
  </si>
  <si>
    <t>What is the modern standard material for a Jianzi?</t>
  </si>
  <si>
    <t>A) Metal B) Plastic and rubber C) Leather D) Feathers and wood</t>
  </si>
  <si>
    <t>B) Plastic and rubber</t>
  </si>
  <si>
    <t>Jianzi competitions today are governed by which type of rules?</t>
  </si>
  <si>
    <t>A) Traditional only B) Modernized for scoring C) No rules D) Regional rules vary</t>
  </si>
  <si>
    <t>B) Modernized for scoring</t>
  </si>
  <si>
    <t>Jianzi is often used as a training method for which sport?</t>
  </si>
  <si>
    <t>A) Soccer B) Basketball C) Martial arts D) All of the above</t>
  </si>
  <si>
    <t>The first documented international Jianzi competition was held in which decade?</t>
  </si>
  <si>
    <t>A) 1950s B) 1960s C) 1970s D) 1980s</t>
  </si>
  <si>
    <t>Jianzi was included in physical education programs in China starting in:</t>
  </si>
  <si>
    <t>A) 1920s B) 1930s C) 1940s D) 1950s</t>
  </si>
  <si>
    <t>D) 1950s</t>
  </si>
  <si>
    <t>In traditional Chinese culture, Jianzi was believed to improve:</t>
  </si>
  <si>
    <t>A) Mental focus B) Foot coordination C) Teamwork D) All of the above</t>
  </si>
  <si>
    <t>Which region of China is considered the historical origin of Jianzi?</t>
  </si>
  <si>
    <t>A) Northern China B) Southern China C) Eastern China D) Western China</t>
  </si>
  <si>
    <t>Jianzi was sometimes used in military training to:</t>
  </si>
  <si>
    <t>A) Improve accuracy B) Increase foot speed C) Enhance endurance D) All of the above</t>
  </si>
  <si>
    <t>During which dynasty did written manuals for Jianzi appear?</t>
  </si>
  <si>
    <t>Jianzi is traditionally played using which part of the body?</t>
  </si>
  <si>
    <t>A) Hands B) Feet C) Head D) Shoulders</t>
  </si>
  <si>
    <t>The shape of a traditional Jianzi shuttlecock is:</t>
  </si>
  <si>
    <t>A) Round B) Cone-shaped C) Square D) Star-shaped</t>
  </si>
  <si>
    <t>B) Cone-shaped</t>
  </si>
  <si>
    <t>A typical Jianzi game involves:</t>
  </si>
  <si>
    <t>A) Keeping it in the air as long as possible B) Kicking into a goal C) Hitting over a net D) Tossing into baskets</t>
  </si>
  <si>
    <t>A) Keeping it in the air as long as possible</t>
  </si>
  <si>
    <t>The sport of Jianzi influenced which Southeast Asian game?</t>
  </si>
  <si>
    <t>A) Sepak Takraw B) Badminton C) Footbag D) Volleyball</t>
  </si>
  <si>
    <t>A) Sepak Takraw</t>
  </si>
  <si>
    <t>Jianzi became popular in schools during which century in China?</t>
  </si>
  <si>
    <t>A) 19th B) 20th C) 18th D) 17th</t>
  </si>
  <si>
    <t>B) 20th</t>
  </si>
  <si>
    <t>Which dynasty promoted Jianzi as a leisure activity during festivals?</t>
  </si>
  <si>
    <t>Jianzi competitions are typically scored based on:</t>
  </si>
  <si>
    <t>A) Number of kicks B) Distance C) Accuracy D) Style points</t>
  </si>
  <si>
    <t>A) Number of kicks</t>
  </si>
  <si>
    <t>Which of these is a famous historical Jianzi player?</t>
  </si>
  <si>
    <t>A) No individual recorded B) Wu Zetian C) Confucius D) Li Bai</t>
  </si>
  <si>
    <t>A) No individual recorded</t>
  </si>
  <si>
    <t>Which city in China is famous for hosting modern Jianzi tournaments?</t>
  </si>
  <si>
    <t>A) Beijing B) Shanghai C) Guangzhou D) Wuhan</t>
  </si>
  <si>
    <t>B) Shanghai</t>
  </si>
  <si>
    <t>What is the main difference between traditional and modern Jianzi?</t>
  </si>
  <si>
    <t>A) Size of shuttle B) Material of shuttle C) Number of players D) Playing surface</t>
  </si>
  <si>
    <t>B) Material of shuttle</t>
  </si>
  <si>
    <t>Jianzi requires primarily which physical skill?</t>
  </si>
  <si>
    <t>A) Strength B) Flexibility C) Balance D) Endurance</t>
  </si>
  <si>
    <t>C) Balance</t>
  </si>
  <si>
    <t>Which age group traditionally played Jianzi in China?</t>
  </si>
  <si>
    <t>A) Children B) Adults C) Soldiers D) All of the above</t>
  </si>
  <si>
    <t>Which of these countries did NOT adopt Jianzi historically?</t>
  </si>
  <si>
    <t>A) Korea B) Vietnam C) Thailand D) Japan</t>
  </si>
  <si>
    <t>D) Japan</t>
  </si>
  <si>
    <t>Jianzi competitions often require:</t>
  </si>
  <si>
    <t>A) Individual skill only B) Team coordination C) Only speed D) Only endurance</t>
  </si>
  <si>
    <t>B) Team coordination</t>
  </si>
  <si>
    <t>Modern Jianzi competitions often include:</t>
  </si>
  <si>
    <t>A) Freestyle B) Doubles C) Team matches D) All of the above</t>
  </si>
  <si>
    <t>Which is the primary objective in a competitive Jianzi game?</t>
  </si>
  <si>
    <t>A) Longest rally B) Scoring goals C) Capturing opponent D) Hitting targets</t>
  </si>
  <si>
    <t>A) Longest rally</t>
  </si>
  <si>
    <t>Jianzi is recognized by which organization internationally?</t>
  </si>
  <si>
    <t>A) International Shuttlecock Federation B) FIFA C) IOC D) Asian Games Federation</t>
  </si>
  <si>
    <t>A) International Shuttlecock Federation</t>
  </si>
  <si>
    <t>The shuttlecock in Jianzi is sometimes called:</t>
  </si>
  <si>
    <t>A) Featherball B) Hacky C) Shuttle D) Kickball</t>
  </si>
  <si>
    <t>A) Featherball</t>
  </si>
  <si>
    <t>Jianzi’s influence spread to Southeast Asia primarily via:</t>
  </si>
  <si>
    <t>A) Trade routes B) Migrants C) Military campaigns D) Scholars</t>
  </si>
  <si>
    <t>C) Military campaigns</t>
  </si>
  <si>
    <t>Which traditional Chinese skill is enhanced by playing Jianzi?</t>
  </si>
  <si>
    <t>A) Agility B) Reflexes C) Coordination D) All of the above</t>
  </si>
  <si>
    <t>Modern Jianzi tournaments are played on:</t>
  </si>
  <si>
    <t>A) Grass B) Concrete C) Indoor courts D) All of the above</t>
  </si>
  <si>
    <t>Which dynasty is credited with promoting Jianzi as a festival game?</t>
  </si>
  <si>
    <t>A) Tang B) Song C) Ming D) Qing</t>
  </si>
  <si>
    <t>Jianzi is related to which modern sport?</t>
  </si>
  <si>
    <t>A) Soccer B) Footvolley C) Sepak Takraw D) Volleyball</t>
  </si>
  <si>
    <t>C) Sepak Takraw</t>
  </si>
  <si>
    <t>In ancient times, what was a primary reason to play Jianzi?</t>
  </si>
  <si>
    <t>A) Military training B) Leisure C) Festival entertainment D) All of the above</t>
  </si>
  <si>
    <t>The term “shuttlecock” in Jianzi refers to:</t>
  </si>
  <si>
    <t>A) The wooden base with feathers B) Only the feathers C) Only the wooden base D) A plastic toy</t>
  </si>
  <si>
    <t>A) The wooden base with feathers</t>
  </si>
  <si>
    <t>In historical Chinese texts, Jianzi was associated with:</t>
  </si>
  <si>
    <t>A) Scholarly exercises B) Martial arts C) Court entertainment D) All of the above</t>
  </si>
  <si>
    <t>Which Southeast Asian country developed its own version of Jianzi?</t>
  </si>
  <si>
    <t>A) Thailand B) Philippines C) Indonesia D) Vietnam</t>
  </si>
  <si>
    <t>A) Thailand</t>
  </si>
  <si>
    <t>Jianzi is traditionally played by which gender?</t>
  </si>
  <si>
    <t>A) Male only B) Female only C) Both D) Children only</t>
  </si>
  <si>
    <t>C) Both</t>
  </si>
  <si>
    <t>The “longest rally” record in Jianzi tests which skill?</t>
  </si>
  <si>
    <t>A) Strength B) Agility C) Endurance D) Strategy</t>
  </si>
  <si>
    <t>C) Endurance</t>
  </si>
  <si>
    <t>Which modern country hosts international Jianzi championships regularly?</t>
  </si>
  <si>
    <t>A) China B) Korea C) Vietnam D) Thailand</t>
  </si>
  <si>
    <t>Which Chinese emperor is credited with encouraging Jianzi for physical training?</t>
  </si>
  <si>
    <t>A) Emperor Wu of Han B) Emperor Taizong of Tang C) Emperor Kangxi D) Emperor Yongle</t>
  </si>
  <si>
    <t>Jianzi was sometimes used to improve which type of soldier skill?</t>
  </si>
  <si>
    <t>A) Archery B) Foot coordination C) Swordsmanship D) Horse riding</t>
  </si>
  <si>
    <t>B) Foot coordination</t>
  </si>
  <si>
    <t>In traditional Jianzi, what is the primary material used for feathers?</t>
  </si>
  <si>
    <t>A) Goose B) Duck C) Chicken D) Peacock</t>
  </si>
  <si>
    <t>B) Duck</t>
  </si>
  <si>
    <t>Which festival commonly featured Jianzi competitions in ancient China?</t>
  </si>
  <si>
    <t>A) Lantern Festival</t>
  </si>
  <si>
    <t>Jianzi was originally played as a solo exercise. True or False?</t>
  </si>
  <si>
    <t>A) True B) False C) Only in pairs D) Only in groups</t>
  </si>
  <si>
    <t>Which Chinese region developed its own distinctive Jianzi style?</t>
  </si>
  <si>
    <t>A) Guangdong B) Beijing C) Jiangsu D) Sichuan</t>
  </si>
  <si>
    <t>A) Guangdong</t>
  </si>
  <si>
    <t>In which century did Jianzi first appear in written manuals?</t>
  </si>
  <si>
    <t>A) 2nd century B) 3rd century C) 4th century D) 5th century</t>
  </si>
  <si>
    <t>B) 3rd century</t>
  </si>
  <si>
    <t>What was a traditional objective in military Jianzi training?</t>
  </si>
  <si>
    <t>A) Accuracy B) Speed C) Balance D) All of the above</t>
  </si>
  <si>
    <t>Modern Jianzi includes freestyle performances. True or False?</t>
  </si>
  <si>
    <t>A) True B) False C) Only competitions D) Only training</t>
  </si>
  <si>
    <t>Which Asian country uses a variant of Jianzi called Sepak Takraw?</t>
  </si>
  <si>
    <t>A) Thailand B) China C) Japan D) Korea</t>
  </si>
  <si>
    <t>Jianzi is traditionally played using which part of the body for control?</t>
  </si>
  <si>
    <t>A) Feet B) Hands C) Head D) Shoulders</t>
  </si>
  <si>
    <t>A) Feet</t>
  </si>
  <si>
    <t>Which part of the shuttlecock is weighted to stabilize flight?</t>
  </si>
  <si>
    <t>A) Feathers B) Wooden base C) String D) Rubber tip</t>
  </si>
  <si>
    <t>B) Wooden base</t>
  </si>
  <si>
    <t>Jianzi was considered a healthy exercise for:</t>
  </si>
  <si>
    <t>In ancient China, Jianzi helped improve what aspect of a scholar’s physical education?</t>
  </si>
  <si>
    <t>A) Agility B) Coordination C) Reflexes D) All of the above</t>
  </si>
  <si>
    <t>Which dynasty saw the first organized competitive Jianzi matches?</t>
  </si>
  <si>
    <t>Jianzi spread to Korea during which historical period?</t>
  </si>
  <si>
    <t>A) Goryeo Dynasty B) Joseon Dynasty C) Three Kingdoms D) Silla</t>
  </si>
  <si>
    <t>C) Three Kingdoms</t>
  </si>
  <si>
    <t>In Vietnam, the traditional Jianzi game is used to train:</t>
  </si>
  <si>
    <t>A) Martial skills B) Foot coordination C) Teamwork D) Both B and C</t>
  </si>
  <si>
    <t>D) Both B and C</t>
  </si>
  <si>
    <t>Modern competitive Jianzi emphasizes:</t>
  </si>
  <si>
    <t>A) Number of kicks B) Accuracy C) Style and difficulty D) All of the above</t>
  </si>
  <si>
    <t>Which international organization governs competitive Jianzi?</t>
  </si>
  <si>
    <t>A) International Shuttlecock Federation B) FIFA C) Olympic Committee D) Asian Sports Union</t>
  </si>
  <si>
    <t>Jianzi was considered a tool for teaching what cultural value?</t>
  </si>
  <si>
    <t>A) Patience B) Discipline C) Concentration D) All of the above</t>
  </si>
  <si>
    <t>What feature distinguishes modern Jianzi from traditional?</t>
  </si>
  <si>
    <t>A) Material B) Size C) Feather arrangement D) Playing surface</t>
  </si>
  <si>
    <t>A) Material</t>
  </si>
  <si>
    <t>Which Chinese text mentions Jianzi as a military training exercise?</t>
  </si>
  <si>
    <t>A) Han Shu B) Zuo Zhuan C) Book of Rites D) Analects</t>
  </si>
  <si>
    <t>A) Han Shu</t>
  </si>
  <si>
    <t>In modern Jianzi competitions, what is considered a scoring mistake?</t>
  </si>
  <si>
    <t>A) Dropping the shuttlecock B) Kicking out of bounds C) Using hands D) All of the above</t>
  </si>
  <si>
    <t>Traditional Jianzi sometimes included how many players in a circle?</t>
  </si>
  <si>
    <t>A) 3-6 B) 4-8 C) 5-10 D) 2-4</t>
  </si>
  <si>
    <t>B) 4-8</t>
  </si>
  <si>
    <t>Which skill is most enhanced by freestyle Jianzi?</t>
  </si>
  <si>
    <t>A) Creativity B) Agility C) Coordination D) All of the above</t>
  </si>
  <si>
    <t>Jianzi is often included in which type of school programs today?</t>
  </si>
  <si>
    <t>A) Physical education B) Music classes C) Language classes D) Art classes</t>
  </si>
  <si>
    <t>A) Physical education</t>
  </si>
  <si>
    <t>Who is considered the legendary founder of Kung Fu?</t>
  </si>
  <si>
    <t>A) Bruce Lee, B) Bodhidharma, C) Ip Man, D) Jackie Chan</t>
  </si>
  <si>
    <t>B) Bodhidharma</t>
  </si>
  <si>
    <t>Bodhidharma is credited with bringing the foundational concepts of Kung Fu to China from India.</t>
  </si>
  <si>
    <t>What is the ancient Chinese martial arts manual that influenced Kung Fu?</t>
  </si>
  <si>
    <t>A) Tao Te Ching, B) The Book of Five Rings, C) The Classic of Huainan, D) The Martial Arts Bible</t>
  </si>
  <si>
    <t>C) The Classic of Huainan</t>
  </si>
  <si>
    <t>This ancient text has influenced the development of Chinese martial arts, including Kung Fu.</t>
  </si>
  <si>
    <t>Which emperor is known for promoting the development of martial arts in China?</t>
  </si>
  <si>
    <t>A) Emperor Qin Shi Huang, B) Emperor Taizong, C) Emperor Wu of Han, D) Emperor Kangxi</t>
  </si>
  <si>
    <t>Emperor Wu of Han was instrumental in promoting martial arts during his reign.</t>
  </si>
  <si>
    <t>Which Shaolin monk is famously known for developing the Shaolin style of Kung Fu?</t>
  </si>
  <si>
    <t>A) XuÃ¡nzÃ ng, B) Shifu Zhang, C) DÃ oshÄ«, D) Bai Yu</t>
  </si>
  <si>
    <t>B) Shifu Zhang</t>
  </si>
  <si>
    <t>Shifu Zhang is credited with the development and evolution of Shaolin Kung Fu.</t>
  </si>
  <si>
    <t>What was the name of the famous Kung Fu movie star who popularized martial arts globally in the 1970s?</t>
  </si>
  <si>
    <t>A) Chuck Norris, B) Bruce Lee, C) Jet Li, D) Jackie Chan</t>
  </si>
  <si>
    <t>B) Bruce Lee</t>
  </si>
  <si>
    <t>Bruce Lee brought Kung Fu to global attention with his iconic films and philosophy.</t>
  </si>
  <si>
    <t>Which ancient Chinese text is a major philosophical influence on Kung Fu?</t>
  </si>
  <si>
    <t>A) The Analects of Confucius, B) The Tao Te Ching, C) The I Ching, D) The Art of War</t>
  </si>
  <si>
    <t>B) The Tao Te Ching</t>
  </si>
  <si>
    <t>The Tao Te Ching, written by Laozi, laid the foundation for many principles in Kung Fu.</t>
  </si>
  <si>
    <t>Which historical event led to the spread of Kung Fu to other parts of the world?</t>
  </si>
  <si>
    <t>A) The Silk Road trade, B) The Boxer Rebellion, C) The Tang Dynasty, D) The Opium Wars</t>
  </si>
  <si>
    <t>The Silk Road facilitated the exchange of culture, including martial arts, between East and West.</t>
  </si>
  <si>
    <t>What is the traditional Kung Fu philosophy based on achieving harmony and balance?</t>
  </si>
  <si>
    <t>A) Qi Gong, B) Wu Wei, C) Yin and Yang, D) Zhan Zhuang</t>
  </si>
  <si>
    <t>C) Yin and Yang</t>
  </si>
  <si>
    <t>Yin and Yang represent the balance of opposites, a key concept in Kung Fu philosophy.</t>
  </si>
  <si>
    <t>Who is the famous Kung Fu master who founded the Wing Chun style?</t>
  </si>
  <si>
    <t>A) Ip Man, B) Wong Fei-hung, C) Bruce Lee, D) Chen Village</t>
  </si>
  <si>
    <t>A) Ip Man</t>
  </si>
  <si>
    <t>Ip Man is the legendary master who developed and popularized the Wing Chun style of Kung Fu.</t>
  </si>
  <si>
    <t>What animal styles are commonly incorporated in traditional Kung Fu training?</t>
  </si>
  <si>
    <t>A) Lion, Crane, Tiger, Snake, and Dragon, B) Bear, Wolf, Elephant, C) Eagle, Fox, Leopard, D) Monkey, Horse, Wolf</t>
  </si>
  <si>
    <t>A) Lion, Crane, Tiger, Snake, and Dragon</t>
  </si>
  <si>
    <t>These animal styles are key in Kung Fu, each representing different characteristics and fighting techniques.</t>
  </si>
  <si>
    <t>What ancient Chinese philosophy does Kung Fu closely align with?</t>
  </si>
  <si>
    <t>A) Confucianism, B) Taoism, C) Buddhism, D) Legalism</t>
  </si>
  <si>
    <t>Taoism's principles of balance, simplicity, and natural flow are central to Kung Fu training.</t>
  </si>
  <si>
    <t>Which historical figure is known for promoting the spread of Kung Fu outside of China?</t>
  </si>
  <si>
    <t>A) Bruce Lee, B) Genghis Khan, C) Sun Tzu, D) General Yue Fei</t>
  </si>
  <si>
    <t>A) Bruce Lee</t>
  </si>
  <si>
    <t>Bruce Lee is credited with taking Kung Fu to Hollywood and helping spread it worldwide.</t>
  </si>
  <si>
    <t>What is the name of the famous Kung Fu master who taught Bruce Lee?</t>
  </si>
  <si>
    <t>A) Ip Man, B) Wong Fei-hung, C) Yip Man, D) Wing Chun</t>
  </si>
  <si>
    <t>C) Yip Man</t>
  </si>
  <si>
    <t>Yip Man, also known as Ip Man, was Bruce Lee's martial arts teacher in Wing Chun.</t>
  </si>
  <si>
    <t>Which famous Chinese martial art movie depicts the life of Ip Man?</t>
  </si>
  <si>
    <t>A) The Karate Kid, B) Ip Man, C) Crouching Tiger, Hidden Dragon, D) The Grandmaster</t>
  </si>
  <si>
    <t>B) Ip Man</t>
  </si>
  <si>
    <t>The movie 'Ip Man' portrays the life and teachings of the legendary Wing Chun master.</t>
  </si>
  <si>
    <t>In which Chinese province did the Shaolin Temple, a major birthplace of Kung Fu, originate?</t>
  </si>
  <si>
    <t>A) Jiangsu, B) Hebei, C) Henan, D) Guangdong</t>
  </si>
  <si>
    <t>C) Henan</t>
  </si>
  <si>
    <t>The Shaolin Temple, located in Henan Province, is known as the birthplace of Kung Fu.</t>
  </si>
  <si>
    <t>Which region of China is most associated with the martial art of Wing Chun?</t>
  </si>
  <si>
    <t>A) Sichuan, B) Hong Kong, C) Beijing, D) Guangdong</t>
  </si>
  <si>
    <t>B) Hong Kong</t>
  </si>
  <si>
    <t>Wing Chun originated in southern China, particularly in the Guangdong region and Hong Kong.</t>
  </si>
  <si>
    <t>Which battle is considered a turning point in the history of Kung Fu in China?</t>
  </si>
  <si>
    <t>A) The Battle of Red Cliffs, B) The Shaolin Temple Siege, C) The Boxer Rebellion, D) The Taiping Rebellion</t>
  </si>
  <si>
    <t>B) The Shaolin Temple Siege</t>
  </si>
  <si>
    <t>The Shaolin Temple Siege marked a crucial moment in the history of Kung Fu, leading to its spread.</t>
  </si>
  <si>
    <t>Which martial art influenced the development of Chinese Kung Fu?</t>
  </si>
  <si>
    <t>A) Jujutsu, B) Karate, C) Indian Kalaripayattu, D) Muay Thai</t>
  </si>
  <si>
    <t>C) Indian Kalaripayattu</t>
  </si>
  <si>
    <t>Indian Kalaripayattu is believed to have had a significant influence on the development of Kung Fu.</t>
  </si>
  <si>
    <t>Which historical figure is credited with creating the Southern Praying Mantis style of Kung Fu?</t>
  </si>
  <si>
    <t>A) Wong Fei-hung, B) Chen Wangting, C) Zhi Yi, D) Yang Luchan</t>
  </si>
  <si>
    <t>C) Zhi Yi</t>
  </si>
  <si>
    <t>Zhi Yi is credited with developing the Southern Praying Mantis style of Kung Fu in the 17th century.</t>
  </si>
  <si>
    <t>In which dynasty did Kung Fu become highly integrated into Chinese culture?</t>
  </si>
  <si>
    <t>A) Tang Dynasty, B) Qing Dynasty, C) Song Dynasty, D) Ming Dynasty</t>
  </si>
  <si>
    <t>The Tang Dynasty saw significant growth in the martial arts, including Kung Fu, across China.</t>
  </si>
  <si>
    <t>Which famous Chinese Kung Fu master is known for his legendary battle against the Japanese in the film 'The Grandmaster'?</t>
  </si>
  <si>
    <t>A) Ip Man, B) Wong Fei-hung, C) Bruce Lee, D) Zhang Sanfeng</t>
  </si>
  <si>
    <t>Ip Man is famously depicted in 'The Grandmaster' as the master who defeated many rivals during the Second Sino-Japanese War.</t>
  </si>
  <si>
    <t>Who was the first known legendary Kung Fu hero who became a symbol of the martial arts?</t>
  </si>
  <si>
    <t>A) Chen Wangting, B) Wu Song, C) Zhang Sanfeng, D) Yip Man</t>
  </si>
  <si>
    <t>B) Wu Song</t>
  </si>
  <si>
    <t>Wu Song, from Chinese literature, became an iconic figure known for his martial prowess and strength.</t>
  </si>
  <si>
    <t>Which famous Kung Fu master is credited with popularizing martial arts in the West in the 1970s?</t>
  </si>
  <si>
    <t>A) Bruce Lee, B) Jackie Chan, C) Jet Li, D) Chuck Norris</t>
  </si>
  <si>
    <t>Bruce Lee is credited with bringing Kung Fu to the global stage and inspiring a worldwide interest in martial arts.</t>
  </si>
  <si>
    <t>In Kung Fu history, which animal style is known for its brutal and aggressive techniques?</t>
  </si>
  <si>
    <t>A) Crane, B) Snake, C) Tiger, D) Dragon</t>
  </si>
  <si>
    <t>C) Tiger</t>
  </si>
  <si>
    <t>The Tiger style emphasizes strong, forceful strikes and is considered one of the most aggressive animal styles in Kung Fu.</t>
  </si>
  <si>
    <t>Which Chinese Emperor is said to have promoted martial arts as a means of training his soldiers?</t>
  </si>
  <si>
    <t>A) Emperor Wu of Han, B) Emperor Qin Shi Huang, C) Emperor Taizong, D) Emperor Kangxi</t>
  </si>
  <si>
    <t>Emperor Wu of Han encouraged the development of martial arts for military purposes and strengthening his army.</t>
  </si>
  <si>
    <t>What is the name of the legendary Kung Fu style that was developed by the monk Bodhidharma?</t>
  </si>
  <si>
    <t>A) Tai Chi, B) Shaolin Kung Fu, C) Wing Chun, D) Bajiquan</t>
  </si>
  <si>
    <t>B) Shaolin Kung Fu</t>
  </si>
  <si>
    <t>Bodhidharma is credited with introducing martial arts to the Shaolin Temple, leading to the development of Shaolin Kung Fu.</t>
  </si>
  <si>
    <t>Which famous Kung Fu legend is known for defeating multiple adversaries with a single punch?</t>
  </si>
  <si>
    <t>A) Wong Fei-hung, B) Bruce Lee, C) Zhang Sanfeng, D) Huang Feihu</t>
  </si>
  <si>
    <t>C) Zhang Sanfeng</t>
  </si>
  <si>
    <t>Zhang Sanfeng, a Taoist monk, is associated with the creation of Tai Chi and defeating foes with effortless power.</t>
  </si>
  <si>
    <t>Which of the following is a classic text on Kung Fu that has been influential in its development?</t>
  </si>
  <si>
    <t>A) Tao Te Ching, B) The Art of War, C) The Book of Five Rings, D) The Secret Book of Kung Fu</t>
  </si>
  <si>
    <t>Sun Tzu's 'The Art of War' has greatly influenced the strategic elements in Kung Fu.</t>
  </si>
  <si>
    <t>What significant event led to the spread of Kung Fu outside China in the 20th century?</t>
  </si>
  <si>
    <t>A) The Boxer Rebellion, B) The founding of the People's Republic of China, C) The Shanghai Expo, D) The Cultural Revolution</t>
  </si>
  <si>
    <t>B) The founding of the People's Republic of China</t>
  </si>
  <si>
    <t>After the establishment of the People's Republic of China in 1949, Kung Fu began to spread more internationally.</t>
  </si>
  <si>
    <t>Who is the founder of the internal Kung Fu system known as Bagua Zhang?</t>
  </si>
  <si>
    <t>A) Zhang Sanfeng, B) Wang Xiangzhai, C) Dong Haichuan, D) Yang Luchan</t>
  </si>
  <si>
    <t>C) Dong Haichuan</t>
  </si>
  <si>
    <t>Dong Haichuan is the founder of Bagua Zhang, known for its circular movements and emphasis on evasion.</t>
  </si>
  <si>
    <t>What is the historical origin of the Wushu form of Kung Fu?</t>
  </si>
  <si>
    <t>A) Daoist Monasticism, B) The Imperial Army, C) Confucian Philosophy, D) The Southern Shaolin Temple</t>
  </si>
  <si>
    <t>B) The Imperial Army</t>
  </si>
  <si>
    <t>Wushu evolved from military training techniques, adapted for performance and modern competitive martial arts.</t>
  </si>
  <si>
    <t>Which historical figure is widely regarded as the father of modern Kung Fu?</t>
  </si>
  <si>
    <t>A) Bruce Lee, B) Wong Fei-hung, C) Zhang Sanfeng, D) Chen Wangting</t>
  </si>
  <si>
    <t>Bruce Lee is considered the father of modern Kung Fu for his efforts in making the art global through his films and philosophy.</t>
  </si>
  <si>
    <t>The famous Kung Fu movie star Jackie Chan is known for combining Kung Fu with which of the following?</t>
  </si>
  <si>
    <t>A) Comedy, B) Drama, C) Fantasy, D) Romance</t>
  </si>
  <si>
    <t>A) Comedy</t>
  </si>
  <si>
    <t>Jackie Chan is famous for his unique approach of blending Kung Fu with comedy in his action-packed films.</t>
  </si>
  <si>
    <t>Which famous Chinese philosopher's teachings influenced many Kung Fu styles?</t>
  </si>
  <si>
    <t>A) Confucius, B) Laozi, C) Zhuangzi, D) Sun Tzu</t>
  </si>
  <si>
    <t>B) Laozi</t>
  </si>
  <si>
    <t>Laozi's Taoist philosophy greatly influenced the internal aspects of Kung Fu, particularly Tai Chi.</t>
  </si>
  <si>
    <t>What is the primary principle of Kung Fu according to traditional teachings?</t>
  </si>
  <si>
    <t>A) Speed over power, B) Balance and control, C) Power over all, D) Fighting spirit</t>
  </si>
  <si>
    <t>B) Balance and control</t>
  </si>
  <si>
    <t>Kung Fu emphasizes achieving balance and control, both mentally and physically.</t>
  </si>
  <si>
    <t>Who is credited with founding the Southern Fist style of Kung Fu?</t>
  </si>
  <si>
    <t>A) Wong Fei-hung, B) Chen Wangting, C) Huo Yuanjia, D) Yip Man</t>
  </si>
  <si>
    <t>B) Chen Wangting</t>
  </si>
  <si>
    <t>Chen Wangting is credited with developing the Southern Fist style, which focuses on powerful and direct strikes.</t>
  </si>
  <si>
    <t>Which event helped bring global attention to Kung Fu in the 1970s?</t>
  </si>
  <si>
    <t>A) The Beijing Olympics, B) The rise of Bruce Lee, C) The Cultural Revolution, D) The Shaolin Temple's revival</t>
  </si>
  <si>
    <t>B) The rise of Bruce Lee</t>
  </si>
  <si>
    <t>Bruce Lee's films, especially 'Enter the Dragon', brought Kung Fu to a global audience in the 1970s.</t>
  </si>
  <si>
    <t>In what era did the Shaolin Temple become a central hub for Kung Fu development?</t>
  </si>
  <si>
    <t>A) Tang Dynasty, B) Han Dynasty, C) Yuan Dynasty, D) Ming Dynasty</t>
  </si>
  <si>
    <t>During the Tang Dynasty, the Shaolin Temple became a significant center for the development of Kung Fu.</t>
  </si>
  <si>
    <t>Which Kung Fu master is best known for his contributions to Wing Chun martial arts?</t>
  </si>
  <si>
    <t>A) Yip Man, B) Wong Fei-hung, C) Bruce Lee, D) Chen Wangting</t>
  </si>
  <si>
    <t>A) Yip Man</t>
  </si>
  <si>
    <t>Yip Man is credited with popularizing the Wing Chun style of Kung Fu, especially in Hong Kong.</t>
  </si>
  <si>
    <t>Which Chinese Emperor is said to have fostered the growth of Kung Fu for military purposes?</t>
  </si>
  <si>
    <t>Emperor Wu of Han promoted martial arts for military readiness and strategic advantage.</t>
  </si>
  <si>
    <t>What major historical event caused many Kung Fu schools to go underground in China?</t>
  </si>
  <si>
    <t>A) The Boxer Rebellion, B) The Cultural Revolution, C) The Opium Wars, D) The Taiping Rebellion</t>
  </si>
  <si>
    <t>B) The Cultural Revolution</t>
  </si>
  <si>
    <t>The Cultural Revolution led to the suppression of traditional practices, including Kung Fu, forcing many schools to operate in secrecy.</t>
  </si>
  <si>
    <t>Which martial art did Bruce Lee develop as a synthesis of traditional Kung Fu and other martial arts?</t>
  </si>
  <si>
    <t>A) Jeet Kune Do, B) Wing Chun, C) Shaolin Kung Fu, D) Wushu</t>
  </si>
  <si>
    <t>A) Jeet Kune Do</t>
  </si>
  <si>
    <t>Bruce Lee created Jeet Kune Do as a hybrid martial art that incorporated elements from various traditional styles, including Kung Fu.</t>
  </si>
  <si>
    <t>In the traditional Kung Fu training system, the 'Six Harmonies' are essential. Which of the following represents one of the harmonies?</t>
  </si>
  <si>
    <t>A) Coordination of the body and spirit, B) Harmony between strength and agility, C) Harmony of mind and breathing, D) Harmony of hand and weapon</t>
  </si>
  <si>
    <t>C) Harmony of mind and breathing</t>
  </si>
  <si>
    <t>In Kung Fu, proper breathing control is key to maintaining energy, focus, and endurance, making the harmony between mind and breathing critical.</t>
  </si>
  <si>
    <t>Kung Fu is also known as what in China?</t>
  </si>
  <si>
    <t>A) Wushu B) Tai Chi C) Qigong D) Karate</t>
  </si>
  <si>
    <t>A) Wushu</t>
  </si>
  <si>
    <t>In which country did Kung Fu originate?</t>
  </si>
  <si>
    <t>During which dynasty is the earliest record of Kung Fu found?</t>
  </si>
  <si>
    <t>A) Shang B) Zhou C) Han D) Tang</t>
  </si>
  <si>
    <t>B) Zhou</t>
  </si>
  <si>
    <t>Which philosophy heavily influenced traditional Kung Fu practices?</t>
  </si>
  <si>
    <t>A) Confucianism B) Taoism C) Buddhism D) Legalism</t>
  </si>
  <si>
    <t>C) Buddhism</t>
  </si>
  <si>
    <t>Shaolin Kung Fu originated in which province of China?</t>
  </si>
  <si>
    <t>A) Henan B) Fujian C) Guangdong D) Sichuan</t>
  </si>
  <si>
    <t>A) Henan</t>
  </si>
  <si>
    <t>Which famous temple is associated with the origins of Kung Fu?</t>
  </si>
  <si>
    <t>A) Shaolin Temple B) Wudang Temple C) Temple of Heaven D) Lingyin Temple</t>
  </si>
  <si>
    <t>A) Shaolin Temple</t>
  </si>
  <si>
    <t>Kung Fu was originally developed primarily for:</t>
  </si>
  <si>
    <t>A) Sport B) Self-defense C) Martial arts training D) All of the above</t>
  </si>
  <si>
    <t>B) Self-defense</t>
  </si>
  <si>
    <t>The term “Kung Fu” literally refers to:</t>
  </si>
  <si>
    <t>A) Martial arts B) Skill achieved through hard work C) Fighting style D) Physical fitness</t>
  </si>
  <si>
    <t>B) Skill achieved through hard work</t>
  </si>
  <si>
    <t>Which Buddhist sect is credited with creating Shaolin Kung Fu?</t>
  </si>
  <si>
    <t>A) Chan (Zen) B) Pure Land C) Tiantai D) Huayan</t>
  </si>
  <si>
    <t>A) Chan (Zen)</t>
  </si>
  <si>
    <t>Wudang Kung Fu emphasizes:</t>
  </si>
  <si>
    <t>A) Hard external techniques B) Internal energy cultivation C) Weapon mastery D) Ground fighting</t>
  </si>
  <si>
    <t>B) Internal energy cultivation</t>
  </si>
  <si>
    <t>Which of the following is a famous weapon in traditional Kung Fu?</t>
  </si>
  <si>
    <t>A) Jian (sword) B) Bo staff C) Nunchaku D) Both A and B</t>
  </si>
  <si>
    <t>D) Both A and B</t>
  </si>
  <si>
    <t>The first known Kung Fu manual was written during which dynasty?</t>
  </si>
  <si>
    <t>C) Ming</t>
  </si>
  <si>
    <t>Kung Fu includes which types of martial techniques?</t>
  </si>
  <si>
    <t>A) Strikes B) Kicks C) Throws D) All of the above</t>
  </si>
  <si>
    <t>The “Five Animals” style of Kung Fu imitates:</t>
  </si>
  <si>
    <t>A) Dragon, Tiger, Crane, Leopard, Snake B) Horse, Tiger, Crane, Dragon, Leopard C) Tiger, Snake, Dragon, Eagle, Monkey D) Crane, Dragon, Tiger, Horse, Leopard</t>
  </si>
  <si>
    <t>A) Dragon, Tiger, Crane, Leopard, Snake</t>
  </si>
  <si>
    <t>Shaolin monks practiced Kung Fu for:</t>
  </si>
  <si>
    <t>A) Physical fitness B) Meditation C) Defense D) All of the above</t>
  </si>
  <si>
    <t>Kung Fu influenced which other Asian martial art?</t>
  </si>
  <si>
    <t>A) Karate B) Taekwondo C) Jujutsu D) Aikido</t>
  </si>
  <si>
    <t>A) Karate</t>
  </si>
  <si>
    <t>Which dynasty saw Kung Fu being formally taught in temples?</t>
  </si>
  <si>
    <t>Tai Chi is considered a part of which Kung Fu tradition?</t>
  </si>
  <si>
    <t>A) Internal B) External C) Shaolin D) Wudang</t>
  </si>
  <si>
    <t>A) Internal</t>
  </si>
  <si>
    <t>The Monkey style of Kung Fu imitates:</t>
  </si>
  <si>
    <t>A) Animal agility B) Strength C) Wisdom D) Meditation</t>
  </si>
  <si>
    <t>A) Animal agility</t>
  </si>
  <si>
    <t>Kung Fu was introduced to the West primarily in which century?</t>
  </si>
  <si>
    <t>A) 18th B) 19th C) 20th D) 21st</t>
  </si>
  <si>
    <t>Bruce Lee is famous for popularizing which Kung Fu style?</t>
  </si>
  <si>
    <t>A) Wing Chun B) Jeet Kune Do C) Tai Chi D) Shaolin</t>
  </si>
  <si>
    <t>B) Jeet Kune Do</t>
  </si>
  <si>
    <t>Which Chinese philosopher’s teachings are incorporated in Kung Fu ethics?</t>
  </si>
  <si>
    <t>A) Confucius B) Laozi C) Sun Tzu D) Mozi</t>
  </si>
  <si>
    <t>Kung Fu competitions first appeared in China during which century?</t>
  </si>
  <si>
    <t>A) 16th B) 17th C) 18th D) 19th</t>
  </si>
  <si>
    <t>D) 19th</t>
  </si>
  <si>
    <t>Wing Chun Kung Fu originated in which region?</t>
  </si>
  <si>
    <t>A) Guangdong B) Henan C) Fujian D) Hunan</t>
  </si>
  <si>
    <t>Kung Fu training traditionally starts with:</t>
  </si>
  <si>
    <t>A) Meditation B) Warm-up C) Sparring D) Weapons practice</t>
  </si>
  <si>
    <t>B) Warm-up</t>
  </si>
  <si>
    <t>The Shaolin Temple is located near which mountain range?</t>
  </si>
  <si>
    <t>A) Songshan B) Wudang C) Taihang D) Hengshan</t>
  </si>
  <si>
    <t>A) Songshan</t>
  </si>
  <si>
    <t>Kung Fu was used by rebels during which historical period?</t>
  </si>
  <si>
    <t>A) Ming Dynasty B) Qing Dynasty C) Tang Dynasty D) Han Dynasty</t>
  </si>
  <si>
    <t>B) Qing Dynasty</t>
  </si>
  <si>
    <t>Which internal Kung Fu style emphasizes slow, flowing movements?</t>
  </si>
  <si>
    <t>A) Tai Chi B) Shaolin C) Wing Chun D) Wudang</t>
  </si>
  <si>
    <t>A) Tai Chi</t>
  </si>
  <si>
    <t>Kung Fu influenced traditional Chinese opera through:</t>
  </si>
  <si>
    <t>A) Acrobatics B) Weapon choreography C) Stylized movement D) All of the above</t>
  </si>
  <si>
    <t>Which style of Kung Fu is known for high jumps and acrobatics?</t>
  </si>
  <si>
    <t>A) Northern Shaolin B) Southern Shaolin C) Tai Chi D) Wudang</t>
  </si>
  <si>
    <t>A) Northern Shaolin</t>
  </si>
  <si>
    <t>Which animal style emphasizes speed and precision in Kung Fu?</t>
  </si>
  <si>
    <t>A) Tiger B) Crane C) Snake D) Leopard</t>
  </si>
  <si>
    <t>D) Leopard</t>
  </si>
  <si>
    <t>Which martial arts manual emphasized both theory and techniques of Kung Fu?</t>
  </si>
  <si>
    <t>A) Shaolin Manual B) Boxe Chinoise C) Wubei Zhi D) Taiping Yulan</t>
  </si>
  <si>
    <t>C) Wubei Zhi</t>
  </si>
  <si>
    <t>The “Iron Palm” technique is associated with:</t>
  </si>
  <si>
    <t>A) Strength conditioning B) Meditation C) Weapon training D) Healing</t>
  </si>
  <si>
    <t>A) Strength conditioning</t>
  </si>
  <si>
    <t>Kung Fu has been featured in Chinese cinema since which decade?</t>
  </si>
  <si>
    <t>B) 1930s</t>
  </si>
  <si>
    <t>Which of the following is a Southern Kung Fu style?</t>
  </si>
  <si>
    <t>A) Wing Chun B) Northern Shaolin C) Tai Chi D) Wudang</t>
  </si>
  <si>
    <t>A) Wing Chun</t>
  </si>
  <si>
    <t>The Shaolin Temple faced destruction during which period?</t>
  </si>
  <si>
    <t>A) Yuan Dynasty B) Qing Dynasty C) Ming Dynasty D) Cultural Revolution</t>
  </si>
  <si>
    <t>D) Cultural Revolution</t>
  </si>
  <si>
    <t>Which Shaolin monk became famous in Chinese folklore for Kung Fu mastery?</t>
  </si>
  <si>
    <t>A) Jee Sin B) Bodhidharma C) Li Bai D) Wu Song</t>
  </si>
  <si>
    <t>Kung Fu emphasizes “Qi” for:</t>
  </si>
  <si>
    <t>A) Strength B) Internal energy C) Speed D) Flexibility</t>
  </si>
  <si>
    <t>B) Internal energy</t>
  </si>
  <si>
    <t>The Dragon style of Kung Fu emphasizes:</t>
  </si>
  <si>
    <t>A) Power B) Agility C) Flexibility and fluidity D) Strength</t>
  </si>
  <si>
    <t>C) Flexibility and fluidity</t>
  </si>
  <si>
    <t>Wudang Kung Fu integrates which elements?</t>
  </si>
  <si>
    <t>A) Taoist philosophy B) Martial techniques C) Internal energy D) All of the above</t>
  </si>
  <si>
    <t>Traditional Kung Fu training includes:</t>
  </si>
  <si>
    <t>A) Forms (Taolu) B) Sparring (Sanshou) C) Weapons practice D) All of the above</t>
  </si>
  <si>
    <t>“Taolu” in Kung Fu refers to:</t>
  </si>
  <si>
    <t>A) Forms or routines B) Sparring C) Meditation D) Qi exercises</t>
  </si>
  <si>
    <t>A) Forms or routines</t>
  </si>
  <si>
    <t>“Sanshou” in Kung Fu refers to:</t>
  </si>
  <si>
    <t>A) Free sparring B) Forms C) Weapons D) Meditation</t>
  </si>
  <si>
    <t>A) Free sparring</t>
  </si>
  <si>
    <t>Kung Fu films gained international fame through which actor?</t>
  </si>
  <si>
    <t>A) Jackie Chan B) Jet Li C) Bruce Lee D) All of the above</t>
  </si>
  <si>
    <t>The Five Elements theory in Kung Fu includes:</t>
  </si>
  <si>
    <t>A) Fire, Water, Earth, Metal, Wood B) Fire, Air, Water, Metal, Wood C) Fire, Water, Earth, Metal, Air D) Fire, Earth, Air, Metal, Wood</t>
  </si>
  <si>
    <t>A) Fire, Water, Earth, Metal, Wood</t>
  </si>
  <si>
    <t>The “Crane” style focuses on:</t>
  </si>
  <si>
    <t>A) Balance and precision B) Strength and power C) Speed D) Endurance</t>
  </si>
  <si>
    <t>A) Balance and precision</t>
  </si>
  <si>
    <t>Kung Fu tournaments today follow:</t>
  </si>
  <si>
    <t>A) Traditional forms B) Modernized rules C) Both A and B D) No rules</t>
  </si>
  <si>
    <t>Kung Fu is considered part of:</t>
  </si>
  <si>
    <t>A) Chinese heritage B) Physical culture C) Martial art tradition D) All of the above</t>
  </si>
  <si>
    <t>Which dynasty saw the development of formalized Shaolin ranking systems?</t>
  </si>
  <si>
    <t>The Wing Chun style emphasizes:</t>
  </si>
  <si>
    <t>A) Close-range combat B) High kicks C) Acrobatics D) Long-range strikes</t>
  </si>
  <si>
    <t>A) Close-range combat</t>
  </si>
  <si>
    <t>Which style is considered Northern Kung Fu?</t>
  </si>
  <si>
    <t>A) Shaolin B) Wing Chun C) Tai Chi D) Wudang</t>
  </si>
  <si>
    <t>A) Shaolin</t>
  </si>
  <si>
    <t>Kung Fu philosophy often stresses:</t>
  </si>
  <si>
    <t>A) Moral integrity B) Physical skill C) Mental focus D) All of the above</t>
  </si>
  <si>
    <t>“Iron Shirt” in Kung Fu refers to:</t>
  </si>
  <si>
    <t>A) Defensive body conditioning B) Armor C) Weapon technique D) Martial philosophy</t>
  </si>
  <si>
    <t>A) Defensive body conditioning</t>
  </si>
  <si>
    <t>Traditional Kung Fu weapons include:</t>
  </si>
  <si>
    <t>A) Staff B) Sword C) Spear D) All of the above</t>
  </si>
  <si>
    <t>Kung Fu influenced which Western sport?</t>
  </si>
  <si>
    <t>A) MMA B) Boxing C) Wrestling D) Judo</t>
  </si>
  <si>
    <t>A) MMA</t>
  </si>
  <si>
    <t>Kung Fu emphasizes balance between:</t>
  </si>
  <si>
    <t>A) Strength and speed B) Mind and body C) Attack and defense D) All of the above</t>
  </si>
  <si>
    <t>Which Shaolin practice combines meditation with martial arts?</t>
  </si>
  <si>
    <t>A) Qigong B) Taolu C) Sanshou D) Wing Chun</t>
  </si>
  <si>
    <t>A) Qigong</t>
  </si>
  <si>
    <t>The “Tiger” style emphasizes:</t>
  </si>
  <si>
    <t>A) Power and aggression B) Grace and flexibility C) Speed and accuracy D) Meditation</t>
  </si>
  <si>
    <t>A) Power and aggression</t>
  </si>
  <si>
    <t>The “Snake” style of Kung Fu emphasizes:</t>
  </si>
  <si>
    <t>A) Flexibility and speed B) Strength C) High kicks D) Acrobatics</t>
  </si>
  <si>
    <t>A) Flexibility and speed</t>
  </si>
  <si>
    <t>The “Leopard” style emphasizes:</t>
  </si>
  <si>
    <t>A) Speed and power B) Grace and precision C) Endurance D) Meditation</t>
  </si>
  <si>
    <t>A) Speed and power</t>
  </si>
  <si>
    <t>The “Crane” style was historically inspired by:</t>
  </si>
  <si>
    <t>A) Observing birds B) Mythical legends C) Folklore heroes D) Martial monks</t>
  </si>
  <si>
    <t>A) Observing birds</t>
  </si>
  <si>
    <t>The Wudang Mountains are associated with which style of Kung Fu?</t>
  </si>
  <si>
    <t>A) Internal B) External C) Shaolin D) Northern</t>
  </si>
  <si>
    <t>Kung Fu forms are called:</t>
  </si>
  <si>
    <t>A) Taolu B) Kata C) Poomsae D) Silat</t>
  </si>
  <si>
    <t>A) Taolu</t>
  </si>
  <si>
    <t>“Sanda” or “Sanshou” refers to:</t>
  </si>
  <si>
    <t>A) Free sparring B) Forms C) Meditation D) Weapon training</t>
  </si>
  <si>
    <t>The earliest Kung Fu manuals were written in which language?</t>
  </si>
  <si>
    <t>A) Classical Chinese B) Japanese C) Korean D) Sanskrit</t>
  </si>
  <si>
    <t>A) Classical Chinese</t>
  </si>
  <si>
    <t>Kung Fu movies gained global popularity in which decade?</t>
  </si>
  <si>
    <t>A) 1960s B) 1970s C) 1980s D) 1990s</t>
  </si>
  <si>
    <t>B) 1970s</t>
  </si>
  <si>
    <t>Shaolin Kung Fu was historically practiced by:</t>
  </si>
  <si>
    <t>A) Monks B) Soldiers C) Civilians D) All of the above</t>
  </si>
  <si>
    <t>Which famous Shaolin monk is said to have taught Kung Fu to soldiers?</t>
  </si>
  <si>
    <t>A) Bodhidharma B) Luohan C) Zhang Sanfeng D) Yue Fei</t>
  </si>
  <si>
    <t>A) Bodhidharma</t>
  </si>
  <si>
    <t>Kung Fu is often combined with which traditional Chinese practice?</t>
  </si>
  <si>
    <t>A) Meditation B) Acupuncture C) Calligraphy D) Painting</t>
  </si>
  <si>
    <t>A) Meditation</t>
  </si>
  <si>
    <t>The “Iron Palm” technique strengthens which body part?</t>
  </si>
  <si>
    <t>A) Hands B) Feet C) Forearms D) Legs</t>
  </si>
  <si>
    <t>A) Hands</t>
  </si>
  <si>
    <t>The “Iron Shirt” technique develops:</t>
  </si>
  <si>
    <t>A) Body resilience B) Speed C) Agility D) Flexibility</t>
  </si>
  <si>
    <t>A) Body resilience</t>
  </si>
  <si>
    <t>The “Five Animals” Kung Fu was developed during which dynasty?</t>
  </si>
  <si>
    <t>A) Song B) Ming C) Qing D) Tang</t>
  </si>
  <si>
    <t>B) Ming</t>
  </si>
  <si>
    <t>The “Dragon” style emphasizes:</t>
  </si>
  <si>
    <t>A) Fluidity and flexibility B) Strength C) Speed D) Acrobatics</t>
  </si>
  <si>
    <t>A) Fluidity and flexibility</t>
  </si>
  <si>
    <t>Traditional Kung Fu training often includes:</t>
  </si>
  <si>
    <t>A) Forms B) Sparring C) Weapons D) All of the above</t>
  </si>
  <si>
    <t>“Qigong” in Kung Fu practice develops:</t>
  </si>
  <si>
    <t>A) Internal energy B) Strength C) Speed D) Acrobatics</t>
  </si>
  <si>
    <t>A) Internal energy</t>
  </si>
  <si>
    <t>Kung Fu philosophy stresses the balance between:</t>
  </si>
  <si>
    <t>A) Mind and body B) Speed and power C) Attack and defense D) Strength and endurance</t>
  </si>
  <si>
    <t>A) Mind and body</t>
  </si>
  <si>
    <t>Kung Fu was used historically to train which type of warriors?</t>
  </si>
  <si>
    <t>A) Soldiers B) Police C) Martial artists D) Monks</t>
  </si>
  <si>
    <t>A) Soldiers</t>
  </si>
  <si>
    <t>Wudang Kung Fu focuses on which type of martial training?</t>
  </si>
  <si>
    <t>A) Internal B) External C) Weapons D) Acrobatics</t>
  </si>
  <si>
    <t>Northern Shaolin Kung Fu is known for:</t>
  </si>
  <si>
    <t>A) High kicks and acrobatics B) Close combat C) Meditation D) Soft movements</t>
  </si>
  <si>
    <t>A) High kicks and acrobatics</t>
  </si>
  <si>
    <t>Southern Kung Fu is characterized by:</t>
  </si>
  <si>
    <t>A) Low stances and hand techniques B) High jumps C) Weapons mastery D) Meditation</t>
  </si>
  <si>
    <t>A) Low stances and hand techniques</t>
  </si>
  <si>
    <t>Wing Chun Kung Fu emphasizes:</t>
  </si>
  <si>
    <t>A) Close-range combat B) Long-range kicks C) Acrobatics D) Meditation</t>
  </si>
  <si>
    <t>Kung Fu ethics teach:</t>
  </si>
  <si>
    <t>A) Discipline B) Respect C) Perseverance D) All of the above</t>
  </si>
  <si>
    <t>Kung Fu influenced which modern martial art?</t>
  </si>
  <si>
    <t>A) Karate B) Taekwondo C) MMA D) Judo</t>
  </si>
  <si>
    <t>C) MMA</t>
  </si>
  <si>
    <t>Which dynasty promoted Kung Fu in temples and monasteries?</t>
  </si>
  <si>
    <t>The “Tiger” style focuses on:</t>
  </si>
  <si>
    <t>A) Strength and aggression B) Flexibility C) Acrobatics D) Meditation</t>
  </si>
  <si>
    <t>A) Strength and aggression</t>
  </si>
  <si>
    <t>A) Physical fitness B) Meditation C) Self-defense D) All of the above</t>
  </si>
  <si>
    <t>Bodhidharma is credited with bringing which practice to Shaolin Kung Fu?</t>
  </si>
  <si>
    <t>A) Meditation and Qigong B) Weapon training C) Acrobatics D) Wrestling</t>
  </si>
  <si>
    <t>A) Meditation and Qigong</t>
  </si>
  <si>
    <t>Kung Fu weapons training traditionally includes:</t>
  </si>
  <si>
    <t>A) Fire, Water, Earth, Metal, Wood B) Fire, Air, Water, Earth, Wood C) Fire, Metal, Earth, Air, Water D) Fire, Wood, Earth, Metal, Air</t>
  </si>
  <si>
    <t>Traditional Kung Fu festivals often featured:</t>
  </si>
  <si>
    <t>A) Demonstrations B) Competitions C) Rituals D) All of the above</t>
  </si>
  <si>
    <t>Kung Fu philosophy includes which principle?</t>
  </si>
  <si>
    <t>A) Harmony B) Discipline C) Morality D) All of the above</t>
  </si>
  <si>
    <t>Tai Chi is a form of:</t>
  </si>
  <si>
    <t>A) Internal Kung Fu B) External Kung Fu C) Shaolin Kung Fu D) Wudang Sword</t>
  </si>
  <si>
    <t>A) Internal Kung Fu</t>
  </si>
  <si>
    <t>Who is credited with founding Tai Chi?</t>
  </si>
  <si>
    <t>A) Zhang Sanfeng, B) Li Bai, C) Sun Tzu, D) Confucius</t>
  </si>
  <si>
    <t>A) Zhang Sanfeng</t>
  </si>
  <si>
    <t>Zhang Sanfeng is traditionally credited with founding Tai Chi in the 12th century.</t>
  </si>
  <si>
    <t>In which dynasty did Tai Chi become popular as a martial art?</t>
  </si>
  <si>
    <t>A) Tang Dynasty, B) Song Dynasty, C) Ming Dynasty, D) Qing Dynasty</t>
  </si>
  <si>
    <t>C) Ming Dynasty</t>
  </si>
  <si>
    <t>Tai Chi gained widespread popularity as a martial art during the Ming Dynasty.</t>
  </si>
  <si>
    <t>Tai Chi originated as a combination of martial arts and what other element?</t>
  </si>
  <si>
    <t>A) Dance, B) Meditation, C) Yoga, D) Acrobatics</t>
  </si>
  <si>
    <t>B) Meditation</t>
  </si>
  <si>
    <t>Tai Chi combines martial arts techniques with meditative movements for mind-body balance.</t>
  </si>
  <si>
    <t>Which Chinese philosophy is Tai Chi closely associated with?</t>
  </si>
  <si>
    <t>A) Taoism, B) Confucianism, C) Buddhism, D) Legalism</t>
  </si>
  <si>
    <t>A) Taoism</t>
  </si>
  <si>
    <t>Tai Chi is heavily influenced by Taoist principles, focusing on balance and harmony.</t>
  </si>
  <si>
    <t>Which martial art influenced the development of Tai Chi?</t>
  </si>
  <si>
    <t>A) Kung Fu, B) Karate, C) Judo, D) Boxing</t>
  </si>
  <si>
    <t>A) Kung Fu</t>
  </si>
  <si>
    <t>Tai Chi shares many similarities with Kung Fu, particularly in its fluidity and martial applications.</t>
  </si>
  <si>
    <t>Tai Chi is considered a form of what type of Chinese exercise?</t>
  </si>
  <si>
    <t>A) Qigong, B) Tai Bo, C) Yoga, D) Pilates</t>
  </si>
  <si>
    <t>Tai Chi is a form of Qigong, which focuses on cultivating and balancing the body's vital energy (Qi).</t>
  </si>
  <si>
    <t>The practice of Tai Chi is often paired with which other Chinese practice?</t>
  </si>
  <si>
    <t>A) Acupuncture, B) Feng Shui, C) Calligraphy, D) Traditional Chinese Medicine</t>
  </si>
  <si>
    <t>D) Traditional Chinese Medicine</t>
  </si>
  <si>
    <t>Tai Chi is often integrated with Traditional Chinese Medicine practices, promoting overall health and energy flow.</t>
  </si>
  <si>
    <t>In which century did Tai Chi first gain widespread recognition outside of China?</t>
  </si>
  <si>
    <t>A) 19th century, B) 20th century, C) 18th century, D) 17th century</t>
  </si>
  <si>
    <t>B) 20th century</t>
  </si>
  <si>
    <t>Tai Chi gained global recognition in the 20th century, particularly after being introduced to the West.</t>
  </si>
  <si>
    <t>What is the role of Tai Chi in Chinese culture?</t>
  </si>
  <si>
    <t>A) Religious practice, B) Martial art for self-defense, C) Meditation for health, D) Traditional dance</t>
  </si>
  <si>
    <t>C) Meditation for health</t>
  </si>
  <si>
    <t>Tai Chi is seen as a form of moving meditation that promotes physical and mental health.</t>
  </si>
  <si>
    <t>Which famous Tai Chi practitioner popularized the art in the West?</t>
  </si>
  <si>
    <t>A) Bruce Lee, B) Cheng Man-ching, C) Jackie Chan, D) Donnie Yen</t>
  </si>
  <si>
    <t>B) Cheng Man-ching</t>
  </si>
  <si>
    <t>Cheng Man-ching, a renowned Tai Chi master, played a significant role in popularizing Tai Chi in the West.</t>
  </si>
  <si>
    <t>Which dynasty is most associated with the formalization of Tai Chi as a martial art?</t>
  </si>
  <si>
    <t>A) Tang Dynasty, B) Ming Dynasty, C) Yuan Dynasty, D) Qing Dynasty</t>
  </si>
  <si>
    <t>B) Ming Dynasty</t>
  </si>
  <si>
    <t>Tai Chi was formalized as a martial art during the Ming Dynasty, becoming more structured and practiced.</t>
  </si>
  <si>
    <t>Who was the first to teach Tai Chi publicly outside of China?</t>
  </si>
  <si>
    <t>A) Cheng Man-ching, B) Wu Jianquan, C) Yang Luchan, D) Sun Lutang</t>
  </si>
  <si>
    <t>A) Cheng Man-ching</t>
  </si>
  <si>
    <t>Cheng Man-ching was instrumental in bringing Tai Chi to the West in the mid-20th century.</t>
  </si>
  <si>
    <t>Which philosopher's teachings significantly influenced Tai Chi?</t>
  </si>
  <si>
    <t>A) Laozi, B) Confucius, C) Sun Tzu, D) Zhuangzi</t>
  </si>
  <si>
    <t>A) Laozi</t>
  </si>
  <si>
    <t>Laozi's philosophy of Taoism, which emphasizes balance and harmony, is a fundamental influence on Tai Chi.</t>
  </si>
  <si>
    <t>What is the primary role of Tai Chi in Chinese medicine?</t>
  </si>
  <si>
    <t>A) Preventative health, B) Treating specific diseases, C) Enhancing physical strength, D) Increasing flexibility</t>
  </si>
  <si>
    <t>A) Preventative health</t>
  </si>
  <si>
    <t>Tai Chi is often practiced as a form of preventative health, maintaining balance and harmony in the body.</t>
  </si>
  <si>
    <t>Which of the following Tai Chi styles is considered the most popular worldwide?</t>
  </si>
  <si>
    <t>A) Chen Style, B) Wu Style, C) Yang Style, D) Sun Style</t>
  </si>
  <si>
    <t>C) Yang Style</t>
  </si>
  <si>
    <t>Yang Style is the most widely practiced form of Tai Chi around the world, known for its large, slow movements.</t>
  </si>
  <si>
    <t>Tai Chi is known to have originated in which province of China?</t>
  </si>
  <si>
    <t>A) Jiangsu, B) Henan, C) Hunan, D) Shanxi</t>
  </si>
  <si>
    <t>B) Henan</t>
  </si>
  <si>
    <t>Tai Chi is believed to have originated in the Chen Village in Henan Province, China.</t>
  </si>
  <si>
    <t>What role does Tai Chi play in Chinese martial arts competitions?</t>
  </si>
  <si>
    <t>A) It is used for self-defense, B) It is performed as a demonstration, C) It is used in sparring competitions, D) It is not involved</t>
  </si>
  <si>
    <t>B) It is performed as a demonstration</t>
  </si>
  <si>
    <t>Tai Chi is often performed as a demonstration of skill in martial arts competitions, focusing on form and precision.</t>
  </si>
  <si>
    <t>Who is the most famous Tai Chi master from the Chen family?</t>
  </si>
  <si>
    <t>A) Chen Wangting, B) Chen Fake, C) Chen Jun, D) Chen Ziqiang</t>
  </si>
  <si>
    <t>B) Chen Fake</t>
  </si>
  <si>
    <t>Chen Fake is one of the most famous Tai Chi masters from the Chen family, known for his contributions to Tai Chi's spread.</t>
  </si>
  <si>
    <t>What is the historical origin of Tai Chi?</t>
  </si>
  <si>
    <t>A) It originated in Japan, B) It originated in China, C) It originated in Korea, D) It originated in India</t>
  </si>
  <si>
    <t>B) It originated in China</t>
  </si>
  <si>
    <t>Tai Chi originated in China as a martial art, rooted in Taoist philosophy and practices.</t>
  </si>
  <si>
    <t>Who is considered the 'father' of Tai Chi?</t>
  </si>
  <si>
    <t>A) Yang Luchan, B) Chen Wangting, C) Wu Jianquan, D) Sun Lutang</t>
  </si>
  <si>
    <t>Chen Wangting, a military officer from the Chen Village, is considered the originator of Tai Chi as a martial art.</t>
  </si>
  <si>
    <t>Which of the following Tai Chi styles is the oldest?</t>
  </si>
  <si>
    <t>A) Yang Style, B) Chen Style, C) Wu Style, D) Sun Style</t>
  </si>
  <si>
    <t>B) Chen Style</t>
  </si>
  <si>
    <t>Chen Style, developed in the Chen Village, is the oldest known form of Tai Chi.</t>
  </si>
  <si>
    <t>Which Taoist concept forms the foundation of Tai Chi?</t>
  </si>
  <si>
    <t>A) Yin and Yang, B) Wu Wei, C) Dao, D) Qi</t>
  </si>
  <si>
    <t>Tai Chi is based on the Taoist principle of Yin and Yang, representing the balance of opposing forces.</t>
  </si>
  <si>
    <t>Which famous Tai Chi master helped to popularize the Yang style?</t>
  </si>
  <si>
    <t>A) Yang Luchan, B) Chen Wangting, C) Sun Lutang, D) Wu Jianquan</t>
  </si>
  <si>
    <t>A) Yang Luchan</t>
  </si>
  <si>
    <t>Yang Luchan helped popularize the Yang style of Tai Chi, which is now one of the most widely practiced forms.</t>
  </si>
  <si>
    <t>In which century did Tai Chi first begin to spread outside of China?</t>
  </si>
  <si>
    <t>A) 18th century, B) 19th century, C) 20th century, D) 21st century</t>
  </si>
  <si>
    <t>C) 20th century</t>
  </si>
  <si>
    <t>Tai Chi began to spread outside of China in the 20th century, especially after being introduced to the West.</t>
  </si>
  <si>
    <t>What does Tai Chi emphasize over strength and speed?</t>
  </si>
  <si>
    <t>A) Flexibility, B) Softness and yielding, C) Forceful strikes, D) Quick reflexes</t>
  </si>
  <si>
    <t>B) Softness and yielding</t>
  </si>
  <si>
    <t>Tai Chi emphasizes softness and yielding, allowing practitioners to redirect force and maintain balance.</t>
  </si>
  <si>
    <t>What is the main focus of Tai Chi practice in modern times?</t>
  </si>
  <si>
    <t>A) Martial application, B) Meditation and relaxation, C) Healing and health, D) Combat training</t>
  </si>
  <si>
    <t>C) Healing and health</t>
  </si>
  <si>
    <t>While Tai Chi has martial origins, it is now primarily practiced for health, relaxation, and stress relief.</t>
  </si>
  <si>
    <t>Tai Chi originated in which country?</t>
  </si>
  <si>
    <t>Tai Chi is also known as:</t>
  </si>
  <si>
    <t>A) Taijiquan B) Qigong C) Kung Fu D) Wushu</t>
  </si>
  <si>
    <t>A) Taijiquan</t>
  </si>
  <si>
    <t>Tai Chi is primarily considered a:</t>
  </si>
  <si>
    <t>A) Martial art B) Dance C) Game D) Sport</t>
  </si>
  <si>
    <t>A) Martial art</t>
  </si>
  <si>
    <t>The philosophy behind Tai Chi is influenced mainly by:</t>
  </si>
  <si>
    <t>A) Taoism B) Confucianism C) Buddhism D) Legalism</t>
  </si>
  <si>
    <t>Which dynasty saw the formal development of Tai Chi?</t>
  </si>
  <si>
    <t>A) Ming B) Qing C) Tang D) Song</t>
  </si>
  <si>
    <t>A) Ming</t>
  </si>
  <si>
    <t>Chen Village is famous for which Tai Chi style?</t>
  </si>
  <si>
    <t>A) Chen B) Yang C) Wu D) Sun</t>
  </si>
  <si>
    <t>A) Chen</t>
  </si>
  <si>
    <t>Tai Chi is practiced mainly for:</t>
  </si>
  <si>
    <t>A) Health B) Self-defense C) Meditation D) All of the above</t>
  </si>
  <si>
    <t>The “Yang” style of Tai Chi was founded by:</t>
  </si>
  <si>
    <t>A) Yang Luchan B) Chen Wangting C) Wu Yuxiang D) Sun Lutang</t>
  </si>
  <si>
    <t>Tai Chi movements emphasize:</t>
  </si>
  <si>
    <t>A) Slow and flowing motion B) Fast strikes C) Acrobatics D) Sparring</t>
  </si>
  <si>
    <t>A) Slow and flowing motion</t>
  </si>
  <si>
    <t>Tai Chi originated from which martial arts family?</t>
  </si>
  <si>
    <t>Tai Chi is often practiced with focus on:</t>
  </si>
  <si>
    <t>A) Breath control B) Qi cultivation C) Balance D) All of the above</t>
  </si>
  <si>
    <t>Sun style Tai Chi emphasizes:</t>
  </si>
  <si>
    <t>A) Agile footwork B) Powerful strikes C) High jumps D) Weapon use</t>
  </si>
  <si>
    <t>A) Agile footwork</t>
  </si>
  <si>
    <t>Tai Chi sword practice is called:</t>
  </si>
  <si>
    <t>A) Taijijian B) Taolu C) Qigong D) Wushu</t>
  </si>
  <si>
    <t>A) Taijijian</t>
  </si>
  <si>
    <t>Which Tai Chi style is known for its small circular movements?</t>
  </si>
  <si>
    <t>A) Wu B) Chen C) Yang D) Sun</t>
  </si>
  <si>
    <t>A) Wu</t>
  </si>
  <si>
    <t>Tai Chi was originally designed for:</t>
  </si>
  <si>
    <t>A) Self-defense B) Health C) Spiritual growth D) All of the above</t>
  </si>
  <si>
    <t>Tai Chi emphasizes “softness overcoming hardness,” which principle is this?</t>
  </si>
  <si>
    <t>A) Yin-Yang B) Five Elements C) Qi D) Wu Wei</t>
  </si>
  <si>
    <t>A) Yin-Yang</t>
  </si>
  <si>
    <t>Tai Chi originated in which province of China?</t>
  </si>
  <si>
    <t>A) Henan B) Hubei C) Fujian D) Guangdong</t>
  </si>
  <si>
    <t>The Chen style is known for:</t>
  </si>
  <si>
    <t>A) Explosive movements B) Slow movements only C) Meditation D) Weapon-less practice</t>
  </si>
  <si>
    <t>A) Explosive movements</t>
  </si>
  <si>
    <t>Tai Chi routines are also called:</t>
  </si>
  <si>
    <t>A) Forms B) Katas C) Taolu D) Exercises</t>
  </si>
  <si>
    <t>A) Forms</t>
  </si>
  <si>
    <t>Tai Chi hand techniques are referred to as:</t>
  </si>
  <si>
    <t>A) Open hand B) Closed hand C) Palm strikes D) All of the above</t>
  </si>
  <si>
    <t>Tai Chi’s “push hands” (Tui Shou) training focuses on:</t>
  </si>
  <si>
    <t>A) Sensitivity and balance B) Speed C) Power D) Acrobatics</t>
  </si>
  <si>
    <t>A) Sensitivity and balance</t>
  </si>
  <si>
    <t>Tai Chi’s health benefits include:</t>
  </si>
  <si>
    <t>A) Improved balance B) Stress reduction C) Circulation D) All of the above</t>
  </si>
  <si>
    <t>Tai Chi integrates which element of philosophy?</t>
  </si>
  <si>
    <t>A) Taoist harmony B) Confucian morality C) Buddhist meditation D) Legalist discipline</t>
  </si>
  <si>
    <t>A) Taoist harmony</t>
  </si>
  <si>
    <t>Tai Chi was brought to the West in which century?</t>
  </si>
  <si>
    <t>A) 19th B) 20th C) 18th D) 21st</t>
  </si>
  <si>
    <t>Tai Chi is sometimes called “meditation in motion.” True or False?</t>
  </si>
  <si>
    <t>A) True B) False C) Only in martial arts D) Only in health practice</t>
  </si>
  <si>
    <t>The founder of Chen style Tai Chi is:</t>
  </si>
  <si>
    <t>A) Chen Wangting B) Yang Luchan C) Wu Yuxiang D) Sun Lutang</t>
  </si>
  <si>
    <t>A) Chen Wangting</t>
  </si>
  <si>
    <t>Yang style Tai Chi is characterized by:</t>
  </si>
  <si>
    <t>A) Large, graceful movements B) Small, circular movements C) Explosive strikes D) Weapon-only practice</t>
  </si>
  <si>
    <t>A) Large, graceful movements</t>
  </si>
  <si>
    <t>Wu style Tai Chi is known for:</t>
  </si>
  <si>
    <t>A) Small, compact movements B) High jumps C) Weapon routines D) Speed and power</t>
  </si>
  <si>
    <t>A) Small, compact movements</t>
  </si>
  <si>
    <t>Sun style Tai Chi combines elements of:</t>
  </si>
  <si>
    <t>A) Xingyi B) Bagua C) Tai Chi D) Both A and B</t>
  </si>
  <si>
    <t>Tai Chi is used in which health practice?</t>
  </si>
  <si>
    <t>A) Traditional Chinese Medicine B) Yoga C) Pilates D) Aerobics</t>
  </si>
  <si>
    <t>A) Traditional Chinese Medicine</t>
  </si>
  <si>
    <t>Tai Chi helps improve:</t>
  </si>
  <si>
    <t>A) Balance B) Flexibility C) Mental focus D) All of the above</t>
  </si>
  <si>
    <t>Tai Chi was traditionally practiced by:</t>
  </si>
  <si>
    <t>A) Scholars B) Soldiers C) Monks D) All of the above</t>
  </si>
  <si>
    <t>Tai Chi routines can be performed:</t>
  </si>
  <si>
    <t>A) Solo B) In pairs C) In groups D) All of the above</t>
  </si>
  <si>
    <t>Tai Chi emphasizes which kind of breathing?</t>
  </si>
  <si>
    <t>A) Deep and controlled B) Rapid C) Shallow D) Irregular</t>
  </si>
  <si>
    <t>A) Deep and controlled</t>
  </si>
  <si>
    <t>Tai Chi’s “Yi” (mind intention) focuses on:</t>
  </si>
  <si>
    <t>A) Mental awareness B) Physical strength C) Acrobatics D) Speed</t>
  </si>
  <si>
    <t>A) Mental awareness</t>
  </si>
  <si>
    <t>Tai Chi is considered a part of which Chinese cultural heritage?</t>
  </si>
  <si>
    <t>A) Martial arts B) Physical culture C) Health practice D) All of the above</t>
  </si>
  <si>
    <t>Tai Chi “pushing hands” develops:</t>
  </si>
  <si>
    <t>A) Sensitivity to force B) Power only C) Flexibility only D) Speed only</t>
  </si>
  <si>
    <t>A) Sensitivity to force</t>
  </si>
  <si>
    <t>Chen style Tai Chi includes:</t>
  </si>
  <si>
    <t>A) Spiraling movements B) Meditation only C) Weapons only D) Acrobatics only</t>
  </si>
  <si>
    <t>A) Spiraling movements</t>
  </si>
  <si>
    <t>Yang style Tai Chi is most popular in:</t>
  </si>
  <si>
    <t>Tai Chi routines include how many major styles?</t>
  </si>
  <si>
    <t>A) Chen, Yang, Wu, Sun B) Shaolin, Wudang, Bagua, Xingyi C) Northern, Southern, Western, Eastern D) Kung Fu, Wushu, Qigong, Taiji</t>
  </si>
  <si>
    <t>A) Chen, Yang, Wu, Sun</t>
  </si>
  <si>
    <t>Tai Chi’s philosophy includes:</t>
  </si>
  <si>
    <t>A) Yin-Yang balance B) Wu Wei C) Harmony with nature D) All of the above</t>
  </si>
  <si>
    <t>Tai Chi helps prevent:</t>
  </si>
  <si>
    <t>A) Falls in elderly B) Cardiovascular issues C) Stress D) All of the above</t>
  </si>
  <si>
    <t>Tai Chi includes weapon routines for:</t>
  </si>
  <si>
    <t>A) Sword B) Spear C) Fan D) All of the above</t>
  </si>
  <si>
    <t>Tai Chi’s movements are often described as:</t>
  </si>
  <si>
    <t>A) Continuous and flowing B) Jerky and fast C) Explosive D) Static</t>
  </si>
  <si>
    <t>A) Continuous and flowing</t>
  </si>
  <si>
    <t>Tai Chi can be classified as:</t>
  </si>
  <si>
    <t>A) Internal martial art B) External martial art C) Dance D) Sport only</t>
  </si>
  <si>
    <t>A) Internal martial art</t>
  </si>
  <si>
    <t>Tai Chi philosophy promotes:</t>
  </si>
  <si>
    <t>A) Relaxation B) Patience C) Mindfulness D) All of the above</t>
  </si>
  <si>
    <t>Tai Chi became popular worldwide after:</t>
  </si>
  <si>
    <t>A) Chinese immigration B) Kung Fu movies C) Olympic inclusion D) Cultural festivals</t>
  </si>
  <si>
    <t>A) Chinese immigration</t>
  </si>
  <si>
    <t>Tai Chi’s “Chen” style includes:</t>
  </si>
  <si>
    <t>A) Fast and slow alternations B) Only slow movements C) Only meditation D) Only weapon use</t>
  </si>
  <si>
    <t>A) Fast and slow alternations</t>
  </si>
  <si>
    <t>Tai Chi’s health practice emphasizes:</t>
  </si>
  <si>
    <t>A) Qi cultivation B) Physical endurance C) Martial application D) All of the above</t>
  </si>
  <si>
    <t>Tai Chi movements often mimic:</t>
  </si>
  <si>
    <t>A) Animals B) Humans C) Nature D) Both A and C</t>
  </si>
  <si>
    <t>D) Both A and C</t>
  </si>
  <si>
    <t>Tai Chi’s modern forms are used for:</t>
  </si>
  <si>
    <t>A) Health B) Competition C) Martial training D) All of the above</t>
  </si>
  <si>
    <t>Tai Chi was originally created for:</t>
  </si>
  <si>
    <t>A) Defense B) Health C) Spiritual cultivation D) All of the above</t>
  </si>
  <si>
    <t>Tai Chi’s movements focus on:</t>
  </si>
  <si>
    <t>A) Relaxation B) Coordination C) Strength D) All of the above</t>
  </si>
  <si>
    <t>Tai Chi’s historical development was influenced by:</t>
  </si>
  <si>
    <t>A) Taoist philosophy B) Confucian ethics C) Chinese medicine D) All of the above</t>
  </si>
  <si>
    <t>Tai Chi practice improves:</t>
  </si>
  <si>
    <t>A) Mind-body coordination B) Breathing control C) Balance D) All of the above</t>
  </si>
  <si>
    <t>Tai Chi’s sword forms are called:</t>
  </si>
  <si>
    <t>A) Taijijian B) Taolu C) Qigong D) Jianfu</t>
  </si>
  <si>
    <t>Tai Chi’s philosophy encourages:</t>
  </si>
  <si>
    <t>A) Harmony with nature B) Patience C) Mindful action D) All of the above</t>
  </si>
  <si>
    <t>Tai Chi promotes:</t>
  </si>
  <si>
    <t>A) Longevity B) Mental clarity C) Physical health D) All of the above</t>
  </si>
  <si>
    <t>Tai Chi “Yang” style emphasizes:</t>
  </si>
  <si>
    <t>A) Large, slow, graceful movements B) Fast, explosive movements C) Only weapon use D) Only meditation</t>
  </si>
  <si>
    <t>A) Large, slow, graceful movements</t>
  </si>
  <si>
    <t>A) Compact movements B) High jumps C) Long kicks D) Acrobatics</t>
  </si>
  <si>
    <t>A) Compact movements</t>
  </si>
  <si>
    <t>Sun style Tai Chi combines which martial arts elements?</t>
  </si>
  <si>
    <t>A) Xingyi and Bagua B) Shaolin only C) Wudang only D) Tai Chi only</t>
  </si>
  <si>
    <t>A) Xingyi and Bagua</t>
  </si>
  <si>
    <t>Tai Chi “push hands” (Tui Shou) is practiced in:</t>
  </si>
  <si>
    <t>A) Pairs B) Solo C) Group only D) With weapons only</t>
  </si>
  <si>
    <t>A) Pairs</t>
  </si>
  <si>
    <t>A) Continuous flow B) Sudden bursts C) Explosive jumps D) Static poses</t>
  </si>
  <si>
    <t>A) Continuous flow</t>
  </si>
  <si>
    <t>Tai Chi was popularized in the West by:</t>
  </si>
  <si>
    <t>A) Chinese immigrants B) Kung Fu movies C) Olympic demonstrations D) Internet videos</t>
  </si>
  <si>
    <t>A) Chinese immigrants</t>
  </si>
  <si>
    <t>Tai Chi “Chen” style includes:</t>
  </si>
  <si>
    <t>A) Alternating slow and fast movements B) Only slow movements C) Only weapon practice D) Only meditation</t>
  </si>
  <si>
    <t>A) Alternating slow and fast movements</t>
  </si>
  <si>
    <t>Tai Chi “Wu” style originated in which province?</t>
  </si>
  <si>
    <t>A) Hebei B) Henan C) Guangdong D) Fujian</t>
  </si>
  <si>
    <t>A) Hebei</t>
  </si>
  <si>
    <t>C) Taolu</t>
  </si>
  <si>
    <t>Tai Chi emphasizes which internal energy concept?</t>
  </si>
  <si>
    <t>A) Qi B) Prana C) Ki D) Chi</t>
  </si>
  <si>
    <t>A) Qi</t>
  </si>
  <si>
    <t>A) Animals B) Nature C) Humans D) Both A and B</t>
  </si>
  <si>
    <t>A) Solo B) Pairs C) Groups D) All of the above</t>
  </si>
  <si>
    <t>Tai Chi “Yi” refers to:</t>
  </si>
  <si>
    <t>A) Mind intention B) Physical strength C) High kicks D) Acrobatics</t>
  </si>
  <si>
    <t>A) Mind intention</t>
  </si>
  <si>
    <t>Tai Chi hand techniques include:</t>
  </si>
  <si>
    <t>A) Health B) Meditation C) Self-defense D) All of the above</t>
  </si>
  <si>
    <t>Tai Chi’s philosophy emphasizes:</t>
  </si>
  <si>
    <t>Tai Chi originated primarily for:</t>
  </si>
  <si>
    <t>Tai Chi was influenced by:</t>
  </si>
  <si>
    <t>Tai Chi improves:</t>
  </si>
  <si>
    <t>A) Balance B) Coordination C) Mental focus D) All of the above</t>
  </si>
  <si>
    <t>Tai Chi can include which weapons?</t>
  </si>
  <si>
    <t>Tai Chi routines are classified under:</t>
  </si>
  <si>
    <t>A) Internal martial arts B) External martial arts C) Dance D) Sport only</t>
  </si>
  <si>
    <t>A) Internal martial arts</t>
  </si>
  <si>
    <t>Tai Chi’s slow movements help:</t>
  </si>
  <si>
    <t>A) Circulate Qi B) Improve balance C) Reduce stress D) All of the above</t>
  </si>
  <si>
    <t>Tai Chi philosophy encourages:</t>
  </si>
  <si>
    <t>Tai Chi “Chen” style founder:</t>
  </si>
  <si>
    <t>Tai Chi “Yang” style founder:</t>
  </si>
  <si>
    <t>Tai Chi “Wu” style founder:</t>
  </si>
  <si>
    <t>A) Wu Quanyou B) Chen Wangting C) Yang Luchan D) Sun Lutang</t>
  </si>
  <si>
    <t>A) Wu Quanyou</t>
  </si>
  <si>
    <t>Tai Chi “Sun” style founder:</t>
  </si>
  <si>
    <t>A) Sun Lutang B) Yang Luchan C) Wu Quanyou D) Chen Wangting</t>
  </si>
  <si>
    <t>A) Sun Lutang</t>
  </si>
  <si>
    <t>Tai Chi helps cultivate:</t>
  </si>
  <si>
    <t>A) Strength B) Agility C) Qi and mental focus D) All of the above</t>
  </si>
  <si>
    <t>Tai Chi emphasizes:</t>
  </si>
  <si>
    <t>A) Smooth transitions B) Hard strikes C) Acrobatics D) Weapon-only practice</t>
  </si>
  <si>
    <t>A) Smooth transitions</t>
  </si>
  <si>
    <t>Tai Chi can be used for:</t>
  </si>
  <si>
    <t>A) Martial application B) Health improvement C) Meditation D) All of the above</t>
  </si>
  <si>
    <t>Tai Chi promotes balance between:</t>
  </si>
  <si>
    <t>A) Mind and body B) Speed and power C) Strength and flexibility D) All of the above</t>
  </si>
  <si>
    <t>Tai Chi movements are described as:</t>
  </si>
  <si>
    <t>A) Flowing and continuous B) Explosive C) Jerky D) Static</t>
  </si>
  <si>
    <t>A) Flowing and continuous</t>
  </si>
  <si>
    <t>A) Stress reduction B) Better circulation C) Enhanced balance D) All of the above</t>
  </si>
  <si>
    <t>Tai Chi emphasizes “softness overcoming hardness,” reflecting which philosophy?</t>
  </si>
  <si>
    <t>A) Yin-Yang B) Confucianism C) Buddhism D) Legalism</t>
  </si>
  <si>
    <t>Tai Chi’s internal focus contrasts with which external martial arts?</t>
  </si>
  <si>
    <t>A) Shaolin B) Karate C) Taekwondo D) All of the above</t>
  </si>
  <si>
    <t>Tai Chi’s original purpose included training for:</t>
  </si>
  <si>
    <t>A) Self-defense B) Health C) Meditation D) All of the above</t>
  </si>
  <si>
    <t>Tai Chi’s health benefits are most studied in:</t>
  </si>
  <si>
    <t>A) Elderly populations B) Children C) Athletes D) Soldiers</t>
  </si>
  <si>
    <t>A) Elderly populations</t>
  </si>
  <si>
    <t>Tai Chi promotes coordination through:</t>
  </si>
  <si>
    <t>A) Slow, deliberate movements B) High-speed strikes C) Acrobatics D) Weapons only</t>
  </si>
  <si>
    <t>A) Slow, deliberate movements</t>
  </si>
  <si>
    <t>Tai Chi’s “Taolu” refers to:</t>
  </si>
  <si>
    <t>A) Forms B) Weapons C) Sparring D) Meditation</t>
  </si>
  <si>
    <t>Tai Chi routines often last:</t>
  </si>
  <si>
    <t>A) 10–20 minutes B) 1–2 hours C) 5 minutes D) 3–5 hours</t>
  </si>
  <si>
    <t>A) 10–20 minutes</t>
  </si>
  <si>
    <t>Tai Chi can be practiced:</t>
  </si>
  <si>
    <t>A) Indoors B) Outdoors C) Both A and B D) Only in gyms</t>
  </si>
  <si>
    <t>Tai Chi movements are designed to enhance:</t>
  </si>
  <si>
    <t>A) Qi flow B) Physical strength C) Mental focus D) All of the above</t>
  </si>
  <si>
    <t>Tai Chi’s Chen style is known for:</t>
  </si>
  <si>
    <t>A) Spiraling movements B) Only meditation C) Only weapon use D) Only slow movements</t>
  </si>
  <si>
    <t>Tai Chi “Yang” style is most common in:</t>
  </si>
  <si>
    <t>Tai Chi was originally developed in which historical period?</t>
  </si>
  <si>
    <t>A) Ming Dynasty B) Qing Dynasty C) Tang Dynasty D) Song Dynasty</t>
  </si>
  <si>
    <t>A) Ming Dynasty</t>
  </si>
  <si>
    <t>Tai Chi practice involves:</t>
  </si>
  <si>
    <t>A) Posture B) Breath control C) Mind focus D) All of the above</t>
  </si>
  <si>
    <t>Tai Chi’s “push hands” improves:</t>
  </si>
  <si>
    <t>A) Sensitivity to force B) Speed C) Acrobatics D) Flexibility only</t>
  </si>
  <si>
    <t>Tai Chi forms include:</t>
  </si>
  <si>
    <t>A) Solo routines B) Partner exercises C) Both A and B D) Weapon routines only</t>
  </si>
  <si>
    <t>Tai Chi is sometimes called:</t>
  </si>
  <si>
    <t>A) Meditation in motion B) Fighting dance C) Martial ballet D) Yoga</t>
  </si>
  <si>
    <t>A) Meditation in motion</t>
  </si>
  <si>
    <t>Tai Chi “Sun” style was influenced by:</t>
  </si>
  <si>
    <t>A) Xingyi and Bagua B) Shaolin C) Wudang D) Wu style</t>
  </si>
  <si>
    <t>Tai Chi’s internal energy is called:</t>
  </si>
  <si>
    <t>A) Qi B) Ki C) Prana D) Chi</t>
  </si>
  <si>
    <t>Tai Chi hand positions are important for:</t>
  </si>
  <si>
    <t>A) Balance B) Energy flow C) Accuracy D) All of the above</t>
  </si>
  <si>
    <t>Tai Chi sword practice helps develop:</t>
  </si>
  <si>
    <t>A) Precision B) Flow C) Coordination D) All of the above</t>
  </si>
  <si>
    <t>Tai Chi routines are passed down through:</t>
  </si>
  <si>
    <t>A) Lineage B) Written manuals C) Oral instruction D) All of the above</t>
  </si>
  <si>
    <t>Tai Chi is recognized as:</t>
  </si>
  <si>
    <t>A) Chinese intangible cultural heritage B) Olympic sport C) Japanese martial art D) Dance only</t>
  </si>
  <si>
    <t>A) Chinese intangible cultural heritage</t>
  </si>
  <si>
    <t>Tai Chi’s movements are designed to cultivate:</t>
  </si>
  <si>
    <t>A) Mind-body harmony B) Flexibility C) Balance D) All of the above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</si>
</sst>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rgb="FF000000"/>
      <name val="Arial"/>
    </font>
    <font>
      <color rgb="FF000000"/>
      <name val="宋体"/>
    </font>
    <font>
      <color theme="1"/>
      <name val="Arial"/>
      <scheme val="minor"/>
    </font>
  </fonts>
  <fills count="8">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1F1DA"/>
        <bgColor rgb="FFD1F1DA"/>
      </patternFill>
    </fill>
    <fill>
      <patternFill patternType="solid">
        <fgColor rgb="FFFF0000"/>
        <bgColor rgb="FFFF0000"/>
      </patternFill>
    </fill>
    <fill>
      <patternFill patternType="solid">
        <fgColor rgb="FFFFFF00"/>
        <bgColor rgb="FFFFFF00"/>
      </patternFill>
    </fill>
    <fill>
      <patternFill patternType="solid">
        <fgColor rgb="FFFFC000"/>
        <bgColor rgb="FFFFC0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shrinkToFit="0" vertical="top" wrapText="1"/>
    </xf>
    <xf borderId="0" fillId="0" fontId="1" numFmtId="0" xfId="0" applyAlignment="1" applyFont="1">
      <alignment horizontal="right" readingOrder="0" shrinkToFit="0" vertical="bottom" wrapText="1"/>
    </xf>
    <xf borderId="0" fillId="0" fontId="2" numFmtId="0" xfId="0" applyAlignment="1" applyFont="1">
      <alignment readingOrder="0" shrinkToFit="0" vertical="top" wrapText="1"/>
    </xf>
    <xf borderId="0" fillId="0" fontId="2" numFmtId="0" xfId="0" applyAlignment="1" applyFont="1">
      <alignment horizontal="righ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right" readingOrder="0" shrinkToFit="0" vertical="bottom" wrapText="1"/>
    </xf>
    <xf borderId="0" fillId="2" fontId="2" numFmtId="0" xfId="0" applyAlignment="1" applyFill="1" applyFont="1">
      <alignment horizontal="right" readingOrder="0" shrinkToFit="0" vertical="top"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3" fontId="2" numFmtId="0" xfId="0" applyAlignment="1" applyFill="1" applyFont="1">
      <alignment readingOrder="0"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3" numFmtId="0" xfId="0" applyAlignment="1" applyFont="1">
      <alignment readingOrder="0" shrinkToFit="0" vertical="bottom" wrapText="1"/>
    </xf>
    <xf borderId="0" fillId="0" fontId="1" numFmtId="0" xfId="0" applyAlignment="1" applyFont="1">
      <alignment horizontal="right" shrinkToFit="0" vertical="bottom" wrapText="0"/>
    </xf>
    <xf borderId="0" fillId="0" fontId="4" numFmtId="0" xfId="0" applyAlignment="1" applyFont="1">
      <alignment readingOrder="0" shrinkToFit="0" vertical="center" wrapText="0"/>
    </xf>
    <xf borderId="0" fillId="0" fontId="2" numFmtId="0" xfId="0" applyAlignment="1" applyFont="1">
      <alignment shrinkToFit="0" vertical="top" wrapText="1"/>
    </xf>
    <xf borderId="0" fillId="0" fontId="2" numFmtId="0" xfId="0" applyAlignment="1" applyFont="1">
      <alignment horizontal="right" shrinkToFit="0" vertical="bottom" wrapText="1"/>
    </xf>
    <xf borderId="0" fillId="0" fontId="1" numFmtId="0" xfId="0" applyAlignment="1" applyFont="1">
      <alignment horizontal="left" readingOrder="0" shrinkToFit="0" vertical="bottom" wrapText="1"/>
    </xf>
    <xf borderId="0" fillId="2" fontId="2" numFmtId="0" xfId="0" applyAlignment="1" applyFont="1">
      <alignment horizontal="right" readingOrder="0" shrinkToFit="0" vertical="bottom" wrapText="1"/>
    </xf>
    <xf borderId="0" fillId="0" fontId="1" numFmtId="0" xfId="0" applyAlignment="1" applyFont="1">
      <alignment horizontal="right" vertical="bottom"/>
    </xf>
    <xf borderId="0" fillId="4" fontId="2" numFmtId="0" xfId="0" applyAlignment="1" applyFill="1" applyFont="1">
      <alignment horizontal="left" readingOrder="0" shrinkToFit="0" vertical="top" wrapText="1"/>
    </xf>
    <xf borderId="0" fillId="0" fontId="2" numFmtId="0" xfId="0" applyAlignment="1" applyFont="1">
      <alignment horizontal="righ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5" fontId="2" numFmtId="0" xfId="0" applyAlignment="1" applyFill="1" applyFont="1">
      <alignment horizontal="left" readingOrder="0" shrinkToFit="0" vertical="top" wrapText="1"/>
    </xf>
    <xf borderId="0" fillId="6" fontId="2" numFmtId="0" xfId="0" applyAlignment="1" applyFill="1" applyFont="1">
      <alignment horizontal="left" readingOrder="0" shrinkToFit="0" vertical="top" wrapText="1"/>
    </xf>
    <xf borderId="0" fillId="7" fontId="2" numFmtId="0" xfId="0" applyAlignment="1" applyFill="1" applyFont="1">
      <alignment horizontal="left" readingOrder="0" shrinkToFit="0" vertical="top" wrapText="1"/>
    </xf>
    <xf borderId="0" fillId="0" fontId="2" numFmtId="0" xfId="0" applyAlignment="1" applyFont="1">
      <alignment horizontal="righ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cuju-style">
      <tableStyleElement dxfId="1" type="headerRow"/>
      <tableStyleElement dxfId="2" type="firstRowStripe"/>
      <tableStyleElement dxfId="3" type="secondRowStripe"/>
      <tableStyleElement dxfId="4" size="0" type="wholeTable"/>
    </tableStyle>
    <tableStyle count="4" pivot="0" name="cuju-style 2">
      <tableStyleElement dxfId="1" type="headerRow"/>
      <tableStyleElement dxfId="2" type="firstRowStripe"/>
      <tableStyleElement dxfId="3" type="secondRowStripe"/>
      <tableStyleElement dxfId="4" size="0" type="wholeTable"/>
    </tableStyle>
    <tableStyle count="4" pivot="0" name="dragon boat racing-style">
      <tableStyleElement dxfId="1" type="headerRow"/>
      <tableStyleElement dxfId="2" type="firstRowStripe"/>
      <tableStyleElement dxfId="3" type="secondRowStripe"/>
      <tableStyleElement dxfId="4" size="0" type="wholeTable"/>
    </tableStyle>
    <tableStyle count="4" pivot="0" name="dragon boat racing-style 2">
      <tableStyleElement dxfId="1" type="headerRow"/>
      <tableStyleElement dxfId="2" type="firstRowStripe"/>
      <tableStyleElement dxfId="3" type="secondRowStripe"/>
      <tableStyleElement dxfId="4" size="0" type="wholeTable"/>
    </tableStyle>
    <tableStyle count="4" pivot="0" name="go-style">
      <tableStyleElement dxfId="1" type="headerRow"/>
      <tableStyleElement dxfId="2" type="firstRowStripe"/>
      <tableStyleElement dxfId="3" type="secondRowStripe"/>
      <tableStyleElement dxfId="4" size="0" type="wholeTable"/>
    </tableStyle>
    <tableStyle count="4" pivot="0" name="go-style 2">
      <tableStyleElement dxfId="1" type="headerRow"/>
      <tableStyleElement dxfId="2" type="firstRowStripe"/>
      <tableStyleElement dxfId="3" type="secondRowStripe"/>
      <tableStyleElement dxfId="4" size="0" type="wholeTable"/>
    </tableStyle>
    <tableStyle count="4" pivot="0" name="jianzi-style">
      <tableStyleElement dxfId="1" type="headerRow"/>
      <tableStyleElement dxfId="2" type="firstRowStripe"/>
      <tableStyleElement dxfId="3" type="secondRowStripe"/>
      <tableStyleElement dxfId="4" size="0" type="wholeTable"/>
    </tableStyle>
    <tableStyle count="4" pivot="0" name="jianzi-style 2">
      <tableStyleElement dxfId="1" type="headerRow"/>
      <tableStyleElement dxfId="2" type="firstRowStripe"/>
      <tableStyleElement dxfId="3" type="secondRowStripe"/>
      <tableStyleElement dxfId="4" size="0" type="wholeTable"/>
    </tableStyle>
    <tableStyle count="4" pivot="0" name="kung fu-style">
      <tableStyleElement dxfId="1" type="headerRow"/>
      <tableStyleElement dxfId="2" type="firstRowStripe"/>
      <tableStyleElement dxfId="3" type="secondRowStripe"/>
      <tableStyleElement dxfId="4" size="0" type="wholeTable"/>
    </tableStyle>
    <tableStyle count="4" pivot="0" name="kung fu-style 2">
      <tableStyleElement dxfId="1" type="headerRow"/>
      <tableStyleElement dxfId="2" type="firstRowStripe"/>
      <tableStyleElement dxfId="3" type="secondRowStripe"/>
      <tableStyleElement dxfId="4" size="0" type="wholeTable"/>
    </tableStyle>
    <tableStyle count="4" pivot="0" name="tai chi-style">
      <tableStyleElement dxfId="1" type="headerRow"/>
      <tableStyleElement dxfId="2" type="firstRowStripe"/>
      <tableStyleElement dxfId="3" type="secondRowStripe"/>
      <tableStyleElement dxfId="4" size="0" type="wholeTable"/>
    </tableStyle>
    <tableStyle count="4" pivot="0" name="tai chi-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2" displayName="Table2" name="Table2" id="1">
  <tableColumns count="5">
    <tableColumn name="Question No." id="1"/>
    <tableColumn name="Question" id="2"/>
    <tableColumn name="Options" id="3"/>
    <tableColumn name="Answer" id="4"/>
    <tableColumn name="Description" id="5"/>
  </tableColumns>
  <tableStyleInfo name="cuju-style" showColumnStripes="0" showFirstColumn="1" showLastColumn="1" showRowStripes="1"/>
</table>
</file>

<file path=xl/tables/table2.xml><?xml version="1.0" encoding="utf-8"?>
<table xmlns="http://schemas.openxmlformats.org/spreadsheetml/2006/main" ref="H1:K152" displayName="Table1" name="Table1" id="2">
  <tableColumns count="4">
    <tableColumn name="问题" id="1"/>
    <tableColumn name="选项" id="2"/>
    <tableColumn name="答案" id="3"/>
    <tableColumn name="Description" id="4"/>
  </tableColumns>
  <tableStyleInfo name="cuju-style 2" showColumnStripes="0" showFirstColumn="1" showLastColumn="1" showRowStripes="1"/>
</table>
</file>

<file path=xl/tables/table3.xml><?xml version="1.0" encoding="utf-8"?>
<table xmlns="http://schemas.openxmlformats.org/spreadsheetml/2006/main" ref="A1:E131" displayName="Table4" name="Table4" id="3">
  <tableColumns count="5">
    <tableColumn name="Question No." id="1"/>
    <tableColumn name="Question" id="2"/>
    <tableColumn name="Options" id="3"/>
    <tableColumn name="Answer" id="4"/>
    <tableColumn name="Description" id="5"/>
  </tableColumns>
  <tableStyleInfo name="dragon boat racing-style" showColumnStripes="0" showFirstColumn="1" showLastColumn="1" showRowStripes="1"/>
</table>
</file>

<file path=xl/tables/table4.xml><?xml version="1.0" encoding="utf-8"?>
<table xmlns="http://schemas.openxmlformats.org/spreadsheetml/2006/main" ref="H1:K131" displayName="Table3" name="Table3" id="4">
  <tableColumns count="4">
    <tableColumn name="问题" id="1"/>
    <tableColumn name="选项" id="2"/>
    <tableColumn name="答案" id="3"/>
    <tableColumn name="Description" id="4"/>
  </tableColumns>
  <tableStyleInfo name="dragon boat racing-style 2" showColumnStripes="0" showFirstColumn="1" showLastColumn="1" showRowStripes="1"/>
</table>
</file>

<file path=xl/tables/table5.xml><?xml version="1.0" encoding="utf-8"?>
<table xmlns="http://schemas.openxmlformats.org/spreadsheetml/2006/main" ref="A1:E125" displayName="Table6" name="Table6" id="5">
  <tableColumns count="5">
    <tableColumn name="Question No." id="1"/>
    <tableColumn name="Question" id="2"/>
    <tableColumn name="Options" id="3"/>
    <tableColumn name="Answer" id="4"/>
    <tableColumn name="Description" id="5"/>
  </tableColumns>
  <tableStyleInfo name="go-style" showColumnStripes="0" showFirstColumn="1" showLastColumn="1" showRowStripes="1"/>
</table>
</file>

<file path=xl/tables/table6.xml><?xml version="1.0" encoding="utf-8"?>
<table xmlns="http://schemas.openxmlformats.org/spreadsheetml/2006/main" ref="I1:L125" displayName="Table5" name="Table5" id="6">
  <tableColumns count="4">
    <tableColumn name="问题" id="1"/>
    <tableColumn name="选项" id="2"/>
    <tableColumn name="答案" id="3"/>
    <tableColumn name="Description" id="4"/>
  </tableColumns>
  <tableStyleInfo name="go-style 2" showColumnStripes="0" showFirstColumn="1" showLastColumn="1" showRowStripes="1"/>
</table>
</file>

<file path=xl/tables/table7.xml><?xml version="1.0" encoding="utf-8"?>
<table xmlns="http://schemas.openxmlformats.org/spreadsheetml/2006/main" ref="A1:E146" displayName="Table8" name="Table8" id="7">
  <tableColumns count="5">
    <tableColumn name="Question No." id="1"/>
    <tableColumn name="Question" id="2"/>
    <tableColumn name="Options" id="3"/>
    <tableColumn name="Answer" id="4"/>
    <tableColumn name="Description" id="5"/>
  </tableColumns>
  <tableStyleInfo name="jianzi-style" showColumnStripes="0" showFirstColumn="1" showLastColumn="1" showRowStripes="1"/>
</table>
</file>

<file path=xl/tables/table8.xml><?xml version="1.0" encoding="utf-8"?>
<table xmlns="http://schemas.openxmlformats.org/spreadsheetml/2006/main" ref="H1:K146" displayName="Table7" name="Table7" id="8">
  <tableColumns count="4">
    <tableColumn name="问题" id="1"/>
    <tableColumn name="选项" id="2"/>
    <tableColumn name="答案" id="3"/>
    <tableColumn name="Description" id="4"/>
  </tableColumns>
  <tableStyleInfo name="jianzi-style 2" showColumnStripes="0" showFirstColumn="1" showLastColumn="1" showRowStripes="1"/>
</table>
</file>

<file path=xl/tables/table9.xml><?xml version="1.0" encoding="utf-8"?>
<table xmlns="http://schemas.openxmlformats.org/spreadsheetml/2006/main" ref="A1:E136" displayName="Table10" name="Table10" id="9">
  <tableColumns count="5">
    <tableColumn name="Question No." id="1"/>
    <tableColumn name="Question" id="2"/>
    <tableColumn name="Options" id="3"/>
    <tableColumn name="Answer" id="4"/>
    <tableColumn name="Description" id="5"/>
  </tableColumns>
  <tableStyleInfo name="kung fu-style" showColumnStripes="0" showFirstColumn="1" showLastColumn="1" showRowStripes="1"/>
</table>
</file>

<file path=xl/tables/table10.xml><?xml version="1.0" encoding="utf-8"?>
<table xmlns="http://schemas.openxmlformats.org/spreadsheetml/2006/main" ref="I1:L136" displayName="Table9" name="Table9" id="10">
  <tableColumns count="4">
    <tableColumn name="问题" id="1"/>
    <tableColumn name="选项" id="2"/>
    <tableColumn name="答案" id="3"/>
    <tableColumn name="Description" id="4"/>
  </tableColumns>
  <tableStyleInfo name="kung fu-style 2" showColumnStripes="0" showFirstColumn="1" showLastColumn="1" showRowStripes="1"/>
</table>
</file>

<file path=xl/tables/table11.xml><?xml version="1.0" encoding="utf-8"?>
<table xmlns="http://schemas.openxmlformats.org/spreadsheetml/2006/main" ref="A1:E144" displayName="Table11" name="Table11" id="11">
  <tableColumns count="5">
    <tableColumn name="Question No." id="1"/>
    <tableColumn name="Question" id="2"/>
    <tableColumn name="Options" id="3"/>
    <tableColumn name="Answer" id="4"/>
    <tableColumn name="Description" id="5"/>
  </tableColumns>
  <tableStyleInfo name="tai chi-style" showColumnStripes="0" showFirstColumn="1" showLastColumn="1" showRowStripes="1"/>
</table>
</file>

<file path=xl/tables/table12.xml><?xml version="1.0" encoding="utf-8"?>
<table xmlns="http://schemas.openxmlformats.org/spreadsheetml/2006/main" ref="H1:K144" displayName="Table12" name="Table12" id="12">
  <tableColumns count="4">
    <tableColumn name="问题" id="1"/>
    <tableColumn name="选项" id="2"/>
    <tableColumn name="答案" id="3"/>
    <tableColumn name="Description" id="4"/>
  </tableColumns>
  <tableStyleInfo name="tai chi-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9" max="9" width="12.75"/>
  </cols>
  <sheetData>
    <row r="1">
      <c r="A1" s="1" t="s">
        <v>0</v>
      </c>
      <c r="B1" s="1" t="s">
        <v>1</v>
      </c>
      <c r="C1" s="1" t="s">
        <v>2</v>
      </c>
      <c r="D1" s="1" t="s">
        <v>3</v>
      </c>
      <c r="E1" s="1" t="s">
        <v>4</v>
      </c>
      <c r="F1" s="2"/>
      <c r="G1" s="2"/>
      <c r="H1" s="3" t="s">
        <v>5</v>
      </c>
      <c r="I1" s="1" t="s">
        <v>6</v>
      </c>
      <c r="J1" s="1" t="s">
        <v>7</v>
      </c>
      <c r="K1" s="1" t="s">
        <v>4</v>
      </c>
      <c r="L1" s="4"/>
      <c r="M1" s="4"/>
      <c r="N1" s="4"/>
      <c r="O1" s="4"/>
      <c r="P1" s="4"/>
      <c r="Q1" s="2"/>
      <c r="R1" s="2"/>
      <c r="S1" s="2"/>
      <c r="T1" s="2"/>
      <c r="U1" s="2"/>
      <c r="V1" s="2"/>
      <c r="W1" s="2"/>
      <c r="X1" s="2"/>
      <c r="Y1" s="2"/>
      <c r="Z1" s="2"/>
      <c r="AA1" s="2"/>
      <c r="AB1" s="2"/>
      <c r="AC1" s="2"/>
    </row>
    <row r="2">
      <c r="A2" s="5">
        <v>1.0</v>
      </c>
      <c r="B2" s="6" t="s">
        <v>8</v>
      </c>
      <c r="C2" s="6" t="s">
        <v>9</v>
      </c>
      <c r="D2" s="6" t="s">
        <v>10</v>
      </c>
      <c r="E2" s="6" t="s">
        <v>11</v>
      </c>
      <c r="F2" s="2"/>
      <c r="G2" s="2"/>
      <c r="H2" s="7" t="str">
        <f>IFERROR(__xludf.DUMMYFUNCTION("GOOGLETRANSLATE(B2, ""en"", ""zh"")"),"蹴鞠这项中国古代运动的创始人是谁？")</f>
        <v>蹴鞠这项中国古代运动的创始人是谁？</v>
      </c>
      <c r="I2" s="7" t="str">
        <f>IFERROR(__xludf.DUMMYFUNCTION("GOOGLETRANSLATE(C2, ""en"", ""zh"")"),"A) 汉武帝，B) 秦昭祥王，C) 张郃，D) 孔子")</f>
        <v>A) 汉武帝，B) 秦昭祥王，C) 张郃，D) 孔子</v>
      </c>
      <c r="J2" s="7" t="str">
        <f>IFERROR(__xludf.DUMMYFUNCTION("GOOGLETRANSLATE(D2, ""en"", ""zh"")"),"A) 汉武帝")</f>
        <v>A) 汉武帝</v>
      </c>
      <c r="K2" s="7" t="str">
        <f>IFERROR(__xludf.DUMMYFUNCTION("GOOGLETRANSLATE(E2, ""en"", ""zh"")"),"蹴鞠据信是汉武帝时期发明的。")</f>
        <v>蹴鞠据信是汉武帝时期发明的。</v>
      </c>
      <c r="L2" s="2"/>
      <c r="M2" s="4"/>
      <c r="N2" s="2"/>
      <c r="O2" s="4"/>
      <c r="P2" s="4"/>
      <c r="Q2" s="2"/>
      <c r="R2" s="2"/>
      <c r="S2" s="2"/>
      <c r="T2" s="2"/>
      <c r="U2" s="2"/>
      <c r="V2" s="2"/>
      <c r="W2" s="2"/>
      <c r="X2" s="2"/>
      <c r="Y2" s="2"/>
      <c r="Z2" s="2"/>
      <c r="AA2" s="2"/>
      <c r="AB2" s="2"/>
      <c r="AC2" s="2"/>
    </row>
    <row r="3">
      <c r="A3" s="5">
        <v>2.0</v>
      </c>
      <c r="B3" s="6" t="s">
        <v>12</v>
      </c>
      <c r="C3" s="6" t="s">
        <v>13</v>
      </c>
      <c r="D3" s="6" t="s">
        <v>14</v>
      </c>
      <c r="E3" s="6" t="s">
        <v>15</v>
      </c>
      <c r="F3" s="2"/>
      <c r="G3" s="2"/>
      <c r="H3" s="7" t="str">
        <f>IFERROR(__xludf.DUMMYFUNCTION("GOOGLETRANSLATE(B3, ""en"", ""zh"")"),"蹴鞠在中国哪个朝代成为一项流行的运动？")</f>
        <v>蹴鞠在中国哪个朝代成为一项流行的运动？</v>
      </c>
      <c r="I3" s="7" t="str">
        <f>IFERROR(__xludf.DUMMYFUNCTION("GOOGLETRANSLATE(C3, ""en"", ""zh"")"),"A) 唐朝，B) 宋朝，C) 汉朝，D) 清朝")</f>
        <v>A) 唐朝，B) 宋朝，C) 汉朝，D) 清朝</v>
      </c>
      <c r="J3" s="7" t="str">
        <f>IFERROR(__xludf.DUMMYFUNCTION("GOOGLETRANSLATE(D3, ""en"", ""zh"")"),"C）汉朝")</f>
        <v>C）汉朝</v>
      </c>
      <c r="K3" s="7" t="str">
        <f>IFERROR(__xludf.DUMMYFUNCTION("GOOGLETRANSLATE(E3, ""en"", ""zh"")"),"蹴鞠在汉代（大约公元前2世纪）开始流行。")</f>
        <v>蹴鞠在汉代（大约公元前2世纪）开始流行。</v>
      </c>
      <c r="L3" s="2"/>
      <c r="M3" s="4"/>
      <c r="N3" s="2"/>
      <c r="O3" s="4"/>
      <c r="P3" s="2"/>
      <c r="Q3" s="2"/>
      <c r="R3" s="2"/>
      <c r="S3" s="2"/>
      <c r="T3" s="2"/>
      <c r="U3" s="2"/>
      <c r="V3" s="2"/>
      <c r="W3" s="2"/>
      <c r="X3" s="2"/>
      <c r="Y3" s="2"/>
      <c r="Z3" s="2"/>
      <c r="AA3" s="2"/>
      <c r="AB3" s="2"/>
      <c r="AC3" s="2"/>
    </row>
    <row r="4">
      <c r="A4" s="5">
        <v>3.0</v>
      </c>
      <c r="B4" s="6" t="s">
        <v>16</v>
      </c>
      <c r="C4" s="6" t="s">
        <v>17</v>
      </c>
      <c r="D4" s="6" t="s">
        <v>18</v>
      </c>
      <c r="E4" s="6" t="s">
        <v>19</v>
      </c>
      <c r="F4" s="2"/>
      <c r="G4" s="2"/>
      <c r="H4" s="7" t="str">
        <f>IFERROR(__xludf.DUMMYFUNCTION("GOOGLETRANSLATE(B4, ""en"", ""zh"")"),"“蹴鞠”这个名字在中文里字面意思是什么？")</f>
        <v>“蹴鞠”这个名字在中文里字面意思是什么？</v>
      </c>
      <c r="I4" s="7" t="str">
        <f>IFERROR(__xludf.DUMMYFUNCTION("GOOGLETRANSLATE(C4, ""en"", ""zh"")"),"A) 踢球，B) 玩游戏，C) 古代足球，D) 皇家运动")</f>
        <v>A) 踢球，B) 玩游戏，C) 古代足球，D) 皇家运动</v>
      </c>
      <c r="J4" s="7" t="str">
        <f>IFERROR(__xludf.DUMMYFUNCTION("GOOGLETRANSLATE(D4, ""en"", ""zh"")"),"A) 踢球")</f>
        <v>A) 踢球</v>
      </c>
      <c r="K4" s="7" t="str">
        <f>IFERROR(__xludf.DUMMYFUNCTION("GOOGLETRANSLATE(E4, ""en"", ""zh"")"),"蹴鞠在中文里直接翻译就是“踢球”，反映了这项运动的本质。")</f>
        <v>蹴鞠在中文里直接翻译就是“踢球”，反映了这项运动的本质。</v>
      </c>
      <c r="L4" s="2"/>
      <c r="M4" s="4"/>
      <c r="N4" s="2"/>
      <c r="O4" s="4"/>
      <c r="P4" s="4"/>
      <c r="Q4" s="2"/>
      <c r="R4" s="2"/>
      <c r="S4" s="2"/>
      <c r="T4" s="2"/>
      <c r="U4" s="2"/>
      <c r="V4" s="2"/>
      <c r="W4" s="2"/>
      <c r="X4" s="2"/>
      <c r="Y4" s="2"/>
      <c r="Z4" s="2"/>
      <c r="AA4" s="2"/>
      <c r="AB4" s="2"/>
      <c r="AC4" s="2"/>
    </row>
    <row r="5">
      <c r="A5" s="5">
        <v>4.0</v>
      </c>
      <c r="B5" s="6" t="s">
        <v>20</v>
      </c>
      <c r="C5" s="6" t="s">
        <v>21</v>
      </c>
      <c r="D5" s="6" t="s">
        <v>22</v>
      </c>
      <c r="E5" s="6" t="s">
        <v>23</v>
      </c>
      <c r="F5" s="2"/>
      <c r="G5" s="2"/>
      <c r="H5" s="7" t="str">
        <f>IFERROR(__xludf.DUMMYFUNCTION("GOOGLETRANSLATE(B5, ""en"", ""zh"")"),"哪份历史文献最早记载了蹴鞠这项运动？")</f>
        <v>哪份历史文献最早记载了蹴鞠这项运动？</v>
      </c>
      <c r="I5" s="7" t="str">
        <f>IFERROR(__xludf.DUMMYFUNCTION("GOOGLETRANSLATE(C5, ""en"", ""zh"")"),"A)《史记》, B)《诗经》, C)《左传》, D)《春秋》")</f>
        <v>A)《史记》, B)《诗经》, C)《左传》, D)《春秋》</v>
      </c>
      <c r="J5" s="7" t="str">
        <f>IFERROR(__xludf.DUMMYFUNCTION("GOOGLETRANSLATE(D5, ""en"", ""zh"")"),"A) 大史官的记录")</f>
        <v>A) 大史官的记录</v>
      </c>
      <c r="K5" s="7" t="str">
        <f>IFERROR(__xludf.DUMMYFUNCTION("GOOGLETRANSLATE(E5, ""en"", ""zh"")"),"蹴鞠最早记载于历史文献《史记》中。")</f>
        <v>蹴鞠最早记载于历史文献《史记》中。</v>
      </c>
      <c r="L5" s="2"/>
      <c r="M5" s="4"/>
      <c r="N5" s="2"/>
      <c r="O5" s="4"/>
      <c r="P5" s="2"/>
      <c r="Q5" s="2"/>
      <c r="R5" s="2"/>
      <c r="S5" s="2"/>
      <c r="T5" s="2"/>
      <c r="U5" s="2"/>
      <c r="V5" s="2"/>
      <c r="W5" s="2"/>
      <c r="X5" s="2"/>
      <c r="Y5" s="2"/>
      <c r="Z5" s="2"/>
      <c r="AA5" s="2"/>
      <c r="AB5" s="2"/>
      <c r="AC5" s="2"/>
    </row>
    <row r="6">
      <c r="A6" s="5">
        <v>5.0</v>
      </c>
      <c r="B6" s="6" t="s">
        <v>24</v>
      </c>
      <c r="C6" s="6" t="s">
        <v>25</v>
      </c>
      <c r="D6" s="6" t="s">
        <v>26</v>
      </c>
      <c r="E6" s="6" t="s">
        <v>27</v>
      </c>
      <c r="F6" s="2"/>
      <c r="G6" s="2"/>
      <c r="H6" s="7" t="str">
        <f>IFERROR(__xludf.DUMMYFUNCTION("GOOGLETRANSLATE(B6, ""en"", ""zh"")"),"唐朝哪位皇帝曾大力提拔蹴鞠？")</f>
        <v>唐朝哪位皇帝曾大力提拔蹴鞠？</v>
      </c>
      <c r="I6" s="7" t="str">
        <f>IFERROR(__xludf.DUMMYFUNCTION("GOOGLETRANSLATE(C6, ""en"", ""zh"")"),"A) 唐太宗 B) 玄宗 C) 武帝 D) 太祖")</f>
        <v>A) 唐太宗 B) 玄宗 C) 武帝 D) 太祖</v>
      </c>
      <c r="J6" s="7" t="str">
        <f>IFERROR(__xludf.DUMMYFUNCTION("GOOGLETRANSLATE(D6, ""en"", ""zh"")"),"B) 唐玄宗")</f>
        <v>B) 唐玄宗</v>
      </c>
      <c r="K6" s="7" t="str">
        <f>IFERROR(__xludf.DUMMYFUNCTION("GOOGLETRANSLATE(E6, ""en"", ""zh"")"),"唐玄宗皇帝因鼓励蹴鞠这种游戏而闻名于唐朝。")</f>
        <v>唐玄宗皇帝因鼓励蹴鞠这种游戏而闻名于唐朝。</v>
      </c>
      <c r="L6" s="4"/>
      <c r="M6" s="4"/>
      <c r="N6" s="2"/>
      <c r="O6" s="4"/>
      <c r="P6" s="2"/>
      <c r="Q6" s="2"/>
      <c r="R6" s="2"/>
      <c r="S6" s="2"/>
      <c r="T6" s="2"/>
      <c r="U6" s="2"/>
      <c r="V6" s="2"/>
      <c r="W6" s="2"/>
      <c r="X6" s="2"/>
      <c r="Y6" s="2"/>
      <c r="Z6" s="2"/>
      <c r="AA6" s="2"/>
      <c r="AB6" s="2"/>
      <c r="AC6" s="2"/>
    </row>
    <row r="7">
      <c r="A7" s="5">
        <v>6.0</v>
      </c>
      <c r="B7" s="6" t="s">
        <v>28</v>
      </c>
      <c r="C7" s="6" t="s">
        <v>29</v>
      </c>
      <c r="D7" s="6" t="s">
        <v>30</v>
      </c>
      <c r="E7" s="6" t="s">
        <v>31</v>
      </c>
      <c r="F7" s="2"/>
      <c r="G7" s="2"/>
      <c r="H7" s="7" t="str">
        <f>IFERROR(__xludf.DUMMYFUNCTION("GOOGLETRANSLATE(B7, ""en"", ""zh"")"),"蹴鞠这项运动起源于哪个古代文明？")</f>
        <v>蹴鞠这项运动起源于哪个古代文明？</v>
      </c>
      <c r="I7" s="7" t="str">
        <f>IFERROR(__xludf.DUMMYFUNCTION("GOOGLETRANSLATE(C7, ""en"", ""zh"")"),"A) 中国，B) 印度，C) 希腊，D) 罗马")</f>
        <v>A) 中国，B) 印度，C) 希腊，D) 罗马</v>
      </c>
      <c r="J7" s="7" t="str">
        <f>IFERROR(__xludf.DUMMYFUNCTION("GOOGLETRANSLATE(D7, ""en"", ""zh"")"),"A) 中国")</f>
        <v>A) 中国</v>
      </c>
      <c r="K7" s="7" t="str">
        <f>IFERROR(__xludf.DUMMYFUNCTION("GOOGLETRANSLATE(E7, ""en"", ""zh"")"),"蹴鞠起源于中国汉代，是一种球类运动。")</f>
        <v>蹴鞠起源于中国汉代，是一种球类运动。</v>
      </c>
      <c r="L7" s="2"/>
      <c r="M7" s="4"/>
      <c r="N7" s="2"/>
      <c r="O7" s="4"/>
      <c r="P7" s="2"/>
      <c r="Q7" s="2"/>
      <c r="R7" s="2"/>
      <c r="S7" s="2"/>
      <c r="T7" s="2"/>
      <c r="U7" s="2"/>
      <c r="V7" s="2"/>
      <c r="W7" s="2"/>
      <c r="X7" s="2"/>
      <c r="Y7" s="2"/>
      <c r="Z7" s="2"/>
      <c r="AA7" s="2"/>
      <c r="AB7" s="2"/>
      <c r="AC7" s="2"/>
    </row>
    <row r="8">
      <c r="A8" s="5">
        <v>7.0</v>
      </c>
      <c r="B8" s="6" t="s">
        <v>32</v>
      </c>
      <c r="C8" s="6" t="s">
        <v>33</v>
      </c>
      <c r="D8" s="6" t="s">
        <v>34</v>
      </c>
      <c r="E8" s="6" t="s">
        <v>35</v>
      </c>
      <c r="F8" s="2"/>
      <c r="G8" s="2"/>
      <c r="H8" s="7" t="str">
        <f>IFERROR(__xludf.DUMMYFUNCTION("GOOGLETRANSLATE(B8, ""en"", ""zh"")"),"蹴鞠是在哪个时期成为正式军事训练项目的？")</f>
        <v>蹴鞠是在哪个时期成为正式军事训练项目的？</v>
      </c>
      <c r="I8" s="7" t="str">
        <f>IFERROR(__xludf.DUMMYFUNCTION("GOOGLETRANSLATE(C8, ""en"", ""zh"")"),"A) 东汉，B) 隋朝，C) 唐朝，D) 元朝")</f>
        <v>A) 东汉，B) 隋朝，C) 唐朝，D) 元朝</v>
      </c>
      <c r="J8" s="7" t="str">
        <f>IFERROR(__xludf.DUMMYFUNCTION("GOOGLETRANSLATE(D8, ""en"", ""zh"")"),"A) 东汉")</f>
        <v>A) 东汉</v>
      </c>
      <c r="K8" s="7" t="str">
        <f>IFERROR(__xludf.DUMMYFUNCTION("GOOGLETRANSLATE(E8, ""en"", ""zh"")"),"蹴鞠在东汉时期曾​​被用作军事训练项目。")</f>
        <v>蹴鞠在东汉时期曾​​被用作军事训练项目。</v>
      </c>
      <c r="L8" s="2"/>
      <c r="M8" s="4"/>
      <c r="N8" s="2"/>
      <c r="O8" s="4"/>
      <c r="P8" s="2"/>
      <c r="Q8" s="2"/>
      <c r="R8" s="2"/>
      <c r="S8" s="2"/>
      <c r="T8" s="2"/>
      <c r="U8" s="2"/>
      <c r="V8" s="2"/>
      <c r="W8" s="2"/>
      <c r="X8" s="2"/>
      <c r="Y8" s="2"/>
      <c r="Z8" s="2"/>
      <c r="AA8" s="2"/>
      <c r="AB8" s="2"/>
      <c r="AC8" s="2"/>
    </row>
    <row r="9">
      <c r="A9" s="5">
        <v>8.0</v>
      </c>
      <c r="B9" s="6" t="s">
        <v>36</v>
      </c>
      <c r="C9" s="6" t="s">
        <v>37</v>
      </c>
      <c r="D9" s="6" t="s">
        <v>38</v>
      </c>
      <c r="E9" s="6" t="s">
        <v>39</v>
      </c>
      <c r="F9" s="2"/>
      <c r="G9" s="2"/>
      <c r="H9" s="7" t="str">
        <f>IFERROR(__xludf.DUMMYFUNCTION("GOOGLETRANSLATE(B9, ""en"", ""zh"")"),"蹴鞠的发源地在中国哪个地区？")</f>
        <v>蹴鞠的发源地在中国哪个地区？</v>
      </c>
      <c r="I9" s="7" t="str">
        <f>IFERROR(__xludf.DUMMYFUNCTION("GOOGLETRANSLATE(C9, ""en"", ""zh"")"),"A) 中国中部，B) 中国南部，C) 中国北部，D) 中国西部")</f>
        <v>A) 中国中部，B) 中国南部，C) 中国北部，D) 中国西部</v>
      </c>
      <c r="J9" s="7" t="str">
        <f>IFERROR(__xludf.DUMMYFUNCTION("GOOGLETRANSLATE(D9, ""en"", ""zh"")"),"C) 华北")</f>
        <v>C) 华北</v>
      </c>
      <c r="K9" s="7" t="str">
        <f>IFERROR(__xludf.DUMMYFUNCTION("GOOGLETRANSLATE(E9, ""en"", ""zh"")"),"蹴鞠被认为起源于中国北方，尤其是在周朝时期。")</f>
        <v>蹴鞠被认为起源于中国北方，尤其是在周朝时期。</v>
      </c>
      <c r="L9" s="2"/>
      <c r="M9" s="4"/>
      <c r="N9" s="4"/>
      <c r="O9" s="4"/>
      <c r="P9" s="4"/>
      <c r="Q9" s="2"/>
      <c r="R9" s="2"/>
      <c r="S9" s="2"/>
      <c r="T9" s="2"/>
      <c r="U9" s="2"/>
      <c r="V9" s="2"/>
      <c r="W9" s="2"/>
      <c r="X9" s="2"/>
      <c r="Y9" s="2"/>
      <c r="Z9" s="2"/>
      <c r="AA9" s="2"/>
      <c r="AB9" s="2"/>
      <c r="AC9" s="2"/>
    </row>
    <row r="10">
      <c r="A10" s="5">
        <v>9.0</v>
      </c>
      <c r="B10" s="6" t="s">
        <v>40</v>
      </c>
      <c r="C10" s="6" t="s">
        <v>41</v>
      </c>
      <c r="D10" s="6" t="s">
        <v>42</v>
      </c>
      <c r="E10" s="6" t="s">
        <v>43</v>
      </c>
      <c r="F10" s="2"/>
      <c r="G10" s="2"/>
      <c r="H10" s="7" t="str">
        <f>IFERROR(__xludf.DUMMYFUNCTION("GOOGLETRANSLATE(B10, ""en"", ""zh"")"),"古代蹴鞠球的主要材质是什么？")</f>
        <v>古代蹴鞠球的主要材质是什么？</v>
      </c>
      <c r="I10" s="7" t="str">
        <f>IFERROR(__xludf.DUMMYFUNCTION("GOOGLETRANSLATE(C10, ""en"", ""zh"")"),"A) 皮革，B) 木材，C) 石头，D) 竹子")</f>
        <v>A) 皮革，B) 木材，C) 石头，D) 竹子</v>
      </c>
      <c r="J10" s="7" t="str">
        <f>IFERROR(__xludf.DUMMYFUNCTION("GOOGLETRANSLATE(D10, ""en"", ""zh"")"),"A) 皮革")</f>
        <v>A) 皮革</v>
      </c>
      <c r="K10" s="7" t="str">
        <f>IFERROR(__xludf.DUMMYFUNCTION("GOOGLETRANSLATE(E10, ""en"", ""zh"")"),"蹴鞠中使用的球传统上是用皮革制成的，类似于早期的足球。")</f>
        <v>蹴鞠中使用的球传统上是用皮革制成的，类似于早期的足球。</v>
      </c>
      <c r="L10" s="2"/>
      <c r="M10" s="4"/>
      <c r="N10" s="2"/>
      <c r="O10" s="4"/>
      <c r="P10" s="4"/>
      <c r="Q10" s="2"/>
      <c r="R10" s="2"/>
      <c r="S10" s="2"/>
      <c r="T10" s="2"/>
      <c r="U10" s="2"/>
      <c r="V10" s="2"/>
      <c r="W10" s="2"/>
      <c r="X10" s="2"/>
      <c r="Y10" s="2"/>
      <c r="Z10" s="2"/>
      <c r="AA10" s="2"/>
      <c r="AB10" s="2"/>
      <c r="AC10" s="2"/>
    </row>
    <row r="11">
      <c r="A11" s="5">
        <v>10.0</v>
      </c>
      <c r="B11" s="6" t="s">
        <v>44</v>
      </c>
      <c r="C11" s="6" t="s">
        <v>45</v>
      </c>
      <c r="D11" s="6" t="s">
        <v>46</v>
      </c>
      <c r="E11" s="6" t="s">
        <v>47</v>
      </c>
      <c r="F11" s="2"/>
      <c r="G11" s="2"/>
      <c r="H11" s="7" t="str">
        <f>IFERROR(__xludf.DUMMYFUNCTION("GOOGLETRANSLATE(B11, ""en"", ""zh"")"),"哪位中国皇帝以鼓励蹴鞠在宫廷中演奏而闻名？")</f>
        <v>哪位中国皇帝以鼓励蹴鞠在宫廷中演奏而闻名？</v>
      </c>
      <c r="I11" s="7" t="str">
        <f>IFERROR(__xludf.DUMMYFUNCTION("GOOGLETRANSLATE(C11, ""en"", ""zh"")"),"A) 康熙皇帝，B) 汉太宗皇帝，C) 汉武帝，D) 乾隆皇帝")</f>
        <v>A) 康熙皇帝，B) 汉太宗皇帝，C) 汉武帝，D) 乾隆皇帝</v>
      </c>
      <c r="J11" s="7" t="str">
        <f>IFERROR(__xludf.DUMMYFUNCTION("GOOGLETRANSLATE(D11, ""en"", ""zh"")"),"C) 汉武帝")</f>
        <v>C) 汉武帝</v>
      </c>
      <c r="K11" s="7" t="str">
        <f>IFERROR(__xludf.DUMMYFUNCTION("GOOGLETRANSLATE(E11, ""en"", ""zh"")"),"汉武帝因在汉朝宫廷中鼓励蹴鞠而受到赞誉。")</f>
        <v>汉武帝因在汉朝宫廷中鼓励蹴鞠而受到赞誉。</v>
      </c>
      <c r="L11" s="2"/>
      <c r="M11" s="4"/>
      <c r="N11" s="2"/>
      <c r="O11" s="4"/>
      <c r="P11" s="2"/>
      <c r="Q11" s="2"/>
      <c r="R11" s="2"/>
      <c r="S11" s="2"/>
      <c r="T11" s="2"/>
      <c r="U11" s="2"/>
      <c r="V11" s="2"/>
      <c r="W11" s="2"/>
      <c r="X11" s="2"/>
      <c r="Y11" s="2"/>
      <c r="Z11" s="2"/>
      <c r="AA11" s="2"/>
      <c r="AB11" s="2"/>
      <c r="AC11" s="2"/>
    </row>
    <row r="12">
      <c r="A12" s="5">
        <v>11.0</v>
      </c>
      <c r="B12" s="6" t="s">
        <v>48</v>
      </c>
      <c r="C12" s="6" t="s">
        <v>49</v>
      </c>
      <c r="D12" s="6" t="s">
        <v>50</v>
      </c>
      <c r="E12" s="6" t="s">
        <v>51</v>
      </c>
      <c r="F12" s="2"/>
      <c r="G12" s="2"/>
      <c r="H12" s="7" t="str">
        <f>IFERROR(__xludf.DUMMYFUNCTION("GOOGLETRANSLATE(B12, ""en"", ""zh"")"),"蹴鞠对哪项现代体育运动产生了影响？")</f>
        <v>蹴鞠对哪项现代体育运动产生了影响？</v>
      </c>
      <c r="I12" s="7" t="str">
        <f>IFERROR(__xludf.DUMMYFUNCTION("GOOGLETRANSLATE(C12, ""en"", ""zh"")"),"A) 篮球，B) 足球，C) 排球，D) 网球")</f>
        <v>A) 篮球，B) 足球，C) 排球，D) 网球</v>
      </c>
      <c r="J12" s="7" t="str">
        <f>IFERROR(__xludf.DUMMYFUNCTION("GOOGLETRANSLATE(D12, ""en"", ""zh"")"),"B) 足球")</f>
        <v>B) 足球</v>
      </c>
      <c r="K12" s="7" t="str">
        <f>IFERROR(__xludf.DUMMYFUNCTION("GOOGLETRANSLATE(E12, ""en"", ""zh"")"),"蹴鞠被认为是一种古老的足球形式，对现代足球产生了深远的影响。")</f>
        <v>蹴鞠被认为是一种古老的足球形式，对现代足球产生了深远的影响。</v>
      </c>
      <c r="L12" s="2"/>
      <c r="M12" s="4"/>
      <c r="N12" s="2"/>
      <c r="O12" s="4"/>
      <c r="P12" s="4"/>
      <c r="Q12" s="2"/>
      <c r="R12" s="2"/>
      <c r="S12" s="2"/>
      <c r="T12" s="2"/>
      <c r="U12" s="2"/>
      <c r="V12" s="2"/>
      <c r="W12" s="2"/>
      <c r="X12" s="2"/>
      <c r="Y12" s="2"/>
      <c r="Z12" s="2"/>
      <c r="AA12" s="2"/>
      <c r="AB12" s="2"/>
      <c r="AC12" s="2"/>
    </row>
    <row r="13">
      <c r="A13" s="5">
        <v>12.0</v>
      </c>
      <c r="B13" s="6" t="s">
        <v>52</v>
      </c>
      <c r="C13" s="6" t="s">
        <v>53</v>
      </c>
      <c r="D13" s="6" t="s">
        <v>54</v>
      </c>
      <c r="E13" s="6" t="s">
        <v>55</v>
      </c>
      <c r="F13" s="2"/>
      <c r="G13" s="2"/>
      <c r="H13" s="7" t="str">
        <f>IFERROR(__xludf.DUMMYFUNCTION("GOOGLETRANSLATE(B13, ""en"", ""zh"")"),"唐代，蹴鞠主要由哪个社会阶层的人演奏？")</f>
        <v>唐代，蹴鞠主要由哪个社会阶层的人演奏？</v>
      </c>
      <c r="I13" s="7" t="str">
        <f>IFERROR(__xludf.DUMMYFUNCTION("GOOGLETRANSLATE(C13, ""en"", ""zh"")"),"A) 贵族，B)​​ 农民，C) 商人，D) 士兵")</f>
        <v>A) 贵族，B)​​ 农民，C) 商人，D) 士兵</v>
      </c>
      <c r="J13" s="7" t="str">
        <f>IFERROR(__xludf.DUMMYFUNCTION("GOOGLETRANSLATE(D13, ""en"", ""zh"")"),"A) 贵族")</f>
        <v>A) 贵族</v>
      </c>
      <c r="K13" s="7" t="str">
        <f>IFERROR(__xludf.DUMMYFUNCTION("GOOGLETRANSLATE(E13, ""en"", ""zh"")"),"唐朝时期，蹴鞠在贵族和皇室中非常流行。")</f>
        <v>唐朝时期，蹴鞠在贵族和皇室中非常流行。</v>
      </c>
      <c r="L13" s="2"/>
      <c r="M13" s="4"/>
      <c r="N13" s="2"/>
      <c r="O13" s="4"/>
      <c r="P13" s="2"/>
      <c r="Q13" s="2"/>
      <c r="R13" s="2"/>
      <c r="S13" s="2"/>
      <c r="T13" s="2"/>
      <c r="U13" s="2"/>
      <c r="V13" s="2"/>
      <c r="W13" s="2"/>
      <c r="X13" s="2"/>
      <c r="Y13" s="2"/>
      <c r="Z13" s="2"/>
      <c r="AA13" s="2"/>
      <c r="AB13" s="2"/>
      <c r="AC13" s="2"/>
    </row>
    <row r="14">
      <c r="A14" s="5">
        <v>13.0</v>
      </c>
      <c r="B14" s="6" t="s">
        <v>56</v>
      </c>
      <c r="C14" s="6" t="s">
        <v>57</v>
      </c>
      <c r="D14" s="6" t="s">
        <v>58</v>
      </c>
      <c r="E14" s="6" t="s">
        <v>59</v>
      </c>
      <c r="F14" s="2"/>
      <c r="G14" s="2"/>
      <c r="H14" s="7" t="str">
        <f>IFERROR(__xludf.DUMMYFUNCTION("GOOGLETRANSLATE(B14, ""en"", ""zh"")"),"在中国古代，常见的蹴鞠场地是哪里？")</f>
        <v>在中国古代，常见的蹴鞠场地是哪里？</v>
      </c>
      <c r="I14" s="7" t="str">
        <f>IFERROR(__xludf.DUMMYFUNCTION("GOOGLETRANSLATE(C14, ""en"", ""zh"")"),"A) 开放式庭院，B) 大片田野，C) 屋顶，D) 寺庙场地")</f>
        <v>A) 开放式庭院，B) 大片田野，C) 屋顶，D) 寺庙场地</v>
      </c>
      <c r="J14" s="7" t="str">
        <f>IFERROR(__xludf.DUMMYFUNCTION("GOOGLETRANSLATE(D14, ""en"", ""zh"")"),"B) 大田")</f>
        <v>B) 大田</v>
      </c>
      <c r="K14" s="7" t="str">
        <f>IFERROR(__xludf.DUMMYFUNCTION("GOOGLETRANSLATE(E14, ""en"", ""zh"")"),"蹴鞠通常在场地宽阔、两端设有球门的场地上进行。")</f>
        <v>蹴鞠通常在场地宽阔、两端设有球门的场地上进行。</v>
      </c>
      <c r="L14" s="4"/>
      <c r="M14" s="4"/>
      <c r="N14" s="2"/>
      <c r="O14" s="4"/>
      <c r="P14" s="2"/>
      <c r="Q14" s="2"/>
      <c r="R14" s="2"/>
      <c r="S14" s="2"/>
      <c r="T14" s="2"/>
      <c r="U14" s="2"/>
      <c r="V14" s="2"/>
      <c r="W14" s="2"/>
      <c r="X14" s="2"/>
      <c r="Y14" s="2"/>
      <c r="Z14" s="2"/>
      <c r="AA14" s="2"/>
      <c r="AB14" s="2"/>
      <c r="AC14" s="2"/>
    </row>
    <row r="15">
      <c r="A15" s="5">
        <v>14.0</v>
      </c>
      <c r="B15" s="6" t="s">
        <v>60</v>
      </c>
      <c r="C15" s="6" t="s">
        <v>61</v>
      </c>
      <c r="D15" s="6" t="s">
        <v>62</v>
      </c>
      <c r="E15" s="6" t="s">
        <v>63</v>
      </c>
      <c r="F15" s="2"/>
      <c r="G15" s="2"/>
      <c r="H15" s="7" t="str">
        <f>IFERROR(__xludf.DUMMYFUNCTION("GOOGLETRANSLATE(B15, ""en"", ""zh"")"),"传统蹴鞠比赛中通常有多少名玩家参与？")</f>
        <v>传统蹴鞠比赛中通常有多少名玩家参与？</v>
      </c>
      <c r="I15" s="7" t="str">
        <f>IFERROR(__xludf.DUMMYFUNCTION("GOOGLETRANSLATE(C15, ""en"", ""zh"")"),"A) 2，B) 4，C) 10，D) 12")</f>
        <v>A) 2，B) 4，C) 10，D) 12</v>
      </c>
      <c r="J15" s="7" t="str">
        <f>IFERROR(__xludf.DUMMYFUNCTION("GOOGLETRANSLATE(D15, ""en"", ""zh"")"),"C) 10")</f>
        <v>C) 10</v>
      </c>
      <c r="K15" s="7" t="str">
        <f>IFERROR(__xludf.DUMMYFUNCTION("GOOGLETRANSLATE(E15, ""en"", ""zh"")"),"传统的蹴鞠比赛由两队组成，每队5名队员。")</f>
        <v>传统的蹴鞠比赛由两队组成，每队5名队员。</v>
      </c>
      <c r="L15" s="2"/>
      <c r="M15" s="4"/>
      <c r="N15" s="4"/>
      <c r="O15" s="4"/>
      <c r="P15" s="2"/>
      <c r="Q15" s="2"/>
      <c r="R15" s="2"/>
      <c r="S15" s="2"/>
      <c r="T15" s="2"/>
      <c r="U15" s="2"/>
      <c r="V15" s="2"/>
      <c r="W15" s="2"/>
      <c r="X15" s="2"/>
      <c r="Y15" s="2"/>
      <c r="Z15" s="2"/>
      <c r="AA15" s="2"/>
      <c r="AB15" s="2"/>
      <c r="AC15" s="2"/>
    </row>
    <row r="16">
      <c r="A16" s="5">
        <v>15.0</v>
      </c>
      <c r="B16" s="6" t="s">
        <v>64</v>
      </c>
      <c r="C16" s="6" t="s">
        <v>65</v>
      </c>
      <c r="D16" s="6" t="s">
        <v>50</v>
      </c>
      <c r="E16" s="6" t="s">
        <v>66</v>
      </c>
      <c r="F16" s="2"/>
      <c r="G16" s="2"/>
      <c r="H16" s="7" t="str">
        <f>IFERROR(__xludf.DUMMYFUNCTION("GOOGLETRANSLATE(B16, ""en"", ""zh"")"),"现代运动中哪一项与蹴鞠最为接近？")</f>
        <v>现代运动中哪一项与蹴鞠最为接近？</v>
      </c>
      <c r="I16" s="7" t="str">
        <f>IFERROR(__xludf.DUMMYFUNCTION("GOOGLETRANSLATE(C16, ""en"", ""zh"")"),"A) 橄榄球，B) 足球，C) 板球，D) 棒球")</f>
        <v>A) 橄榄球，B) 足球，C) 板球，D) 棒球</v>
      </c>
      <c r="J16" s="7" t="str">
        <f>IFERROR(__xludf.DUMMYFUNCTION("GOOGLETRANSLATE(D16, ""en"", ""zh"")"),"B) 足球")</f>
        <v>B) 足球</v>
      </c>
      <c r="K16" s="7" t="str">
        <f>IFERROR(__xludf.DUMMYFUNCTION("GOOGLETRANSLATE(E16, ""en"", ""zh"")"),"蹴鞠被认为是现代足球的前身，其规则与现代足球类似，都是通过踢球来实现的。")</f>
        <v>蹴鞠被认为是现代足球的前身，其规则与现代足球类似，都是通过踢球来实现的。</v>
      </c>
      <c r="L16" s="2"/>
      <c r="M16" s="4"/>
      <c r="N16" s="2"/>
      <c r="O16" s="4"/>
      <c r="P16" s="2"/>
      <c r="Q16" s="2"/>
      <c r="R16" s="2"/>
      <c r="S16" s="2"/>
      <c r="T16" s="2"/>
      <c r="U16" s="2"/>
      <c r="V16" s="2"/>
      <c r="W16" s="2"/>
      <c r="X16" s="2"/>
      <c r="Y16" s="2"/>
      <c r="Z16" s="2"/>
      <c r="AA16" s="2"/>
      <c r="AB16" s="2"/>
      <c r="AC16" s="2"/>
    </row>
    <row r="17">
      <c r="A17" s="5">
        <v>16.0</v>
      </c>
      <c r="B17" s="6" t="s">
        <v>67</v>
      </c>
      <c r="C17" s="6" t="s">
        <v>68</v>
      </c>
      <c r="D17" s="6" t="s">
        <v>69</v>
      </c>
      <c r="E17" s="6" t="s">
        <v>70</v>
      </c>
      <c r="F17" s="2"/>
      <c r="G17" s="2"/>
      <c r="H17" s="7" t="str">
        <f>IFERROR(__xludf.DUMMYFUNCTION("GOOGLETRANSLATE(B17, ""en"", ""zh"")"),"中国古代哪部文献提到蹴鞠是一项流行的活动？")</f>
        <v>中国古代哪部文献提到蹴鞠是一项流行的活动？</v>
      </c>
      <c r="I17" s="7" t="str">
        <f>IFERROR(__xludf.DUMMYFUNCTION("GOOGLETRANSLATE(C17, ""en"", ""zh"")"),"A）《左传》，B）《汉书》，C）《道德经》，D）《诗经》")</f>
        <v>A）《左传》，B）《汉书》，C）《道德经》，D）《诗经》</v>
      </c>
      <c r="J17" s="7" t="str">
        <f>IFERROR(__xludf.DUMMYFUNCTION("GOOGLETRANSLATE(D17, ""en"", ""zh"")"),"B) 汉书")</f>
        <v>B) 汉书</v>
      </c>
      <c r="K17" s="7" t="str">
        <f>IFERROR(__xludf.DUMMYFUNCTION("GOOGLETRANSLATE(E17, ""en"", ""zh"")"),"《汉书》记载，蹴鞠是汉代流行的一种消遣活动。")</f>
        <v>《汉书》记载，蹴鞠是汉代流行的一种消遣活动。</v>
      </c>
      <c r="L17" s="2"/>
      <c r="M17" s="4"/>
      <c r="N17" s="4"/>
      <c r="O17" s="4"/>
      <c r="P17" s="2"/>
      <c r="Q17" s="2"/>
      <c r="R17" s="2"/>
      <c r="S17" s="2"/>
      <c r="T17" s="2"/>
      <c r="U17" s="2"/>
      <c r="V17" s="2"/>
      <c r="W17" s="2"/>
      <c r="X17" s="2"/>
      <c r="Y17" s="2"/>
      <c r="Z17" s="2"/>
      <c r="AA17" s="2"/>
      <c r="AB17" s="2"/>
      <c r="AC17" s="2"/>
    </row>
    <row r="18">
      <c r="A18" s="5">
        <v>17.0</v>
      </c>
      <c r="B18" s="6" t="s">
        <v>71</v>
      </c>
      <c r="C18" s="6" t="s">
        <v>72</v>
      </c>
      <c r="D18" s="6" t="s">
        <v>73</v>
      </c>
      <c r="E18" s="6" t="s">
        <v>74</v>
      </c>
      <c r="F18" s="2"/>
      <c r="G18" s="2"/>
      <c r="H18" s="7" t="str">
        <f>IFERROR(__xludf.DUMMYFUNCTION("GOOGLETRANSLATE(B18, ""en"", ""zh"")"),"在中国古代，蹴鞠除了娱乐之外，有时还用于哪些其他用途？")</f>
        <v>在中国古代，蹴鞠除了娱乐之外，有时还用于哪些其他用途？</v>
      </c>
      <c r="I18" s="7" t="str">
        <f>IFERROR(__xludf.DUMMYFUNCTION("GOOGLETRANSLATE(C18, ""en"", ""zh"")"),"A)冥想，B)军事训练，C)疗愈，D)宗教仪式")</f>
        <v>A)冥想，B)军事训练，C)疗愈，D)宗教仪式</v>
      </c>
      <c r="J18" s="7" t="str">
        <f>IFERROR(__xludf.DUMMYFUNCTION("GOOGLETRANSLATE(D18, ""en"", ""zh"")"),"B) 军事训练")</f>
        <v>B) 军事训练</v>
      </c>
      <c r="K18" s="7" t="str">
        <f>IFERROR(__xludf.DUMMYFUNCTION("GOOGLETRANSLATE(E18, ""en"", ""zh"")"),"蹴鞠也被用作一种军事训练方式，以提高步法和敏捷性。")</f>
        <v>蹴鞠也被用作一种军事训练方式，以提高步法和敏捷性。</v>
      </c>
      <c r="L18" s="2"/>
      <c r="M18" s="4"/>
      <c r="N18" s="2"/>
      <c r="O18" s="4"/>
      <c r="P18" s="4"/>
      <c r="Q18" s="2"/>
      <c r="R18" s="2"/>
      <c r="S18" s="2"/>
      <c r="T18" s="2"/>
      <c r="U18" s="2"/>
      <c r="V18" s="2"/>
      <c r="W18" s="2"/>
      <c r="X18" s="2"/>
      <c r="Y18" s="2"/>
      <c r="Z18" s="2"/>
      <c r="AA18" s="2"/>
      <c r="AB18" s="2"/>
      <c r="AC18" s="2"/>
    </row>
    <row r="19">
      <c r="A19" s="5">
        <v>18.0</v>
      </c>
      <c r="B19" s="6" t="s">
        <v>75</v>
      </c>
      <c r="C19" s="6" t="s">
        <v>76</v>
      </c>
      <c r="D19" s="6" t="s">
        <v>77</v>
      </c>
      <c r="E19" s="6" t="s">
        <v>78</v>
      </c>
      <c r="F19" s="2"/>
      <c r="G19" s="2"/>
      <c r="H19" s="7" t="str">
        <f>IFERROR(__xludf.DUMMYFUNCTION("GOOGLETRANSLATE(B19, ""en"", ""zh"")"),"蹴鞠规则是由哪个朝代编纂成典的？")</f>
        <v>蹴鞠规则是由哪个朝代编纂成典的？</v>
      </c>
      <c r="I19" s="7" t="str">
        <f>IFERROR(__xludf.DUMMYFUNCTION("GOOGLETRANSLATE(C19, ""en"", ""zh"")"),"A)隋朝，B)元朝，C)唐朝，D)宋朝")</f>
        <v>A)隋朝，B)元朝，C)唐朝，D)宋朝</v>
      </c>
      <c r="J19" s="7" t="str">
        <f>IFERROR(__xludf.DUMMYFUNCTION("GOOGLETRANSLATE(D19, ""en"", ""zh"")"),"C) 唐朝")</f>
        <v>C) 唐朝</v>
      </c>
      <c r="K19" s="7" t="str">
        <f>IFERROR(__xludf.DUMMYFUNCTION("GOOGLETRANSLATE(E19, ""en"", ""zh"")"),"蹴鞠的规则在唐朝时期被编纂成典，从而获得了正式认可。")</f>
        <v>蹴鞠的规则在唐朝时期被编纂成典，从而获得了正式认可。</v>
      </c>
      <c r="L19" s="2"/>
      <c r="M19" s="4"/>
      <c r="N19" s="2"/>
      <c r="O19" s="4"/>
      <c r="P19" s="4"/>
      <c r="Q19" s="2"/>
      <c r="R19" s="2"/>
      <c r="S19" s="2"/>
      <c r="T19" s="2"/>
      <c r="U19" s="2"/>
      <c r="V19" s="2"/>
      <c r="W19" s="2"/>
      <c r="X19" s="2"/>
      <c r="Y19" s="2"/>
      <c r="Z19" s="2"/>
      <c r="AA19" s="2"/>
      <c r="AB19" s="2"/>
      <c r="AC19" s="2"/>
    </row>
    <row r="20">
      <c r="A20" s="5">
        <v>19.0</v>
      </c>
      <c r="B20" s="6" t="s">
        <v>79</v>
      </c>
      <c r="C20" s="6" t="s">
        <v>80</v>
      </c>
      <c r="D20" s="6" t="s">
        <v>81</v>
      </c>
      <c r="E20" s="6" t="s">
        <v>82</v>
      </c>
      <c r="F20" s="2"/>
      <c r="G20" s="2"/>
      <c r="H20" s="7" t="str">
        <f>IFERROR(__xludf.DUMMYFUNCTION("GOOGLETRANSLATE(B20, ""en"", ""zh"")"),"中国历史上哪件事件促使蹴鞠进一步流行？")</f>
        <v>中国历史上哪件事件促使蹴鞠进一步流行？</v>
      </c>
      <c r="I20" s="7" t="str">
        <f>IFERROR(__xludf.DUMMYFUNCTION("GOOGLETRANSLATE(C20, ""en"", ""zh"")"),"A) 丝绸之路贸易，B) 唐朝扩张，C) 秦朝统一，D) 纸张的发明")</f>
        <v>A) 丝绸之路贸易，B) 唐朝扩张，C) 秦朝统一，D) 纸张的发明</v>
      </c>
      <c r="J20" s="7" t="str">
        <f>IFERROR(__xludf.DUMMYFUNCTION("GOOGLETRANSLATE(D20, ""en"", ""zh"")"),"B）唐朝的扩张")</f>
        <v>B）唐朝的扩张</v>
      </c>
      <c r="K20" s="7" t="str">
        <f>IFERROR(__xludf.DUMMYFUNCTION("GOOGLETRANSLATE(E20, ""en"", ""zh"")"),"蹴鞠在唐朝时期广为流行，唐朝时期经历了巨大的扩张和文化交流。")</f>
        <v>蹴鞠在唐朝时期广为流行，唐朝时期经历了巨大的扩张和文化交流。</v>
      </c>
      <c r="L20" s="2"/>
      <c r="M20" s="4"/>
      <c r="N20" s="4"/>
      <c r="O20" s="4"/>
      <c r="P20" s="2"/>
      <c r="Q20" s="2"/>
      <c r="R20" s="2"/>
      <c r="S20" s="2"/>
      <c r="T20" s="2"/>
      <c r="U20" s="2"/>
      <c r="V20" s="2"/>
      <c r="W20" s="2"/>
      <c r="X20" s="2"/>
      <c r="Y20" s="2"/>
      <c r="Z20" s="2"/>
      <c r="AA20" s="2"/>
      <c r="AB20" s="2"/>
      <c r="AC20" s="2"/>
    </row>
    <row r="21">
      <c r="A21" s="5">
        <v>20.0</v>
      </c>
      <c r="B21" s="6" t="s">
        <v>83</v>
      </c>
      <c r="C21" s="6" t="s">
        <v>84</v>
      </c>
      <c r="D21" s="6" t="s">
        <v>85</v>
      </c>
      <c r="E21" s="6" t="s">
        <v>86</v>
      </c>
      <c r="F21" s="2"/>
      <c r="G21" s="2"/>
      <c r="H21" s="7" t="str">
        <f>IFERROR(__xludf.DUMMYFUNCTION("GOOGLETRANSLATE(B21, ""en"", ""zh"")"),"蹴鞠常在哪些中国节日演奏？")</f>
        <v>蹴鞠常在哪些中国节日演奏？</v>
      </c>
      <c r="I21" s="7" t="str">
        <f>IFERROR(__xludf.DUMMYFUNCTION("GOOGLETRANSLATE(C21, ""en"", ""zh"")"),"A) 中秋节，B) 清明节，C) 元宵节，D) 端午节")</f>
        <v>A) 中秋节，B) 清明节，C) 元宵节，D) 端午节</v>
      </c>
      <c r="J21" s="7" t="str">
        <f>IFERROR(__xludf.DUMMYFUNCTION("GOOGLETRANSLATE(D21, ""en"", ""zh"")"),"C）元宵节")</f>
        <v>C）元宵节</v>
      </c>
      <c r="K21" s="7" t="str">
        <f>IFERROR(__xludf.DUMMYFUNCTION("GOOGLETRANSLATE(E21, ""en"", ""zh"")"),"蹴鞠是古代中国庆祝活动的一部分，经常在元宵节期间演奏。")</f>
        <v>蹴鞠是古代中国庆祝活动的一部分，经常在元宵节期间演奏。</v>
      </c>
      <c r="L21" s="2"/>
      <c r="M21" s="4"/>
      <c r="N21" s="2"/>
      <c r="O21" s="4"/>
      <c r="P21" s="2"/>
      <c r="Q21" s="2"/>
      <c r="R21" s="2"/>
      <c r="S21" s="2"/>
      <c r="T21" s="2"/>
      <c r="U21" s="2"/>
      <c r="V21" s="2"/>
      <c r="W21" s="2"/>
      <c r="X21" s="2"/>
      <c r="Y21" s="2"/>
      <c r="Z21" s="2"/>
      <c r="AA21" s="2"/>
      <c r="AB21" s="2"/>
      <c r="AC21" s="2"/>
    </row>
    <row r="22">
      <c r="A22" s="5">
        <v>21.0</v>
      </c>
      <c r="B22" s="6" t="s">
        <v>87</v>
      </c>
      <c r="C22" s="6" t="s">
        <v>88</v>
      </c>
      <c r="D22" s="6" t="s">
        <v>89</v>
      </c>
      <c r="E22" s="6" t="s">
        <v>90</v>
      </c>
      <c r="F22" s="2"/>
      <c r="G22" s="2"/>
      <c r="H22" s="7" t="str">
        <f>IFERROR(__xludf.DUMMYFUNCTION("GOOGLETRANSLATE(B22, ""en"", ""zh"")"),"宋朝哪位皇帝提拔了蹴鞠？")</f>
        <v>宋朝哪位皇帝提拔了蹴鞠？</v>
      </c>
      <c r="I22" s="7" t="str">
        <f>IFERROR(__xludf.DUMMYFUNCTION("GOOGLETRANSLATE(C22, ""en"", ""zh"")"),"A) 太祖皇帝，B) 徽宗皇帝，C) 神宗皇帝，D) 高宗皇帝")</f>
        <v>A) 太祖皇帝，B) 徽宗皇帝，C) 神宗皇帝，D) 高宗皇帝</v>
      </c>
      <c r="J22" s="7" t="str">
        <f>IFERROR(__xludf.DUMMYFUNCTION("GOOGLETRANSLATE(D22, ""en"", ""zh"")"),"B) 徽宗")</f>
        <v>B) 徽宗</v>
      </c>
      <c r="K22" s="7" t="str">
        <f>IFERROR(__xludf.DUMMYFUNCTION("GOOGLETRANSLATE(E22, ""en"", ""zh"")"),"宋徽宗大力推广蹴鞠作为宫廷娱乐的一部分。")</f>
        <v>宋徽宗大力推广蹴鞠作为宫廷娱乐的一部分。</v>
      </c>
      <c r="L22" s="4"/>
      <c r="M22" s="4"/>
      <c r="N22" s="4"/>
      <c r="O22" s="4"/>
      <c r="P22" s="4"/>
      <c r="Q22" s="2"/>
      <c r="R22" s="2"/>
      <c r="S22" s="2"/>
      <c r="T22" s="2"/>
      <c r="U22" s="2"/>
      <c r="V22" s="2"/>
      <c r="W22" s="2"/>
      <c r="X22" s="2"/>
      <c r="Y22" s="2"/>
      <c r="Z22" s="2"/>
      <c r="AA22" s="2"/>
      <c r="AB22" s="2"/>
      <c r="AC22" s="2"/>
    </row>
    <row r="23">
      <c r="A23" s="5">
        <v>22.0</v>
      </c>
      <c r="B23" s="6" t="s">
        <v>91</v>
      </c>
      <c r="C23" s="6" t="s">
        <v>92</v>
      </c>
      <c r="D23" s="6" t="s">
        <v>93</v>
      </c>
      <c r="E23" s="6" t="s">
        <v>94</v>
      </c>
      <c r="F23" s="2"/>
      <c r="G23" s="2"/>
      <c r="H23" s="7" t="str">
        <f>IFERROR(__xludf.DUMMYFUNCTION("GOOGLETRANSLATE(B23, ""en"", ""zh"")"),"古代蹴鞠球的形状是什么？")</f>
        <v>古代蹴鞠球的形状是什么？</v>
      </c>
      <c r="I23" s="7" t="str">
        <f>IFERROR(__xludf.DUMMYFUNCTION("GOOGLETRANSLATE(C23, ""en"", ""zh"")"),"A) 正方形，B) 圆形，C) 三角形，D) 椭圆形")</f>
        <v>A) 正方形，B) 圆形，C) 三角形，D) 椭圆形</v>
      </c>
      <c r="J23" s="7" t="str">
        <f>IFERROR(__xludf.DUMMYFUNCTION("GOOGLETRANSLATE(D23, ""en"", ""zh"")"),"B) 轮")</f>
        <v>B) 轮</v>
      </c>
      <c r="K23" s="7" t="str">
        <f>IFERROR(__xludf.DUMMYFUNCTION("GOOGLETRANSLATE(E23, ""en"", ""zh"")"),"蹴鞠球是圆形的，形状类似于现代足球。")</f>
        <v>蹴鞠球是圆形的，形状类似于现代足球。</v>
      </c>
      <c r="L23" s="2"/>
      <c r="M23" s="4"/>
      <c r="N23" s="2"/>
      <c r="O23" s="4"/>
      <c r="P23" s="2"/>
      <c r="Q23" s="2"/>
      <c r="R23" s="2"/>
      <c r="S23" s="2"/>
      <c r="T23" s="2"/>
      <c r="U23" s="2"/>
      <c r="V23" s="2"/>
      <c r="W23" s="2"/>
      <c r="X23" s="2"/>
      <c r="Y23" s="2"/>
      <c r="Z23" s="2"/>
      <c r="AA23" s="2"/>
      <c r="AB23" s="2"/>
      <c r="AC23" s="2"/>
    </row>
    <row r="24">
      <c r="A24" s="5">
        <v>23.0</v>
      </c>
      <c r="B24" s="6" t="s">
        <v>95</v>
      </c>
      <c r="C24" s="6" t="s">
        <v>96</v>
      </c>
      <c r="D24" s="6" t="s">
        <v>97</v>
      </c>
      <c r="E24" s="6" t="s">
        <v>98</v>
      </c>
      <c r="F24" s="2"/>
      <c r="G24" s="2"/>
      <c r="H24" s="7" t="str">
        <f>IFERROR(__xludf.DUMMYFUNCTION("GOOGLETRANSLATE(B24, ""en"", ""zh"")"),"中国古代还有哪些运动有时会被误认为是蹴鞠？")</f>
        <v>中国古代还有哪些运动有时会被误认为是蹴鞠？</v>
      </c>
      <c r="I24" s="7" t="str">
        <f>IFERROR(__xludf.DUMMYFUNCTION("GOOGLETRANSLATE(C24, ""en"", ""zh"")"),"A) 马球、B) 射箭、C) 柔术、D) 武术")</f>
        <v>A) 马球、B) 射箭、C) 柔术、D) 武术</v>
      </c>
      <c r="J24" s="7" t="str">
        <f>IFERROR(__xludf.DUMMYFUNCTION("GOOGLETRANSLATE(D24, ""en"", ""zh"")"),"A) 马球")</f>
        <v>A) 马球</v>
      </c>
      <c r="K24" s="7" t="str">
        <f>IFERROR(__xludf.DUMMYFUNCTION("GOOGLETRANSLATE(E24, ""en"", ""zh"")"),"蹴鞠经常因为都使用马匹而与马球混淆，但蹴鞠的主要重点是踢球。")</f>
        <v>蹴鞠经常因为都使用马匹而与马球混淆，但蹴鞠的主要重点是踢球。</v>
      </c>
      <c r="L24" s="4"/>
      <c r="M24" s="4"/>
      <c r="N24" s="4"/>
      <c r="O24" s="4"/>
      <c r="P24" s="4"/>
      <c r="Q24" s="2"/>
      <c r="R24" s="2"/>
      <c r="S24" s="2"/>
      <c r="T24" s="2"/>
      <c r="U24" s="2"/>
      <c r="V24" s="2"/>
      <c r="W24" s="2"/>
      <c r="X24" s="2"/>
      <c r="Y24" s="2"/>
      <c r="Z24" s="2"/>
      <c r="AA24" s="2"/>
      <c r="AB24" s="2"/>
      <c r="AC24" s="2"/>
    </row>
    <row r="25">
      <c r="A25" s="5">
        <v>24.0</v>
      </c>
      <c r="B25" s="6" t="s">
        <v>99</v>
      </c>
      <c r="C25" s="6" t="s">
        <v>100</v>
      </c>
      <c r="D25" s="6" t="s">
        <v>101</v>
      </c>
      <c r="E25" s="6" t="s">
        <v>102</v>
      </c>
      <c r="F25" s="2"/>
      <c r="G25" s="2"/>
      <c r="H25" s="7" t="str">
        <f>IFERROR(__xludf.DUMMYFUNCTION("GOOGLETRANSLATE(B25, ""en"", ""zh"")"),"蹴鞠这项运动如何影响了现代足球的发展？")</f>
        <v>蹴鞠这项运动如何影响了现代足球的发展？</v>
      </c>
      <c r="I25" s="7" t="str">
        <f>IFERROR(__xludf.DUMMYFUNCTION("GOOGLETRANSLATE(C25, ""en"", ""zh"")"),"A) 它引入了球门的使用，B) 它发展了运球的概念，C) 它制定了越位规则，D) 它发明了点球。")</f>
        <v>A) 它引入了球门的使用，B) 它发展了运球的概念，C) 它制定了越位规则，D) 它发明了点球。</v>
      </c>
      <c r="J25" s="7" t="str">
        <f>IFERROR(__xludf.DUMMYFUNCTION("GOOGLETRANSLATE(D25, ""en"", ""zh"")"),"A) 它引入了目标的使用。")</f>
        <v>A) 它引入了目标的使用。</v>
      </c>
      <c r="K25" s="7" t="str">
        <f>IFERROR(__xludf.DUMMYFUNCTION("GOOGLETRANSLATE(E25, ""en"", ""zh"")"),"蹴鞠运动引入了球类运动中的球门，这一概念被沿用到了现代足球中。")</f>
        <v>蹴鞠运动引入了球类运动中的球门，这一概念被沿用到了现代足球中。</v>
      </c>
      <c r="L25" s="4"/>
      <c r="M25" s="4"/>
      <c r="N25" s="4"/>
      <c r="O25" s="4"/>
      <c r="P25" s="4"/>
      <c r="Q25" s="2"/>
      <c r="R25" s="2"/>
      <c r="S25" s="2"/>
      <c r="T25" s="2"/>
      <c r="U25" s="2"/>
      <c r="V25" s="2"/>
      <c r="W25" s="2"/>
      <c r="X25" s="2"/>
      <c r="Y25" s="2"/>
      <c r="Z25" s="2"/>
      <c r="AA25" s="2"/>
      <c r="AB25" s="2"/>
      <c r="AC25" s="2"/>
    </row>
    <row r="26">
      <c r="A26" s="5">
        <v>25.0</v>
      </c>
      <c r="B26" s="6" t="s">
        <v>103</v>
      </c>
      <c r="C26" s="6" t="s">
        <v>104</v>
      </c>
      <c r="D26" s="6" t="s">
        <v>105</v>
      </c>
      <c r="E26" s="6" t="s">
        <v>106</v>
      </c>
      <c r="F26" s="2"/>
      <c r="G26" s="2"/>
      <c r="H26" s="7" t="str">
        <f>IFERROR(__xludf.DUMMYFUNCTION("GOOGLETRANSLATE(B26, ""en"", ""zh"")"),"中国古代哪个朝代首次有关于蹴鞠的记载？")</f>
        <v>中国古代哪个朝代首次有关于蹴鞠的记载？</v>
      </c>
      <c r="I26" s="7" t="str">
        <f>IFERROR(__xludf.DUMMYFUNCTION("GOOGLETRANSLATE(C26, ""en"", ""zh"")"),"A) 周朝，B) 汉朝，C) 秦朝，D) 唐朝")</f>
        <v>A) 周朝，B) 汉朝，C) 秦朝，D) 唐朝</v>
      </c>
      <c r="J26" s="7" t="str">
        <f>IFERROR(__xludf.DUMMYFUNCTION("GOOGLETRANSLATE(D26, ""en"", ""zh"")"),"B）汉朝")</f>
        <v>B）汉朝</v>
      </c>
      <c r="K26" s="7" t="str">
        <f>IFERROR(__xludf.DUMMYFUNCTION("GOOGLETRANSLATE(E26, ""en"", ""zh"")"),"蹴鞠最早见于汉代文献记载，标志着其早期起源。")</f>
        <v>蹴鞠最早见于汉代文献记载，标志着其早期起源。</v>
      </c>
      <c r="L26" s="2"/>
      <c r="M26" s="4"/>
      <c r="N26" s="2"/>
      <c r="O26" s="4"/>
      <c r="P26" s="4"/>
      <c r="Q26" s="2"/>
      <c r="R26" s="2"/>
      <c r="S26" s="2"/>
      <c r="T26" s="2"/>
      <c r="U26" s="2"/>
      <c r="V26" s="2"/>
      <c r="W26" s="2"/>
      <c r="X26" s="2"/>
      <c r="Y26" s="2"/>
      <c r="Z26" s="2"/>
      <c r="AA26" s="2"/>
      <c r="AB26" s="2"/>
      <c r="AC26" s="2"/>
    </row>
    <row r="27">
      <c r="A27" s="5">
        <v>26.0</v>
      </c>
      <c r="B27" s="6" t="s">
        <v>107</v>
      </c>
      <c r="C27" s="6" t="s">
        <v>108</v>
      </c>
      <c r="D27" s="6" t="s">
        <v>73</v>
      </c>
      <c r="E27" s="6" t="s">
        <v>109</v>
      </c>
      <c r="F27" s="2"/>
      <c r="G27" s="2"/>
      <c r="H27" s="7" t="str">
        <f>IFERROR(__xludf.DUMMYFUNCTION("GOOGLETRANSLATE(B27, ""en"", ""zh"")"),"蹴鞠早期的主要目的是什么？")</f>
        <v>蹴鞠早期的主要目的是什么？</v>
      </c>
      <c r="I27" s="7" t="str">
        <f>IFERROR(__xludf.DUMMYFUNCTION("GOOGLETRANSLATE(C27, ""en"", ""zh"")"),"A) 娱乐活动，B) 军事训练，C) 宗教仪式，D) 健康锻炼")</f>
        <v>A) 娱乐活动，B) 军事训练，C) 宗教仪式，D) 健康锻炼</v>
      </c>
      <c r="J27" s="7" t="str">
        <f>IFERROR(__xludf.DUMMYFUNCTION("GOOGLETRANSLATE(D27, ""en"", ""zh"")"),"B) 军事训练")</f>
        <v>B) 军事训练</v>
      </c>
      <c r="K27" s="7" t="str">
        <f>IFERROR(__xludf.DUMMYFUNCTION("GOOGLETRANSLATE(E27, ""en"", ""zh"")"),"蹴鞠最初是作为士兵的训练项目，旨在提高士兵的敏捷性和协调性。")</f>
        <v>蹴鞠最初是作为士兵的训练项目，旨在提高士兵的敏捷性和协调性。</v>
      </c>
      <c r="L27" s="2"/>
      <c r="M27" s="4"/>
      <c r="N27" s="2"/>
      <c r="O27" s="4"/>
      <c r="P27" s="2"/>
      <c r="Q27" s="2"/>
      <c r="R27" s="2"/>
      <c r="S27" s="2"/>
      <c r="T27" s="2"/>
      <c r="U27" s="2"/>
      <c r="V27" s="2"/>
      <c r="W27" s="2"/>
      <c r="X27" s="2"/>
      <c r="Y27" s="2"/>
      <c r="Z27" s="2"/>
      <c r="AA27" s="2"/>
      <c r="AB27" s="2"/>
      <c r="AC27" s="2"/>
    </row>
    <row r="28">
      <c r="A28" s="5">
        <v>27.0</v>
      </c>
      <c r="B28" s="6" t="s">
        <v>110</v>
      </c>
      <c r="C28" s="6" t="s">
        <v>111</v>
      </c>
      <c r="D28" s="6" t="s">
        <v>112</v>
      </c>
      <c r="E28" s="6" t="s">
        <v>113</v>
      </c>
      <c r="F28" s="2"/>
      <c r="G28" s="2"/>
      <c r="H28" s="7" t="str">
        <f>IFERROR(__xludf.DUMMYFUNCTION("GOOGLETRANSLATE(B28, ""en"", ""zh"")"),"哪位中国历史学家最早在史书中记载了蹴鞠？")</f>
        <v>哪位中国历史学家最早在史书中记载了蹴鞠？</v>
      </c>
      <c r="I28" s="7" t="str">
        <f>IFERROR(__xludf.DUMMYFUNCTION("GOOGLETRANSLATE(C28, ""en"", ""zh"")"),"A）司马迁，B）班固，C）张仪，D）王充")</f>
        <v>A）司马迁，B）班固，C）张仪，D）王充</v>
      </c>
      <c r="J28" s="7" t="str">
        <f>IFERROR(__xludf.DUMMYFUNCTION("GOOGLETRANSLATE(D28, ""en"", ""zh"")"),"A) 司马迁")</f>
        <v>A) 司马迁</v>
      </c>
      <c r="K28" s="7" t="str">
        <f>IFERROR(__xludf.DUMMYFUNCTION("GOOGLETRANSLATE(E28, ""en"", ""zh"")"),"司马迁在其《史记》中记载了蹴鞠的早期历史。")</f>
        <v>司马迁在其《史记》中记载了蹴鞠的早期历史。</v>
      </c>
      <c r="L28" s="2"/>
      <c r="M28" s="4"/>
      <c r="N28" s="2"/>
      <c r="O28" s="4"/>
      <c r="P28" s="2"/>
      <c r="Q28" s="2"/>
      <c r="R28" s="2"/>
      <c r="S28" s="2"/>
      <c r="T28" s="2"/>
      <c r="U28" s="2"/>
      <c r="V28" s="2"/>
      <c r="W28" s="2"/>
      <c r="X28" s="2"/>
      <c r="Y28" s="2"/>
      <c r="Z28" s="2"/>
      <c r="AA28" s="2"/>
      <c r="AB28" s="2"/>
      <c r="AC28" s="2"/>
    </row>
    <row r="29">
      <c r="A29" s="5">
        <v>28.0</v>
      </c>
      <c r="B29" s="6" t="s">
        <v>114</v>
      </c>
      <c r="C29" s="6" t="s">
        <v>115</v>
      </c>
      <c r="D29" s="6" t="s">
        <v>116</v>
      </c>
      <c r="E29" s="6" t="s">
        <v>117</v>
      </c>
      <c r="F29" s="2"/>
      <c r="G29" s="2"/>
      <c r="H29" s="7" t="str">
        <f>IFERROR(__xludf.DUMMYFUNCTION("GOOGLETRANSLATE(B29, ""en"", ""zh"")"),"汉代蹴鞠主要流行于中国哪个地区？")</f>
        <v>汉代蹴鞠主要流行于中国哪个地区？</v>
      </c>
      <c r="I29" s="7" t="str">
        <f>IFERROR(__xludf.DUMMYFUNCTION("GOOGLETRANSLATE(C29, ""en"", ""zh"")"),"A) 中国北方，B) 中国南方，C) 中国西部，D) 中国东部")</f>
        <v>A) 中国北方，B) 中国南方，C) 中国西部，D) 中国东部</v>
      </c>
      <c r="J29" s="7" t="str">
        <f>IFERROR(__xludf.DUMMYFUNCTION("GOOGLETRANSLATE(D29, ""en"", ""zh"")"),"A) 华北")</f>
        <v>A) 华北</v>
      </c>
      <c r="K29" s="7" t="str">
        <f>IFERROR(__xludf.DUMMYFUNCTION("GOOGLETRANSLATE(E29, ""en"", ""zh"")"),"蹴鞠起源于汉代中国北方，并主要在那里演奏。")</f>
        <v>蹴鞠起源于汉代中国北方，并主要在那里演奏。</v>
      </c>
      <c r="L29" s="2"/>
      <c r="M29" s="4"/>
      <c r="N29" s="4"/>
      <c r="O29" s="4"/>
      <c r="P29" s="2"/>
      <c r="Q29" s="2"/>
      <c r="R29" s="2"/>
      <c r="S29" s="2"/>
      <c r="T29" s="2"/>
      <c r="U29" s="2"/>
      <c r="V29" s="2"/>
      <c r="W29" s="2"/>
      <c r="X29" s="2"/>
      <c r="Y29" s="2"/>
      <c r="Z29" s="2"/>
      <c r="AA29" s="2"/>
      <c r="AB29" s="2"/>
      <c r="AC29" s="2"/>
    </row>
    <row r="30">
      <c r="A30" s="5">
        <v>29.0</v>
      </c>
      <c r="B30" s="6" t="s">
        <v>118</v>
      </c>
      <c r="C30" s="6" t="s">
        <v>119</v>
      </c>
      <c r="D30" s="6" t="s">
        <v>120</v>
      </c>
      <c r="E30" s="6" t="s">
        <v>121</v>
      </c>
      <c r="F30" s="2"/>
      <c r="G30" s="2"/>
      <c r="H30" s="7" t="str">
        <f>IFERROR(__xludf.DUMMYFUNCTION("GOOGLETRANSLATE(B30, ""en"", ""zh"")"),"唐朝时期，蹴鞠在哪个宫廷成为一项正式的活动？")</f>
        <v>唐朝时期，蹴鞠在哪个宫廷成为一项正式的活动？</v>
      </c>
      <c r="I30" s="7" t="str">
        <f>IFERROR(__xludf.DUMMYFUNCTION("GOOGLETRANSLATE(C30, ""en"", ""zh"")"),"A) 唐太宗的朝廷，B) 唐玄宗的朝廷，C) 唐武宗的朝廷，D) 唐中宗的朝廷")</f>
        <v>A) 唐太宗的朝廷，B) 唐玄宗的朝廷，C) 唐武宗的朝廷，D) 唐中宗的朝廷</v>
      </c>
      <c r="J30" s="7" t="str">
        <f>IFERROR(__xludf.DUMMYFUNCTION("GOOGLETRANSLATE(D30, ""en"", ""zh"")"),"B）唐玄宗的朝廷")</f>
        <v>B）唐玄宗的朝廷</v>
      </c>
      <c r="K30" s="7" t="str">
        <f>IFERROR(__xludf.DUMMYFUNCTION("GOOGLETRANSLATE(E30, ""en"", ""zh"")"),"唐玄宗皇帝将蹴鞠列为宫廷中的一项正式活动。")</f>
        <v>唐玄宗皇帝将蹴鞠列为宫廷中的一项正式活动。</v>
      </c>
      <c r="L30" s="4"/>
      <c r="M30" s="4"/>
      <c r="N30" s="4"/>
      <c r="O30" s="4"/>
      <c r="P30" s="4"/>
      <c r="Q30" s="2"/>
      <c r="R30" s="2"/>
      <c r="S30" s="2"/>
      <c r="T30" s="2"/>
      <c r="U30" s="2"/>
      <c r="V30" s="2"/>
      <c r="W30" s="2"/>
      <c r="X30" s="2"/>
      <c r="Y30" s="2"/>
      <c r="Z30" s="2"/>
      <c r="AA30" s="2"/>
      <c r="AB30" s="2"/>
      <c r="AC30" s="2"/>
    </row>
    <row r="31">
      <c r="A31" s="5">
        <v>30.0</v>
      </c>
      <c r="B31" s="6" t="s">
        <v>122</v>
      </c>
      <c r="C31" s="6" t="s">
        <v>123</v>
      </c>
      <c r="D31" s="6" t="s">
        <v>124</v>
      </c>
      <c r="E31" s="6" t="s">
        <v>125</v>
      </c>
      <c r="F31" s="2"/>
      <c r="G31" s="2"/>
      <c r="H31" s="7" t="str">
        <f>IFERROR(__xludf.DUMMYFUNCTION("GOOGLETRANSLATE(B31, ""en"", ""zh"")"),"唐代蹴鞠所用的球是什么材质的？")</f>
        <v>唐代蹴鞠所用的球是什么材质的？</v>
      </c>
      <c r="I31" s="7" t="str">
        <f>IFERROR(__xludf.DUMMYFUNCTION("GOOGLETRANSLATE(C31, ""en"", ""zh"")"),"A) 沙子，B) 空气，C) 稻草，D) 羽毛")</f>
        <v>A) 沙子，B) 空气，C) 稻草，D) 羽毛</v>
      </c>
      <c r="J31" s="7" t="str">
        <f>IFERROR(__xludf.DUMMYFUNCTION("GOOGLETRANSLATE(D31, ""en"", ""zh"")"),"B) 空气")</f>
        <v>B) 空气</v>
      </c>
      <c r="K31" s="7" t="str">
        <f>IFERROR(__xludf.DUMMYFUNCTION("GOOGLETRANSLATE(E31, ""en"", ""zh"")"),"唐代使用的蹴鞠球是用空气充气的，类似于现代足球。")</f>
        <v>唐代使用的蹴鞠球是用空气充气的，类似于现代足球。</v>
      </c>
      <c r="L31" s="2"/>
      <c r="M31" s="4"/>
      <c r="N31" s="2"/>
      <c r="O31" s="4"/>
      <c r="P31" s="4"/>
      <c r="Q31" s="2"/>
      <c r="R31" s="2"/>
      <c r="S31" s="2"/>
      <c r="T31" s="2"/>
      <c r="U31" s="2"/>
      <c r="V31" s="2"/>
      <c r="W31" s="2"/>
      <c r="X31" s="2"/>
      <c r="Y31" s="2"/>
      <c r="Z31" s="2"/>
      <c r="AA31" s="2"/>
      <c r="AB31" s="2"/>
      <c r="AC31" s="2"/>
    </row>
    <row r="32">
      <c r="A32" s="5">
        <v>31.0</v>
      </c>
      <c r="B32" s="6" t="s">
        <v>126</v>
      </c>
      <c r="C32" s="6" t="s">
        <v>127</v>
      </c>
      <c r="D32" s="6" t="s">
        <v>85</v>
      </c>
      <c r="E32" s="6" t="s">
        <v>128</v>
      </c>
      <c r="F32" s="2"/>
      <c r="G32" s="2"/>
      <c r="H32" s="7" t="str">
        <f>IFERROR(__xludf.DUMMYFUNCTION("GOOGLETRANSLATE(B32, ""en"", ""zh"")"),"中国古代哪个节日将蹴鞠比赛作为庆祝活动的一部分？")</f>
        <v>中国古代哪个节日将蹴鞠比赛作为庆祝活动的一部分？</v>
      </c>
      <c r="I32" s="7" t="str">
        <f>IFERROR(__xludf.DUMMYFUNCTION("GOOGLETRANSLATE(C32, ""en"", ""zh"")"),"A) 端午节，B) 中秋节，C) 元宵节，D) 清明节")</f>
        <v>A) 端午节，B) 中秋节，C) 元宵节，D) 清明节</v>
      </c>
      <c r="J32" s="7" t="str">
        <f>IFERROR(__xludf.DUMMYFUNCTION("GOOGLETRANSLATE(D32, ""en"", ""zh"")"),"C）元宵节")</f>
        <v>C）元宵节</v>
      </c>
      <c r="K32" s="7" t="str">
        <f>IFERROR(__xludf.DUMMYFUNCTION("GOOGLETRANSLATE(E32, ""en"", ""zh"")"),"蹴鞠比赛是元宵节期间常见的庆祝活动之一。")</f>
        <v>蹴鞠比赛是元宵节期间常见的庆祝活动之一。</v>
      </c>
      <c r="L32" s="2"/>
      <c r="M32" s="4"/>
      <c r="N32" s="2"/>
      <c r="O32" s="4"/>
      <c r="P32" s="2"/>
      <c r="Q32" s="2"/>
      <c r="R32" s="2"/>
      <c r="S32" s="2"/>
      <c r="T32" s="2"/>
      <c r="U32" s="2"/>
      <c r="V32" s="2"/>
      <c r="W32" s="2"/>
      <c r="X32" s="2"/>
      <c r="Y32" s="2"/>
      <c r="Z32" s="2"/>
      <c r="AA32" s="2"/>
      <c r="AB32" s="2"/>
      <c r="AC32" s="2"/>
    </row>
    <row r="33">
      <c r="A33" s="5">
        <v>32.0</v>
      </c>
      <c r="B33" s="6" t="s">
        <v>129</v>
      </c>
      <c r="C33" s="6" t="s">
        <v>130</v>
      </c>
      <c r="D33" s="6" t="s">
        <v>131</v>
      </c>
      <c r="E33" s="6" t="s">
        <v>132</v>
      </c>
      <c r="F33" s="2"/>
      <c r="G33" s="2"/>
      <c r="H33" s="7" t="str">
        <f>IFERROR(__xludf.DUMMYFUNCTION("GOOGLETRANSLATE(B33, ""en"", ""zh"")"),"汉代哪位军事将领常与提拔蹴鞠联系在一起？")</f>
        <v>汉代哪位军事将领常与提拔蹴鞠联系在一起？</v>
      </c>
      <c r="I33" s="7" t="str">
        <f>IFERROR(__xludf.DUMMYFUNCTION("GOOGLETRANSLATE(C33, ""en"", ""zh"")"),"A）张飞将军，B）曹操将军，C）马援将军，D）吕布将军")</f>
        <v>A）张飞将军，B）曹操将军，C）马援将军，D）吕布将军</v>
      </c>
      <c r="J33" s="7" t="str">
        <f>IFERROR(__xludf.DUMMYFUNCTION("GOOGLETRANSLATE(D33, ""en"", ""zh"")"),"C) 马元将军")</f>
        <v>C) 马元将军</v>
      </c>
      <c r="K33" s="7" t="str">
        <f>IFERROR(__xludf.DUMMYFUNCTION("GOOGLETRANSLATE(E33, ""en"", ""zh"")"),"马原将军因在汉代推广蹴鞠作为军事训练方法而闻名。")</f>
        <v>马原将军因在汉代推广蹴鞠作为军事训练方法而闻名。</v>
      </c>
      <c r="L33" s="2"/>
      <c r="M33" s="4"/>
      <c r="N33" s="2"/>
      <c r="O33" s="4"/>
      <c r="P33" s="4"/>
      <c r="Q33" s="2"/>
      <c r="R33" s="2"/>
      <c r="S33" s="2"/>
      <c r="T33" s="2"/>
      <c r="U33" s="2"/>
      <c r="V33" s="2"/>
      <c r="W33" s="2"/>
      <c r="X33" s="2"/>
      <c r="Y33" s="2"/>
      <c r="Z33" s="2"/>
      <c r="AA33" s="2"/>
      <c r="AB33" s="2"/>
      <c r="AC33" s="2"/>
    </row>
    <row r="34">
      <c r="A34" s="5">
        <v>33.0</v>
      </c>
      <c r="B34" s="6" t="s">
        <v>133</v>
      </c>
      <c r="C34" s="6" t="s">
        <v>134</v>
      </c>
      <c r="D34" s="6" t="s">
        <v>135</v>
      </c>
      <c r="E34" s="6" t="s">
        <v>136</v>
      </c>
      <c r="F34" s="2"/>
      <c r="G34" s="2"/>
      <c r="H34" s="7" t="str">
        <f>IFERROR(__xludf.DUMMYFUNCTION("GOOGLETRANSLATE(B34, ""en"", ""zh"")"),"蹴鞠在哪个朝代最为流行？")</f>
        <v>蹴鞠在哪个朝代最为流行？</v>
      </c>
      <c r="I34" s="7" t="str">
        <f>IFERROR(__xludf.DUMMYFUNCTION("GOOGLETRANSLATE(C34, ""en"", ""zh"")"),"A) 元朝，B) 唐朝，C) 宋朝，D) 清朝")</f>
        <v>A) 元朝，B) 唐朝，C) 宋朝，D) 清朝</v>
      </c>
      <c r="J34" s="7" t="str">
        <f>IFERROR(__xludf.DUMMYFUNCTION("GOOGLETRANSLATE(D34, ""en"", ""zh"")"),"B）唐朝")</f>
        <v>B）唐朝</v>
      </c>
      <c r="K34" s="7" t="str">
        <f>IFERROR(__xludf.DUMMYFUNCTION("GOOGLETRANSLATE(E34, ""en"", ""zh"")"),"唐朝通常被认为是蹴鞠在中国古代最流行的时期。")</f>
        <v>唐朝通常被认为是蹴鞠在中国古代最流行的时期。</v>
      </c>
      <c r="L34" s="2"/>
      <c r="M34" s="4"/>
      <c r="N34" s="2"/>
      <c r="O34" s="4"/>
      <c r="P34" s="4"/>
      <c r="Q34" s="2"/>
      <c r="R34" s="2"/>
      <c r="S34" s="2"/>
      <c r="T34" s="2"/>
      <c r="U34" s="2"/>
      <c r="V34" s="2"/>
      <c r="W34" s="2"/>
      <c r="X34" s="2"/>
      <c r="Y34" s="2"/>
      <c r="Z34" s="2"/>
      <c r="AA34" s="2"/>
      <c r="AB34" s="2"/>
      <c r="AC34" s="2"/>
    </row>
    <row r="35">
      <c r="A35" s="5">
        <v>34.0</v>
      </c>
      <c r="B35" s="6" t="s">
        <v>137</v>
      </c>
      <c r="C35" s="6" t="s">
        <v>138</v>
      </c>
      <c r="D35" s="6" t="s">
        <v>139</v>
      </c>
      <c r="E35" s="6" t="s">
        <v>140</v>
      </c>
      <c r="F35" s="2"/>
      <c r="G35" s="2"/>
      <c r="H35" s="7" t="str">
        <f>IFERROR(__xludf.DUMMYFUNCTION("GOOGLETRANSLATE(B35, ""en"", ""zh"")"),"古代中国蹴鞠的主要比赛场地是什么？")</f>
        <v>古代中国蹴鞠的主要比赛场地是什么？</v>
      </c>
      <c r="I35" s="7" t="str">
        <f>IFERROR(__xludf.DUMMYFUNCTION("GOOGLETRANSLATE(C35, ""en"", ""zh"")"),"A) 开阔的田野，B) 铺砌的道路，C) 皇家宫殿，D) 小型竞技场")</f>
        <v>A) 开阔的田野，B) 铺砌的道路，C) 皇家宫殿，D) 小型竞技场</v>
      </c>
      <c r="J35" s="7" t="str">
        <f>IFERROR(__xludf.DUMMYFUNCTION("GOOGLETRANSLATE(D35, ""en"", ""zh"")"),"A) 开阔的田野")</f>
        <v>A) 开阔的田野</v>
      </c>
      <c r="K35" s="7" t="str">
        <f>IFERROR(__xludf.DUMMYFUNCTION("GOOGLETRANSLATE(E35, ""en"", ""zh"")"),"蹴鞠通常在宽阔的场地上进行，类似于早期的足球场。")</f>
        <v>蹴鞠通常在宽阔的场地上进行，类似于早期的足球场。</v>
      </c>
      <c r="L35" s="2"/>
      <c r="M35" s="4"/>
      <c r="N35" s="4"/>
      <c r="O35" s="4"/>
      <c r="P35" s="4"/>
      <c r="Q35" s="2"/>
      <c r="R35" s="2"/>
      <c r="S35" s="2"/>
      <c r="T35" s="2"/>
      <c r="U35" s="2"/>
      <c r="V35" s="2"/>
      <c r="W35" s="2"/>
      <c r="X35" s="2"/>
      <c r="Y35" s="2"/>
      <c r="Z35" s="2"/>
      <c r="AA35" s="2"/>
      <c r="AB35" s="2"/>
      <c r="AC35" s="2"/>
    </row>
    <row r="36">
      <c r="A36" s="5">
        <v>35.0</v>
      </c>
      <c r="B36" s="6" t="s">
        <v>141</v>
      </c>
      <c r="C36" s="6" t="s">
        <v>142</v>
      </c>
      <c r="D36" s="6" t="s">
        <v>143</v>
      </c>
      <c r="E36" s="6" t="s">
        <v>144</v>
      </c>
      <c r="F36" s="2"/>
      <c r="G36" s="2"/>
      <c r="H36" s="7" t="str">
        <f>IFERROR(__xludf.DUMMYFUNCTION("GOOGLETRANSLATE(B36, ""en"", ""zh"")"),"在中国古代，蹴鞠经常在哪些类型的皇家活动中演奏？")</f>
        <v>在中国古代，蹴鞠经常在哪些类型的皇家活动中演奏？</v>
      </c>
      <c r="I36" s="7" t="str">
        <f>IFERROR(__xludf.DUMMYFUNCTION("GOOGLETRANSLATE(C36, ""en"", ""zh"")"),"A) 婚礼庆典，B) 丰收节，C) 军事训练，D) 科举考试")</f>
        <v>A) 婚礼庆典，B) 丰收节，C) 军事训练，D) 科举考试</v>
      </c>
      <c r="J36" s="7" t="str">
        <f>IFERROR(__xludf.DUMMYFUNCTION("GOOGLETRANSLATE(D36, ""en"", ""zh"")"),"C) 军事训练")</f>
        <v>C) 军事训练</v>
      </c>
      <c r="K36" s="7" t="str">
        <f>IFERROR(__xludf.DUMMYFUNCTION("GOOGLETRANSLATE(E36, ""en"", ""zh"")"),"蹴鞠曾被用于军事训练，特别是提高敏捷性和团队协作能力。")</f>
        <v>蹴鞠曾被用于军事训练，特别是提高敏捷性和团队协作能力。</v>
      </c>
      <c r="L36" s="2"/>
      <c r="M36" s="4"/>
      <c r="N36" s="2"/>
      <c r="O36" s="4"/>
      <c r="P36" s="4"/>
      <c r="Q36" s="2"/>
      <c r="R36" s="2"/>
      <c r="S36" s="2"/>
      <c r="T36" s="2"/>
      <c r="U36" s="2"/>
      <c r="V36" s="2"/>
      <c r="W36" s="2"/>
      <c r="X36" s="2"/>
      <c r="Y36" s="2"/>
      <c r="Z36" s="2"/>
      <c r="AA36" s="2"/>
      <c r="AB36" s="2"/>
      <c r="AC36" s="2"/>
    </row>
    <row r="37">
      <c r="A37" s="5">
        <v>36.0</v>
      </c>
      <c r="B37" s="6" t="s">
        <v>145</v>
      </c>
      <c r="C37" s="6" t="s">
        <v>146</v>
      </c>
      <c r="D37" s="6" t="s">
        <v>147</v>
      </c>
      <c r="E37" s="6" t="s">
        <v>148</v>
      </c>
      <c r="F37" s="2"/>
      <c r="G37" s="2"/>
      <c r="H37" s="7" t="str">
        <f>IFERROR(__xludf.DUMMYFUNCTION("GOOGLETRANSLATE(B37, ""en"", ""zh"")"),"据说唐朝时期，中国哪个文化群体推广了蹴鞠？")</f>
        <v>据说唐朝时期，中国哪个文化群体推广了蹴鞠？</v>
      </c>
      <c r="I37" s="7" t="str">
        <f>IFERROR(__xludf.DUMMYFUNCTION("GOOGLETRANSLATE(C37, ""en"", ""zh"")"),"A) 唐朝贵族，B)​​ 文人墨客，C) 农民，D) 士兵")</f>
        <v>A) 唐朝贵族，B)​​ 文人墨客，C) 农民，D) 士兵</v>
      </c>
      <c r="J37" s="7" t="str">
        <f>IFERROR(__xludf.DUMMYFUNCTION("GOOGLETRANSLATE(D37, ""en"", ""zh"")"),"A) 唐朝贵族")</f>
        <v>A) 唐朝贵族</v>
      </c>
      <c r="K37" s="7" t="str">
        <f>IFERROR(__xludf.DUMMYFUNCTION("GOOGLETRANSLATE(E37, ""en"", ""zh"")"),"唐朝的贵族和皇室对蹴鞠的普及起到了重要作用。")</f>
        <v>唐朝的贵族和皇室对蹴鞠的普及起到了重要作用。</v>
      </c>
      <c r="L37" s="2"/>
      <c r="M37" s="4"/>
      <c r="N37" s="2"/>
      <c r="O37" s="4"/>
      <c r="P37" s="2"/>
      <c r="Q37" s="2"/>
      <c r="R37" s="2"/>
      <c r="S37" s="2"/>
      <c r="T37" s="2"/>
      <c r="U37" s="2"/>
      <c r="V37" s="2"/>
      <c r="W37" s="2"/>
      <c r="X37" s="2"/>
      <c r="Y37" s="2"/>
      <c r="Z37" s="2"/>
      <c r="AA37" s="2"/>
      <c r="AB37" s="2"/>
      <c r="AC37" s="2"/>
    </row>
    <row r="38">
      <c r="A38" s="5">
        <v>37.0</v>
      </c>
      <c r="B38" s="6" t="s">
        <v>149</v>
      </c>
      <c r="C38" s="6" t="s">
        <v>150</v>
      </c>
      <c r="D38" s="6" t="s">
        <v>151</v>
      </c>
      <c r="E38" s="6" t="s">
        <v>152</v>
      </c>
      <c r="F38" s="2"/>
      <c r="G38" s="2"/>
      <c r="H38" s="7" t="str">
        <f>IFERROR(__xludf.DUMMYFUNCTION("GOOGLETRANSLATE(B38, ""en"", ""zh"")"),"蹴鞠的哪些方面被融入到古代中国士兵的军事训练中？")</f>
        <v>蹴鞠的哪些方面被融入到古代中国士兵的军事训练中？</v>
      </c>
      <c r="I38" s="7" t="str">
        <f>IFERROR(__xludf.DUMMYFUNCTION("GOOGLETRANSLATE(C38, ""en"", ""zh"")"),"A) 体能耐力，B) 团队合作，C) 踢腿精准度，D) 武器训练")</f>
        <v>A) 体能耐力，B) 团队合作，C) 踢腿精准度，D) 武器训练</v>
      </c>
      <c r="J38" s="7" t="str">
        <f>IFERROR(__xludf.DUMMYFUNCTION("GOOGLETRANSLATE(D38, ""en"", ""zh"")"),"B) 团队合作")</f>
        <v>B) 团队合作</v>
      </c>
      <c r="K38" s="7" t="str">
        <f>IFERROR(__xludf.DUMMYFUNCTION("GOOGLETRANSLATE(E38, ""en"", ""zh"")"),"蹴鞠帮助士兵在训练中培养团队合作、协调能力和身体敏捷性。")</f>
        <v>蹴鞠帮助士兵在训练中培养团队合作、协调能力和身体敏捷性。</v>
      </c>
      <c r="L38" s="2"/>
      <c r="M38" s="4"/>
      <c r="N38" s="2"/>
      <c r="O38" s="4"/>
      <c r="P38" s="4"/>
      <c r="Q38" s="2"/>
      <c r="R38" s="2"/>
      <c r="S38" s="2"/>
      <c r="T38" s="2"/>
      <c r="U38" s="2"/>
      <c r="V38" s="2"/>
      <c r="W38" s="2"/>
      <c r="X38" s="2"/>
      <c r="Y38" s="2"/>
      <c r="Z38" s="2"/>
      <c r="AA38" s="2"/>
      <c r="AB38" s="2"/>
      <c r="AC38" s="2"/>
    </row>
    <row r="39">
      <c r="A39" s="5">
        <v>38.0</v>
      </c>
      <c r="B39" s="6" t="s">
        <v>153</v>
      </c>
      <c r="C39" s="6" t="s">
        <v>154</v>
      </c>
      <c r="D39" s="6" t="s">
        <v>155</v>
      </c>
      <c r="E39" s="6" t="s">
        <v>156</v>
      </c>
      <c r="F39" s="2"/>
      <c r="G39" s="2"/>
      <c r="H39" s="7" t="str">
        <f>IFERROR(__xludf.DUMMYFUNCTION("GOOGLETRANSLATE(B39, ""en"", ""zh"")"),"蹴鞠在唐朝的社交聚会中扮演着怎样的角色？")</f>
        <v>蹴鞠在唐朝的社交聚会中扮演着怎样的角色？</v>
      </c>
      <c r="I39" s="7" t="str">
        <f>IFERROR(__xludf.DUMMYFUNCTION("GOOGLETRANSLATE(C39, ""en"", ""zh"")"),"A) 它是一种娱乐形式，B) 它被用于赌博，C) 它是一种宗教仪式，D) 它是一种比赛")</f>
        <v>A) 它是一种娱乐形式，B) 它被用于赌博，C) 它是一种宗教仪式，D) 它是一种比赛</v>
      </c>
      <c r="J39" s="7" t="str">
        <f>IFERROR(__xludf.DUMMYFUNCTION("GOOGLETRANSLATE(D39, ""en"", ""zh"")"),"A) 这是一种娱乐形式")</f>
        <v>A) 这是一种娱乐形式</v>
      </c>
      <c r="K39" s="7" t="str">
        <f>IFERROR(__xludf.DUMMYFUNCTION("GOOGLETRANSLATE(E39, ""en"", ""zh"")"),"在唐代，蹴鞠是一种在社交聚会和节日期间进行的娱乐活动。")</f>
        <v>在唐代，蹴鞠是一种在社交聚会和节日期间进行的娱乐活动。</v>
      </c>
      <c r="L39" s="2"/>
      <c r="M39" s="4"/>
      <c r="N39" s="4"/>
      <c r="O39" s="4"/>
      <c r="P39" s="2"/>
      <c r="Q39" s="2"/>
      <c r="R39" s="2"/>
      <c r="S39" s="2"/>
      <c r="T39" s="2"/>
      <c r="U39" s="2"/>
      <c r="V39" s="2"/>
      <c r="W39" s="2"/>
      <c r="X39" s="2"/>
      <c r="Y39" s="2"/>
      <c r="Z39" s="2"/>
      <c r="AA39" s="2"/>
      <c r="AB39" s="2"/>
      <c r="AC39" s="2"/>
    </row>
    <row r="40">
      <c r="A40" s="5">
        <v>39.0</v>
      </c>
      <c r="B40" s="6" t="s">
        <v>157</v>
      </c>
      <c r="C40" s="6" t="s">
        <v>158</v>
      </c>
      <c r="D40" s="6" t="s">
        <v>26</v>
      </c>
      <c r="E40" s="6" t="s">
        <v>159</v>
      </c>
      <c r="F40" s="2"/>
      <c r="G40" s="2"/>
      <c r="H40" s="7" t="str">
        <f>IFERROR(__xludf.DUMMYFUNCTION("GOOGLETRANSLATE(B40, ""en"", ""zh"")"),"唐朝哪位皇帝制定了蹴鞠的正式规则？")</f>
        <v>唐朝哪位皇帝制定了蹴鞠的正式规则？</v>
      </c>
      <c r="I40" s="7" t="str">
        <f>IFERROR(__xludf.DUMMYFUNCTION("GOOGLETRANSLATE(C40, ""en"", ""zh"")"),"A) 唐太宗 B) 玄宗 C) 中宗 D) 武宗")</f>
        <v>A) 唐太宗 B) 玄宗 C) 中宗 D) 武宗</v>
      </c>
      <c r="J40" s="7" t="str">
        <f>IFERROR(__xludf.DUMMYFUNCTION("GOOGLETRANSLATE(D40, ""en"", ""zh"")"),"B) 唐玄宗")</f>
        <v>B) 唐玄宗</v>
      </c>
      <c r="K40" s="7" t="str">
        <f>IFERROR(__xludf.DUMMYFUNCTION("GOOGLETRANSLATE(E40, ""en"", ""zh"")"),"唐玄宗皇帝在位期间制定了蹴鞠的正式规则，并因此而闻名。")</f>
        <v>唐玄宗皇帝在位期间制定了蹴鞠的正式规则，并因此而闻名。</v>
      </c>
      <c r="L40" s="4"/>
      <c r="M40" s="4"/>
      <c r="N40" s="2"/>
      <c r="O40" s="4"/>
      <c r="P40" s="2"/>
      <c r="Q40" s="2"/>
      <c r="R40" s="2"/>
      <c r="S40" s="2"/>
      <c r="T40" s="2"/>
      <c r="U40" s="2"/>
      <c r="V40" s="2"/>
      <c r="W40" s="2"/>
      <c r="X40" s="2"/>
      <c r="Y40" s="2"/>
      <c r="Z40" s="2"/>
      <c r="AA40" s="2"/>
      <c r="AB40" s="2"/>
      <c r="AC40" s="2"/>
    </row>
    <row r="41">
      <c r="A41" s="5">
        <v>40.0</v>
      </c>
      <c r="B41" s="6" t="s">
        <v>160</v>
      </c>
      <c r="C41" s="6" t="s">
        <v>161</v>
      </c>
      <c r="D41" s="6" t="s">
        <v>162</v>
      </c>
      <c r="E41" s="6" t="s">
        <v>163</v>
      </c>
      <c r="F41" s="2"/>
      <c r="G41" s="2"/>
      <c r="H41" s="7" t="str">
        <f>IFERROR(__xludf.DUMMYFUNCTION("GOOGLETRANSLATE(B41, ""en"", ""zh"")"),"在中国古代，通常由谁来演奏蹴鞠？")</f>
        <v>在中国古代，通常由谁来演奏蹴鞠？</v>
      </c>
      <c r="I41" s="7" t="str">
        <f>IFERROR(__xludf.DUMMYFUNCTION("GOOGLETRANSLATE(C41, ""en"", ""zh"")"),"A) 仅限贵族，B)​​ 仅限士兵，C) 普通民众，D) 仅限学者")</f>
        <v>A) 仅限贵族，B)​​ 仅限士兵，C) 普通民众，D) 仅限学者</v>
      </c>
      <c r="J41" s="7" t="str">
        <f>IFERROR(__xludf.DUMMYFUNCTION("GOOGLETRANSLATE(D41, ""en"", ""zh"")"),"C) 公众")</f>
        <v>C) 公众</v>
      </c>
      <c r="K41" s="7" t="str">
        <f>IFERROR(__xludf.DUMMYFUNCTION("GOOGLETRANSLATE(E41, ""en"", ""zh"")"),"蹴鞠的演奏者来自各个社会阶层，包括贵族、士兵和普通百姓。")</f>
        <v>蹴鞠的演奏者来自各个社会阶层，包括贵族、士兵和普通百姓。</v>
      </c>
      <c r="L41" s="4"/>
      <c r="M41" s="4"/>
      <c r="N41" s="4"/>
      <c r="O41" s="4"/>
      <c r="P41" s="4"/>
      <c r="Q41" s="2"/>
      <c r="R41" s="2"/>
      <c r="S41" s="2"/>
      <c r="T41" s="2"/>
      <c r="U41" s="2"/>
      <c r="V41" s="2"/>
      <c r="W41" s="2"/>
      <c r="X41" s="2"/>
      <c r="Y41" s="2"/>
      <c r="Z41" s="2"/>
      <c r="AA41" s="2"/>
      <c r="AB41" s="2"/>
      <c r="AC41" s="2"/>
    </row>
    <row r="42">
      <c r="A42" s="5">
        <v>41.0</v>
      </c>
      <c r="B42" s="6" t="s">
        <v>164</v>
      </c>
      <c r="C42" s="6" t="s">
        <v>165</v>
      </c>
      <c r="D42" s="6" t="s">
        <v>50</v>
      </c>
      <c r="E42" s="6" t="s">
        <v>166</v>
      </c>
      <c r="F42" s="2"/>
      <c r="G42" s="2"/>
      <c r="H42" s="7" t="str">
        <f>IFERROR(__xludf.DUMMYFUNCTION("GOOGLETRANSLATE(B42, ""en"", ""zh"")"),"哪项现代运动常被认为是蹴鞠的远亲？")</f>
        <v>哪项现代运动常被认为是蹴鞠的远亲？</v>
      </c>
      <c r="I42" s="7" t="str">
        <f>IFERROR(__xludf.DUMMYFUNCTION("GOOGLETRANSLATE(C42, ""en"", ""zh"")"),"A) 橄榄球，B) 足球，C) 篮球，D) 棒球")</f>
        <v>A) 橄榄球，B) 足球，C) 篮球，D) 棒球</v>
      </c>
      <c r="J42" s="7" t="str">
        <f>IFERROR(__xludf.DUMMYFUNCTION("GOOGLETRANSLATE(D42, ""en"", ""zh"")"),"B) 足球")</f>
        <v>B) 足球</v>
      </c>
      <c r="K42" s="7" t="str">
        <f>IFERROR(__xludf.DUMMYFUNCTION("GOOGLETRANSLATE(E42, ""en"", ""zh"")"),"蹴鞠被认为是足球最早的形式之一，其规则与足球类似，都是将球踢入球门。")</f>
        <v>蹴鞠被认为是足球最早的形式之一，其规则与足球类似，都是将球踢入球门。</v>
      </c>
      <c r="L42" s="2"/>
      <c r="M42" s="4"/>
      <c r="N42" s="2"/>
      <c r="O42" s="4"/>
      <c r="P42" s="4"/>
      <c r="Q42" s="2"/>
      <c r="R42" s="2"/>
      <c r="S42" s="2"/>
      <c r="T42" s="2"/>
      <c r="U42" s="2"/>
      <c r="V42" s="2"/>
      <c r="W42" s="2"/>
      <c r="X42" s="2"/>
      <c r="Y42" s="2"/>
      <c r="Z42" s="2"/>
      <c r="AA42" s="2"/>
      <c r="AB42" s="2"/>
      <c r="AC42" s="2"/>
    </row>
    <row r="43">
      <c r="A43" s="5">
        <v>42.0</v>
      </c>
      <c r="B43" s="6" t="s">
        <v>167</v>
      </c>
      <c r="C43" s="6" t="s">
        <v>168</v>
      </c>
      <c r="D43" s="6" t="s">
        <v>169</v>
      </c>
      <c r="E43" s="6" t="s">
        <v>170</v>
      </c>
      <c r="F43" s="2"/>
      <c r="G43" s="2"/>
      <c r="H43" s="7" t="str">
        <f>IFERROR(__xludf.DUMMYFUNCTION("GOOGLETRANSLATE(B43, ""en"", ""zh"")"),"据传哪位皇帝特别喜爱蹴鞠，并在宫廷中大力推广？")</f>
        <v>据传哪位皇帝特别喜爱蹴鞠，并在宫廷中大力推广？</v>
      </c>
      <c r="I43" s="7" t="str">
        <f>IFERROR(__xludf.DUMMYFUNCTION("GOOGLETRANSLATE(C43, ""en"", ""zh"")"),"A) 隋炀帝，B) 汉武帝，C) 唐太宗，D) 唐玄宗")</f>
        <v>A) 隋炀帝，B) 汉武帝，C) 唐太宗，D) 唐玄宗</v>
      </c>
      <c r="J43" s="7" t="str">
        <f>IFERROR(__xludf.DUMMYFUNCTION("GOOGLETRANSLATE(D43, ""en"", ""zh"")"),"D) 唐玄宗")</f>
        <v>D) 唐玄宗</v>
      </c>
      <c r="K43" s="7" t="str">
        <f>IFERROR(__xludf.DUMMYFUNCTION("GOOGLETRANSLATE(E43, ""en"", ""zh"")"),"唐玄宗皇帝特别喜爱蹴鞠，并在宫廷中大力推广。")</f>
        <v>唐玄宗皇帝特别喜爱蹴鞠，并在宫廷中大力推广。</v>
      </c>
      <c r="L43" s="2"/>
      <c r="M43" s="4"/>
      <c r="N43" s="2"/>
      <c r="O43" s="4"/>
      <c r="P43" s="4"/>
      <c r="Q43" s="2"/>
      <c r="R43" s="2"/>
      <c r="S43" s="2"/>
      <c r="T43" s="2"/>
      <c r="U43" s="2"/>
      <c r="V43" s="2"/>
      <c r="W43" s="2"/>
      <c r="X43" s="2"/>
      <c r="Y43" s="2"/>
      <c r="Z43" s="2"/>
      <c r="AA43" s="2"/>
      <c r="AB43" s="2"/>
      <c r="AC43" s="2"/>
    </row>
    <row r="44">
      <c r="A44" s="5">
        <v>43.0</v>
      </c>
      <c r="B44" s="6" t="s">
        <v>171</v>
      </c>
      <c r="C44" s="6" t="s">
        <v>172</v>
      </c>
      <c r="D44" s="6" t="s">
        <v>173</v>
      </c>
      <c r="E44" s="6" t="s">
        <v>174</v>
      </c>
      <c r="F44" s="2"/>
      <c r="G44" s="2"/>
      <c r="H44" s="7" t="str">
        <f>IFERROR(__xludf.DUMMYFUNCTION("GOOGLETRANSLATE(B44, ""en"", ""zh"")"),"蹴鞠是中国哪个历史时期盛行的一种娱乐方式？")</f>
        <v>蹴鞠是中国哪个历史时期盛行的一种娱乐方式？</v>
      </c>
      <c r="I44" s="7" t="str">
        <f>IFERROR(__xludf.DUMMYFUNCTION("GOOGLETRANSLATE(C44, ""en"", ""zh"")"),"A) 战国时期，B) 汉朝，C) 唐朝，D) 元朝")</f>
        <v>A) 战国时期，B) 汉朝，C) 唐朝，D) 元朝</v>
      </c>
      <c r="J44" s="7" t="str">
        <f>IFERROR(__xludf.DUMMYFUNCTION("GOOGLETRANSLATE(D44, ""en"", ""zh"")"),"C) 唐朝")</f>
        <v>C) 唐朝</v>
      </c>
      <c r="K44" s="7" t="str">
        <f>IFERROR(__xludf.DUMMYFUNCTION("GOOGLETRANSLATE(E44, ""en"", ""zh"")"),"蹴鞠在唐代成为一项广受欢迎的休闲活动。")</f>
        <v>蹴鞠在唐代成为一项广受欢迎的休闲活动。</v>
      </c>
      <c r="L44" s="2"/>
      <c r="M44" s="4"/>
      <c r="N44" s="2"/>
      <c r="O44" s="4"/>
      <c r="P44" s="2"/>
      <c r="Q44" s="2"/>
      <c r="R44" s="2"/>
      <c r="S44" s="2"/>
      <c r="T44" s="2"/>
      <c r="U44" s="2"/>
      <c r="V44" s="2"/>
      <c r="W44" s="2"/>
      <c r="X44" s="2"/>
      <c r="Y44" s="2"/>
      <c r="Z44" s="2"/>
      <c r="AA44" s="2"/>
      <c r="AB44" s="2"/>
      <c r="AC44" s="2"/>
    </row>
    <row r="45">
      <c r="A45" s="5">
        <v>44.0</v>
      </c>
      <c r="B45" s="6" t="s">
        <v>175</v>
      </c>
      <c r="C45" s="6" t="s">
        <v>176</v>
      </c>
      <c r="D45" s="6" t="s">
        <v>177</v>
      </c>
      <c r="E45" s="6" t="s">
        <v>178</v>
      </c>
      <c r="F45" s="2"/>
      <c r="G45" s="2"/>
      <c r="H45" s="7" t="str">
        <f>IFERROR(__xludf.DUMMYFUNCTION("GOOGLETRANSLATE(B45, ""en"", ""zh"")"),"唐代蹴鞠所用的球是哪种类型的球？")</f>
        <v>唐代蹴鞠所用的球是哪种类型的球？</v>
      </c>
      <c r="I45" s="7" t="str">
        <f>IFERROR(__xludf.DUMMYFUNCTION("GOOGLETRANSLATE(C45, ""en"", ""zh"")"),"A) 木球，B) 皮球，C) 陶瓷球，D) 充气皮球")</f>
        <v>A) 木球，B) 皮球，C) 陶瓷球，D) 充气皮球</v>
      </c>
      <c r="J45" s="7" t="str">
        <f>IFERROR(__xludf.DUMMYFUNCTION("GOOGLETRANSLATE(D45, ""en"", ""zh"")"),"D) 充气皮球")</f>
        <v>D) 充气皮球</v>
      </c>
      <c r="K45" s="7" t="str">
        <f>IFERROR(__xludf.DUMMYFUNCTION("GOOGLETRANSLATE(E45, ""en"", ""zh"")"),"蹴鞠球是一种充气的皮革球，类似于现代足球。")</f>
        <v>蹴鞠球是一种充气的皮革球，类似于现代足球。</v>
      </c>
      <c r="L45" s="2"/>
      <c r="M45" s="4"/>
      <c r="N45" s="2"/>
      <c r="O45" s="4"/>
      <c r="P45" s="4"/>
      <c r="Q45" s="2"/>
      <c r="R45" s="2"/>
      <c r="S45" s="2"/>
      <c r="T45" s="2"/>
      <c r="U45" s="2"/>
      <c r="V45" s="2"/>
      <c r="W45" s="2"/>
      <c r="X45" s="2"/>
      <c r="Y45" s="2"/>
      <c r="Z45" s="2"/>
      <c r="AA45" s="2"/>
      <c r="AB45" s="2"/>
      <c r="AC45" s="2"/>
    </row>
    <row r="46">
      <c r="A46" s="5">
        <v>45.0</v>
      </c>
      <c r="B46" s="6" t="s">
        <v>179</v>
      </c>
      <c r="C46" s="6" t="s">
        <v>180</v>
      </c>
      <c r="D46" s="6" t="s">
        <v>181</v>
      </c>
      <c r="E46" s="6" t="s">
        <v>182</v>
      </c>
      <c r="F46" s="2"/>
      <c r="G46" s="2"/>
      <c r="H46" s="7" t="str">
        <f>IFERROR(__xludf.DUMMYFUNCTION("GOOGLETRANSLATE(B46, ""en"", ""zh"")"),"元朝时期，蹴鞠在哪个群体中流行起来？")</f>
        <v>元朝时期，蹴鞠在哪个群体中流行起来？</v>
      </c>
      <c r="I46" s="7" t="str">
        <f>IFERROR(__xludf.DUMMYFUNCTION("GOOGLETRANSLATE(C46, ""en"", ""zh"")"),"A) 外国商人，B) 蒙古统治者，C) 中国农民，D) 佛教僧侣")</f>
        <v>A) 外国商人，B) 蒙古统治者，C) 中国农民，D) 佛教僧侣</v>
      </c>
      <c r="J46" s="7" t="str">
        <f>IFERROR(__xludf.DUMMYFUNCTION("GOOGLETRANSLATE(D46, ""en"", ""zh"")"),"B）蒙古统治者")</f>
        <v>B）蒙古统治者</v>
      </c>
      <c r="K46" s="7" t="str">
        <f>IFERROR(__xludf.DUMMYFUNCTION("GOOGLETRANSLATE(E46, ""en"", ""zh"")"),"元朝的蒙古统治者喜爱蹴鞠，并将其作为宫廷文化的一部分加以推广。")</f>
        <v>元朝的蒙古统治者喜爱蹴鞠，并将其作为宫廷文化的一部分加以推广。</v>
      </c>
      <c r="L46" s="2"/>
      <c r="M46" s="4"/>
      <c r="N46" s="2"/>
      <c r="O46" s="4"/>
      <c r="P46" s="4"/>
      <c r="Q46" s="2"/>
      <c r="R46" s="2"/>
      <c r="S46" s="2"/>
      <c r="T46" s="2"/>
      <c r="U46" s="2"/>
      <c r="V46" s="2"/>
      <c r="W46" s="2"/>
      <c r="X46" s="2"/>
      <c r="Y46" s="2"/>
      <c r="Z46" s="2"/>
      <c r="AA46" s="2"/>
      <c r="AB46" s="2"/>
      <c r="AC46" s="2"/>
    </row>
    <row r="47">
      <c r="A47" s="5">
        <v>46.0</v>
      </c>
      <c r="B47" s="6" t="s">
        <v>183</v>
      </c>
      <c r="C47" s="6" t="s">
        <v>184</v>
      </c>
      <c r="D47" s="6" t="s">
        <v>185</v>
      </c>
      <c r="E47" s="6" t="s">
        <v>186</v>
      </c>
      <c r="F47" s="2"/>
      <c r="G47" s="2"/>
      <c r="H47" s="7" t="str">
        <f>IFERROR(__xludf.DUMMYFUNCTION("GOOGLETRANSLATE(B47, ""en"", ""zh"")"),"艺术作品中最早描绘蹴鞠的形象之一是什么样的？")</f>
        <v>艺术作品中最早描绘蹴鞠的形象之一是什么样的？</v>
      </c>
      <c r="I47" s="7" t="str">
        <f>IFERROR(__xludf.DUMMYFUNCTION("GOOGLETRANSLATE(C47, ""en"", ""zh"")"),"A) 唐代绘画，B) 汉代青铜器，C) 宋代雕塑，D) 清代卷轴画")</f>
        <v>A) 唐代绘画，B) 汉代青铜器，C) 宋代雕塑，D) 清代卷轴画</v>
      </c>
      <c r="J47" s="7" t="str">
        <f>IFERROR(__xludf.DUMMYFUNCTION("GOOGLETRANSLATE(D47, ""en"", ""zh"")"),"A) 一幅唐代绘画")</f>
        <v>A) 一幅唐代绘画</v>
      </c>
      <c r="K47" s="7" t="str">
        <f>IFERROR(__xludf.DUMMYFUNCTION("GOOGLETRANSLATE(E47, ""en"", ""zh"")"),"最早描绘蹴鞠的形象之一出现在唐代艺术作品中，描绘的是球员踢球的场景。")</f>
        <v>最早描绘蹴鞠的形象之一出现在唐代艺术作品中，描绘的是球员踢球的场景。</v>
      </c>
      <c r="L47" s="2"/>
      <c r="M47" s="4"/>
      <c r="N47" s="2"/>
      <c r="O47" s="4"/>
      <c r="P47" s="2"/>
      <c r="Q47" s="2"/>
      <c r="R47" s="2"/>
      <c r="S47" s="2"/>
      <c r="T47" s="2"/>
      <c r="U47" s="2"/>
      <c r="V47" s="2"/>
      <c r="W47" s="2"/>
      <c r="X47" s="2"/>
      <c r="Y47" s="2"/>
      <c r="Z47" s="2"/>
      <c r="AA47" s="2"/>
      <c r="AB47" s="2"/>
      <c r="AC47" s="2"/>
    </row>
    <row r="48">
      <c r="A48" s="5">
        <v>47.0</v>
      </c>
      <c r="B48" s="6" t="s">
        <v>187</v>
      </c>
      <c r="C48" s="6" t="s">
        <v>188</v>
      </c>
      <c r="D48" s="6" t="s">
        <v>189</v>
      </c>
      <c r="E48" s="6" t="s">
        <v>190</v>
      </c>
      <c r="F48" s="2"/>
      <c r="G48" s="2"/>
      <c r="H48" s="7" t="str">
        <f>IFERROR(__xludf.DUMMYFUNCTION("GOOGLETRANSLATE(B48, ""en"", ""zh"")"),"在中国古代，蹴鞠与哪种王室职位联系最为紧密？")</f>
        <v>在中国古代，蹴鞠与哪种王室职位联系最为紧密？</v>
      </c>
      <c r="I48" s="7" t="str">
        <f>IFERROR(__xludf.DUMMYFUNCTION("GOOGLETRANSLATE(C48, ""en"", ""zh"")"),"A) 朝廷官员，B) 军事将领，C) 皇家运动员，D) 皇妃")</f>
        <v>A) 朝廷官员，B) 军事将领，C) 皇家运动员，D) 皇妃</v>
      </c>
      <c r="J48" s="7" t="str">
        <f>IFERROR(__xludf.DUMMYFUNCTION("GOOGLETRANSLATE(D48, ""en"", ""zh"")"),"A) 朝廷官员")</f>
        <v>A) 朝廷官员</v>
      </c>
      <c r="K48" s="7" t="str">
        <f>IFERROR(__xludf.DUMMYFUNCTION("GOOGLETRANSLATE(E48, ""en"", ""zh"")"),"蹴鞠与宫廷中的高级官员和贵族人士有着密切的联系，他们经常在宫廷中玩这种游戏。")</f>
        <v>蹴鞠与宫廷中的高级官员和贵族人士有着密切的联系，他们经常在宫廷中玩这种游戏。</v>
      </c>
      <c r="L48" s="2"/>
      <c r="M48" s="4"/>
      <c r="N48" s="2"/>
      <c r="O48" s="4"/>
      <c r="P48" s="4"/>
      <c r="Q48" s="2"/>
      <c r="R48" s="2"/>
      <c r="S48" s="2"/>
      <c r="T48" s="2"/>
      <c r="U48" s="2"/>
      <c r="V48" s="2"/>
      <c r="W48" s="2"/>
      <c r="X48" s="2"/>
      <c r="Y48" s="2"/>
      <c r="Z48" s="2"/>
      <c r="AA48" s="2"/>
      <c r="AB48" s="2"/>
      <c r="AC48" s="2"/>
    </row>
    <row r="49">
      <c r="A49" s="5">
        <v>48.0</v>
      </c>
      <c r="B49" s="6" t="s">
        <v>191</v>
      </c>
      <c r="C49" s="6" t="s">
        <v>192</v>
      </c>
      <c r="D49" s="6" t="s">
        <v>193</v>
      </c>
      <c r="E49" s="6" t="s">
        <v>194</v>
      </c>
      <c r="F49" s="2"/>
      <c r="G49" s="2"/>
      <c r="H49" s="7" t="str">
        <f>IFERROR(__xludf.DUMMYFUNCTION("GOOGLETRANSLATE(B49, ""en"", ""zh"")"),"古代中国哪个社会阶层的人最有可能演奏蹴鞠？")</f>
        <v>古代中国哪个社会阶层的人最有可能演奏蹴鞠？</v>
      </c>
      <c r="I49" s="7" t="str">
        <f>IFERROR(__xludf.DUMMYFUNCTION("GOOGLETRANSLATE(C49, ""en"", ""zh"")"),"A) 贵族，B)​​ 农民，C) 士兵，D) 商人")</f>
        <v>A) 贵族，B)​​ 农民，C) 士兵，D) 商人</v>
      </c>
      <c r="J49" s="7" t="str">
        <f>IFERROR(__xludf.DUMMYFUNCTION("GOOGLETRANSLATE(D49, ""en"", ""zh"")"),"A）贵族")</f>
        <v>A）贵族</v>
      </c>
      <c r="K49" s="7" t="str">
        <f>IFERROR(__xludf.DUMMYFUNCTION("GOOGLETRANSLATE(E49, ""en"", ""zh"")"),"蹴鞠在贵族阶层中尤其受欢迎，他们将蹴鞠作为一种娱乐和体育锻炼的方式。")</f>
        <v>蹴鞠在贵族阶层中尤其受欢迎，他们将蹴鞠作为一种娱乐和体育锻炼的方式。</v>
      </c>
      <c r="L49" s="2"/>
      <c r="M49" s="4"/>
      <c r="N49" s="2"/>
      <c r="O49" s="4"/>
      <c r="P49" s="2"/>
      <c r="Q49" s="2"/>
      <c r="R49" s="2"/>
      <c r="S49" s="2"/>
      <c r="T49" s="2"/>
      <c r="U49" s="2"/>
      <c r="V49" s="2"/>
      <c r="W49" s="2"/>
      <c r="X49" s="2"/>
      <c r="Y49" s="2"/>
      <c r="Z49" s="2"/>
      <c r="AA49" s="2"/>
      <c r="AB49" s="2"/>
      <c r="AC49" s="2"/>
    </row>
    <row r="50">
      <c r="A50" s="5">
        <v>49.0</v>
      </c>
      <c r="B50" s="6" t="s">
        <v>195</v>
      </c>
      <c r="C50" s="6" t="s">
        <v>196</v>
      </c>
      <c r="D50" s="6" t="s">
        <v>77</v>
      </c>
      <c r="E50" s="6" t="s">
        <v>197</v>
      </c>
      <c r="F50" s="2"/>
      <c r="G50" s="2"/>
      <c r="H50" s="7" t="str">
        <f>IFERROR(__xludf.DUMMYFUNCTION("GOOGLETRANSLATE(B50, ""en"", ""zh"")"),"中国哪个朝代的蹴鞠运动开始类似于现代足球运动？")</f>
        <v>中国哪个朝代的蹴鞠运动开始类似于现代足球运动？</v>
      </c>
      <c r="I50" s="7" t="str">
        <f>IFERROR(__xludf.DUMMYFUNCTION("GOOGLETRANSLATE(C50, ""en"", ""zh"")"),"A) 周朝，B) 汉朝，C) 唐朝，D) 宋朝")</f>
        <v>A) 周朝，B) 汉朝，C) 唐朝，D) 宋朝</v>
      </c>
      <c r="J50" s="7" t="str">
        <f>IFERROR(__xludf.DUMMYFUNCTION("GOOGLETRANSLATE(D50, ""en"", ""zh"")"),"C) 唐朝")</f>
        <v>C) 唐朝</v>
      </c>
      <c r="K50" s="7" t="str">
        <f>IFERROR(__xludf.DUMMYFUNCTION("GOOGLETRANSLATE(E50, ""en"", ""zh"")"),"唐朝时期，蹴鞠演变成一种与现代足球非常相似的运动形式。")</f>
        <v>唐朝时期，蹴鞠演变成一种与现代足球非常相似的运动形式。</v>
      </c>
      <c r="L50" s="2"/>
      <c r="M50" s="4"/>
      <c r="N50" s="2"/>
      <c r="O50" s="4"/>
      <c r="P50" s="4"/>
      <c r="Q50" s="2"/>
      <c r="R50" s="2"/>
      <c r="S50" s="2"/>
      <c r="T50" s="2"/>
      <c r="U50" s="2"/>
      <c r="V50" s="2"/>
      <c r="W50" s="2"/>
      <c r="X50" s="2"/>
      <c r="Y50" s="2"/>
      <c r="Z50" s="2"/>
      <c r="AA50" s="2"/>
      <c r="AB50" s="2"/>
      <c r="AC50" s="2"/>
    </row>
    <row r="51">
      <c r="A51" s="5">
        <v>50.0</v>
      </c>
      <c r="B51" s="6" t="s">
        <v>198</v>
      </c>
      <c r="C51" s="6" t="s">
        <v>199</v>
      </c>
      <c r="D51" s="6" t="s">
        <v>200</v>
      </c>
      <c r="E51" s="6" t="s">
        <v>201</v>
      </c>
      <c r="F51" s="2"/>
      <c r="G51" s="2"/>
      <c r="H51" s="7" t="str">
        <f>IFERROR(__xludf.DUMMYFUNCTION("GOOGLETRANSLATE(B51, ""en"", ""zh"")"),"古代中国蹴鞠这种游戏的原名是什么？")</f>
        <v>古代中国蹴鞠这种游戏的原名是什么？</v>
      </c>
      <c r="I51" s="7" t="str">
        <f>IFERROR(__xludf.DUMMYFUNCTION("GOOGLETRANSLATE(C51, ""en"", ""zh"")"),"A) 象棋、B) 楚楚、C) 围棋、D) 八段锦")</f>
        <v>A) 象棋、B) 楚楚、C) 围棋、D) 八段锦</v>
      </c>
      <c r="J51" s="7" t="str">
        <f>IFERROR(__xludf.DUMMYFUNCTION("GOOGLETRANSLATE(D51, ""en"", ""zh"")"),"B) 祖珠")</f>
        <v>B) 祖珠</v>
      </c>
      <c r="K51" s="7" t="str">
        <f>IFERROR(__xludf.DUMMYFUNCTION("GOOGLETRANSLATE(E51, ""en"", ""zh"")"),"蹴鞠最初被称为蹴鞠，在古代汉语中意为“踢球”。")</f>
        <v>蹴鞠最初被称为蹴鞠，在古代汉语中意为“踢球”。</v>
      </c>
      <c r="L51" s="4"/>
      <c r="M51" s="4"/>
      <c r="N51" s="4"/>
      <c r="O51" s="4"/>
      <c r="P51" s="4"/>
      <c r="Q51" s="2"/>
      <c r="R51" s="2"/>
      <c r="S51" s="2"/>
      <c r="T51" s="2"/>
      <c r="U51" s="2"/>
      <c r="V51" s="2"/>
      <c r="W51" s="2"/>
      <c r="X51" s="2"/>
      <c r="Y51" s="2"/>
      <c r="Z51" s="2"/>
      <c r="AA51" s="2"/>
      <c r="AB51" s="2"/>
      <c r="AC51" s="2"/>
    </row>
    <row r="52">
      <c r="A52" s="5">
        <v>51.0</v>
      </c>
      <c r="B52" s="6" t="s">
        <v>202</v>
      </c>
      <c r="C52" s="6" t="s">
        <v>203</v>
      </c>
      <c r="D52" s="6" t="s">
        <v>204</v>
      </c>
      <c r="E52" s="6" t="s">
        <v>205</v>
      </c>
      <c r="F52" s="2"/>
      <c r="G52" s="2"/>
      <c r="H52" s="7" t="str">
        <f>IFERROR(__xludf.DUMMYFUNCTION("GOOGLETRANSLATE(B52, ""en"", ""zh"")"),"蹴鞠与其他古代球类运动相比，其独特之处是什么？")</f>
        <v>蹴鞠与其他古代球类运动相比，其独特之处是什么？</v>
      </c>
      <c r="I52" s="7" t="str">
        <f>IFERROR(__xludf.DUMMYFUNCTION("GOOGLETRANSLATE(C52, ""en"", ""zh"")"),"A) 用手，B) 使用球网，C) 用脚踢球，D) 没有球门柱")</f>
        <v>A) 用手，B) 使用球网，C) 用脚踢球，D) 没有球门柱</v>
      </c>
      <c r="J52" s="7" t="str">
        <f>IFERROR(__xludf.DUMMYFUNCTION("GOOGLETRANSLATE(D52, ""en"", ""zh"")"),"C）踢球")</f>
        <v>C）踢球</v>
      </c>
      <c r="K52" s="7" t="str">
        <f>IFERROR(__xludf.DUMMYFUNCTION("GOOGLETRANSLATE(E52, ""en"", ""zh"")"),"与其他许多古代游戏不同，蹴鞠的独特之处在于它是用脚踢球而不是用手。")</f>
        <v>与其他许多古代游戏不同，蹴鞠的独特之处在于它是用脚踢球而不是用手。</v>
      </c>
      <c r="L52" s="2"/>
      <c r="M52" s="4"/>
      <c r="N52" s="2"/>
      <c r="O52" s="4"/>
      <c r="P52" s="2"/>
      <c r="Q52" s="2"/>
      <c r="R52" s="2"/>
      <c r="S52" s="2"/>
      <c r="T52" s="2"/>
      <c r="U52" s="2"/>
      <c r="V52" s="2"/>
      <c r="W52" s="2"/>
      <c r="X52" s="2"/>
      <c r="Y52" s="2"/>
      <c r="Z52" s="2"/>
      <c r="AA52" s="2"/>
      <c r="AB52" s="2"/>
      <c r="AC52" s="2"/>
    </row>
    <row r="53">
      <c r="A53" s="5">
        <v>52.0</v>
      </c>
      <c r="B53" s="6" t="s">
        <v>206</v>
      </c>
      <c r="C53" s="6" t="s">
        <v>207</v>
      </c>
      <c r="D53" s="6" t="s">
        <v>208</v>
      </c>
      <c r="E53" s="6" t="s">
        <v>209</v>
      </c>
      <c r="F53" s="2"/>
      <c r="G53" s="2"/>
      <c r="H53" s="7" t="str">
        <f>IFERROR(__xludf.DUMMYFUNCTION("GOOGLETRANSLATE(B53, ""en"", ""zh"")"),"蹴鞠的流行度在哪个时期开始下降？")</f>
        <v>蹴鞠的流行度在哪个时期开始下降？</v>
      </c>
      <c r="I53" s="7" t="str">
        <f>IFERROR(__xludf.DUMMYFUNCTION("GOOGLETRANSLATE(C53, ""en"", ""zh"")"),"A) 唐朝，B) 元朝，C) 宋朝，D) 明朝")</f>
        <v>A) 唐朝，B) 元朝，C) 宋朝，D) 明朝</v>
      </c>
      <c r="J53" s="7" t="str">
        <f>IFERROR(__xludf.DUMMYFUNCTION("GOOGLETRANSLATE(D53, ""en"", ""zh"")"),"D) 明朝")</f>
        <v>D) 明朝</v>
      </c>
      <c r="K53" s="7" t="str">
        <f>IFERROR(__xludf.DUMMYFUNCTION("GOOGLETRANSLATE(E53, ""en"", ""zh"")"),"明朝时期，随着其他娱乐和体育运动形式的出现，蹴鞠的受欢迎程度开始下降。")</f>
        <v>明朝时期，随着其他娱乐和体育运动形式的出现，蹴鞠的受欢迎程度开始下降。</v>
      </c>
      <c r="L53" s="2"/>
      <c r="M53" s="4"/>
      <c r="N53" s="2"/>
      <c r="O53" s="4"/>
      <c r="P53" s="2"/>
      <c r="Q53" s="2"/>
      <c r="R53" s="2"/>
      <c r="S53" s="2"/>
      <c r="T53" s="2"/>
      <c r="U53" s="2"/>
      <c r="V53" s="2"/>
      <c r="W53" s="2"/>
      <c r="X53" s="2"/>
      <c r="Y53" s="2"/>
      <c r="Z53" s="2"/>
      <c r="AA53" s="2"/>
      <c r="AB53" s="2"/>
      <c r="AC53" s="2"/>
    </row>
    <row r="54">
      <c r="A54" s="8">
        <v>53.0</v>
      </c>
      <c r="B54" s="9" t="s">
        <v>210</v>
      </c>
      <c r="C54" s="9" t="s">
        <v>211</v>
      </c>
      <c r="D54" s="9" t="s">
        <v>135</v>
      </c>
      <c r="E54" s="9" t="s">
        <v>212</v>
      </c>
      <c r="F54" s="10"/>
      <c r="G54" s="10"/>
      <c r="H54" s="7" t="str">
        <f>IFERROR(__xludf.DUMMYFUNCTION("GOOGLETRANSLATE(B54, ""en"", ""zh"")"),"蹴鞠主要流行于中国哪个朝代？")</f>
        <v>蹴鞠主要流行于中国哪个朝代？</v>
      </c>
      <c r="I54" s="7" t="str">
        <f>IFERROR(__xludf.DUMMYFUNCTION("GOOGLETRANSLATE(C54, ""en"", ""zh"")"),"A) 秦朝，B) 唐朝，C) 汉朝，D) 元朝")</f>
        <v>A) 秦朝，B) 唐朝，C) 汉朝，D) 元朝</v>
      </c>
      <c r="J54" s="7" t="str">
        <f>IFERROR(__xludf.DUMMYFUNCTION("GOOGLETRANSLATE(D54, ""en"", ""zh"")"),"B）唐朝")</f>
        <v>B）唐朝</v>
      </c>
      <c r="K54" s="7" t="str">
        <f>IFERROR(__xludf.DUMMYFUNCTION("GOOGLETRANSLATE(E54, ""en"", ""zh"")"),"蹴鞠在唐代最为流行，尽管它的起源更早。")</f>
        <v>蹴鞠在唐代最为流行，尽管它的起源更早。</v>
      </c>
      <c r="L54" s="10"/>
      <c r="M54" s="11"/>
      <c r="N54" s="10"/>
      <c r="O54" s="11"/>
      <c r="P54" s="10"/>
      <c r="Q54" s="10"/>
      <c r="R54" s="10"/>
      <c r="S54" s="10"/>
      <c r="T54" s="10"/>
      <c r="U54" s="10"/>
      <c r="V54" s="10"/>
      <c r="W54" s="10"/>
      <c r="X54" s="10"/>
      <c r="Y54" s="10"/>
      <c r="Z54" s="10"/>
      <c r="AA54" s="10"/>
      <c r="AB54" s="10"/>
      <c r="AC54" s="10"/>
    </row>
    <row r="55">
      <c r="A55" s="8">
        <v>54.0</v>
      </c>
      <c r="B55" s="9" t="s">
        <v>213</v>
      </c>
      <c r="C55" s="9" t="s">
        <v>214</v>
      </c>
      <c r="D55" s="9" t="s">
        <v>215</v>
      </c>
      <c r="E55" s="9" t="s">
        <v>216</v>
      </c>
      <c r="F55" s="10"/>
      <c r="G55" s="10"/>
      <c r="H55" s="7" t="str">
        <f>IFERROR(__xludf.DUMMYFUNCTION("GOOGLETRANSLATE(B55, ""en"", ""zh"")"),"历史上最著名的蹴鞠队之一是哪支？")</f>
        <v>历史上最著名的蹴鞠队之一是哪支？</v>
      </c>
      <c r="I55" s="7" t="str">
        <f>IFERROR(__xludf.DUMMYFUNCTION("GOOGLETRANSLATE(C55, ""en"", ""zh"")"),"A) 唐朝皇家队，B) 元朝武士队，C) 宋朝足球俱乐部，D) 秦朝军队")</f>
        <v>A) 唐朝皇家队，B) 元朝武士队，C) 宋朝足球俱乐部，D) 秦朝军队</v>
      </c>
      <c r="J55" s="7" t="str">
        <f>IFERROR(__xludf.DUMMYFUNCTION("GOOGLETRANSLATE(D55, ""en"", ""zh"")"),"A) 唐朝皇室团队")</f>
        <v>A) 唐朝皇室团队</v>
      </c>
      <c r="K55" s="7" t="str">
        <f>IFERROR(__xludf.DUMMYFUNCTION("GOOGLETRANSLATE(E55, ""en"", ""zh"")"),"唐朝皇室队是蹴鞠历史上最著名的球队之一。")</f>
        <v>唐朝皇室队是蹴鞠历史上最著名的球队之一。</v>
      </c>
      <c r="L55" s="10"/>
      <c r="M55" s="11"/>
      <c r="N55" s="10"/>
      <c r="O55" s="11"/>
      <c r="P55" s="10"/>
      <c r="Q55" s="10"/>
      <c r="R55" s="10"/>
      <c r="S55" s="10"/>
      <c r="T55" s="10"/>
      <c r="U55" s="10"/>
      <c r="V55" s="10"/>
      <c r="W55" s="10"/>
      <c r="X55" s="10"/>
      <c r="Y55" s="10"/>
      <c r="Z55" s="10"/>
      <c r="AA55" s="10"/>
      <c r="AB55" s="10"/>
      <c r="AC55" s="10"/>
    </row>
    <row r="56">
      <c r="A56" s="8">
        <v>55.0</v>
      </c>
      <c r="B56" s="9" t="s">
        <v>217</v>
      </c>
      <c r="C56" s="9" t="s">
        <v>218</v>
      </c>
      <c r="D56" s="9" t="s">
        <v>219</v>
      </c>
      <c r="E56" s="9" t="s">
        <v>220</v>
      </c>
      <c r="F56" s="10"/>
      <c r="G56" s="10"/>
      <c r="H56" s="7" t="str">
        <f>IFERROR(__xludf.DUMMYFUNCTION("GOOGLETRANSLATE(B56, ""en"", ""zh"")"),"与蹴鞠联系最紧密的历史人物是哪位？")</f>
        <v>与蹴鞠联系最紧密的历史人物是哪位？</v>
      </c>
      <c r="I56" s="7" t="str">
        <f>IFERROR(__xludf.DUMMYFUNCTION("GOOGLETRANSLATE(C56, ""en"", ""zh"")"),"A) 唐太宗 B) 孔子 C) 孙子 D) 老子")</f>
        <v>A) 唐太宗 B) 孔子 C) 孙子 D) 老子</v>
      </c>
      <c r="J56" s="7" t="str">
        <f>IFERROR(__xludf.DUMMYFUNCTION("GOOGLETRANSLATE(D56, ""en"", ""zh"")"),"A) 皇帝太宗")</f>
        <v>A) 皇帝太宗</v>
      </c>
      <c r="K56" s="7" t="str">
        <f>IFERROR(__xludf.DUMMYFUNCTION("GOOGLETRANSLATE(E56, ""en"", ""zh"")"),"唐太宗是唐朝时期支持和推广蹴鞠的著名人物之一。")</f>
        <v>唐太宗是唐朝时期支持和推广蹴鞠的著名人物之一。</v>
      </c>
      <c r="L56" s="11"/>
      <c r="M56" s="11"/>
      <c r="N56" s="11"/>
      <c r="O56" s="11"/>
      <c r="P56" s="10"/>
      <c r="Q56" s="10"/>
      <c r="R56" s="10"/>
      <c r="S56" s="10"/>
      <c r="T56" s="10"/>
      <c r="U56" s="10"/>
      <c r="V56" s="10"/>
      <c r="W56" s="10"/>
      <c r="X56" s="10"/>
      <c r="Y56" s="10"/>
      <c r="Z56" s="10"/>
      <c r="AA56" s="10"/>
      <c r="AB56" s="10"/>
      <c r="AC56" s="10"/>
    </row>
    <row r="57">
      <c r="A57" s="8">
        <v>56.0</v>
      </c>
      <c r="B57" s="9" t="s">
        <v>221</v>
      </c>
      <c r="C57" s="9" t="s">
        <v>222</v>
      </c>
      <c r="D57" s="9" t="s">
        <v>223</v>
      </c>
      <c r="E57" s="9" t="s">
        <v>224</v>
      </c>
      <c r="F57" s="10"/>
      <c r="G57" s="10"/>
      <c r="H57" s="7" t="str">
        <f>IFERROR(__xludf.DUMMYFUNCTION("GOOGLETRANSLATE(B57, ""en"", ""zh"")"),"蹴鞠的起源是什么？")</f>
        <v>蹴鞠的起源是什么？</v>
      </c>
      <c r="I57" s="7" t="str">
        <f>IFERROR(__xludf.DUMMYFUNCTION("GOOGLETRANSLATE(C57, ""en"", ""zh"")"),"A) 希腊，B) 印度，C) 中国，D) 日本")</f>
        <v>A) 希腊，B) 印度，C) 中国，D) 日本</v>
      </c>
      <c r="J57" s="7" t="str">
        <f>IFERROR(__xludf.DUMMYFUNCTION("GOOGLETRANSLATE(D57, ""en"", ""zh"")"),"C) 中国")</f>
        <v>C) 中国</v>
      </c>
      <c r="K57" s="7" t="str">
        <f>IFERROR(__xludf.DUMMYFUNCTION("GOOGLETRANSLATE(E57, ""en"", ""zh"")"),"蹴鞠是中国一项古老的体育运动，其历史可以追溯到汉代。")</f>
        <v>蹴鞠是中国一项古老的体育运动，其历史可以追溯到汉代。</v>
      </c>
      <c r="L57" s="10"/>
      <c r="M57" s="11"/>
      <c r="N57" s="11"/>
      <c r="O57" s="11"/>
      <c r="P57" s="10"/>
      <c r="Q57" s="10"/>
      <c r="R57" s="10"/>
      <c r="S57" s="10"/>
      <c r="T57" s="10"/>
      <c r="U57" s="10"/>
      <c r="V57" s="10"/>
      <c r="W57" s="10"/>
      <c r="X57" s="10"/>
      <c r="Y57" s="10"/>
      <c r="Z57" s="10"/>
      <c r="AA57" s="10"/>
      <c r="AB57" s="10"/>
      <c r="AC57" s="10"/>
    </row>
    <row r="58">
      <c r="A58" s="8">
        <v>57.0</v>
      </c>
      <c r="B58" s="9" t="s">
        <v>225</v>
      </c>
      <c r="C58" s="9" t="s">
        <v>226</v>
      </c>
      <c r="D58" s="9" t="s">
        <v>227</v>
      </c>
      <c r="E58" s="9" t="s">
        <v>228</v>
      </c>
      <c r="F58" s="10"/>
      <c r="G58" s="10"/>
      <c r="H58" s="7" t="str">
        <f>IFERROR(__xludf.DUMMYFUNCTION("GOOGLETRANSLATE(B58, ""en"", ""zh"")"),"传统上，蹴鞠球使用的是什么材料？")</f>
        <v>传统上，蹴鞠球使用的是什么材料？</v>
      </c>
      <c r="I58" s="7" t="str">
        <f>IFERROR(__xludf.DUMMYFUNCTION("GOOGLETRANSLATE(C58, ""en"", ""zh"")"),"A) 金属，B) 木材，C) 皮革，D) 塑料")</f>
        <v>A) 金属，B) 木材，C) 皮革，D) 塑料</v>
      </c>
      <c r="J58" s="7" t="str">
        <f>IFERROR(__xludf.DUMMYFUNCTION("GOOGLETRANSLATE(D58, ""en"", ""zh"")"),"C) 皮革")</f>
        <v>C) 皮革</v>
      </c>
      <c r="K58" s="7" t="str">
        <f>IFERROR(__xludf.DUMMYFUNCTION("GOOGLETRANSLATE(E58, ""en"", ""zh"")"),"蹴鞠球传统上是用皮革制成的，有时会填充羽毛。")</f>
        <v>蹴鞠球传统上是用皮革制成的，有时会填充羽毛。</v>
      </c>
      <c r="L58" s="10"/>
      <c r="M58" s="11"/>
      <c r="N58" s="10"/>
      <c r="O58" s="11"/>
      <c r="P58" s="10"/>
      <c r="Q58" s="10"/>
      <c r="R58" s="10"/>
      <c r="S58" s="10"/>
      <c r="T58" s="10"/>
      <c r="U58" s="10"/>
      <c r="V58" s="10"/>
      <c r="W58" s="10"/>
      <c r="X58" s="10"/>
      <c r="Y58" s="10"/>
      <c r="Z58" s="10"/>
      <c r="AA58" s="10"/>
      <c r="AB58" s="10"/>
      <c r="AC58" s="10"/>
    </row>
    <row r="59">
      <c r="A59" s="8">
        <v>58.0</v>
      </c>
      <c r="B59" s="9" t="s">
        <v>229</v>
      </c>
      <c r="C59" s="9" t="s">
        <v>230</v>
      </c>
      <c r="D59" s="9" t="s">
        <v>135</v>
      </c>
      <c r="E59" s="9" t="s">
        <v>231</v>
      </c>
      <c r="F59" s="10"/>
      <c r="G59" s="10"/>
      <c r="H59" s="7" t="str">
        <f>IFERROR(__xludf.DUMMYFUNCTION("GOOGLETRANSLATE(B59, ""en"", ""zh"")"),"蹴鞠在哪个朝代开始流行？")</f>
        <v>蹴鞠在哪个朝代开始流行？</v>
      </c>
      <c r="I59" s="7" t="str">
        <f>IFERROR(__xludf.DUMMYFUNCTION("GOOGLETRANSLATE(C59, ""en"", ""zh"")"),"A) 汉朝，B) 唐朝，C) 明朝，D) 元朝")</f>
        <v>A) 汉朝，B) 唐朝，C) 明朝，D) 元朝</v>
      </c>
      <c r="J59" s="7" t="str">
        <f>IFERROR(__xludf.DUMMYFUNCTION("GOOGLETRANSLATE(D59, ""en"", ""zh"")"),"B）唐朝")</f>
        <v>B）唐朝</v>
      </c>
      <c r="K59" s="7" t="str">
        <f>IFERROR(__xludf.DUMMYFUNCTION("GOOGLETRANSLATE(E59, ""en"", ""zh"")"),"蹴鞠在中国唐朝时期达到了鼎盛时期。")</f>
        <v>蹴鞠在中国唐朝时期达到了鼎盛时期。</v>
      </c>
      <c r="L59" s="10"/>
      <c r="M59" s="11"/>
      <c r="N59" s="10"/>
      <c r="O59" s="11"/>
      <c r="P59" s="10"/>
      <c r="Q59" s="10"/>
      <c r="R59" s="10"/>
      <c r="S59" s="10"/>
      <c r="T59" s="10"/>
      <c r="U59" s="10"/>
      <c r="V59" s="10"/>
      <c r="W59" s="10"/>
      <c r="X59" s="10"/>
      <c r="Y59" s="10"/>
      <c r="Z59" s="10"/>
      <c r="AA59" s="10"/>
      <c r="AB59" s="10"/>
      <c r="AC59" s="10"/>
    </row>
    <row r="60">
      <c r="A60" s="8">
        <v>59.0</v>
      </c>
      <c r="B60" s="9" t="s">
        <v>232</v>
      </c>
      <c r="C60" s="9" t="s">
        <v>233</v>
      </c>
      <c r="D60" s="9" t="s">
        <v>234</v>
      </c>
      <c r="E60" s="9" t="s">
        <v>235</v>
      </c>
      <c r="F60" s="10"/>
      <c r="G60" s="10"/>
      <c r="H60" s="7" t="str">
        <f>IFERROR(__xludf.DUMMYFUNCTION("GOOGLETRANSLATE(B60, ""en"", ""zh"")"),"蹴鞠在中国古代的主要社会背景是什么？")</f>
        <v>蹴鞠在中国古代的主要社会背景是什么？</v>
      </c>
      <c r="I60" s="7" t="str">
        <f>IFERROR(__xludf.DUMMYFUNCTION("GOOGLETRANSLATE(C60, ""en"", ""zh"")"),"A) 军事训练，B) 宗教仪式，C) 皇家娱乐，D) 农业节庆")</f>
        <v>A) 军事训练，B) 宗教仪式，C) 皇家娱乐，D) 农业节庆</v>
      </c>
      <c r="J60" s="7" t="str">
        <f>IFERROR(__xludf.DUMMYFUNCTION("GOOGLETRANSLATE(D60, ""en"", ""zh"")"),"C) 皇家娱乐")</f>
        <v>C) 皇家娱乐</v>
      </c>
      <c r="K60" s="7" t="str">
        <f>IFERROR(__xludf.DUMMYFUNCTION("GOOGLETRANSLATE(E60, ""en"", ""zh"")"),"蹴鞠经常被当作一种娱乐形式，尤其是在中国古代的宫廷中。")</f>
        <v>蹴鞠经常被当作一种娱乐形式，尤其是在中国古代的宫廷中。</v>
      </c>
      <c r="L60" s="10"/>
      <c r="M60" s="11"/>
      <c r="N60" s="10"/>
      <c r="O60" s="11"/>
      <c r="P60" s="10"/>
      <c r="Q60" s="10"/>
      <c r="R60" s="10"/>
      <c r="S60" s="10"/>
      <c r="T60" s="10"/>
      <c r="U60" s="10"/>
      <c r="V60" s="10"/>
      <c r="W60" s="10"/>
      <c r="X60" s="10"/>
      <c r="Y60" s="10"/>
      <c r="Z60" s="10"/>
      <c r="AA60" s="10"/>
      <c r="AB60" s="10"/>
      <c r="AC60" s="10"/>
    </row>
    <row r="61">
      <c r="A61" s="8">
        <v>60.0</v>
      </c>
      <c r="B61" s="9" t="s">
        <v>236</v>
      </c>
      <c r="C61" s="9" t="s">
        <v>237</v>
      </c>
      <c r="D61" s="9" t="s">
        <v>238</v>
      </c>
      <c r="E61" s="9" t="s">
        <v>239</v>
      </c>
      <c r="F61" s="10"/>
      <c r="G61" s="10"/>
      <c r="H61" s="7" t="str">
        <f>IFERROR(__xludf.DUMMYFUNCTION("GOOGLETRANSLATE(B61, ""en"", ""zh"")"),"传统上，蹴鞠是在什么样的场地上进行的？")</f>
        <v>传统上，蹴鞠是在什么样的场地上进行的？</v>
      </c>
      <c r="I61" s="7" t="str">
        <f>IFERROR(__xludf.DUMMYFUNCTION("GOOGLETRANSLATE(C61, ""en"", ""zh"")"),"A) 草地，B) 硬土，C) 沙地，D) 人造草坪")</f>
        <v>A) 草地，B) 硬土，C) 沙地，D) 人造草坪</v>
      </c>
      <c r="J61" s="7" t="str">
        <f>IFERROR(__xludf.DUMMYFUNCTION("GOOGLETRANSLATE(D61, ""en"", ""zh"")"),"A) 草")</f>
        <v>A) 草</v>
      </c>
      <c r="K61" s="7" t="str">
        <f>IFERROR(__xludf.DUMMYFUNCTION("GOOGLETRANSLATE(E61, ""en"", ""zh"")"),"蹴鞠传统上是在草地上进行的，类似于足球。")</f>
        <v>蹴鞠传统上是在草地上进行的，类似于足球。</v>
      </c>
      <c r="L61" s="10"/>
      <c r="M61" s="11"/>
      <c r="N61" s="10"/>
      <c r="O61" s="11"/>
      <c r="P61" s="10"/>
      <c r="Q61" s="10"/>
      <c r="R61" s="10"/>
      <c r="S61" s="10"/>
      <c r="T61" s="10"/>
      <c r="U61" s="10"/>
      <c r="V61" s="10"/>
      <c r="W61" s="10"/>
      <c r="X61" s="10"/>
      <c r="Y61" s="10"/>
      <c r="Z61" s="10"/>
      <c r="AA61" s="10"/>
      <c r="AB61" s="10"/>
      <c r="AC61" s="10"/>
    </row>
    <row r="62">
      <c r="A62" s="8">
        <v>61.0</v>
      </c>
      <c r="B62" s="9" t="s">
        <v>240</v>
      </c>
      <c r="C62" s="9" t="s">
        <v>241</v>
      </c>
      <c r="D62" s="9" t="s">
        <v>242</v>
      </c>
      <c r="E62" s="9" t="s">
        <v>243</v>
      </c>
      <c r="F62" s="10"/>
      <c r="G62" s="10"/>
      <c r="H62" s="7" t="str">
        <f>IFERROR(__xludf.DUMMYFUNCTION("GOOGLETRANSLATE(B62, ""en"", ""zh"")"),"蹴鞠比赛中，球由皮革制成，内部填充羽毛。历史上，蹴鞠球的制作过程中使用羽毛的原因是什么？")</f>
        <v>蹴鞠比赛中，球由皮革制成，内部填充羽毛。历史上，蹴鞠球的制作过程中使用羽毛的原因是什么？</v>
      </c>
      <c r="I62" s="7" t="str">
        <f>IFERROR(__xludf.DUMMYFUNCTION("GOOGLETRANSLATE(C62, ""en"", ""zh"")"),"A) 提高球速，B) 减轻球的重量，C) 改善球的弹跳，D) 确保耐用性")</f>
        <v>A) 提高球速，B) 减轻球的重量，C) 改善球的弹跳，D) 确保耐用性</v>
      </c>
      <c r="J62" s="7" t="str">
        <f>IFERROR(__xludf.DUMMYFUNCTION("GOOGLETRANSLATE(D62, ""en"", ""zh"")"),"B) 为了使球更轻")</f>
        <v>B) 为了使球更轻</v>
      </c>
      <c r="K62" s="7" t="str">
        <f>IFERROR(__xludf.DUMMYFUNCTION("GOOGLETRANSLATE(E62, ""en"", ""zh"")"),"蹴鞠球中使用了羽毛来减轻重量，使球在比赛中更容易踢和控制。")</f>
        <v>蹴鞠球中使用了羽毛来减轻重量，使球在比赛中更容易踢和控制。</v>
      </c>
      <c r="L62" s="11"/>
      <c r="M62" s="11"/>
      <c r="N62" s="10"/>
      <c r="O62" s="11"/>
      <c r="P62" s="12"/>
      <c r="Q62" s="10"/>
      <c r="R62" s="10"/>
      <c r="S62" s="10"/>
      <c r="T62" s="10"/>
      <c r="U62" s="10"/>
      <c r="V62" s="10"/>
      <c r="W62" s="10"/>
      <c r="X62" s="10"/>
      <c r="Y62" s="10"/>
      <c r="Z62" s="10"/>
      <c r="AA62" s="10"/>
      <c r="AB62" s="10"/>
      <c r="AC62" s="10"/>
    </row>
    <row r="63">
      <c r="A63" s="8">
        <v>62.0</v>
      </c>
      <c r="B63" s="9" t="s">
        <v>244</v>
      </c>
      <c r="C63" s="9" t="s">
        <v>245</v>
      </c>
      <c r="D63" s="9" t="s">
        <v>246</v>
      </c>
      <c r="E63" s="9" t="s">
        <v>247</v>
      </c>
      <c r="F63" s="10"/>
      <c r="G63" s="10"/>
      <c r="H63" s="7" t="str">
        <f>IFERROR(__xludf.DUMMYFUNCTION("GOOGLETRANSLATE(B63, ""en"", ""zh"")"),"在古代蹴鞠运动中，棋手通常属于中国社会中的哪个社会群体？")</f>
        <v>在古代蹴鞠运动中，棋手通常属于中国社会中的哪个社会群体？</v>
      </c>
      <c r="I63" s="7" t="str">
        <f>IFERROR(__xludf.DUMMYFUNCTION("GOOGLETRANSLATE(C63, ""en"", ""zh"")"),"A) 王室和贵族，B)​​ 士兵和军事人员，C) 农民，D) 商人")</f>
        <v>A) 王室和贵族，B)​​ 士兵和军事人员，C) 农民，D) 商人</v>
      </c>
      <c r="J63" s="7" t="str">
        <f>IFERROR(__xludf.DUMMYFUNCTION("GOOGLETRANSLATE(D63, ""en"", ""zh"")"),"B) 士兵和军事人员")</f>
        <v>B) 士兵和军事人员</v>
      </c>
      <c r="K63" s="7" t="str">
        <f>IFERROR(__xludf.DUMMYFUNCTION("GOOGLETRANSLATE(E63, ""en"", ""zh"")"),"蹴鞠最初是士兵和军事人员练习的，因为它有助于提高他们的敏捷性、力量和团队合作能力。")</f>
        <v>蹴鞠最初是士兵和军事人员练习的，因为它有助于提高他们的敏捷性、力量和团队合作能力。</v>
      </c>
      <c r="L63" s="10"/>
      <c r="M63" s="11"/>
      <c r="N63" s="10"/>
      <c r="O63" s="11"/>
      <c r="P63" s="12"/>
      <c r="Q63" s="10"/>
      <c r="R63" s="10"/>
      <c r="S63" s="10"/>
      <c r="T63" s="10"/>
      <c r="U63" s="10"/>
      <c r="V63" s="10"/>
      <c r="W63" s="10"/>
      <c r="X63" s="10"/>
      <c r="Y63" s="10"/>
      <c r="Z63" s="10"/>
      <c r="AA63" s="10"/>
      <c r="AB63" s="10"/>
      <c r="AC63" s="10"/>
    </row>
    <row r="64">
      <c r="A64" s="8">
        <v>63.0</v>
      </c>
      <c r="B64" s="9" t="s">
        <v>248</v>
      </c>
      <c r="C64" s="9" t="s">
        <v>249</v>
      </c>
      <c r="D64" s="9" t="s">
        <v>135</v>
      </c>
      <c r="E64" s="9" t="s">
        <v>250</v>
      </c>
      <c r="F64" s="10"/>
      <c r="G64" s="10"/>
      <c r="H64" s="7" t="str">
        <f>IFERROR(__xludf.DUMMYFUNCTION("GOOGLETRANSLATE(B64, ""en"", ""zh"")"),"历史上哪个朝代正式制定了蹴鞠的规则，使其成为古代中国广受欢迎的一项运动？")</f>
        <v>历史上哪个朝代正式制定了蹴鞠的规则，使其成为古代中国广受欢迎的一项运动？</v>
      </c>
      <c r="I64" s="7" t="str">
        <f>IFERROR(__xludf.DUMMYFUNCTION("GOOGLETRANSLATE(C64, ""en"", ""zh"")"),"A) 汉朝，B) 唐朝，C) 明朝，D) 秦朝")</f>
        <v>A) 汉朝，B) 唐朝，C) 明朝，D) 秦朝</v>
      </c>
      <c r="J64" s="7" t="str">
        <f>IFERROR(__xludf.DUMMYFUNCTION("GOOGLETRANSLATE(D64, ""en"", ""zh"")"),"B）唐朝")</f>
        <v>B）唐朝</v>
      </c>
      <c r="K64" s="7" t="str">
        <f>IFERROR(__xludf.DUMMYFUNCTION("GOOGLETRANSLATE(E64, ""en"", ""zh"")"),"唐朝时期，蹴鞠的规章制度逐渐规范化，这促进了蹴鞠在中国各地的流行。")</f>
        <v>唐朝时期，蹴鞠的规章制度逐渐规范化，这促进了蹴鞠在中国各地的流行。</v>
      </c>
      <c r="L64" s="10"/>
      <c r="M64" s="11"/>
      <c r="N64" s="10"/>
      <c r="O64" s="11"/>
      <c r="P64" s="10"/>
      <c r="Q64" s="10"/>
      <c r="R64" s="10"/>
      <c r="S64" s="10"/>
      <c r="T64" s="10"/>
      <c r="U64" s="10"/>
      <c r="V64" s="10"/>
      <c r="W64" s="10"/>
      <c r="X64" s="10"/>
      <c r="Y64" s="10"/>
      <c r="Z64" s="10"/>
      <c r="AA64" s="10"/>
      <c r="AB64" s="10"/>
      <c r="AC64" s="10"/>
    </row>
    <row r="65">
      <c r="A65" s="8">
        <v>64.0</v>
      </c>
      <c r="B65" s="9" t="s">
        <v>251</v>
      </c>
      <c r="C65" s="9" t="s">
        <v>252</v>
      </c>
      <c r="D65" s="9" t="s">
        <v>253</v>
      </c>
      <c r="E65" s="9" t="s">
        <v>254</v>
      </c>
      <c r="F65" s="10"/>
      <c r="G65" s="10"/>
      <c r="H65" s="7" t="str">
        <f>IFERROR(__xludf.DUMMYFUNCTION("GOOGLETRANSLATE(B65, ""en"", ""zh"")"),"在古代蹴鞠比赛中，下列哪项是球员必须佩戴的物品？")</f>
        <v>在古代蹴鞠比赛中，下列哪项是球员必须佩戴的物品？</v>
      </c>
      <c r="I65" s="7" t="str">
        <f>IFERROR(__xludf.DUMMYFUNCTION("GOOGLETRANSLATE(C65, ""en"", ""zh"")"),"A) 头盔，B) 护臂，C) 鞋子，D) 手套")</f>
        <v>A) 头盔，B) 护臂，C) 鞋子，D) 手套</v>
      </c>
      <c r="J65" s="7" t="str">
        <f>IFERROR(__xludf.DUMMYFUNCTION("GOOGLETRANSLATE(D65, ""en"", ""zh"")"),"C) 鞋类")</f>
        <v>C) 鞋类</v>
      </c>
      <c r="K65" s="7" t="str">
        <f>IFERROR(__xludf.DUMMYFUNCTION("GOOGLETRANSLATE(E65, ""en"", ""zh"")"),"在蹴鞠运动中，鞋子至关重要，它可以帮助球员控制球，并在大力射门时保护他们的脚。")</f>
        <v>在蹴鞠运动中，鞋子至关重要，它可以帮助球员控制球，并在大力射门时保护他们的脚。</v>
      </c>
      <c r="L65" s="10"/>
      <c r="M65" s="11"/>
      <c r="N65" s="10"/>
      <c r="O65" s="11"/>
      <c r="P65" s="10"/>
      <c r="Q65" s="10"/>
      <c r="R65" s="10"/>
      <c r="S65" s="10"/>
      <c r="T65" s="10"/>
      <c r="U65" s="10"/>
      <c r="V65" s="10"/>
      <c r="W65" s="10"/>
      <c r="X65" s="10"/>
      <c r="Y65" s="10"/>
      <c r="Z65" s="10"/>
      <c r="AA65" s="10"/>
      <c r="AB65" s="10"/>
      <c r="AC65" s="10"/>
    </row>
    <row r="66">
      <c r="A66" s="8">
        <v>65.0</v>
      </c>
      <c r="B66" s="13" t="s">
        <v>255</v>
      </c>
      <c r="C66" s="13" t="s">
        <v>256</v>
      </c>
      <c r="D66" s="13" t="s">
        <v>257</v>
      </c>
      <c r="E66" s="13" t="s">
        <v>258</v>
      </c>
      <c r="F66" s="14"/>
      <c r="G66" s="14"/>
      <c r="H66" s="7" t="str">
        <f>IFERROR(__xludf.DUMMYFUNCTION("GOOGLETRANSLATE(B66, ""en"", ""zh"")"),"古代春节期间举行的蹴鞠比赛叫什么名字？参赛队伍为了荣誉和名誉而比赛。")</f>
        <v>古代春节期间举行的蹴鞠比赛叫什么名字？参赛队伍为了荣誉和名誉而比赛。</v>
      </c>
      <c r="I66" s="7" t="str">
        <f>IFERROR(__xludf.DUMMYFUNCTION("GOOGLETRANSLATE(C66, ""en"", ""zh"")"),"A) 元快、B) 秋香、C) 秋寅、D) 郑宝")</f>
        <v>A) 元快、B) 秋香、C) 秋寅、D) 郑宝</v>
      </c>
      <c r="J66" s="7" t="str">
        <f>IFERROR(__xludf.DUMMYFUNCTION("GOOGLETRANSLATE(D66, ""en"", ""zh"")"),"B) 秋香")</f>
        <v>B) 秋香</v>
      </c>
      <c r="K66" s="7" t="str">
        <f>IFERROR(__xludf.DUMMYFUNCTION("GOOGLETRANSLATE(E66, ""en"", ""zh"")"),"秋香比赛是春节期间举行的一项很受欢迎的蹴鞠比赛项目，参赛队伍为了荣誉和声望而比赛。")</f>
        <v>秋香比赛是春节期间举行的一项很受欢迎的蹴鞠比赛项目，参赛队伍为了荣誉和声望而比赛。</v>
      </c>
      <c r="L66" s="15"/>
      <c r="M66" s="15"/>
      <c r="N66" s="14"/>
      <c r="O66" s="15"/>
      <c r="P66" s="16"/>
      <c r="Q66" s="10"/>
      <c r="R66" s="10"/>
      <c r="S66" s="10"/>
      <c r="T66" s="10"/>
      <c r="U66" s="10"/>
      <c r="V66" s="10"/>
      <c r="W66" s="10"/>
      <c r="X66" s="10"/>
      <c r="Y66" s="10"/>
      <c r="Z66" s="10"/>
      <c r="AA66" s="10"/>
      <c r="AB66" s="10"/>
      <c r="AC66" s="10"/>
    </row>
    <row r="67">
      <c r="A67" s="8">
        <v>66.0</v>
      </c>
      <c r="B67" s="9" t="s">
        <v>259</v>
      </c>
      <c r="C67" s="9" t="s">
        <v>260</v>
      </c>
      <c r="D67" s="9" t="s">
        <v>261</v>
      </c>
      <c r="E67" s="9" t="s">
        <v>262</v>
      </c>
      <c r="F67" s="10"/>
      <c r="G67" s="10"/>
      <c r="H67" s="7" t="str">
        <f>IFERROR(__xludf.DUMMYFUNCTION("GOOGLETRANSLATE(B67, ""en"", ""zh"")"),"在古代蹴鞠比赛中，球员们提高踢球精准度的常用训练方法是什么？")</f>
        <v>在古代蹴鞠比赛中，球员们提高踢球精准度的常用训练方法是什么？</v>
      </c>
      <c r="I67" s="7" t="str">
        <f>IFERROR(__xludf.DUMMYFUNCTION("GOOGLETRANSLATE(C67, ""en"", ""zh"")"),"A) 对着墙练习，B) 玩小球，C) 踢固定目标，D) 长跑")</f>
        <v>A) 对着墙练习，B) 玩小球，C) 踢固定目标，D) 长跑</v>
      </c>
      <c r="J67" s="7" t="str">
        <f>IFERROR(__xludf.DUMMYFUNCTION("GOOGLETRANSLATE(D67, ""en"", ""zh"")"),"C) 踢击静止目标")</f>
        <v>C) 踢击静止目标</v>
      </c>
      <c r="K67" s="7" t="str">
        <f>IFERROR(__xludf.DUMMYFUNCTION("GOOGLETRANSLATE(E67, ""en"", ""zh"")"),"古代蹴鞠球员经常通过踢静止目标来提高射门时的准确性和精确性。")</f>
        <v>古代蹴鞠球员经常通过踢静止目标来提高射门时的准确性和精确性。</v>
      </c>
      <c r="L67" s="10"/>
      <c r="M67" s="11"/>
      <c r="N67" s="11"/>
      <c r="O67" s="11"/>
      <c r="P67" s="10"/>
      <c r="Q67" s="10"/>
      <c r="R67" s="10"/>
      <c r="S67" s="10"/>
      <c r="T67" s="10"/>
      <c r="U67" s="10"/>
      <c r="V67" s="10"/>
      <c r="W67" s="10"/>
      <c r="X67" s="10"/>
      <c r="Y67" s="10"/>
      <c r="Z67" s="10"/>
      <c r="AA67" s="10"/>
      <c r="AB67" s="10"/>
      <c r="AC67" s="10"/>
    </row>
    <row r="68">
      <c r="A68" s="8">
        <v>67.0</v>
      </c>
      <c r="B68" s="9" t="s">
        <v>263</v>
      </c>
      <c r="C68" s="9" t="s">
        <v>264</v>
      </c>
      <c r="D68" s="9" t="s">
        <v>265</v>
      </c>
      <c r="E68" s="9" t="s">
        <v>266</v>
      </c>
      <c r="F68" s="10"/>
      <c r="G68" s="10"/>
      <c r="H68" s="7" t="str">
        <f>IFERROR(__xludf.DUMMYFUNCTION("GOOGLETRANSLATE(B68, ""en"", ""zh"")"),"在古代蹴鞠运动中，下列哪一项是比赛场地的常见特征？")</f>
        <v>在古代蹴鞠运动中，下列哪一项是比赛场地的常见特征？</v>
      </c>
      <c r="I68" s="7" t="str">
        <f>IFERROR(__xludf.DUMMYFUNCTION("GOOGLETRANSLATE(C68, ""en"", ""zh"")"),"A) 圆形比赛场地，B) 两端设有球门的矩形比赛场地，C) 正方形比赛场地，D) 多层比赛场地")</f>
        <v>A) 圆形比赛场地，B) 两端设有球门的矩形比赛场地，C) 正方形比赛场地，D) 多层比赛场地</v>
      </c>
      <c r="J68" s="7" t="str">
        <f>IFERROR(__xludf.DUMMYFUNCTION("GOOGLETRANSLATE(D68, ""en"", ""zh"")"),"B) 一个长方形的比赛场地，两端都有球门。")</f>
        <v>B) 一个长方形的比赛场地，两端都有球门。</v>
      </c>
      <c r="K68" s="7" t="str">
        <f>IFERROR(__xludf.DUMMYFUNCTION("GOOGLETRANSLATE(E68, ""en"", ""zh"")"),"与现代足球一样，古代蹴鞠也是在长方形的场地上进行的，场地两端都有球门用于得分。")</f>
        <v>与现代足球一样，古代蹴鞠也是在长方形的场地上进行的，场地两端都有球门用于得分。</v>
      </c>
      <c r="L68" s="10"/>
      <c r="M68" s="11"/>
      <c r="N68" s="11"/>
      <c r="O68" s="11"/>
      <c r="P68" s="10"/>
      <c r="Q68" s="10"/>
      <c r="R68" s="10"/>
      <c r="S68" s="10"/>
      <c r="T68" s="10"/>
      <c r="U68" s="10"/>
      <c r="V68" s="10"/>
      <c r="W68" s="10"/>
      <c r="X68" s="10"/>
      <c r="Y68" s="10"/>
      <c r="Z68" s="10"/>
      <c r="AA68" s="10"/>
      <c r="AB68" s="10"/>
      <c r="AC68" s="10"/>
    </row>
    <row r="69">
      <c r="A69" s="8">
        <v>68.0</v>
      </c>
      <c r="B69" s="9" t="s">
        <v>267</v>
      </c>
      <c r="C69" s="9" t="s">
        <v>268</v>
      </c>
      <c r="D69" s="9" t="s">
        <v>269</v>
      </c>
      <c r="E69" s="9" t="s">
        <v>270</v>
      </c>
      <c r="F69" s="10"/>
      <c r="G69" s="10"/>
      <c r="H69" s="7" t="str">
        <f>IFERROR(__xludf.DUMMYFUNCTION("GOOGLETRANSLATE(B69, ""en"", ""zh"")"),"在古代蹴鞠中，赢得比赛或锦标赛的典型奖励是什么？")</f>
        <v>在古代蹴鞠中，赢得比赛或锦标赛的典型奖励是什么？</v>
      </c>
      <c r="I69" s="7" t="str">
        <f>IFERROR(__xludf.DUMMYFUNCTION("GOOGLETRANSLATE(C69, ""en"", ""zh"")"),"A) 奖金，B) 荣誉称号或头衔，C) 盛宴，D) 社会地位的提升")</f>
        <v>A) 奖金，B) 荣誉称号或头衔，C) 盛宴，D) 社会地位的提升</v>
      </c>
      <c r="J69" s="7" t="str">
        <f>IFERROR(__xludf.DUMMYFUNCTION("GOOGLETRANSLATE(D69, ""en"", ""zh"")"),"B) 礼仪性头衔或荣誉")</f>
        <v>B) 礼仪性头衔或荣誉</v>
      </c>
      <c r="K69" s="7" t="str">
        <f>IFERROR(__xludf.DUMMYFUNCTION("GOOGLETRANSLATE(E69, ""en"", ""zh"")"),"蹴鞠比赛或锦标赛的获胜者通常会获得头衔或荣誉，以彰显其社会地位。")</f>
        <v>蹴鞠比赛或锦标赛的获胜者通常会获得头衔或荣誉，以彰显其社会地位。</v>
      </c>
      <c r="L69" s="10"/>
      <c r="M69" s="11"/>
      <c r="N69" s="10"/>
      <c r="O69" s="11"/>
      <c r="P69" s="10"/>
      <c r="Q69" s="10"/>
      <c r="R69" s="10"/>
      <c r="S69" s="10"/>
      <c r="T69" s="10"/>
      <c r="U69" s="10"/>
      <c r="V69" s="10"/>
      <c r="W69" s="10"/>
      <c r="X69" s="10"/>
      <c r="Y69" s="10"/>
      <c r="Z69" s="10"/>
      <c r="AA69" s="10"/>
      <c r="AB69" s="10"/>
      <c r="AC69" s="10"/>
    </row>
    <row r="70">
      <c r="A70" s="8">
        <v>69.0</v>
      </c>
      <c r="B70" s="9" t="s">
        <v>271</v>
      </c>
      <c r="C70" s="9" t="s">
        <v>272</v>
      </c>
      <c r="D70" s="9" t="s">
        <v>273</v>
      </c>
      <c r="E70" s="9" t="s">
        <v>274</v>
      </c>
      <c r="F70" s="10"/>
      <c r="G70" s="10"/>
      <c r="H70" s="7" t="str">
        <f>IFERROR(__xludf.DUMMYFUNCTION("GOOGLETRANSLATE(B70, ""en"", ""zh"")"),"蹴鞠在中国古代有什么重要意义？")</f>
        <v>蹴鞠在中国古代有什么重要意义？</v>
      </c>
      <c r="I70" s="7" t="str">
        <f>IFERROR(__xludf.DUMMYFUNCTION("GOOGLETRANSLATE(C70, ""en"", ""zh"")"),"A) 一种武术形式，B) 一种娱乐形式，C) 一种军事训练演习，D) 一种宗教仪式")</f>
        <v>A) 一种武术形式，B) 一种娱乐形式，C) 一种军事训练演习，D) 一种宗教仪式</v>
      </c>
      <c r="J70" s="7" t="str">
        <f>IFERROR(__xludf.DUMMYFUNCTION("GOOGLETRANSLATE(D70, ""en"", ""zh"")"),"B) 一种娱乐形式")</f>
        <v>B) 一种娱乐形式</v>
      </c>
      <c r="K70" s="7" t="str">
        <f>IFERROR(__xludf.DUMMYFUNCTION("GOOGLETRANSLATE(E70, ""en"", ""zh"")"),"蹴鞠是一种很受欢迎的娱乐形式，平民和贵族都喜欢玩。")</f>
        <v>蹴鞠是一种很受欢迎的娱乐形式，平民和贵族都喜欢玩。</v>
      </c>
      <c r="L70" s="10"/>
      <c r="M70" s="11"/>
      <c r="N70" s="10"/>
      <c r="O70" s="11"/>
      <c r="P70" s="10"/>
      <c r="Q70" s="2"/>
      <c r="R70" s="2"/>
      <c r="S70" s="2"/>
      <c r="T70" s="2"/>
      <c r="U70" s="2"/>
      <c r="V70" s="2"/>
      <c r="W70" s="2"/>
      <c r="X70" s="2"/>
      <c r="Y70" s="2"/>
      <c r="Z70" s="2"/>
      <c r="AA70" s="2"/>
      <c r="AB70" s="2"/>
      <c r="AC70" s="2"/>
    </row>
    <row r="71">
      <c r="A71" s="8">
        <v>70.0</v>
      </c>
      <c r="B71" s="9" t="s">
        <v>275</v>
      </c>
      <c r="C71" s="9" t="s">
        <v>276</v>
      </c>
      <c r="D71" s="9" t="s">
        <v>50</v>
      </c>
      <c r="E71" s="9" t="s">
        <v>277</v>
      </c>
      <c r="F71" s="10"/>
      <c r="G71" s="10"/>
      <c r="H71" s="7" t="str">
        <f>IFERROR(__xludf.DUMMYFUNCTION("GOOGLETRANSLATE(B71, ""en"", ""zh"")"),"蹴鞠常被认为是哪门学科的祖先？")</f>
        <v>蹴鞠常被认为是哪门学科的祖先？</v>
      </c>
      <c r="I71" s="7" t="str">
        <f>IFERROR(__xludf.DUMMYFUNCTION("GOOGLETRANSLATE(C71, ""en"", ""zh"")"),"A) 篮球，B) 足球，C) 排球，D) 橄榄球")</f>
        <v>A) 篮球，B) 足球，C) 排球，D) 橄榄球</v>
      </c>
      <c r="J71" s="7" t="str">
        <f>IFERROR(__xludf.DUMMYFUNCTION("GOOGLETRANSLATE(D71, ""en"", ""zh"")"),"B) 足球")</f>
        <v>B) 足球</v>
      </c>
      <c r="K71" s="7" t="str">
        <f>IFERROR(__xludf.DUMMYFUNCTION("GOOGLETRANSLATE(E71, ""en"", ""zh"")"),"由于规则和目标与现代足球相似，蹴鞠常被认为是现代足球的鼻祖。")</f>
        <v>由于规则和目标与现代足球相似，蹴鞠常被认为是现代足球的鼻祖。</v>
      </c>
      <c r="L71" s="10"/>
      <c r="M71" s="11"/>
      <c r="N71" s="10"/>
      <c r="O71" s="11"/>
      <c r="P71" s="10"/>
      <c r="Q71" s="2"/>
      <c r="R71" s="2"/>
      <c r="S71" s="2"/>
      <c r="T71" s="2"/>
      <c r="U71" s="2"/>
      <c r="V71" s="2"/>
      <c r="W71" s="2"/>
      <c r="X71" s="2"/>
      <c r="Y71" s="2"/>
      <c r="Z71" s="2"/>
      <c r="AA71" s="2"/>
      <c r="AB71" s="2"/>
      <c r="AC71" s="2"/>
    </row>
    <row r="72">
      <c r="A72" s="8">
        <v>71.0</v>
      </c>
      <c r="B72" s="9" t="s">
        <v>278</v>
      </c>
      <c r="C72" s="9" t="s">
        <v>279</v>
      </c>
      <c r="D72" s="9" t="s">
        <v>42</v>
      </c>
      <c r="E72" s="9" t="s">
        <v>280</v>
      </c>
      <c r="F72" s="10"/>
      <c r="G72" s="10"/>
      <c r="H72" s="7" t="str">
        <f>IFERROR(__xludf.DUMMYFUNCTION("GOOGLETRANSLATE(B72, ""en"", ""zh"")"),"传统蹴鞠球是由什么材料制成的？")</f>
        <v>传统蹴鞠球是由什么材料制成的？</v>
      </c>
      <c r="I72" s="7" t="str">
        <f>IFERROR(__xludf.DUMMYFUNCTION("GOOGLETRANSLATE(C72, ""en"", ""zh"")"),"A) 皮革，B) 木材，C) 丝绸，D) 橡胶")</f>
        <v>A) 皮革，B) 木材，C) 丝绸，D) 橡胶</v>
      </c>
      <c r="J72" s="7" t="str">
        <f>IFERROR(__xludf.DUMMYFUNCTION("GOOGLETRANSLATE(D72, ""en"", ""zh"")"),"A) 皮革")</f>
        <v>A) 皮革</v>
      </c>
      <c r="K72" s="7" t="str">
        <f>IFERROR(__xludf.DUMMYFUNCTION("GOOGLETRANSLATE(E72, ""en"", ""zh"")"),"传统的蹴鞠球由皮革制成，通常填充羽毛或毛发。")</f>
        <v>传统的蹴鞠球由皮革制成，通常填充羽毛或毛发。</v>
      </c>
      <c r="L72" s="10"/>
      <c r="M72" s="11"/>
      <c r="N72" s="10"/>
      <c r="O72" s="11"/>
      <c r="P72" s="10"/>
      <c r="Q72" s="2"/>
      <c r="R72" s="2"/>
      <c r="S72" s="2"/>
      <c r="T72" s="2"/>
      <c r="U72" s="2"/>
      <c r="V72" s="2"/>
      <c r="W72" s="2"/>
      <c r="X72" s="2"/>
      <c r="Y72" s="2"/>
      <c r="Z72" s="2"/>
      <c r="AA72" s="2"/>
      <c r="AB72" s="2"/>
      <c r="AC72" s="2"/>
    </row>
    <row r="73">
      <c r="A73" s="8">
        <v>72.0</v>
      </c>
      <c r="B73" s="9" t="s">
        <v>281</v>
      </c>
      <c r="C73" s="9" t="s">
        <v>282</v>
      </c>
      <c r="D73" s="9" t="s">
        <v>283</v>
      </c>
      <c r="E73" s="9" t="s">
        <v>284</v>
      </c>
      <c r="F73" s="10"/>
      <c r="G73" s="10"/>
      <c r="H73" s="7" t="str">
        <f>IFERROR(__xludf.DUMMYFUNCTION("GOOGLETRANSLATE(B73, ""en"", ""zh"")"),"蹴鞠在现代的传承是什么？")</f>
        <v>蹴鞠在现代的传承是什么？</v>
      </c>
      <c r="I73" s="7" t="str">
        <f>IFERROR(__xludf.DUMMYFUNCTION("GOOGLETRANSLATE(C73, ""en"", ""zh"")"),"A) 它被认为是足球的起源；B) 这是一项被遗忘的运动；C) 它在世界各地都有职业比赛；D) 它在许多国家被禁止。")</f>
        <v>A) 它被认为是足球的起源；B) 这是一项被遗忘的运动；C) 它在世界各地都有职业比赛；D) 它在许多国家被禁止。</v>
      </c>
      <c r="J73" s="7" t="str">
        <f>IFERROR(__xludf.DUMMYFUNCTION("GOOGLETRANSLATE(D73, ""en"", ""zh"")"),"A) 它被认为是足球的起源。")</f>
        <v>A) 它被认为是足球的起源。</v>
      </c>
      <c r="K73" s="7" t="str">
        <f>IFERROR(__xludf.DUMMYFUNCTION("GOOGLETRANSLATE(E73, ""en"", ""zh"")"),"蹴鞠常被认为是现代足球的前身。")</f>
        <v>蹴鞠常被认为是现代足球的前身。</v>
      </c>
      <c r="L73" s="10"/>
      <c r="M73" s="11"/>
      <c r="N73" s="10"/>
      <c r="O73" s="11"/>
      <c r="P73" s="10"/>
      <c r="Q73" s="2"/>
      <c r="R73" s="2"/>
      <c r="S73" s="2"/>
      <c r="T73" s="2"/>
      <c r="U73" s="2"/>
      <c r="V73" s="2"/>
      <c r="W73" s="2"/>
      <c r="X73" s="2"/>
      <c r="Y73" s="2"/>
      <c r="Z73" s="2"/>
      <c r="AA73" s="2"/>
      <c r="AB73" s="2"/>
      <c r="AC73" s="2"/>
    </row>
    <row r="74">
      <c r="A74" s="8">
        <v>73.0</v>
      </c>
      <c r="B74" s="9" t="s">
        <v>285</v>
      </c>
      <c r="C74" s="9" t="s">
        <v>286</v>
      </c>
      <c r="D74" s="9" t="s">
        <v>287</v>
      </c>
      <c r="E74" s="9" t="s">
        <v>288</v>
      </c>
      <c r="F74" s="10"/>
      <c r="G74" s="10"/>
      <c r="H74" s="7" t="str">
        <f>IFERROR(__xludf.DUMMYFUNCTION("GOOGLETRANSLATE(B74, ""en"", ""zh"")"),"蹴鞠与军事训练有何传统联系？")</f>
        <v>蹴鞠与军事训练有何传统联系？</v>
      </c>
      <c r="I74" s="7" t="str">
        <f>IFERROR(__xludf.DUMMYFUNCTION("GOOGLETRANSLATE(C74, ""en"", ""zh"")"),"A) 它被用来训练士兵的敏捷性，B) 它被用作战争模拟游戏，C) 它是一种军事仪式，D) 它与战争无关")</f>
        <v>A) 它被用来训练士兵的敏捷性，B) 它被用作战争模拟游戏，C) 它是一种军事仪式，D) 它与战争无关</v>
      </c>
      <c r="J74" s="7" t="str">
        <f>IFERROR(__xludf.DUMMYFUNCTION("GOOGLETRANSLATE(D74, ""en"", ""zh"")"),"A) 它曾被用来训练士兵的敏捷性")</f>
        <v>A) 它曾被用来训练士兵的敏捷性</v>
      </c>
      <c r="K74" s="7" t="str">
        <f>IFERROR(__xludf.DUMMYFUNCTION("GOOGLETRANSLATE(E74, ""en"", ""zh"")"),"人们认为蹴鞠曾被军队用于训练敏捷性和协调性。")</f>
        <v>人们认为蹴鞠曾被军队用于训练敏捷性和协调性。</v>
      </c>
      <c r="L74" s="10"/>
      <c r="M74" s="11"/>
      <c r="N74" s="10"/>
      <c r="O74" s="11"/>
      <c r="P74" s="10"/>
      <c r="Q74" s="2"/>
      <c r="R74" s="2"/>
      <c r="S74" s="2"/>
      <c r="T74" s="2"/>
      <c r="U74" s="2"/>
      <c r="V74" s="2"/>
      <c r="W74" s="2"/>
      <c r="X74" s="2"/>
      <c r="Y74" s="2"/>
      <c r="Z74" s="2"/>
      <c r="AA74" s="2"/>
      <c r="AB74" s="2"/>
      <c r="AC74" s="2"/>
    </row>
    <row r="75">
      <c r="A75" s="8">
        <v>74.0</v>
      </c>
      <c r="B75" s="9" t="s">
        <v>289</v>
      </c>
      <c r="C75" s="9" t="s">
        <v>290</v>
      </c>
      <c r="D75" s="9" t="s">
        <v>291</v>
      </c>
      <c r="E75" s="9" t="s">
        <v>292</v>
      </c>
      <c r="F75" s="10"/>
      <c r="G75" s="10"/>
      <c r="H75" s="7" t="str">
        <f>IFERROR(__xludf.DUMMYFUNCTION("GOOGLETRANSLATE(B75, ""en"", ""zh"")"),"古代蹴鞠选手穿什么衣服？")</f>
        <v>古代蹴鞠选手穿什么衣服？</v>
      </c>
      <c r="I75" s="7" t="str">
        <f>IFERROR(__xludf.DUMMYFUNCTION("GOOGLETRANSLATE(C75, ""en"", ""zh"")"),"A) 盔甲，B) 传统长袍，C) 束腰外衣和短裤，D) 休闲服装")</f>
        <v>A) 盔甲，B) 传统长袍，C) 束腰外衣和短裤，D) 休闲服装</v>
      </c>
      <c r="J75" s="7" t="str">
        <f>IFERROR(__xludf.DUMMYFUNCTION("GOOGLETRANSLATE(D75, ""en"", ""zh"")"),"B) 传统长袍")</f>
        <v>B) 传统长袍</v>
      </c>
      <c r="K75" s="7" t="str">
        <f>IFERROR(__xludf.DUMMYFUNCTION("GOOGLETRANSLATE(E75, ""en"", ""zh"")"),"古代蹴鞠选手在演奏时常穿着中国传统长袍。")</f>
        <v>古代蹴鞠选手在演奏时常穿着中国传统长袍。</v>
      </c>
      <c r="L75" s="10"/>
      <c r="M75" s="11"/>
      <c r="N75" s="10"/>
      <c r="O75" s="11"/>
      <c r="P75" s="10"/>
      <c r="Q75" s="2"/>
      <c r="R75" s="2"/>
      <c r="S75" s="2"/>
      <c r="T75" s="2"/>
      <c r="U75" s="2"/>
      <c r="V75" s="2"/>
      <c r="W75" s="2"/>
      <c r="X75" s="2"/>
      <c r="Y75" s="2"/>
      <c r="Z75" s="2"/>
      <c r="AA75" s="2"/>
      <c r="AB75" s="2"/>
      <c r="AC75" s="2"/>
    </row>
    <row r="76">
      <c r="A76" s="17">
        <v>75.0</v>
      </c>
      <c r="B76" s="18" t="s">
        <v>293</v>
      </c>
      <c r="C76" s="18" t="s">
        <v>294</v>
      </c>
      <c r="D76" s="18" t="s">
        <v>30</v>
      </c>
      <c r="E76" s="19"/>
      <c r="F76" s="2"/>
      <c r="G76" s="2"/>
      <c r="H76" s="7" t="str">
        <f>IFERROR(__xludf.DUMMYFUNCTION("GOOGLETRANSLATE(B76, ""en"", ""zh"")"),"蹴鞠起源于哪个国家？")</f>
        <v>蹴鞠起源于哪个国家？</v>
      </c>
      <c r="I76" s="7" t="str">
        <f>IFERROR(__xludf.DUMMYFUNCTION("GOOGLETRANSLATE(C76, ""en"", ""zh"")"),"A) 中国 B) 日本 C) 韩国 D) 印度")</f>
        <v>A) 中国 B) 日本 C) 韩国 D) 印度</v>
      </c>
      <c r="J76" s="7" t="str">
        <f>IFERROR(__xludf.DUMMYFUNCTION("GOOGLETRANSLATE(D76, ""en"", ""zh"")"),"A) 中国")</f>
        <v>A) 中国</v>
      </c>
      <c r="K76" s="7" t="str">
        <f>IFERROR(__xludf.DUMMYFUNCTION("GOOGLETRANSLATE(E76, ""en"", ""zh"")"),"#VALUE!")</f>
        <v>#VALUE!</v>
      </c>
      <c r="L76" s="2"/>
      <c r="M76" s="2"/>
      <c r="N76" s="2"/>
      <c r="O76" s="2"/>
      <c r="P76" s="2"/>
      <c r="Q76" s="2"/>
      <c r="R76" s="2"/>
      <c r="S76" s="2"/>
      <c r="T76" s="2"/>
      <c r="U76" s="2"/>
      <c r="V76" s="2"/>
      <c r="W76" s="2"/>
      <c r="X76" s="2"/>
      <c r="Y76" s="2"/>
      <c r="Z76" s="2"/>
      <c r="AA76" s="2"/>
      <c r="AB76" s="2"/>
      <c r="AC76" s="2"/>
    </row>
    <row r="77">
      <c r="A77" s="17">
        <v>76.0</v>
      </c>
      <c r="B77" s="18" t="s">
        <v>295</v>
      </c>
      <c r="C77" s="18" t="s">
        <v>296</v>
      </c>
      <c r="D77" s="18" t="s">
        <v>297</v>
      </c>
      <c r="E77" s="19"/>
      <c r="F77" s="2"/>
      <c r="G77" s="2"/>
      <c r="H77" s="7" t="str">
        <f>IFERROR(__xludf.DUMMYFUNCTION("GOOGLETRANSLATE(B77, ""en"", ""zh"")"),"蹴鞠被认为是哪项现代运动的早期形式？")</f>
        <v>蹴鞠被认为是哪项现代运动的早期形式？</v>
      </c>
      <c r="I77" s="7" t="str">
        <f>IFERROR(__xludf.DUMMYFUNCTION("GOOGLETRANSLATE(C77, ""en"", ""zh"")"),"A) 足球 B) 排球 C) 篮球 D) 曲棍球")</f>
        <v>A) 足球 B) 排球 C) 篮球 D) 曲棍球</v>
      </c>
      <c r="J77" s="7" t="str">
        <f>IFERROR(__xludf.DUMMYFUNCTION("GOOGLETRANSLATE(D77, ""en"", ""zh"")"),"A) 足球")</f>
        <v>A) 足球</v>
      </c>
      <c r="K77" s="7" t="str">
        <f>IFERROR(__xludf.DUMMYFUNCTION("GOOGLETRANSLATE(E77, ""en"", ""zh"")"),"#VALUE!")</f>
        <v>#VALUE!</v>
      </c>
      <c r="L77" s="2"/>
      <c r="M77" s="2"/>
      <c r="N77" s="2"/>
      <c r="O77" s="2"/>
      <c r="P77" s="2"/>
      <c r="Q77" s="2"/>
      <c r="R77" s="2"/>
      <c r="S77" s="2"/>
      <c r="T77" s="2"/>
      <c r="U77" s="2"/>
      <c r="V77" s="2"/>
      <c r="W77" s="2"/>
      <c r="X77" s="2"/>
      <c r="Y77" s="2"/>
      <c r="Z77" s="2"/>
      <c r="AA77" s="2"/>
      <c r="AB77" s="2"/>
      <c r="AC77" s="2"/>
    </row>
    <row r="78">
      <c r="A78" s="17">
        <v>77.0</v>
      </c>
      <c r="B78" s="18" t="s">
        <v>298</v>
      </c>
      <c r="C78" s="18" t="s">
        <v>299</v>
      </c>
      <c r="D78" s="18" t="s">
        <v>300</v>
      </c>
      <c r="E78" s="19"/>
      <c r="F78" s="2"/>
      <c r="G78" s="2"/>
      <c r="H78" s="7" t="str">
        <f>IFERROR(__xludf.DUMMYFUNCTION("GOOGLETRANSLATE(B78, ""en"", ""zh"")"),"蹴鞠最早的文字记载出现在哪个朝代？")</f>
        <v>蹴鞠最早的文字记载出现在哪个朝代？</v>
      </c>
      <c r="I78" s="7" t="str">
        <f>IFERROR(__xludf.DUMMYFUNCTION("GOOGLETRANSLATE(C78, ""en"", ""zh"")"),"A) 汉朝 B) 唐朝 C) 宋朝 D) 明朝")</f>
        <v>A) 汉朝 B) 唐朝 C) 宋朝 D) 明朝</v>
      </c>
      <c r="J78" s="7" t="str">
        <f>IFERROR(__xludf.DUMMYFUNCTION("GOOGLETRANSLATE(D78, ""en"", ""zh"")"),"A）汉朝")</f>
        <v>A）汉朝</v>
      </c>
      <c r="K78" s="7" t="str">
        <f>IFERROR(__xludf.DUMMYFUNCTION("GOOGLETRANSLATE(E78, ""en"", ""zh"")"),"#VALUE!")</f>
        <v>#VALUE!</v>
      </c>
      <c r="L78" s="2"/>
      <c r="M78" s="2"/>
      <c r="N78" s="2"/>
      <c r="O78" s="2"/>
      <c r="P78" s="2"/>
      <c r="Q78" s="2"/>
      <c r="R78" s="2"/>
      <c r="S78" s="2"/>
      <c r="T78" s="2"/>
      <c r="U78" s="2"/>
      <c r="V78" s="2"/>
      <c r="W78" s="2"/>
      <c r="X78" s="2"/>
      <c r="Y78" s="2"/>
      <c r="Z78" s="2"/>
      <c r="AA78" s="2"/>
      <c r="AB78" s="2"/>
      <c r="AC78" s="2"/>
    </row>
    <row r="79">
      <c r="A79" s="17">
        <v>78.0</v>
      </c>
      <c r="B79" s="18" t="s">
        <v>301</v>
      </c>
      <c r="C79" s="18" t="s">
        <v>302</v>
      </c>
      <c r="D79" s="18" t="s">
        <v>303</v>
      </c>
      <c r="E79" s="19"/>
      <c r="F79" s="2"/>
      <c r="G79" s="2"/>
      <c r="H79" s="7" t="str">
        <f>IFERROR(__xludf.DUMMYFUNCTION("GOOGLETRANSLATE(B79, ""en"", ""zh"")"),"蹴鞠的主要用途是什么？")</f>
        <v>蹴鞠的主要用途是什么？</v>
      </c>
      <c r="I79" s="7" t="str">
        <f>IFERROR(__xludf.DUMMYFUNCTION("GOOGLETRANSLATE(C79, ""en"", ""zh"")"),"A) 军事训练 B) 宗教仪式 C) 娱乐 D) 狩猎")</f>
        <v>A) 军事训练 B) 宗教仪式 C) 娱乐 D) 狩猎</v>
      </c>
      <c r="J79" s="7" t="str">
        <f>IFERROR(__xludf.DUMMYFUNCTION("GOOGLETRANSLATE(D79, ""en"", ""zh"")"),"A) 军事训练")</f>
        <v>A) 军事训练</v>
      </c>
      <c r="K79" s="7" t="str">
        <f>IFERROR(__xludf.DUMMYFUNCTION("GOOGLETRANSLATE(E79, ""en"", ""zh"")"),"#VALUE!")</f>
        <v>#VALUE!</v>
      </c>
      <c r="L79" s="2"/>
      <c r="M79" s="2"/>
      <c r="N79" s="2"/>
      <c r="O79" s="2"/>
      <c r="P79" s="2"/>
      <c r="Q79" s="2"/>
      <c r="R79" s="2"/>
      <c r="S79" s="2"/>
      <c r="T79" s="2"/>
      <c r="U79" s="2"/>
      <c r="V79" s="2"/>
      <c r="W79" s="2"/>
      <c r="X79" s="2"/>
      <c r="Y79" s="2"/>
      <c r="Z79" s="2"/>
      <c r="AA79" s="2"/>
      <c r="AB79" s="2"/>
      <c r="AC79" s="2"/>
    </row>
    <row r="80">
      <c r="A80" s="17">
        <v>79.0</v>
      </c>
      <c r="B80" s="18" t="s">
        <v>304</v>
      </c>
      <c r="C80" s="18" t="s">
        <v>305</v>
      </c>
      <c r="D80" s="18" t="s">
        <v>306</v>
      </c>
      <c r="E80" s="19"/>
      <c r="F80" s="2"/>
      <c r="G80" s="2"/>
      <c r="H80" s="7" t="str">
        <f>IFERROR(__xludf.DUMMYFUNCTION("GOOGLETRANSLATE(B80, ""en"", ""zh"")"),"“蹴鞠”这个词的字面意思是什么？")</f>
        <v>“蹴鞠”这个词的字面意思是什么？</v>
      </c>
      <c r="I80" s="7" t="str">
        <f>IFERROR(__xludf.DUMMYFUNCTION("GOOGLETRANSLATE(C80, ""en"", ""zh"")"),"A) 踢球 B) 手球 C) 投掷球 D) 头球")</f>
        <v>A) 踢球 B) 手球 C) 投掷球 D) 头球</v>
      </c>
      <c r="J80" s="7" t="str">
        <f>IFERROR(__xludf.DUMMYFUNCTION("GOOGLETRANSLATE(D80, ""en"", ""zh"")"),"A) 踢球")</f>
        <v>A) 踢球</v>
      </c>
      <c r="K80" s="7" t="str">
        <f>IFERROR(__xludf.DUMMYFUNCTION("GOOGLETRANSLATE(E80, ""en"", ""zh"")"),"#VALUE!")</f>
        <v>#VALUE!</v>
      </c>
      <c r="L80" s="2"/>
      <c r="M80" s="2"/>
      <c r="N80" s="2"/>
      <c r="O80" s="2"/>
      <c r="P80" s="2"/>
      <c r="Q80" s="2"/>
      <c r="R80" s="2"/>
      <c r="S80" s="2"/>
      <c r="T80" s="2"/>
      <c r="U80" s="2"/>
      <c r="V80" s="2"/>
      <c r="W80" s="2"/>
      <c r="X80" s="2"/>
      <c r="Y80" s="2"/>
      <c r="Z80" s="2"/>
      <c r="AA80" s="2"/>
      <c r="AB80" s="2"/>
      <c r="AC80" s="2"/>
    </row>
    <row r="81">
      <c r="A81" s="17">
        <v>80.0</v>
      </c>
      <c r="B81" s="18" t="s">
        <v>307</v>
      </c>
      <c r="C81" s="18" t="s">
        <v>308</v>
      </c>
      <c r="D81" s="18" t="s">
        <v>309</v>
      </c>
      <c r="E81" s="19"/>
      <c r="F81" s="2"/>
      <c r="G81" s="2"/>
      <c r="H81" s="7" t="str">
        <f>IFERROR(__xludf.DUMMYFUNCTION("GOOGLETRANSLATE(B81, ""en"", ""zh"")"),"蹴鞠在中国古代哪个阶层中流行起来？")</f>
        <v>蹴鞠在中国古代哪个阶层中流行起来？</v>
      </c>
      <c r="I81" s="7" t="str">
        <f>IFERROR(__xludf.DUMMYFUNCTION("GOOGLETRANSLATE(C81, ""en"", ""zh"")"),"A) 士兵 B) 农民 C) 商人 D) 贵族")</f>
        <v>A) 士兵 B) 农民 C) 商人 D) 贵族</v>
      </c>
      <c r="J81" s="7" t="str">
        <f>IFERROR(__xludf.DUMMYFUNCTION("GOOGLETRANSLATE(D81, ""en"", ""zh"")"),"D）贵族")</f>
        <v>D）贵族</v>
      </c>
      <c r="K81" s="7" t="str">
        <f>IFERROR(__xludf.DUMMYFUNCTION("GOOGLETRANSLATE(E81, ""en"", ""zh"")"),"#VALUE!")</f>
        <v>#VALUE!</v>
      </c>
      <c r="L81" s="2"/>
      <c r="M81" s="2"/>
      <c r="N81" s="2"/>
      <c r="O81" s="2"/>
      <c r="P81" s="2"/>
      <c r="Q81" s="2"/>
      <c r="R81" s="2"/>
      <c r="S81" s="2"/>
      <c r="T81" s="2"/>
      <c r="U81" s="2"/>
      <c r="V81" s="2"/>
      <c r="W81" s="2"/>
      <c r="X81" s="2"/>
      <c r="Y81" s="2"/>
      <c r="Z81" s="2"/>
      <c r="AA81" s="2"/>
      <c r="AB81" s="2"/>
      <c r="AC81" s="2"/>
    </row>
    <row r="82">
      <c r="A82" s="17">
        <v>81.0</v>
      </c>
      <c r="B82" s="18" t="s">
        <v>310</v>
      </c>
      <c r="C82" s="18" t="s">
        <v>311</v>
      </c>
      <c r="D82" s="18" t="s">
        <v>312</v>
      </c>
      <c r="E82" s="19"/>
      <c r="F82" s="2"/>
      <c r="G82" s="2"/>
      <c r="H82" s="7" t="str">
        <f>IFERROR(__xludf.DUMMYFUNCTION("GOOGLETRANSLATE(B82, ""en"", ""zh"")"),"哪部古代中国文献提到过蹴鞠？")</f>
        <v>哪部古代中国文献提到过蹴鞠？</v>
      </c>
      <c r="I82" s="7" t="str">
        <f>IFERROR(__xludf.DUMMYFUNCTION("GOOGLETRANSLATE(C82, ""en"", ""zh"")"),"A) 周礼 B) 道德经 C) 易经 D) 论语")</f>
        <v>A) 周礼 B) 道德经 C) 易经 D) 论语</v>
      </c>
      <c r="J82" s="7" t="str">
        <f>IFERROR(__xludf.DUMMYFUNCTION("GOOGLETRANSLATE(D82, ""en"", ""zh"")"),"A) 周莉")</f>
        <v>A) 周莉</v>
      </c>
      <c r="K82" s="7" t="str">
        <f>IFERROR(__xludf.DUMMYFUNCTION("GOOGLETRANSLATE(E82, ""en"", ""zh"")"),"#VALUE!")</f>
        <v>#VALUE!</v>
      </c>
      <c r="L82" s="2"/>
      <c r="M82" s="2"/>
      <c r="N82" s="2"/>
      <c r="O82" s="2"/>
      <c r="P82" s="2"/>
      <c r="Q82" s="2"/>
      <c r="R82" s="2"/>
      <c r="S82" s="2"/>
      <c r="T82" s="2"/>
      <c r="U82" s="2"/>
      <c r="V82" s="2"/>
      <c r="W82" s="2"/>
      <c r="X82" s="2"/>
      <c r="Y82" s="2"/>
      <c r="Z82" s="2"/>
      <c r="AA82" s="2"/>
      <c r="AB82" s="2"/>
      <c r="AC82" s="2"/>
    </row>
    <row r="83">
      <c r="A83" s="17">
        <v>82.0</v>
      </c>
      <c r="B83" s="18" t="s">
        <v>313</v>
      </c>
      <c r="C83" s="18" t="s">
        <v>314</v>
      </c>
      <c r="D83" s="18" t="s">
        <v>42</v>
      </c>
      <c r="E83" s="19"/>
      <c r="F83" s="2"/>
      <c r="G83" s="2"/>
      <c r="H83" s="7" t="str">
        <f>IFERROR(__xludf.DUMMYFUNCTION("GOOGLETRANSLATE(B83, ""en"", ""zh"")"),"蹴鞠比赛使用的是哪种球？")</f>
        <v>蹴鞠比赛使用的是哪种球？</v>
      </c>
      <c r="I83" s="7" t="str">
        <f>IFERROR(__xludf.DUMMYFUNCTION("GOOGLETRANSLATE(C83, ""en"", ""zh"")"),"A) 皮革 B) 木材 C) 金属 D) 布料")</f>
        <v>A) 皮革 B) 木材 C) 金属 D) 布料</v>
      </c>
      <c r="J83" s="7" t="str">
        <f>IFERROR(__xludf.DUMMYFUNCTION("GOOGLETRANSLATE(D83, ""en"", ""zh"")"),"A) 皮革")</f>
        <v>A) 皮革</v>
      </c>
      <c r="K83" s="7" t="str">
        <f>IFERROR(__xludf.DUMMYFUNCTION("GOOGLETRANSLATE(E83, ""en"", ""zh"")"),"#VALUE!")</f>
        <v>#VALUE!</v>
      </c>
      <c r="L83" s="2"/>
      <c r="M83" s="2"/>
      <c r="N83" s="2"/>
      <c r="O83" s="2"/>
      <c r="P83" s="2"/>
      <c r="Q83" s="2"/>
      <c r="R83" s="2"/>
      <c r="S83" s="2"/>
      <c r="T83" s="2"/>
      <c r="U83" s="2"/>
      <c r="V83" s="2"/>
      <c r="W83" s="2"/>
      <c r="X83" s="2"/>
      <c r="Y83" s="2"/>
      <c r="Z83" s="2"/>
      <c r="AA83" s="2"/>
      <c r="AB83" s="2"/>
      <c r="AC83" s="2"/>
    </row>
    <row r="84">
      <c r="A84" s="17">
        <v>83.0</v>
      </c>
      <c r="B84" s="18" t="s">
        <v>315</v>
      </c>
      <c r="C84" s="18" t="s">
        <v>316</v>
      </c>
      <c r="D84" s="18" t="s">
        <v>317</v>
      </c>
      <c r="E84" s="19"/>
      <c r="F84" s="2"/>
      <c r="G84" s="2"/>
      <c r="H84" s="7" t="str">
        <f>IFERROR(__xludf.DUMMYFUNCTION("GOOGLETRANSLATE(B84, ""en"", ""zh"")"),"蹴鞠比赛通常在哪些活动中进行？")</f>
        <v>蹴鞠比赛通常在哪些活动中进行？</v>
      </c>
      <c r="I84" s="7" t="str">
        <f>IFERROR(__xludf.DUMMYFUNCTION("GOOGLETRANSLATE(C84, ""en"", ""zh"")"),"A) 节日 B) 婚礼 C) 葬礼 D) 集市")</f>
        <v>A) 节日 B) 婚礼 C) 葬礼 D) 集市</v>
      </c>
      <c r="J84" s="7" t="str">
        <f>IFERROR(__xludf.DUMMYFUNCTION("GOOGLETRANSLATE(D84, ""en"", ""zh"")"),"A) 节日")</f>
        <v>A) 节日</v>
      </c>
      <c r="K84" s="7" t="str">
        <f>IFERROR(__xludf.DUMMYFUNCTION("GOOGLETRANSLATE(E84, ""en"", ""zh"")"),"#VALUE!")</f>
        <v>#VALUE!</v>
      </c>
      <c r="L84" s="2"/>
      <c r="M84" s="2"/>
      <c r="N84" s="2"/>
      <c r="O84" s="2"/>
      <c r="P84" s="2"/>
      <c r="Q84" s="2"/>
      <c r="R84" s="2"/>
      <c r="S84" s="2"/>
      <c r="T84" s="2"/>
      <c r="U84" s="2"/>
      <c r="V84" s="2"/>
      <c r="W84" s="2"/>
      <c r="X84" s="2"/>
      <c r="Y84" s="2"/>
      <c r="Z84" s="2"/>
      <c r="AA84" s="2"/>
      <c r="AB84" s="2"/>
      <c r="AC84" s="2"/>
    </row>
    <row r="85">
      <c r="A85" s="17">
        <v>84.0</v>
      </c>
      <c r="B85" s="18" t="s">
        <v>318</v>
      </c>
      <c r="C85" s="18" t="s">
        <v>319</v>
      </c>
      <c r="D85" s="18" t="s">
        <v>320</v>
      </c>
      <c r="E85" s="19"/>
      <c r="F85" s="2"/>
      <c r="G85" s="2"/>
      <c r="H85" s="7" t="str">
        <f>IFERROR(__xludf.DUMMYFUNCTION("GOOGLETRANSLATE(B85, ""en"", ""zh"")"),"蹴鞠规则在哪个朝代被规范化？")</f>
        <v>蹴鞠规则在哪个朝代被规范化？</v>
      </c>
      <c r="I85" s="7" t="str">
        <f>IFERROR(__xludf.DUMMYFUNCTION("GOOGLETRANSLATE(C85, ""en"", ""zh"")"),"A) 唐朝 B) 汉朝 C) 宋朝 D) 明朝")</f>
        <v>A) 唐朝 B) 汉朝 C) 宋朝 D) 明朝</v>
      </c>
      <c r="J85" s="7" t="str">
        <f>IFERROR(__xludf.DUMMYFUNCTION("GOOGLETRANSLATE(D85, ""en"", ""zh"")"),"C）宋朝")</f>
        <v>C）宋朝</v>
      </c>
      <c r="K85" s="7" t="str">
        <f>IFERROR(__xludf.DUMMYFUNCTION("GOOGLETRANSLATE(E85, ""en"", ""zh"")"),"#VALUE!")</f>
        <v>#VALUE!</v>
      </c>
      <c r="L85" s="2"/>
      <c r="M85" s="2"/>
      <c r="N85" s="2"/>
      <c r="O85" s="2"/>
      <c r="P85" s="2"/>
      <c r="Q85" s="2"/>
      <c r="R85" s="2"/>
      <c r="S85" s="2"/>
      <c r="T85" s="2"/>
      <c r="U85" s="2"/>
      <c r="V85" s="2"/>
      <c r="W85" s="2"/>
      <c r="X85" s="2"/>
      <c r="Y85" s="2"/>
      <c r="Z85" s="2"/>
      <c r="AA85" s="2"/>
      <c r="AB85" s="2"/>
      <c r="AC85" s="2"/>
    </row>
    <row r="86">
      <c r="A86" s="17">
        <v>85.0</v>
      </c>
      <c r="B86" s="18" t="s">
        <v>321</v>
      </c>
      <c r="C86" s="18" t="s">
        <v>322</v>
      </c>
      <c r="D86" s="18" t="s">
        <v>323</v>
      </c>
      <c r="E86" s="19"/>
      <c r="F86" s="2"/>
      <c r="G86" s="2"/>
      <c r="H86" s="7" t="str">
        <f>IFERROR(__xludf.DUMMYFUNCTION("GOOGLETRANSLATE(B86, ""en"", ""zh"")"),"蹴鞠球员接受过哪些技能的训练？")</f>
        <v>蹴鞠球员接受过哪些技能的训练？</v>
      </c>
      <c r="I86" s="7" t="str">
        <f>IFERROR(__xludf.DUMMYFUNCTION("GOOGLETRANSLATE(C86, ""en"", ""zh"")"),"A) 踢球、传球、运球 B) 射箭 C) 摔跤 D) 武术")</f>
        <v>A) 踢球、传球、运球 B) 射箭 C) 摔跤 D) 武术</v>
      </c>
      <c r="J86" s="7" t="str">
        <f>IFERROR(__xludf.DUMMYFUNCTION("GOOGLETRANSLATE(D86, ""en"", ""zh"")"),"A) 踢球、传球、运球")</f>
        <v>A) 踢球、传球、运球</v>
      </c>
      <c r="K86" s="7" t="str">
        <f>IFERROR(__xludf.DUMMYFUNCTION("GOOGLETRANSLATE(E86, ""en"", ""zh"")"),"#VALUE!")</f>
        <v>#VALUE!</v>
      </c>
      <c r="L86" s="2"/>
      <c r="M86" s="2"/>
      <c r="N86" s="2"/>
      <c r="O86" s="2"/>
      <c r="P86" s="2"/>
      <c r="Q86" s="2"/>
      <c r="R86" s="2"/>
      <c r="S86" s="2"/>
      <c r="T86" s="2"/>
      <c r="U86" s="2"/>
      <c r="V86" s="2"/>
      <c r="W86" s="2"/>
      <c r="X86" s="2"/>
      <c r="Y86" s="2"/>
      <c r="Z86" s="2"/>
      <c r="AA86" s="2"/>
      <c r="AB86" s="2"/>
      <c r="AC86" s="2"/>
    </row>
    <row r="87">
      <c r="A87" s="17">
        <v>86.0</v>
      </c>
      <c r="B87" s="18" t="s">
        <v>324</v>
      </c>
      <c r="C87" s="18" t="s">
        <v>325</v>
      </c>
      <c r="D87" s="18" t="s">
        <v>238</v>
      </c>
      <c r="E87" s="19"/>
      <c r="F87" s="2"/>
      <c r="G87" s="2"/>
      <c r="H87" s="7" t="str">
        <f>IFERROR(__xludf.DUMMYFUNCTION("GOOGLETRANSLATE(B87, ""en"", ""zh"")"),"蹴鞠传统上是在哪种类型的场地上进行的？")</f>
        <v>蹴鞠传统上是在哪种类型的场地上进行的？</v>
      </c>
      <c r="I87" s="7" t="str">
        <f>IFERROR(__xludf.DUMMYFUNCTION("GOOGLETRANSLATE(C87, ""en"", ""zh"")"),"A) 草地 B) 沙地 C) 木地板 D) 石头")</f>
        <v>A) 草地 B) 沙地 C) 木地板 D) 石头</v>
      </c>
      <c r="J87" s="7" t="str">
        <f>IFERROR(__xludf.DUMMYFUNCTION("GOOGLETRANSLATE(D87, ""en"", ""zh"")"),"A) 草")</f>
        <v>A) 草</v>
      </c>
      <c r="K87" s="7" t="str">
        <f>IFERROR(__xludf.DUMMYFUNCTION("GOOGLETRANSLATE(E87, ""en"", ""zh"")"),"#VALUE!")</f>
        <v>#VALUE!</v>
      </c>
      <c r="L87" s="2"/>
      <c r="M87" s="2"/>
      <c r="N87" s="2"/>
      <c r="O87" s="2"/>
      <c r="P87" s="2"/>
      <c r="Q87" s="2"/>
      <c r="R87" s="2"/>
      <c r="S87" s="2"/>
      <c r="T87" s="2"/>
      <c r="U87" s="2"/>
      <c r="V87" s="2"/>
      <c r="W87" s="2"/>
      <c r="X87" s="2"/>
      <c r="Y87" s="2"/>
      <c r="Z87" s="2"/>
      <c r="AA87" s="2"/>
      <c r="AB87" s="2"/>
      <c r="AC87" s="2"/>
    </row>
    <row r="88">
      <c r="A88" s="17">
        <v>87.0</v>
      </c>
      <c r="B88" s="18" t="s">
        <v>326</v>
      </c>
      <c r="C88" s="18" t="s">
        <v>327</v>
      </c>
      <c r="D88" s="18" t="s">
        <v>297</v>
      </c>
      <c r="E88" s="19"/>
      <c r="F88" s="2"/>
      <c r="G88" s="2"/>
      <c r="H88" s="7" t="str">
        <f>IFERROR(__xludf.DUMMYFUNCTION("GOOGLETRANSLATE(B88, ""en"", ""zh"")"),"蹴鞠对其他国家哪项运动的发展做出了贡献？")</f>
        <v>蹴鞠对其他国家哪项运动的发展做出了贡献？</v>
      </c>
      <c r="I88" s="7" t="str">
        <f>IFERROR(__xludf.DUMMYFUNCTION("GOOGLETRANSLATE(C88, ""en"", ""zh"")"),"A) 足球 B) 橄榄球 C) 排球 D) 篮球")</f>
        <v>A) 足球 B) 橄榄球 C) 排球 D) 篮球</v>
      </c>
      <c r="J88" s="7" t="str">
        <f>IFERROR(__xludf.DUMMYFUNCTION("GOOGLETRANSLATE(D88, ""en"", ""zh"")"),"A) 足球")</f>
        <v>A) 足球</v>
      </c>
      <c r="K88" s="7" t="str">
        <f>IFERROR(__xludf.DUMMYFUNCTION("GOOGLETRANSLATE(E88, ""en"", ""zh"")"),"#VALUE!")</f>
        <v>#VALUE!</v>
      </c>
      <c r="L88" s="2"/>
      <c r="M88" s="2"/>
      <c r="N88" s="2"/>
      <c r="O88" s="2"/>
      <c r="P88" s="2"/>
      <c r="Q88" s="2"/>
      <c r="R88" s="2"/>
      <c r="S88" s="2"/>
      <c r="T88" s="2"/>
      <c r="U88" s="2"/>
      <c r="V88" s="2"/>
      <c r="W88" s="2"/>
      <c r="X88" s="2"/>
      <c r="Y88" s="2"/>
      <c r="Z88" s="2"/>
      <c r="AA88" s="2"/>
      <c r="AB88" s="2"/>
      <c r="AC88" s="2"/>
    </row>
    <row r="89">
      <c r="A89" s="17">
        <v>88.0</v>
      </c>
      <c r="B89" s="18" t="s">
        <v>328</v>
      </c>
      <c r="C89" s="18" t="s">
        <v>329</v>
      </c>
      <c r="D89" s="18" t="s">
        <v>330</v>
      </c>
      <c r="E89" s="19"/>
      <c r="F89" s="2"/>
      <c r="G89" s="2"/>
      <c r="H89" s="7" t="str">
        <f>IFERROR(__xludf.DUMMYFUNCTION("GOOGLETRANSLATE(B89, ""en"", ""zh"")"),"蹴鞠比赛历史上是在什么场地举行的？")</f>
        <v>蹴鞠比赛历史上是在什么场地举行的？</v>
      </c>
      <c r="I89" s="7" t="str">
        <f>IFERROR(__xludf.DUMMYFUNCTION("GOOGLETRANSLATE(C89, ""en"", ""zh"")"),"A) 开阔的田野和庭院 B) 室内竞技场 C) 街道 D) 寺庙")</f>
        <v>A) 开阔的田野和庭院 B) 室内竞技场 C) 街道 D) 寺庙</v>
      </c>
      <c r="J89" s="7" t="str">
        <f>IFERROR(__xludf.DUMMYFUNCTION("GOOGLETRANSLATE(D89, ""en"", ""zh"")"),"A) 开阔的田野和庭院")</f>
        <v>A) 开阔的田野和庭院</v>
      </c>
      <c r="K89" s="7" t="str">
        <f>IFERROR(__xludf.DUMMYFUNCTION("GOOGLETRANSLATE(E89, ""en"", ""zh"")"),"#VALUE!")</f>
        <v>#VALUE!</v>
      </c>
      <c r="L89" s="2"/>
      <c r="M89" s="2"/>
      <c r="N89" s="2"/>
      <c r="O89" s="2"/>
      <c r="P89" s="2"/>
      <c r="Q89" s="2"/>
      <c r="R89" s="2"/>
      <c r="S89" s="2"/>
      <c r="T89" s="2"/>
      <c r="U89" s="2"/>
      <c r="V89" s="2"/>
      <c r="W89" s="2"/>
      <c r="X89" s="2"/>
      <c r="Y89" s="2"/>
      <c r="Z89" s="2"/>
      <c r="AA89" s="2"/>
      <c r="AB89" s="2"/>
      <c r="AC89" s="2"/>
    </row>
    <row r="90">
      <c r="A90" s="17">
        <v>89.0</v>
      </c>
      <c r="B90" s="18" t="s">
        <v>331</v>
      </c>
      <c r="C90" s="18" t="s">
        <v>332</v>
      </c>
      <c r="D90" s="18" t="s">
        <v>300</v>
      </c>
      <c r="E90" s="19"/>
      <c r="F90" s="2"/>
      <c r="G90" s="2"/>
      <c r="H90" s="7" t="str">
        <f>IFERROR(__xludf.DUMMYFUNCTION("GOOGLETRANSLATE(B90, ""en"", ""zh"")"),"哪个朝代将蹴鞠作为军事训练的一部分？")</f>
        <v>哪个朝代将蹴鞠作为军事训练的一部分？</v>
      </c>
      <c r="I90" s="7" t="str">
        <f>IFERROR(__xludf.DUMMYFUNCTION("GOOGLETRANSLATE(C90, ""en"", ""zh"")"),"A) 汉朝 B) 唐朝 C) 明朝 D) 清朝")</f>
        <v>A) 汉朝 B) 唐朝 C) 明朝 D) 清朝</v>
      </c>
      <c r="J90" s="7" t="str">
        <f>IFERROR(__xludf.DUMMYFUNCTION("GOOGLETRANSLATE(D90, ""en"", ""zh"")"),"A）汉朝")</f>
        <v>A）汉朝</v>
      </c>
      <c r="K90" s="7" t="str">
        <f>IFERROR(__xludf.DUMMYFUNCTION("GOOGLETRANSLATE(E90, ""en"", ""zh"")"),"#VALUE!")</f>
        <v>#VALUE!</v>
      </c>
      <c r="L90" s="2"/>
      <c r="M90" s="2"/>
      <c r="N90" s="2"/>
      <c r="O90" s="2"/>
      <c r="P90" s="2"/>
      <c r="Q90" s="2"/>
      <c r="R90" s="2"/>
      <c r="S90" s="2"/>
      <c r="T90" s="2"/>
      <c r="U90" s="2"/>
      <c r="V90" s="2"/>
      <c r="W90" s="2"/>
      <c r="X90" s="2"/>
      <c r="Y90" s="2"/>
      <c r="Z90" s="2"/>
      <c r="AA90" s="2"/>
      <c r="AB90" s="2"/>
      <c r="AC90" s="2"/>
    </row>
    <row r="91">
      <c r="A91" s="17">
        <v>90.0</v>
      </c>
      <c r="B91" s="18" t="s">
        <v>333</v>
      </c>
      <c r="C91" s="18" t="s">
        <v>334</v>
      </c>
      <c r="D91" s="18" t="s">
        <v>335</v>
      </c>
      <c r="E91" s="19"/>
      <c r="F91" s="2"/>
      <c r="G91" s="2"/>
      <c r="H91" s="7" t="str">
        <f>IFERROR(__xludf.DUMMYFUNCTION("GOOGLETRANSLATE(B91, ""en"", ""zh"")"),"蹴鞠球内填充的是什么材料？")</f>
        <v>蹴鞠球内填充的是什么材料？</v>
      </c>
      <c r="I91" s="7" t="str">
        <f>IFERROR(__xludf.DUMMYFUNCTION("GOOGLETRANSLATE(C91, ""en"", ""zh"")"),"A) 羽毛或毛发 B) 沙子 C) 石头 D) 金属")</f>
        <v>A) 羽毛或毛发 B) 沙子 C) 石头 D) 金属</v>
      </c>
      <c r="J91" s="7" t="str">
        <f>IFERROR(__xludf.DUMMYFUNCTION("GOOGLETRANSLATE(D91, ""en"", ""zh"")"),"A) 羽毛或毛发")</f>
        <v>A) 羽毛或毛发</v>
      </c>
      <c r="K91" s="7" t="str">
        <f>IFERROR(__xludf.DUMMYFUNCTION("GOOGLETRANSLATE(E91, ""en"", ""zh"")"),"#VALUE!")</f>
        <v>#VALUE!</v>
      </c>
      <c r="L91" s="2"/>
      <c r="M91" s="2"/>
      <c r="N91" s="2"/>
      <c r="O91" s="2"/>
      <c r="P91" s="2"/>
      <c r="Q91" s="2"/>
      <c r="R91" s="2"/>
      <c r="S91" s="2"/>
      <c r="T91" s="2"/>
      <c r="U91" s="2"/>
      <c r="V91" s="2"/>
      <c r="W91" s="2"/>
      <c r="X91" s="2"/>
      <c r="Y91" s="2"/>
      <c r="Z91" s="2"/>
      <c r="AA91" s="2"/>
      <c r="AB91" s="2"/>
      <c r="AC91" s="2"/>
    </row>
    <row r="92">
      <c r="A92" s="17">
        <v>91.0</v>
      </c>
      <c r="B92" s="18" t="s">
        <v>336</v>
      </c>
      <c r="C92" s="18" t="s">
        <v>337</v>
      </c>
      <c r="D92" s="18" t="s">
        <v>338</v>
      </c>
      <c r="E92" s="19"/>
      <c r="F92" s="2"/>
      <c r="G92" s="2"/>
      <c r="H92" s="7" t="str">
        <f>IFERROR(__xludf.DUMMYFUNCTION("GOOGLETRANSLATE(B92, ""en"", ""zh"")"),"貉队球员比赛时穿什么衣服？")</f>
        <v>貉队球员比赛时穿什么衣服？</v>
      </c>
      <c r="I92" s="7" t="str">
        <f>IFERROR(__xludf.DUMMYFUNCTION("GOOGLETRANSLATE(C92, ""en"", ""zh"")"),"A) 宽松长袍 B) 盔甲 C) 凉鞋 D) 鞋子")</f>
        <v>A) 宽松长袍 B) 盔甲 C) 凉鞋 D) 鞋子</v>
      </c>
      <c r="J92" s="7" t="str">
        <f>IFERROR(__xludf.DUMMYFUNCTION("GOOGLETRANSLATE(D92, ""en"", ""zh"")"),"A) 宽松长袍")</f>
        <v>A) 宽松长袍</v>
      </c>
      <c r="K92" s="7" t="str">
        <f>IFERROR(__xludf.DUMMYFUNCTION("GOOGLETRANSLATE(E92, ""en"", ""zh"")"),"#VALUE!")</f>
        <v>#VALUE!</v>
      </c>
      <c r="L92" s="2"/>
      <c r="M92" s="2"/>
      <c r="N92" s="2"/>
      <c r="O92" s="2"/>
      <c r="P92" s="2"/>
      <c r="Q92" s="2"/>
      <c r="R92" s="2"/>
      <c r="S92" s="2"/>
      <c r="T92" s="2"/>
      <c r="U92" s="2"/>
      <c r="V92" s="2"/>
      <c r="W92" s="2"/>
      <c r="X92" s="2"/>
      <c r="Y92" s="2"/>
      <c r="Z92" s="2"/>
      <c r="AA92" s="2"/>
      <c r="AB92" s="2"/>
      <c r="AC92" s="2"/>
    </row>
    <row r="93">
      <c r="A93" s="17">
        <v>92.0</v>
      </c>
      <c r="B93" s="18" t="s">
        <v>339</v>
      </c>
      <c r="C93" s="18" t="s">
        <v>340</v>
      </c>
      <c r="D93" s="18" t="s">
        <v>341</v>
      </c>
      <c r="E93" s="19"/>
      <c r="F93" s="2"/>
      <c r="G93" s="2"/>
      <c r="H93" s="7" t="str">
        <f>IFERROR(__xludf.DUMMYFUNCTION("GOOGLETRANSLATE(B93, ""en"", ""zh"")"),"蹴鞠最初每队由多少名球员组成？")</f>
        <v>蹴鞠最初每队由多少名球员组成？</v>
      </c>
      <c r="I93" s="7" t="str">
        <f>IFERROR(__xludf.DUMMYFUNCTION("GOOGLETRANSLATE(C93, ""en"", ""zh"")"),"A) 不固定，通常为 7-12 B) 5 C) 11 D) 9")</f>
        <v>A) 不固定，通常为 7-12 B) 5 C) 11 D) 9</v>
      </c>
      <c r="J93" s="7" t="str">
        <f>IFERROR(__xludf.DUMMYFUNCTION("GOOGLETRANSLATE(D93, ""en"", ""zh"")"),"A) 因情况而异，通常为 7-12")</f>
        <v>A) 因情况而异，通常为 7-12</v>
      </c>
      <c r="K93" s="7" t="str">
        <f>IFERROR(__xludf.DUMMYFUNCTION("GOOGLETRANSLATE(E93, ""en"", ""zh"")"),"#VALUE!")</f>
        <v>#VALUE!</v>
      </c>
      <c r="L93" s="2"/>
      <c r="M93" s="2"/>
      <c r="N93" s="2"/>
      <c r="O93" s="2"/>
      <c r="P93" s="2"/>
      <c r="Q93" s="2"/>
      <c r="R93" s="2"/>
      <c r="S93" s="2"/>
      <c r="T93" s="2"/>
      <c r="U93" s="2"/>
      <c r="V93" s="2"/>
      <c r="W93" s="2"/>
      <c r="X93" s="2"/>
      <c r="Y93" s="2"/>
      <c r="Z93" s="2"/>
      <c r="AA93" s="2"/>
      <c r="AB93" s="2"/>
      <c r="AC93" s="2"/>
    </row>
    <row r="94">
      <c r="A94" s="17">
        <v>93.0</v>
      </c>
      <c r="B94" s="18" t="s">
        <v>342</v>
      </c>
      <c r="C94" s="18" t="s">
        <v>343</v>
      </c>
      <c r="D94" s="18" t="s">
        <v>344</v>
      </c>
      <c r="E94" s="19"/>
      <c r="F94" s="2"/>
      <c r="G94" s="2"/>
      <c r="H94" s="7" t="str">
        <f>IFERROR(__xludf.DUMMYFUNCTION("GOOGLETRANSLATE(B94, ""en"", ""zh"")"),"蹴鞠的目的是什么？")</f>
        <v>蹴鞠的目的是什么？</v>
      </c>
      <c r="I94" s="7" t="str">
        <f>IFERROR(__xludf.DUMMYFUNCTION("GOOGLETRANSLATE(C94, ""en"", ""zh"")"),"A) 用脚踢球击中目标 B) 投掷得分 C) 抢夺对方的球 D) 用手击打目标")</f>
        <v>A) 用脚踢球击中目标 B) 投掷得分 C) 抢夺对方的球 D) 用手击打目标</v>
      </c>
      <c r="J94" s="7" t="str">
        <f>IFERROR(__xludf.DUMMYFUNCTION("GOOGLETRANSLATE(D94, ""en"", ""zh"")"),"A) 将球踢入目标")</f>
        <v>A) 将球踢入目标</v>
      </c>
      <c r="K94" s="7" t="str">
        <f>IFERROR(__xludf.DUMMYFUNCTION("GOOGLETRANSLATE(E94, ""en"", ""zh"")"),"#VALUE!")</f>
        <v>#VALUE!</v>
      </c>
      <c r="L94" s="2"/>
      <c r="M94" s="2"/>
      <c r="N94" s="2"/>
      <c r="O94" s="2"/>
      <c r="P94" s="2"/>
      <c r="Q94" s="2"/>
      <c r="R94" s="2"/>
      <c r="S94" s="2"/>
      <c r="T94" s="2"/>
      <c r="U94" s="2"/>
      <c r="V94" s="2"/>
      <c r="W94" s="2"/>
      <c r="X94" s="2"/>
      <c r="Y94" s="2"/>
      <c r="Z94" s="2"/>
      <c r="AA94" s="2"/>
      <c r="AB94" s="2"/>
      <c r="AC94" s="2"/>
    </row>
    <row r="95">
      <c r="A95" s="17">
        <v>94.0</v>
      </c>
      <c r="B95" s="18" t="s">
        <v>345</v>
      </c>
      <c r="C95" s="18" t="s">
        <v>319</v>
      </c>
      <c r="D95" s="18" t="s">
        <v>346</v>
      </c>
      <c r="E95" s="19"/>
      <c r="F95" s="2"/>
      <c r="G95" s="2"/>
      <c r="H95" s="7" t="str">
        <f>IFERROR(__xludf.DUMMYFUNCTION("GOOGLETRANSLATE(B95, ""en"", ""zh"")"),"蹴鞠是在哪个朝代发展成为一项观赏性运动的？")</f>
        <v>蹴鞠是在哪个朝代发展成为一项观赏性运动的？</v>
      </c>
      <c r="I95" s="7" t="str">
        <f>IFERROR(__xludf.DUMMYFUNCTION("GOOGLETRANSLATE(C95, ""en"", ""zh"")"),"A) 唐朝 B) 汉朝 C) 宋朝 D) 明朝")</f>
        <v>A) 唐朝 B) 汉朝 C) 宋朝 D) 明朝</v>
      </c>
      <c r="J95" s="7" t="str">
        <f>IFERROR(__xludf.DUMMYFUNCTION("GOOGLETRANSLATE(D95, ""en"", ""zh"")"),"A) 唐朝")</f>
        <v>A) 唐朝</v>
      </c>
      <c r="K95" s="7" t="str">
        <f>IFERROR(__xludf.DUMMYFUNCTION("GOOGLETRANSLATE(E95, ""en"", ""zh"")"),"#VALUE!")</f>
        <v>#VALUE!</v>
      </c>
      <c r="L95" s="2"/>
      <c r="M95" s="2"/>
      <c r="N95" s="2"/>
      <c r="O95" s="2"/>
      <c r="P95" s="2"/>
      <c r="Q95" s="2"/>
      <c r="R95" s="2"/>
      <c r="S95" s="2"/>
      <c r="T95" s="2"/>
      <c r="U95" s="2"/>
      <c r="V95" s="2"/>
      <c r="W95" s="2"/>
      <c r="X95" s="2"/>
      <c r="Y95" s="2"/>
      <c r="Z95" s="2"/>
      <c r="AA95" s="2"/>
      <c r="AB95" s="2"/>
      <c r="AC95" s="2"/>
    </row>
    <row r="96">
      <c r="A96" s="17">
        <v>95.0</v>
      </c>
      <c r="B96" s="18" t="s">
        <v>347</v>
      </c>
      <c r="C96" s="18" t="s">
        <v>348</v>
      </c>
      <c r="D96" s="18" t="s">
        <v>30</v>
      </c>
      <c r="E96" s="19"/>
      <c r="F96" s="2"/>
      <c r="G96" s="2"/>
      <c r="H96" s="7" t="str">
        <f>IFERROR(__xludf.DUMMYFUNCTION("GOOGLETRANSLATE(B96, ""en"", ""zh"")"),"哪个现代国家将蹴鞠视为其文化遗产的一部分？")</f>
        <v>哪个现代国家将蹴鞠视为其文化遗产的一部分？</v>
      </c>
      <c r="I96" s="7" t="str">
        <f>IFERROR(__xludf.DUMMYFUNCTION("GOOGLETRANSLATE(C96, ""en"", ""zh"")"),"A) 中国 B) 日本 C) 韩国 D) 越南")</f>
        <v>A) 中国 B) 日本 C) 韩国 D) 越南</v>
      </c>
      <c r="J96" s="7" t="str">
        <f>IFERROR(__xludf.DUMMYFUNCTION("GOOGLETRANSLATE(D96, ""en"", ""zh"")"),"A) 中国")</f>
        <v>A) 中国</v>
      </c>
      <c r="K96" s="7" t="str">
        <f>IFERROR(__xludf.DUMMYFUNCTION("GOOGLETRANSLATE(E96, ""en"", ""zh"")"),"#VALUE!")</f>
        <v>#VALUE!</v>
      </c>
      <c r="L96" s="2"/>
      <c r="M96" s="2"/>
      <c r="N96" s="2"/>
      <c r="O96" s="2"/>
      <c r="P96" s="2"/>
      <c r="Q96" s="2"/>
      <c r="R96" s="2"/>
      <c r="S96" s="2"/>
      <c r="T96" s="2"/>
      <c r="U96" s="2"/>
      <c r="V96" s="2"/>
      <c r="W96" s="2"/>
      <c r="X96" s="2"/>
      <c r="Y96" s="2"/>
      <c r="Z96" s="2"/>
      <c r="AA96" s="2"/>
      <c r="AB96" s="2"/>
      <c r="AC96" s="2"/>
    </row>
    <row r="97">
      <c r="A97" s="17">
        <v>96.0</v>
      </c>
      <c r="B97" s="18" t="s">
        <v>349</v>
      </c>
      <c r="C97" s="18" t="s">
        <v>350</v>
      </c>
      <c r="D97" s="18" t="s">
        <v>351</v>
      </c>
      <c r="E97" s="19"/>
      <c r="F97" s="2"/>
      <c r="G97" s="2"/>
      <c r="H97" s="7" t="str">
        <f>IFERROR(__xludf.DUMMYFUNCTION("GOOGLETRANSLATE(B97, ""en"", ""zh"")"),"蹴鞠插图可以在哪种古代媒介中找到？")</f>
        <v>蹴鞠插图可以在哪种古代媒介中找到？</v>
      </c>
      <c r="I97" s="7" t="str">
        <f>IFERROR(__xludf.DUMMYFUNCTION("GOOGLETRANSLATE(C97, ""en"", ""zh"")"),"A) 石雕和绘画 B) 手稿 C) 卷轴 D) 青铜雕像")</f>
        <v>A) 石雕和绘画 B) 手稿 C) 卷轴 D) 青铜雕像</v>
      </c>
      <c r="J97" s="7" t="str">
        <f>IFERROR(__xludf.DUMMYFUNCTION("GOOGLETRANSLATE(D97, ""en"", ""zh"")"),"C) 卷轴")</f>
        <v>C) 卷轴</v>
      </c>
      <c r="K97" s="7" t="str">
        <f>IFERROR(__xludf.DUMMYFUNCTION("GOOGLETRANSLATE(E97, ""en"", ""zh"")"),"#VALUE!")</f>
        <v>#VALUE!</v>
      </c>
      <c r="L97" s="2"/>
      <c r="M97" s="2"/>
      <c r="N97" s="2"/>
      <c r="O97" s="2"/>
      <c r="P97" s="2"/>
      <c r="Q97" s="2"/>
      <c r="R97" s="2"/>
      <c r="S97" s="2"/>
      <c r="T97" s="2"/>
      <c r="U97" s="2"/>
      <c r="V97" s="2"/>
      <c r="W97" s="2"/>
      <c r="X97" s="2"/>
      <c r="Y97" s="2"/>
      <c r="Z97" s="2"/>
      <c r="AA97" s="2"/>
      <c r="AB97" s="2"/>
      <c r="AC97" s="2"/>
    </row>
    <row r="98">
      <c r="A98" s="17">
        <v>97.0</v>
      </c>
      <c r="B98" s="18" t="s">
        <v>352</v>
      </c>
      <c r="C98" s="18" t="s">
        <v>353</v>
      </c>
      <c r="D98" s="18" t="s">
        <v>354</v>
      </c>
      <c r="E98" s="19"/>
      <c r="F98" s="2"/>
      <c r="G98" s="2"/>
      <c r="H98" s="7" t="str">
        <f>IFERROR(__xludf.DUMMYFUNCTION("GOOGLETRANSLATE(B98, ""en"", ""zh"")"),"在蹴鞠中，哪项技能最受重视？")</f>
        <v>在蹴鞠中，哪项技能最受重视？</v>
      </c>
      <c r="I98" s="7" t="str">
        <f>IFERROR(__xludf.DUMMYFUNCTION("GOOGLETRANSLATE(C98, ""en"", ""zh"")"),"A) 步法和精准度 B) 手眼协调能力 C) 仅力量 D) 仅敏捷性")</f>
        <v>A) 步法和精准度 B) 手眼协调能力 C) 仅力量 D) 仅敏捷性</v>
      </c>
      <c r="J98" s="7" t="str">
        <f>IFERROR(__xludf.DUMMYFUNCTION("GOOGLETRANSLATE(D98, ""en"", ""zh"")"),"A) 步法和准确性")</f>
        <v>A) 步法和准确性</v>
      </c>
      <c r="K98" s="7" t="str">
        <f>IFERROR(__xludf.DUMMYFUNCTION("GOOGLETRANSLATE(E98, ""en"", ""zh"")"),"#VALUE!")</f>
        <v>#VALUE!</v>
      </c>
      <c r="L98" s="2"/>
      <c r="M98" s="2"/>
      <c r="N98" s="2"/>
      <c r="O98" s="2"/>
      <c r="P98" s="2"/>
      <c r="Q98" s="2"/>
      <c r="R98" s="2"/>
      <c r="S98" s="2"/>
      <c r="T98" s="2"/>
      <c r="U98" s="2"/>
      <c r="V98" s="2"/>
      <c r="W98" s="2"/>
      <c r="X98" s="2"/>
      <c r="Y98" s="2"/>
      <c r="Z98" s="2"/>
      <c r="AA98" s="2"/>
      <c r="AB98" s="2"/>
      <c r="AC98" s="2"/>
    </row>
    <row r="99">
      <c r="A99" s="17">
        <v>98.0</v>
      </c>
      <c r="B99" s="18" t="s">
        <v>355</v>
      </c>
      <c r="C99" s="18" t="s">
        <v>356</v>
      </c>
      <c r="D99" s="18" t="s">
        <v>357</v>
      </c>
      <c r="E99" s="19"/>
      <c r="F99" s="2"/>
      <c r="G99" s="2"/>
      <c r="H99" s="7" t="str">
        <f>IFERROR(__xludf.DUMMYFUNCTION("GOOGLETRANSLATE(B99, ""en"", ""zh"")"),"在中国古代，蹴鞠被认为是为什么做准备？")</f>
        <v>在中国古代，蹴鞠被认为是为什么做准备？</v>
      </c>
      <c r="I99" s="7" t="str">
        <f>IFERROR(__xludf.DUMMYFUNCTION("GOOGLETRANSLATE(C99, ""en"", ""zh"")"),"A) 战争 B) 狩猎 C) 外交 D) 农业")</f>
        <v>A) 战争 B) 狩猎 C) 外交 D) 农业</v>
      </c>
      <c r="J99" s="7" t="str">
        <f>IFERROR(__xludf.DUMMYFUNCTION("GOOGLETRANSLATE(D99, ""en"", ""zh"")"),"A) 战争")</f>
        <v>A) 战争</v>
      </c>
      <c r="K99" s="7" t="str">
        <f>IFERROR(__xludf.DUMMYFUNCTION("GOOGLETRANSLATE(E99, ""en"", ""zh"")"),"#VALUE!")</f>
        <v>#VALUE!</v>
      </c>
      <c r="L99" s="2"/>
      <c r="M99" s="2"/>
      <c r="N99" s="2"/>
      <c r="O99" s="2"/>
      <c r="P99" s="2"/>
      <c r="Q99" s="2"/>
      <c r="R99" s="2"/>
      <c r="S99" s="2"/>
      <c r="T99" s="2"/>
      <c r="U99" s="2"/>
      <c r="V99" s="2"/>
      <c r="W99" s="2"/>
      <c r="X99" s="2"/>
      <c r="Y99" s="2"/>
      <c r="Z99" s="2"/>
      <c r="AA99" s="2"/>
      <c r="AB99" s="2"/>
      <c r="AC99" s="2"/>
    </row>
    <row r="100">
      <c r="A100" s="17">
        <v>99.0</v>
      </c>
      <c r="B100" s="18" t="s">
        <v>358</v>
      </c>
      <c r="C100" s="18" t="s">
        <v>359</v>
      </c>
      <c r="D100" s="18" t="s">
        <v>360</v>
      </c>
      <c r="E100" s="19"/>
      <c r="F100" s="2"/>
      <c r="G100" s="2"/>
      <c r="H100" s="7" t="str">
        <f>IFERROR(__xludf.DUMMYFUNCTION("GOOGLETRANSLATE(B100, ""en"", ""zh"")"),"蹴鞠球有时会用什么装饰？")</f>
        <v>蹴鞠球有时会用什么装饰？</v>
      </c>
      <c r="I100" s="7" t="str">
        <f>IFERROR(__xludf.DUMMYFUNCTION("GOOGLETRANSLATE(C100, ""en"", ""zh"")"),"A) 颜色或图案 B) 金属铆钉 C) 宝石 D) 仅羽毛")</f>
        <v>A) 颜色或图案 B) 金属铆钉 C) 宝石 D) 仅羽毛</v>
      </c>
      <c r="J100" s="7" t="str">
        <f>IFERROR(__xludf.DUMMYFUNCTION("GOOGLETRANSLATE(D100, ""en"", ""zh"")"),"A) 颜色或图案")</f>
        <v>A) 颜色或图案</v>
      </c>
      <c r="K100" s="7" t="str">
        <f>IFERROR(__xludf.DUMMYFUNCTION("GOOGLETRANSLATE(E100, ""en"", ""zh"")"),"#VALUE!")</f>
        <v>#VALUE!</v>
      </c>
      <c r="L100" s="2"/>
      <c r="M100" s="2"/>
      <c r="N100" s="2"/>
      <c r="O100" s="2"/>
      <c r="P100" s="2"/>
      <c r="Q100" s="2"/>
      <c r="R100" s="2"/>
      <c r="S100" s="2"/>
      <c r="T100" s="2"/>
      <c r="U100" s="2"/>
      <c r="V100" s="2"/>
      <c r="W100" s="2"/>
      <c r="X100" s="2"/>
      <c r="Y100" s="2"/>
      <c r="Z100" s="2"/>
      <c r="AA100" s="2"/>
      <c r="AB100" s="2"/>
      <c r="AC100" s="2"/>
    </row>
    <row r="101">
      <c r="A101" s="17">
        <v>100.0</v>
      </c>
      <c r="B101" s="18" t="s">
        <v>361</v>
      </c>
      <c r="C101" s="18" t="s">
        <v>319</v>
      </c>
      <c r="D101" s="18" t="s">
        <v>346</v>
      </c>
      <c r="E101" s="19"/>
      <c r="F101" s="2"/>
      <c r="G101" s="2"/>
      <c r="H101" s="7" t="str">
        <f>IFERROR(__xludf.DUMMYFUNCTION("GOOGLETRANSLATE(B101, ""en"", ""zh"")"),"蹴鞠在哪个朝代达到鼎盛时期？")</f>
        <v>蹴鞠在哪个朝代达到鼎盛时期？</v>
      </c>
      <c r="I101" s="7" t="str">
        <f>IFERROR(__xludf.DUMMYFUNCTION("GOOGLETRANSLATE(C101, ""en"", ""zh"")"),"A) 唐朝 B) 汉朝 C) 宋朝 D) 明朝")</f>
        <v>A) 唐朝 B) 汉朝 C) 宋朝 D) 明朝</v>
      </c>
      <c r="J101" s="7" t="str">
        <f>IFERROR(__xludf.DUMMYFUNCTION("GOOGLETRANSLATE(D101, ""en"", ""zh"")"),"A) 唐朝")</f>
        <v>A) 唐朝</v>
      </c>
      <c r="K101" s="7" t="str">
        <f>IFERROR(__xludf.DUMMYFUNCTION("GOOGLETRANSLATE(E101, ""en"", ""zh"")"),"#VALUE!")</f>
        <v>#VALUE!</v>
      </c>
      <c r="L101" s="2"/>
      <c r="M101" s="2"/>
      <c r="N101" s="2"/>
      <c r="O101" s="2"/>
      <c r="P101" s="2"/>
      <c r="Q101" s="2"/>
      <c r="R101" s="2"/>
      <c r="S101" s="2"/>
      <c r="T101" s="2"/>
      <c r="U101" s="2"/>
      <c r="V101" s="2"/>
      <c r="W101" s="2"/>
      <c r="X101" s="2"/>
      <c r="Y101" s="2"/>
      <c r="Z101" s="2"/>
      <c r="AA101" s="2"/>
      <c r="AB101" s="2"/>
      <c r="AC101" s="2"/>
    </row>
    <row r="102">
      <c r="A102" s="17">
        <v>101.0</v>
      </c>
      <c r="B102" s="18" t="s">
        <v>362</v>
      </c>
      <c r="C102" s="18" t="s">
        <v>363</v>
      </c>
      <c r="D102" s="18" t="s">
        <v>364</v>
      </c>
      <c r="E102" s="19"/>
      <c r="F102" s="2"/>
      <c r="G102" s="2"/>
      <c r="H102" s="7" t="str">
        <f>IFERROR(__xludf.DUMMYFUNCTION("GOOGLETRANSLATE(B102, ""en"", ""zh"")"),"历史上蹴鞠是由哪些性别的人演奏的？")</f>
        <v>历史上蹴鞠是由哪些性别的人演奏的？</v>
      </c>
      <c r="I102" s="7" t="str">
        <f>IFERROR(__xludf.DUMMYFUNCTION("GOOGLETRANSLATE(C102, ""en"", ""zh"")"),"A) 主要为男性 B) 主要为女性 C) 两者平等 D) 仅儿童")</f>
        <v>A) 主要为男性 B) 主要为女性 C) 两者平等 D) 仅儿童</v>
      </c>
      <c r="J102" s="7" t="str">
        <f>IFERROR(__xludf.DUMMYFUNCTION("GOOGLETRANSLATE(D102, ""en"", ""zh"")"),"A) 主要为男性")</f>
        <v>A) 主要为男性</v>
      </c>
      <c r="K102" s="7" t="str">
        <f>IFERROR(__xludf.DUMMYFUNCTION("GOOGLETRANSLATE(E102, ""en"", ""zh"")"),"#VALUE!")</f>
        <v>#VALUE!</v>
      </c>
      <c r="L102" s="2"/>
      <c r="M102" s="2"/>
      <c r="N102" s="2"/>
      <c r="O102" s="2"/>
      <c r="P102" s="2"/>
      <c r="Q102" s="2"/>
      <c r="R102" s="2"/>
      <c r="S102" s="2"/>
      <c r="T102" s="2"/>
      <c r="U102" s="2"/>
      <c r="V102" s="2"/>
      <c r="W102" s="2"/>
      <c r="X102" s="2"/>
      <c r="Y102" s="2"/>
      <c r="Z102" s="2"/>
      <c r="AA102" s="2"/>
      <c r="AB102" s="2"/>
      <c r="AC102" s="2"/>
    </row>
    <row r="103">
      <c r="A103" s="17">
        <v>102.0</v>
      </c>
      <c r="B103" s="18" t="s">
        <v>365</v>
      </c>
      <c r="C103" s="18" t="s">
        <v>366</v>
      </c>
      <c r="D103" s="18" t="s">
        <v>367</v>
      </c>
      <c r="E103" s="19"/>
      <c r="F103" s="2"/>
      <c r="G103" s="2"/>
      <c r="H103" s="7" t="str">
        <f>IFERROR(__xludf.DUMMYFUNCTION("GOOGLETRANSLATE(B103, ""en"", ""zh"")"),"蹴鞠训练能提高士兵的哪些素质？")</f>
        <v>蹴鞠训练能提高士兵的哪些素质？</v>
      </c>
      <c r="I103" s="7" t="str">
        <f>IFERROR(__xludf.DUMMYFUNCTION("GOOGLETRANSLATE(C103, ""en"", ""zh"")"),"A) 协调性和耐力 B) 射箭 C) 骑马 D) 剑术")</f>
        <v>A) 协调性和耐力 B) 射箭 C) 骑马 D) 剑术</v>
      </c>
      <c r="J103" s="7" t="str">
        <f>IFERROR(__xludf.DUMMYFUNCTION("GOOGLETRANSLATE(D103, ""en"", ""zh"")"),"A) 协调性和耐力")</f>
        <v>A) 协调性和耐力</v>
      </c>
      <c r="K103" s="7" t="str">
        <f>IFERROR(__xludf.DUMMYFUNCTION("GOOGLETRANSLATE(E103, ""en"", ""zh"")"),"#VALUE!")</f>
        <v>#VALUE!</v>
      </c>
      <c r="L103" s="2"/>
      <c r="M103" s="2"/>
      <c r="N103" s="2"/>
      <c r="O103" s="2"/>
      <c r="P103" s="2"/>
      <c r="Q103" s="2"/>
      <c r="R103" s="2"/>
      <c r="S103" s="2"/>
      <c r="T103" s="2"/>
      <c r="U103" s="2"/>
      <c r="V103" s="2"/>
      <c r="W103" s="2"/>
      <c r="X103" s="2"/>
      <c r="Y103" s="2"/>
      <c r="Z103" s="2"/>
      <c r="AA103" s="2"/>
      <c r="AB103" s="2"/>
      <c r="AC103" s="2"/>
    </row>
    <row r="104">
      <c r="A104" s="17">
        <v>103.0</v>
      </c>
      <c r="B104" s="18" t="s">
        <v>368</v>
      </c>
      <c r="C104" s="18" t="s">
        <v>369</v>
      </c>
      <c r="D104" s="18" t="s">
        <v>370</v>
      </c>
      <c r="E104" s="19"/>
      <c r="F104" s="2"/>
      <c r="G104" s="2"/>
      <c r="H104" s="7" t="str">
        <f>IFERROR(__xludf.DUMMYFUNCTION("GOOGLETRANSLATE(B104, ""en"", ""zh"")"),"蹴鞠比赛是哪些庆祝活动的一部分？")</f>
        <v>蹴鞠比赛是哪些庆祝活动的一部分？</v>
      </c>
      <c r="I104" s="7" t="str">
        <f>IFERROR(__xludf.DUMMYFUNCTION("GOOGLETRANSLATE(C104, ""en"", ""zh"")"),"A) 皇家节日 B) 婚礼 C) 丰收节 D) 葬礼")</f>
        <v>A) 皇家节日 B) 婚礼 C) 丰收节 D) 葬礼</v>
      </c>
      <c r="J104" s="7" t="str">
        <f>IFERROR(__xludf.DUMMYFUNCTION("GOOGLETRANSLATE(D104, ""en"", ""zh"")"),"A) 皇家节日")</f>
        <v>A) 皇家节日</v>
      </c>
      <c r="K104" s="7" t="str">
        <f>IFERROR(__xludf.DUMMYFUNCTION("GOOGLETRANSLATE(E104, ""en"", ""zh"")"),"#VALUE!")</f>
        <v>#VALUE!</v>
      </c>
      <c r="L104" s="2"/>
      <c r="M104" s="2"/>
      <c r="N104" s="2"/>
      <c r="O104" s="2"/>
      <c r="P104" s="2"/>
      <c r="Q104" s="2"/>
      <c r="R104" s="2"/>
      <c r="S104" s="2"/>
      <c r="T104" s="2"/>
      <c r="U104" s="2"/>
      <c r="V104" s="2"/>
      <c r="W104" s="2"/>
      <c r="X104" s="2"/>
      <c r="Y104" s="2"/>
      <c r="Z104" s="2"/>
      <c r="AA104" s="2"/>
      <c r="AB104" s="2"/>
      <c r="AC104" s="2"/>
    </row>
    <row r="105">
      <c r="A105" s="17">
        <v>104.0</v>
      </c>
      <c r="B105" s="18" t="s">
        <v>371</v>
      </c>
      <c r="C105" s="18" t="s">
        <v>372</v>
      </c>
      <c r="D105" s="18" t="s">
        <v>297</v>
      </c>
      <c r="E105" s="19"/>
      <c r="F105" s="2"/>
      <c r="G105" s="2"/>
      <c r="H105" s="7" t="str">
        <f>IFERROR(__xludf.DUMMYFUNCTION("GOOGLETRANSLATE(B105, ""en"", ""zh"")"),"蹴鞠被认为是哪项全球性运动的前身？")</f>
        <v>蹴鞠被认为是哪项全球性运动的前身？</v>
      </c>
      <c r="I105" s="7" t="str">
        <f>IFERROR(__xludf.DUMMYFUNCTION("GOOGLETRANSLATE(C105, ""en"", ""zh"")"),"A) 足球 B) 橄榄球 C) 篮球 D) 排球")</f>
        <v>A) 足球 B) 橄榄球 C) 篮球 D) 排球</v>
      </c>
      <c r="J105" s="7" t="str">
        <f>IFERROR(__xludf.DUMMYFUNCTION("GOOGLETRANSLATE(D105, ""en"", ""zh"")"),"A) 足球")</f>
        <v>A) 足球</v>
      </c>
      <c r="K105" s="7" t="str">
        <f>IFERROR(__xludf.DUMMYFUNCTION("GOOGLETRANSLATE(E105, ""en"", ""zh"")"),"#VALUE!")</f>
        <v>#VALUE!</v>
      </c>
      <c r="L105" s="2"/>
      <c r="M105" s="2"/>
      <c r="N105" s="2"/>
      <c r="O105" s="2"/>
      <c r="P105" s="2"/>
      <c r="Q105" s="2"/>
      <c r="R105" s="2"/>
      <c r="S105" s="2"/>
      <c r="T105" s="2"/>
      <c r="U105" s="2"/>
      <c r="V105" s="2"/>
      <c r="W105" s="2"/>
      <c r="X105" s="2"/>
      <c r="Y105" s="2"/>
      <c r="Z105" s="2"/>
      <c r="AA105" s="2"/>
      <c r="AB105" s="2"/>
      <c r="AC105" s="2"/>
    </row>
    <row r="106">
      <c r="A106" s="17">
        <v>105.0</v>
      </c>
      <c r="B106" s="18" t="s">
        <v>373</v>
      </c>
      <c r="C106" s="18" t="s">
        <v>374</v>
      </c>
      <c r="D106" s="18" t="s">
        <v>375</v>
      </c>
      <c r="E106" s="19"/>
      <c r="F106" s="2"/>
      <c r="G106" s="2"/>
      <c r="H106" s="7" t="str">
        <f>IFERROR(__xludf.DUMMYFUNCTION("GOOGLETRANSLATE(B106, ""en"", ""zh"")"),"蹴鞠只能用脚踢，还是也可以用手踢？")</f>
        <v>蹴鞠只能用脚踢，还是也可以用手踢？</v>
      </c>
      <c r="I106" s="7" t="str">
        <f>IFERROR(__xludf.DUMMYFUNCTION("GOOGLETRANSLATE(C106, ""en"", ""zh"")"),"A) 仅脚部 B) 仅手部 C) 脚部和手部 D) 仅头部")</f>
        <v>A) 仅脚部 B) 仅手部 C) 脚部和手部 D) 仅头部</v>
      </c>
      <c r="J106" s="7" t="str">
        <f>IFERROR(__xludf.DUMMYFUNCTION("GOOGLETRANSLATE(D106, ""en"", ""zh"")"),"A) 仅限脚部")</f>
        <v>A) 仅限脚部</v>
      </c>
      <c r="K106" s="7" t="str">
        <f>IFERROR(__xludf.DUMMYFUNCTION("GOOGLETRANSLATE(E106, ""en"", ""zh"")"),"#VALUE!")</f>
        <v>#VALUE!</v>
      </c>
      <c r="L106" s="2"/>
      <c r="M106" s="2"/>
      <c r="N106" s="2"/>
      <c r="O106" s="2"/>
      <c r="P106" s="2"/>
      <c r="Q106" s="2"/>
      <c r="R106" s="2"/>
      <c r="S106" s="2"/>
      <c r="T106" s="2"/>
      <c r="U106" s="2"/>
      <c r="V106" s="2"/>
      <c r="W106" s="2"/>
      <c r="X106" s="2"/>
      <c r="Y106" s="2"/>
      <c r="Z106" s="2"/>
      <c r="AA106" s="2"/>
      <c r="AB106" s="2"/>
      <c r="AC106" s="2"/>
    </row>
    <row r="107">
      <c r="A107" s="17">
        <v>106.0</v>
      </c>
      <c r="B107" s="18" t="s">
        <v>376</v>
      </c>
      <c r="C107" s="18" t="s">
        <v>377</v>
      </c>
      <c r="D107" s="18" t="s">
        <v>378</v>
      </c>
      <c r="E107" s="19"/>
      <c r="F107" s="2"/>
      <c r="G107" s="2"/>
      <c r="H107" s="7" t="str">
        <f>IFERROR(__xludf.DUMMYFUNCTION("GOOGLETRANSLATE(B107, ""en"", ""zh"")"),"蹴鞠比赛有时被用来？")</f>
        <v>蹴鞠比赛有时被用来？</v>
      </c>
      <c r="I107" s="7" t="str">
        <f>IFERROR(__xludf.DUMMYFUNCTION("GOOGLETRANSLATE(C107, ""en"", ""zh"")"),"A) 娱乐宫廷 B) 训练动物 C) 处理公务 D) 举行仪式")</f>
        <v>A) 娱乐宫廷 B) 训练动物 C) 处理公务 D) 举行仪式</v>
      </c>
      <c r="J107" s="7" t="str">
        <f>IFERROR(__xludf.DUMMYFUNCTION("GOOGLETRANSLATE(D107, ""en"", ""zh"")"),"A) 娱乐法庭")</f>
        <v>A) 娱乐法庭</v>
      </c>
      <c r="K107" s="7" t="str">
        <f>IFERROR(__xludf.DUMMYFUNCTION("GOOGLETRANSLATE(E107, ""en"", ""zh"")"),"#VALUE!")</f>
        <v>#VALUE!</v>
      </c>
      <c r="L107" s="2"/>
      <c r="M107" s="2"/>
      <c r="N107" s="2"/>
      <c r="O107" s="2"/>
      <c r="P107" s="2"/>
      <c r="Q107" s="2"/>
      <c r="R107" s="2"/>
      <c r="S107" s="2"/>
      <c r="T107" s="2"/>
      <c r="U107" s="2"/>
      <c r="V107" s="2"/>
      <c r="W107" s="2"/>
      <c r="X107" s="2"/>
      <c r="Y107" s="2"/>
      <c r="Z107" s="2"/>
      <c r="AA107" s="2"/>
      <c r="AB107" s="2"/>
      <c r="AC107" s="2"/>
    </row>
    <row r="108">
      <c r="A108" s="17">
        <v>107.0</v>
      </c>
      <c r="B108" s="18" t="s">
        <v>379</v>
      </c>
      <c r="C108" s="18" t="s">
        <v>380</v>
      </c>
      <c r="D108" s="18" t="s">
        <v>381</v>
      </c>
      <c r="E108" s="19"/>
      <c r="F108" s="2"/>
      <c r="G108" s="2"/>
      <c r="H108" s="7" t="str">
        <f>IFERROR(__xludf.DUMMYFUNCTION("GOOGLETRANSLATE(B108, ""en"", ""zh"")"),"蹴鞠以培养球员的哪些品质而闻名？")</f>
        <v>蹴鞠以培养球员的哪些品质而闻名？</v>
      </c>
      <c r="I108" s="7" t="str">
        <f>IFERROR(__xludf.DUMMYFUNCTION("GOOGLETRANSLATE(C108, ""en"", ""zh"")"),"A) 敏捷性、团队合作、策略 B) 仅力量 C) 仅速度 D) 仅精准度")</f>
        <v>A) 敏捷性、团队合作、策略 B) 仅力量 C) 仅速度 D) 仅精准度</v>
      </c>
      <c r="J108" s="7" t="str">
        <f>IFERROR(__xludf.DUMMYFUNCTION("GOOGLETRANSLATE(D108, ""en"", ""zh"")"),"A) 敏捷性、团队合作、战略")</f>
        <v>A) 敏捷性、团队合作、战略</v>
      </c>
      <c r="K108" s="7" t="str">
        <f>IFERROR(__xludf.DUMMYFUNCTION("GOOGLETRANSLATE(E108, ""en"", ""zh"")"),"#VALUE!")</f>
        <v>#VALUE!</v>
      </c>
      <c r="L108" s="2"/>
      <c r="M108" s="2"/>
      <c r="N108" s="2"/>
      <c r="O108" s="2"/>
      <c r="P108" s="2"/>
      <c r="Q108" s="2"/>
      <c r="R108" s="2"/>
      <c r="S108" s="2"/>
      <c r="T108" s="2"/>
      <c r="U108" s="2"/>
      <c r="V108" s="2"/>
      <c r="W108" s="2"/>
      <c r="X108" s="2"/>
      <c r="Y108" s="2"/>
      <c r="Z108" s="2"/>
      <c r="AA108" s="2"/>
      <c r="AB108" s="2"/>
      <c r="AC108" s="2"/>
    </row>
    <row r="109">
      <c r="A109" s="17">
        <v>108.0</v>
      </c>
      <c r="B109" s="18" t="s">
        <v>382</v>
      </c>
      <c r="C109" s="18" t="s">
        <v>383</v>
      </c>
      <c r="D109" s="18" t="s">
        <v>384</v>
      </c>
      <c r="E109" s="19"/>
      <c r="F109" s="2"/>
      <c r="G109" s="2"/>
      <c r="H109" s="7" t="str">
        <f>IFERROR(__xludf.DUMMYFUNCTION("GOOGLETRANSLATE(B109, ""en"", ""zh"")"),"古代蹴鞠田地上标有？")</f>
        <v>古代蹴鞠田地上标有？</v>
      </c>
      <c r="I109" s="7" t="str">
        <f>IFERROR(__xludf.DUMMYFUNCTION("GOOGLETRANSLATE(C109, ""en"", ""zh"")"),"A) 地面上的石头或线条 B) 旗帜 C) 绳索 D) 垫子")</f>
        <v>A) 地面上的石头或线条 B) 旗帜 C) 绳索 D) 垫子</v>
      </c>
      <c r="J109" s="7" t="str">
        <f>IFERROR(__xludf.DUMMYFUNCTION("GOOGLETRANSLATE(D109, ""en"", ""zh"")"),"A) 地面上的石头或线条")</f>
        <v>A) 地面上的石头或线条</v>
      </c>
      <c r="K109" s="7" t="str">
        <f>IFERROR(__xludf.DUMMYFUNCTION("GOOGLETRANSLATE(E109, ""en"", ""zh"")"),"#VALUE!")</f>
        <v>#VALUE!</v>
      </c>
      <c r="L109" s="2"/>
      <c r="M109" s="2"/>
      <c r="N109" s="2"/>
      <c r="O109" s="2"/>
      <c r="P109" s="2"/>
      <c r="Q109" s="2"/>
      <c r="R109" s="2"/>
      <c r="S109" s="2"/>
      <c r="T109" s="2"/>
      <c r="U109" s="2"/>
      <c r="V109" s="2"/>
      <c r="W109" s="2"/>
      <c r="X109" s="2"/>
      <c r="Y109" s="2"/>
      <c r="Z109" s="2"/>
      <c r="AA109" s="2"/>
      <c r="AB109" s="2"/>
      <c r="AC109" s="2"/>
    </row>
    <row r="110">
      <c r="A110" s="17">
        <v>109.0</v>
      </c>
      <c r="B110" s="18" t="s">
        <v>385</v>
      </c>
      <c r="C110" s="18" t="s">
        <v>386</v>
      </c>
      <c r="D110" s="18" t="s">
        <v>387</v>
      </c>
      <c r="E110" s="19"/>
      <c r="F110" s="2"/>
      <c r="G110" s="2"/>
      <c r="H110" s="7" t="str">
        <f>IFERROR(__xludf.DUMMYFUNCTION("GOOGLETRANSLATE(B110, ""en"", ""zh"")"),"蹴鞠在哪个时期开始不再流行？")</f>
        <v>蹴鞠在哪个时期开始不再流行？</v>
      </c>
      <c r="I110" s="7" t="str">
        <f>IFERROR(__xludf.DUMMYFUNCTION("GOOGLETRANSLATE(C110, ""en"", ""zh"")"),"A) 明朝衰落 B) 唐朝 C) 汉朝 D) 宋朝")</f>
        <v>A) 明朝衰落 B) 唐朝 C) 汉朝 D) 宋朝</v>
      </c>
      <c r="J110" s="7" t="str">
        <f>IFERROR(__xludf.DUMMYFUNCTION("GOOGLETRANSLATE(D110, ""en"", ""zh"")"),"A）明朝衰落")</f>
        <v>A）明朝衰落</v>
      </c>
      <c r="K110" s="7" t="str">
        <f>IFERROR(__xludf.DUMMYFUNCTION("GOOGLETRANSLATE(E110, ""en"", ""zh"")"),"#VALUE!")</f>
        <v>#VALUE!</v>
      </c>
      <c r="L110" s="2"/>
      <c r="M110" s="2"/>
      <c r="N110" s="2"/>
      <c r="O110" s="2"/>
      <c r="P110" s="2"/>
      <c r="Q110" s="2"/>
      <c r="R110" s="2"/>
      <c r="S110" s="2"/>
      <c r="T110" s="2"/>
      <c r="U110" s="2"/>
      <c r="V110" s="2"/>
      <c r="W110" s="2"/>
      <c r="X110" s="2"/>
      <c r="Y110" s="2"/>
      <c r="Z110" s="2"/>
      <c r="AA110" s="2"/>
      <c r="AB110" s="2"/>
      <c r="AC110" s="2"/>
    </row>
    <row r="111">
      <c r="A111" s="17">
        <v>110.0</v>
      </c>
      <c r="B111" s="18" t="s">
        <v>388</v>
      </c>
      <c r="C111" s="18" t="s">
        <v>389</v>
      </c>
      <c r="D111" s="18" t="s">
        <v>390</v>
      </c>
      <c r="E111" s="19"/>
      <c r="F111" s="2"/>
      <c r="G111" s="2"/>
      <c r="H111" s="7" t="str">
        <f>IFERROR(__xludf.DUMMYFUNCTION("GOOGLETRANSLATE(B111, ""en"", ""zh"")"),"蹴鞠在近代复兴的主要原因是什么？")</f>
        <v>蹴鞠在近代复兴的主要原因是什么？</v>
      </c>
      <c r="I111" s="7" t="str">
        <f>IFERROR(__xludf.DUMMYFUNCTION("GOOGLETRANSLATE(C111, ""en"", ""zh"")"),"A) 文化保护 B) 军事训练 C) 竞技体育 D) 娱乐")</f>
        <v>A) 文化保护 B) 军事训练 C) 竞技体育 D) 娱乐</v>
      </c>
      <c r="J111" s="7" t="str">
        <f>IFERROR(__xludf.DUMMYFUNCTION("GOOGLETRANSLATE(D111, ""en"", ""zh"")"),"A) 文化保护")</f>
        <v>A) 文化保护</v>
      </c>
      <c r="K111" s="7" t="str">
        <f>IFERROR(__xludf.DUMMYFUNCTION("GOOGLETRANSLATE(E111, ""en"", ""zh"")"),"#VALUE!")</f>
        <v>#VALUE!</v>
      </c>
      <c r="L111" s="2"/>
      <c r="M111" s="2"/>
      <c r="N111" s="2"/>
      <c r="O111" s="2"/>
      <c r="P111" s="2"/>
      <c r="Q111" s="2"/>
      <c r="R111" s="2"/>
      <c r="S111" s="2"/>
      <c r="T111" s="2"/>
      <c r="U111" s="2"/>
      <c r="V111" s="2"/>
      <c r="W111" s="2"/>
      <c r="X111" s="2"/>
      <c r="Y111" s="2"/>
      <c r="Z111" s="2"/>
      <c r="AA111" s="2"/>
      <c r="AB111" s="2"/>
      <c r="AC111" s="2"/>
    </row>
    <row r="112">
      <c r="A112" s="17">
        <v>111.0</v>
      </c>
      <c r="B112" s="18" t="s">
        <v>391</v>
      </c>
      <c r="C112" s="18" t="s">
        <v>392</v>
      </c>
      <c r="D112" s="18" t="s">
        <v>393</v>
      </c>
      <c r="E112" s="19"/>
      <c r="F112" s="2"/>
      <c r="G112" s="2"/>
      <c r="H112" s="7" t="str">
        <f>IFERROR(__xludf.DUMMYFUNCTION("GOOGLETRANSLATE(B112, ""en"", ""zh"")"),"蹴鞠是通过什么途径传入日本和韩国的？")</f>
        <v>蹴鞠是通过什么途径传入日本和韩国的？</v>
      </c>
      <c r="I112" s="7" t="str">
        <f>IFERROR(__xludf.DUMMYFUNCTION("GOOGLETRANSLATE(C112, ""en"", ""zh"")"),"A) 文化交流 B) 仅贸易 C) 征服 D) 仅迁徙")</f>
        <v>A) 文化交流 B) 仅贸易 C) 征服 D) 仅迁徙</v>
      </c>
      <c r="J112" s="7" t="str">
        <f>IFERROR(__xludf.DUMMYFUNCTION("GOOGLETRANSLATE(D112, ""en"", ""zh"")"),"A) 文化交流")</f>
        <v>A) 文化交流</v>
      </c>
      <c r="K112" s="7" t="str">
        <f>IFERROR(__xludf.DUMMYFUNCTION("GOOGLETRANSLATE(E112, ""en"", ""zh"")"),"#VALUE!")</f>
        <v>#VALUE!</v>
      </c>
      <c r="L112" s="2"/>
      <c r="M112" s="2"/>
      <c r="N112" s="2"/>
      <c r="O112" s="2"/>
      <c r="P112" s="2"/>
      <c r="Q112" s="2"/>
      <c r="R112" s="2"/>
      <c r="S112" s="2"/>
      <c r="T112" s="2"/>
      <c r="U112" s="2"/>
      <c r="V112" s="2"/>
      <c r="W112" s="2"/>
      <c r="X112" s="2"/>
      <c r="Y112" s="2"/>
      <c r="Z112" s="2"/>
      <c r="AA112" s="2"/>
      <c r="AB112" s="2"/>
      <c r="AC112" s="2"/>
    </row>
    <row r="113">
      <c r="A113" s="17">
        <v>112.0</v>
      </c>
      <c r="B113" s="18" t="s">
        <v>394</v>
      </c>
      <c r="C113" s="18" t="s">
        <v>395</v>
      </c>
      <c r="D113" s="18" t="s">
        <v>396</v>
      </c>
      <c r="E113" s="19"/>
      <c r="F113" s="2"/>
      <c r="G113" s="2"/>
      <c r="H113" s="7" t="str">
        <f>IFERROR(__xludf.DUMMYFUNCTION("GOOGLETRANSLATE(B113, ""en"", ""zh"")"),"蹴鞠球很轻，是为了什么？")</f>
        <v>蹴鞠球很轻，是为了什么？</v>
      </c>
      <c r="I113" s="7" t="str">
        <f>IFERROR(__xludf.DUMMYFUNCTION("GOOGLETRANSLATE(C113, ""en"", ""zh"")"),"A) 更强的控制力和踢击能力 B) 远距离投掷能力 C) 仅耐用性 D) 装饰性")</f>
        <v>A) 更强的控制力和踢击能力 B) 远距离投掷能力 C) 仅耐用性 D) 装饰性</v>
      </c>
      <c r="J113" s="7" t="str">
        <f>IFERROR(__xludf.DUMMYFUNCTION("GOOGLETRANSLATE(D113, ""en"", ""zh"")"),"A) 更强的控制力和踢击能力")</f>
        <v>A) 更强的控制力和踢击能力</v>
      </c>
      <c r="K113" s="7" t="str">
        <f>IFERROR(__xludf.DUMMYFUNCTION("GOOGLETRANSLATE(E113, ""en"", ""zh"")"),"#VALUE!")</f>
        <v>#VALUE!</v>
      </c>
      <c r="L113" s="2"/>
      <c r="M113" s="2"/>
      <c r="N113" s="2"/>
      <c r="O113" s="2"/>
      <c r="P113" s="2"/>
      <c r="Q113" s="2"/>
      <c r="R113" s="2"/>
      <c r="S113" s="2"/>
      <c r="T113" s="2"/>
      <c r="U113" s="2"/>
      <c r="V113" s="2"/>
      <c r="W113" s="2"/>
      <c r="X113" s="2"/>
      <c r="Y113" s="2"/>
      <c r="Z113" s="2"/>
      <c r="AA113" s="2"/>
      <c r="AB113" s="2"/>
      <c r="AC113" s="2"/>
    </row>
    <row r="114">
      <c r="A114" s="17">
        <v>113.0</v>
      </c>
      <c r="B114" s="18" t="s">
        <v>397</v>
      </c>
      <c r="C114" s="18" t="s">
        <v>398</v>
      </c>
      <c r="D114" s="18" t="s">
        <v>399</v>
      </c>
      <c r="E114" s="19"/>
      <c r="F114" s="2"/>
      <c r="G114" s="2"/>
      <c r="H114" s="7" t="str">
        <f>IFERROR(__xludf.DUMMYFUNCTION("GOOGLETRANSLATE(B114, ""en"", ""zh"")"),"历史上，库朱队的球门是由什么材料制成的？")</f>
        <v>历史上，库朱队的球门是由什么材料制成的？</v>
      </c>
      <c r="I114" s="7" t="str">
        <f>IFERROR(__xludf.DUMMYFUNCTION("GOOGLETRANSLATE(C114, ""en"", ""zh"")"),"A) 网或靶环 B) 木桩 C) 石块 D) 绳索")</f>
        <v>A) 网或靶环 B) 木桩 C) 石块 D) 绳索</v>
      </c>
      <c r="J114" s="7" t="str">
        <f>IFERROR(__xludf.DUMMYFUNCTION("GOOGLETRANSLATE(D114, ""en"", ""zh"")"),"A) 网或靶环")</f>
        <v>A) 网或靶环</v>
      </c>
      <c r="K114" s="7" t="str">
        <f>IFERROR(__xludf.DUMMYFUNCTION("GOOGLETRANSLATE(E114, ""en"", ""zh"")"),"#VALUE!")</f>
        <v>#VALUE!</v>
      </c>
      <c r="L114" s="2"/>
      <c r="M114" s="2"/>
      <c r="N114" s="2"/>
      <c r="O114" s="2"/>
      <c r="P114" s="2"/>
      <c r="Q114" s="2"/>
      <c r="R114" s="2"/>
      <c r="S114" s="2"/>
      <c r="T114" s="2"/>
      <c r="U114" s="2"/>
      <c r="V114" s="2"/>
      <c r="W114" s="2"/>
      <c r="X114" s="2"/>
      <c r="Y114" s="2"/>
      <c r="Z114" s="2"/>
      <c r="AA114" s="2"/>
      <c r="AB114" s="2"/>
      <c r="AC114" s="2"/>
    </row>
    <row r="115">
      <c r="A115" s="17">
        <v>114.0</v>
      </c>
      <c r="B115" s="18" t="s">
        <v>400</v>
      </c>
      <c r="C115" s="18" t="s">
        <v>401</v>
      </c>
      <c r="D115" s="18" t="s">
        <v>402</v>
      </c>
      <c r="E115" s="19"/>
      <c r="F115" s="2"/>
      <c r="G115" s="2"/>
      <c r="H115" s="7" t="str">
        <f>IFERROR(__xludf.DUMMYFUNCTION("GOOGLETRANSLATE(B115, ""en"", ""zh"")"),"蹴鞠传统上需要哪种类型的场维度？")</f>
        <v>蹴鞠传统上需要哪种类型的场维度？</v>
      </c>
      <c r="I115" s="7" t="str">
        <f>IFERROR(__xludf.DUMMYFUNCTION("GOOGLETRANSLATE(C115, ""en"", ""zh"")"),"A) 带开放空间的矩形 B) 圆形 C) 正方形 D) 仅限室内")</f>
        <v>A) 带开放空间的矩形 B) 圆形 C) 正方形 D) 仅限室内</v>
      </c>
      <c r="J115" s="7" t="str">
        <f>IFERROR(__xludf.DUMMYFUNCTION("GOOGLETRANSLATE(D115, ""en"", ""zh"")"),"A) 带开放空间的矩形")</f>
        <v>A) 带开放空间的矩形</v>
      </c>
      <c r="K115" s="7" t="str">
        <f>IFERROR(__xludf.DUMMYFUNCTION("GOOGLETRANSLATE(E115, ""en"", ""zh"")"),"#VALUE!")</f>
        <v>#VALUE!</v>
      </c>
      <c r="L115" s="2"/>
      <c r="M115" s="2"/>
      <c r="N115" s="2"/>
      <c r="O115" s="2"/>
      <c r="P115" s="2"/>
      <c r="Q115" s="2"/>
      <c r="R115" s="2"/>
      <c r="S115" s="2"/>
      <c r="T115" s="2"/>
      <c r="U115" s="2"/>
      <c r="V115" s="2"/>
      <c r="W115" s="2"/>
      <c r="X115" s="2"/>
      <c r="Y115" s="2"/>
      <c r="Z115" s="2"/>
      <c r="AA115" s="2"/>
      <c r="AB115" s="2"/>
      <c r="AC115" s="2"/>
    </row>
    <row r="116">
      <c r="A116" s="17">
        <v>115.0</v>
      </c>
      <c r="B116" s="18" t="s">
        <v>403</v>
      </c>
      <c r="C116" s="18" t="s">
        <v>404</v>
      </c>
      <c r="D116" s="18" t="s">
        <v>405</v>
      </c>
      <c r="E116" s="19"/>
      <c r="F116" s="2"/>
      <c r="G116" s="2"/>
      <c r="H116" s="7" t="str">
        <f>IFERROR(__xludf.DUMMYFUNCTION("GOOGLETRANSLATE(B116, ""en"", ""zh"")"),"传统上，蹴鞠是哪个年龄段的人玩的？")</f>
        <v>传统上，蹴鞠是哪个年龄段的人玩的？</v>
      </c>
      <c r="I116" s="7" t="str">
        <f>IFERROR(__xludf.DUMMYFUNCTION("GOOGLETRANSLATE(C116, ""en"", ""zh"")"),"A) 成人 B) 仅限儿童 C) 仅限老年人 D) 所有年龄段")</f>
        <v>A) 成人 B) 仅限儿童 C) 仅限老年人 D) 所有年龄段</v>
      </c>
      <c r="J116" s="7" t="str">
        <f>IFERROR(__xludf.DUMMYFUNCTION("GOOGLETRANSLATE(D116, ""en"", ""zh"")"),"A) 成年人")</f>
        <v>A) 成年人</v>
      </c>
      <c r="K116" s="7" t="str">
        <f>IFERROR(__xludf.DUMMYFUNCTION("GOOGLETRANSLATE(E116, ""en"", ""zh"")"),"#VALUE!")</f>
        <v>#VALUE!</v>
      </c>
      <c r="L116" s="2"/>
      <c r="M116" s="2"/>
      <c r="N116" s="2"/>
      <c r="O116" s="2"/>
      <c r="P116" s="2"/>
      <c r="Q116" s="2"/>
      <c r="R116" s="2"/>
      <c r="S116" s="2"/>
      <c r="T116" s="2"/>
      <c r="U116" s="2"/>
      <c r="V116" s="2"/>
      <c r="W116" s="2"/>
      <c r="X116" s="2"/>
      <c r="Y116" s="2"/>
      <c r="Z116" s="2"/>
      <c r="AA116" s="2"/>
      <c r="AB116" s="2"/>
      <c r="AC116" s="2"/>
    </row>
    <row r="117">
      <c r="A117" s="17">
        <v>116.0</v>
      </c>
      <c r="B117" s="18" t="s">
        <v>406</v>
      </c>
      <c r="C117" s="18" t="s">
        <v>407</v>
      </c>
      <c r="D117" s="18" t="s">
        <v>408</v>
      </c>
      <c r="E117" s="19"/>
      <c r="F117" s="2"/>
      <c r="G117" s="2"/>
      <c r="H117" s="7" t="str">
        <f>IFERROR(__xludf.DUMMYFUNCTION("GOOGLETRANSLATE(B117, ""en"", ""zh"")"),"蹴鞠在中国古代文献中被提及是为了突出什么？")</f>
        <v>蹴鞠在中国古代文献中被提及是为了突出什么？</v>
      </c>
      <c r="I117" s="7" t="str">
        <f>IFERROR(__xludf.DUMMYFUNCTION("GOOGLETRANSLATE(C117, ""en"", ""zh"")"),"A) 身体技能和策略 B) 道德价值观 C) 财富 D) 宗教")</f>
        <v>A) 身体技能和策略 B) 道德价值观 C) 财富 D) 宗教</v>
      </c>
      <c r="J117" s="7" t="str">
        <f>IFERROR(__xludf.DUMMYFUNCTION("GOOGLETRANSLATE(D117, ""en"", ""zh"")"),"A) 身体技能和策略")</f>
        <v>A) 身体技能和策略</v>
      </c>
      <c r="K117" s="7" t="str">
        <f>IFERROR(__xludf.DUMMYFUNCTION("GOOGLETRANSLATE(E117, ""en"", ""zh"")"),"#VALUE!")</f>
        <v>#VALUE!</v>
      </c>
      <c r="L117" s="2"/>
      <c r="M117" s="2"/>
      <c r="N117" s="2"/>
      <c r="O117" s="2"/>
      <c r="P117" s="2"/>
      <c r="Q117" s="2"/>
      <c r="R117" s="2"/>
      <c r="S117" s="2"/>
      <c r="T117" s="2"/>
      <c r="U117" s="2"/>
      <c r="V117" s="2"/>
      <c r="W117" s="2"/>
      <c r="X117" s="2"/>
      <c r="Y117" s="2"/>
      <c r="Z117" s="2"/>
      <c r="AA117" s="2"/>
      <c r="AB117" s="2"/>
      <c r="AC117" s="2"/>
    </row>
    <row r="118">
      <c r="A118" s="17">
        <v>117.0</v>
      </c>
      <c r="B118" s="18" t="s">
        <v>409</v>
      </c>
      <c r="C118" s="18" t="s">
        <v>410</v>
      </c>
      <c r="D118" s="18" t="s">
        <v>411</v>
      </c>
      <c r="E118" s="19"/>
      <c r="F118" s="2"/>
      <c r="G118" s="2"/>
      <c r="H118" s="7" t="str">
        <f>IFERROR(__xludf.DUMMYFUNCTION("GOOGLETRANSLATE(B118, ""en"", ""zh"")"),"蹴鞠选手通常穿哪种类型的鞋子？")</f>
        <v>蹴鞠选手通常穿哪种类型的鞋子？</v>
      </c>
      <c r="I118" s="7" t="str">
        <f>IFERROR(__xludf.DUMMYFUNCTION("GOOGLETRANSLATE(C118, ""en"", ""zh"")"),"A) 赤脚 B) 凉鞋 C) 鞋子 D) 靴子")</f>
        <v>A) 赤脚 B) 凉鞋 C) 鞋子 D) 靴子</v>
      </c>
      <c r="J118" s="7" t="str">
        <f>IFERROR(__xludf.DUMMYFUNCTION("GOOGLETRANSLATE(D118, ""en"", ""zh"")"),"A）赤脚")</f>
        <v>A）赤脚</v>
      </c>
      <c r="K118" s="7" t="str">
        <f>IFERROR(__xludf.DUMMYFUNCTION("GOOGLETRANSLATE(E118, ""en"", ""zh"")"),"#VALUE!")</f>
        <v>#VALUE!</v>
      </c>
      <c r="L118" s="2"/>
      <c r="M118" s="2"/>
      <c r="N118" s="2"/>
      <c r="O118" s="2"/>
      <c r="P118" s="2"/>
      <c r="Q118" s="2"/>
      <c r="R118" s="2"/>
      <c r="S118" s="2"/>
      <c r="T118" s="2"/>
      <c r="U118" s="2"/>
      <c r="V118" s="2"/>
      <c r="W118" s="2"/>
      <c r="X118" s="2"/>
      <c r="Y118" s="2"/>
      <c r="Z118" s="2"/>
      <c r="AA118" s="2"/>
      <c r="AB118" s="2"/>
      <c r="AC118" s="2"/>
    </row>
    <row r="119">
      <c r="A119" s="17">
        <v>118.0</v>
      </c>
      <c r="B119" s="18" t="s">
        <v>412</v>
      </c>
      <c r="C119" s="18" t="s">
        <v>413</v>
      </c>
      <c r="D119" s="18" t="s">
        <v>414</v>
      </c>
      <c r="E119" s="19"/>
      <c r="F119" s="2"/>
      <c r="G119" s="2"/>
      <c r="H119" s="7" t="str">
        <f>IFERROR(__xludf.DUMMYFUNCTION("GOOGLETRANSLATE(B119, ""en"", ""zh"")"),"蹴鞠球是用什么材料缝制的？")</f>
        <v>蹴鞠球是用什么材料缝制的？</v>
      </c>
      <c r="I119" s="7" t="str">
        <f>IFERROR(__xludf.DUMMYFUNCTION("GOOGLETRANSLATE(C119, ""en"", ""zh"")"),"A) 皮革条 B) 布料 C) 绳索 D) 金属")</f>
        <v>A) 皮革条 B) 布料 C) 绳索 D) 金属</v>
      </c>
      <c r="J119" s="7" t="str">
        <f>IFERROR(__xludf.DUMMYFUNCTION("GOOGLETRANSLATE(D119, ""en"", ""zh"")"),"A) 皮革条")</f>
        <v>A) 皮革条</v>
      </c>
      <c r="K119" s="7" t="str">
        <f>IFERROR(__xludf.DUMMYFUNCTION("GOOGLETRANSLATE(E119, ""en"", ""zh"")"),"#VALUE!")</f>
        <v>#VALUE!</v>
      </c>
      <c r="L119" s="2"/>
      <c r="M119" s="2"/>
      <c r="N119" s="2"/>
      <c r="O119" s="2"/>
      <c r="P119" s="2"/>
      <c r="Q119" s="2"/>
      <c r="R119" s="2"/>
      <c r="S119" s="2"/>
      <c r="T119" s="2"/>
      <c r="U119" s="2"/>
      <c r="V119" s="2"/>
      <c r="W119" s="2"/>
      <c r="X119" s="2"/>
      <c r="Y119" s="2"/>
      <c r="Z119" s="2"/>
      <c r="AA119" s="2"/>
      <c r="AB119" s="2"/>
      <c r="AC119" s="2"/>
    </row>
    <row r="120">
      <c r="A120" s="17">
        <v>119.0</v>
      </c>
      <c r="B120" s="18" t="s">
        <v>415</v>
      </c>
      <c r="C120" s="18" t="s">
        <v>416</v>
      </c>
      <c r="D120" s="18" t="s">
        <v>417</v>
      </c>
      <c r="E120" s="19"/>
      <c r="F120" s="2"/>
      <c r="G120" s="2"/>
      <c r="H120" s="7" t="str">
        <f>IFERROR(__xludf.DUMMYFUNCTION("GOOGLETRANSLATE(B120, ""en"", ""zh"")"),"蹴鞠比赛可能会持续多久？")</f>
        <v>蹴鞠比赛可能会持续多久？</v>
      </c>
      <c r="I120" s="7" t="str">
        <f>IFERROR(__xludf.DUMMYFUNCTION("GOOGLETRANSLATE(C120, ""en"", ""zh"")"),"A) 小时 B) 分钟 C) 天 D) 周")</f>
        <v>A) 小时 B) 分钟 C) 天 D) 周</v>
      </c>
      <c r="J120" s="7" t="str">
        <f>IFERROR(__xludf.DUMMYFUNCTION("GOOGLETRANSLATE(D120, ""en"", ""zh"")"),"A) 小时")</f>
        <v>A) 小时</v>
      </c>
      <c r="K120" s="7" t="str">
        <f>IFERROR(__xludf.DUMMYFUNCTION("GOOGLETRANSLATE(E120, ""en"", ""zh"")"),"#VALUE!")</f>
        <v>#VALUE!</v>
      </c>
      <c r="L120" s="2"/>
      <c r="M120" s="2"/>
      <c r="N120" s="2"/>
      <c r="O120" s="2"/>
      <c r="P120" s="2"/>
      <c r="Q120" s="2"/>
      <c r="R120" s="2"/>
      <c r="S120" s="2"/>
      <c r="T120" s="2"/>
      <c r="U120" s="2"/>
      <c r="V120" s="2"/>
      <c r="W120" s="2"/>
      <c r="X120" s="2"/>
      <c r="Y120" s="2"/>
      <c r="Z120" s="2"/>
      <c r="AA120" s="2"/>
      <c r="AB120" s="2"/>
      <c r="AC120" s="2"/>
    </row>
    <row r="121">
      <c r="A121" s="17">
        <v>120.0</v>
      </c>
      <c r="B121" s="18" t="s">
        <v>418</v>
      </c>
      <c r="C121" s="18" t="s">
        <v>419</v>
      </c>
      <c r="D121" s="18" t="s">
        <v>420</v>
      </c>
      <c r="E121" s="19"/>
      <c r="F121" s="2"/>
      <c r="G121" s="2"/>
      <c r="H121" s="7" t="str">
        <f>IFERROR(__xludf.DUMMYFUNCTION("GOOGLETRANSLATE(B121, ""en"", ""zh"")"),"蹴鞠在哪个时期曾被暂时禁赛？")</f>
        <v>蹴鞠在哪个时期曾被暂时禁赛？</v>
      </c>
      <c r="I121" s="7" t="str">
        <f>IFERROR(__xludf.DUMMYFUNCTION("GOOGLETRANSLATE(C121, ""en"", ""zh"")"),"A) 明朝某些时期 B) 汉朝 C) 唐朝 D) 宋朝")</f>
        <v>A) 明朝某些时期 B) 汉朝 C) 唐朝 D) 宋朝</v>
      </c>
      <c r="J121" s="7" t="str">
        <f>IFERROR(__xludf.DUMMYFUNCTION("GOOGLETRANSLATE(D121, ""en"", ""zh"")"),"A) 明朝某些时期")</f>
        <v>A) 明朝某些时期</v>
      </c>
      <c r="K121" s="7" t="str">
        <f>IFERROR(__xludf.DUMMYFUNCTION("GOOGLETRANSLATE(E121, ""en"", ""zh"")"),"#VALUE!")</f>
        <v>#VALUE!</v>
      </c>
      <c r="L121" s="2"/>
      <c r="M121" s="2"/>
      <c r="N121" s="2"/>
      <c r="O121" s="2"/>
      <c r="P121" s="2"/>
      <c r="Q121" s="2"/>
      <c r="R121" s="2"/>
      <c r="S121" s="2"/>
      <c r="T121" s="2"/>
      <c r="U121" s="2"/>
      <c r="V121" s="2"/>
      <c r="W121" s="2"/>
      <c r="X121" s="2"/>
      <c r="Y121" s="2"/>
      <c r="Z121" s="2"/>
      <c r="AA121" s="2"/>
      <c r="AB121" s="2"/>
      <c r="AC121" s="2"/>
    </row>
    <row r="122">
      <c r="A122" s="17">
        <v>121.0</v>
      </c>
      <c r="B122" s="18" t="s">
        <v>421</v>
      </c>
      <c r="C122" s="18" t="s">
        <v>422</v>
      </c>
      <c r="D122" s="18" t="s">
        <v>423</v>
      </c>
      <c r="E122" s="19"/>
      <c r="F122" s="2"/>
      <c r="G122" s="2"/>
      <c r="H122" s="7" t="str">
        <f>IFERROR(__xludf.DUMMYFUNCTION("GOOGLETRANSLATE(B122, ""en"", ""zh"")"),"貉是哪个机构的培训学员？")</f>
        <v>貉是哪个机构的培训学员？</v>
      </c>
      <c r="I122" s="7" t="str">
        <f>IFERROR(__xludf.DUMMYFUNCTION("GOOGLETRANSLATE(C122, ""en"", ""zh"")"),"A) 军事院校 B) 学校 C) 寺庙 D) 行会")</f>
        <v>A) 军事院校 B) 学校 C) 寺庙 D) 行会</v>
      </c>
      <c r="J122" s="7" t="str">
        <f>IFERROR(__xludf.DUMMYFUNCTION("GOOGLETRANSLATE(D122, ""en"", ""zh"")"),"A）军事院校")</f>
        <v>A）军事院校</v>
      </c>
      <c r="K122" s="7" t="str">
        <f>IFERROR(__xludf.DUMMYFUNCTION("GOOGLETRANSLATE(E122, ""en"", ""zh"")"),"#VALUE!")</f>
        <v>#VALUE!</v>
      </c>
      <c r="L122" s="2"/>
      <c r="M122" s="2"/>
      <c r="N122" s="2"/>
      <c r="O122" s="2"/>
      <c r="P122" s="2"/>
      <c r="Q122" s="2"/>
      <c r="R122" s="2"/>
      <c r="S122" s="2"/>
      <c r="T122" s="2"/>
      <c r="U122" s="2"/>
      <c r="V122" s="2"/>
      <c r="W122" s="2"/>
      <c r="X122" s="2"/>
      <c r="Y122" s="2"/>
      <c r="Z122" s="2"/>
      <c r="AA122" s="2"/>
      <c r="AB122" s="2"/>
      <c r="AC122" s="2"/>
    </row>
    <row r="123">
      <c r="A123" s="17">
        <v>122.0</v>
      </c>
      <c r="B123" s="18" t="s">
        <v>424</v>
      </c>
      <c r="C123" s="18" t="s">
        <v>425</v>
      </c>
      <c r="D123" s="18" t="s">
        <v>426</v>
      </c>
      <c r="E123" s="19"/>
      <c r="F123" s="2"/>
      <c r="G123" s="2"/>
      <c r="H123" s="7" t="str">
        <f>IFERROR(__xludf.DUMMYFUNCTION("GOOGLETRANSLATE(B123, ""en"", ""zh"")"),"蹴鞠是在哪个世纪传入欧洲的？")</f>
        <v>蹴鞠是在哪个世纪传入欧洲的？</v>
      </c>
      <c r="I123" s="7" t="str">
        <f>IFERROR(__xludf.DUMMYFUNCTION("GOOGLETRANSLATE(C123, ""en"", ""zh"")"),"A) 19世纪 B) 17世纪 C) 15世纪 D) 20世纪")</f>
        <v>A) 19世纪 B) 17世纪 C) 15世纪 D) 20世纪</v>
      </c>
      <c r="J123" s="7" t="str">
        <f>IFERROR(__xludf.DUMMYFUNCTION("GOOGLETRANSLATE(D123, ""en"", ""zh"")"),"A) 19世纪")</f>
        <v>A) 19世纪</v>
      </c>
      <c r="K123" s="7" t="str">
        <f>IFERROR(__xludf.DUMMYFUNCTION("GOOGLETRANSLATE(E123, ""en"", ""zh"")"),"#VALUE!")</f>
        <v>#VALUE!</v>
      </c>
      <c r="L123" s="2"/>
      <c r="M123" s="2"/>
      <c r="N123" s="2"/>
      <c r="O123" s="2"/>
      <c r="P123" s="2"/>
      <c r="Q123" s="2"/>
      <c r="R123" s="2"/>
      <c r="S123" s="2"/>
      <c r="T123" s="2"/>
      <c r="U123" s="2"/>
      <c r="V123" s="2"/>
      <c r="W123" s="2"/>
      <c r="X123" s="2"/>
      <c r="Y123" s="2"/>
      <c r="Z123" s="2"/>
      <c r="AA123" s="2"/>
      <c r="AB123" s="2"/>
      <c r="AC123" s="2"/>
    </row>
    <row r="124">
      <c r="A124" s="17">
        <v>123.0</v>
      </c>
      <c r="B124" s="18" t="s">
        <v>427</v>
      </c>
      <c r="C124" s="18" t="s">
        <v>428</v>
      </c>
      <c r="D124" s="18" t="s">
        <v>429</v>
      </c>
      <c r="E124" s="19"/>
      <c r="F124" s="2"/>
      <c r="G124" s="2"/>
      <c r="H124" s="7" t="str">
        <f>IFERROR(__xludf.DUMMYFUNCTION("GOOGLETRANSLATE(B124, ""en"", ""zh"")"),"蹴鞠有时会在哪些社交场合演奏？")</f>
        <v>蹴鞠有时会在哪些社交场合演奏？</v>
      </c>
      <c r="I124" s="7" t="str">
        <f>IFERROR(__xludf.DUMMYFUNCTION("GOOGLETRANSLATE(C124, ""en"", ""zh"")"),"A) 节日和皇家仪式 B) 仅限婚礼 C) 仅限丰收节 D) 仅限葬礼")</f>
        <v>A) 节日和皇家仪式 B) 仅限婚礼 C) 仅限丰收节 D) 仅限葬礼</v>
      </c>
      <c r="J124" s="7" t="str">
        <f>IFERROR(__xludf.DUMMYFUNCTION("GOOGLETRANSLATE(D124, ""en"", ""zh"")"),"A) 节日和皇家仪式")</f>
        <v>A) 节日和皇家仪式</v>
      </c>
      <c r="K124" s="7" t="str">
        <f>IFERROR(__xludf.DUMMYFUNCTION("GOOGLETRANSLATE(E124, ""en"", ""zh"")"),"#VALUE!")</f>
        <v>#VALUE!</v>
      </c>
      <c r="L124" s="2"/>
      <c r="M124" s="2"/>
      <c r="N124" s="2"/>
      <c r="O124" s="2"/>
      <c r="P124" s="2"/>
      <c r="Q124" s="2"/>
      <c r="R124" s="2"/>
      <c r="S124" s="2"/>
      <c r="T124" s="2"/>
      <c r="U124" s="2"/>
      <c r="V124" s="2"/>
      <c r="W124" s="2"/>
      <c r="X124" s="2"/>
      <c r="Y124" s="2"/>
      <c r="Z124" s="2"/>
      <c r="AA124" s="2"/>
      <c r="AB124" s="2"/>
      <c r="AC124" s="2"/>
    </row>
    <row r="125">
      <c r="A125" s="17">
        <v>124.0</v>
      </c>
      <c r="B125" s="18" t="s">
        <v>430</v>
      </c>
      <c r="C125" s="18" t="s">
        <v>431</v>
      </c>
      <c r="D125" s="18" t="s">
        <v>432</v>
      </c>
      <c r="E125" s="19"/>
      <c r="F125" s="2"/>
      <c r="G125" s="2"/>
      <c r="H125" s="7" t="str">
        <f>IFERROR(__xludf.DUMMYFUNCTION("GOOGLETRANSLATE(B125, ""en"", ""zh"")"),"蹴鞠被认为是一种可以提升哪些特质的方法？")</f>
        <v>蹴鞠被认为是一种可以提升哪些特质的方法？</v>
      </c>
      <c r="I125" s="7" t="str">
        <f>IFERROR(__xludf.DUMMYFUNCTION("GOOGLETRANSLATE(C125, ""en"", ""zh"")"),"A) 敏捷性、平衡性和协调性 B) 仅力量 C) 仅耐力 D) 仅速度")</f>
        <v>A) 敏捷性、平衡性和协调性 B) 仅力量 C) 仅耐力 D) 仅速度</v>
      </c>
      <c r="J125" s="7" t="str">
        <f>IFERROR(__xludf.DUMMYFUNCTION("GOOGLETRANSLATE(D125, ""en"", ""zh"")"),"A) 敏捷性、平衡性和协调性")</f>
        <v>A) 敏捷性、平衡性和协调性</v>
      </c>
      <c r="K125" s="7" t="str">
        <f>IFERROR(__xludf.DUMMYFUNCTION("GOOGLETRANSLATE(E125, ""en"", ""zh"")"),"#VALUE!")</f>
        <v>#VALUE!</v>
      </c>
      <c r="L125" s="2"/>
      <c r="M125" s="2"/>
      <c r="N125" s="2"/>
      <c r="O125" s="2"/>
      <c r="P125" s="2"/>
      <c r="Q125" s="2"/>
      <c r="R125" s="2"/>
      <c r="S125" s="2"/>
      <c r="T125" s="2"/>
      <c r="U125" s="2"/>
      <c r="V125" s="2"/>
      <c r="W125" s="2"/>
      <c r="X125" s="2"/>
      <c r="Y125" s="2"/>
      <c r="Z125" s="2"/>
      <c r="AA125" s="2"/>
      <c r="AB125" s="2"/>
      <c r="AC125" s="2"/>
    </row>
    <row r="126">
      <c r="A126" s="17">
        <v>125.0</v>
      </c>
      <c r="B126" s="18" t="s">
        <v>433</v>
      </c>
      <c r="C126" s="18" t="s">
        <v>434</v>
      </c>
      <c r="D126" s="18" t="s">
        <v>435</v>
      </c>
      <c r="E126" s="19"/>
      <c r="F126" s="2"/>
      <c r="G126" s="2"/>
      <c r="H126" s="7" t="str">
        <f>IFERROR(__xludf.DUMMYFUNCTION("GOOGLETRANSLATE(B126, ""en"", ""zh"")"),"蹴鞠插图见于哪些古代文献？")</f>
        <v>蹴鞠插图见于哪些古代文献？</v>
      </c>
      <c r="I126" s="7" t="str">
        <f>IFERROR(__xludf.DUMMYFUNCTION("GOOGLETRANSLATE(C126, ""en"", ""zh"")"),"A) 明代卷轴 B) 汉代手稿 C) 唐代绘画 D) 宋代文献")</f>
        <v>A) 明代卷轴 B) 汉代手稿 C) 唐代绘画 D) 宋代文献</v>
      </c>
      <c r="J126" s="7" t="str">
        <f>IFERROR(__xludf.DUMMYFUNCTION("GOOGLETRANSLATE(D126, ""en"", ""zh"")"),"C）唐代绘画")</f>
        <v>C）唐代绘画</v>
      </c>
      <c r="K126" s="7" t="str">
        <f>IFERROR(__xludf.DUMMYFUNCTION("GOOGLETRANSLATE(E126, ""en"", ""zh"")"),"#VALUE!")</f>
        <v>#VALUE!</v>
      </c>
      <c r="L126" s="2"/>
      <c r="M126" s="2"/>
      <c r="N126" s="2"/>
      <c r="O126" s="2"/>
      <c r="P126" s="2"/>
      <c r="Q126" s="2"/>
      <c r="R126" s="2"/>
      <c r="S126" s="2"/>
      <c r="T126" s="2"/>
      <c r="U126" s="2"/>
      <c r="V126" s="2"/>
      <c r="W126" s="2"/>
      <c r="X126" s="2"/>
      <c r="Y126" s="2"/>
      <c r="Z126" s="2"/>
      <c r="AA126" s="2"/>
      <c r="AB126" s="2"/>
      <c r="AC126" s="2"/>
    </row>
    <row r="127">
      <c r="A127" s="17">
        <v>126.0</v>
      </c>
      <c r="B127" s="18" t="s">
        <v>436</v>
      </c>
      <c r="C127" s="18" t="s">
        <v>437</v>
      </c>
      <c r="D127" s="18" t="s">
        <v>438</v>
      </c>
      <c r="E127" s="19"/>
      <c r="F127" s="2"/>
      <c r="G127" s="2"/>
      <c r="H127" s="7" t="str">
        <f>IFERROR(__xludf.DUMMYFUNCTION("GOOGLETRANSLATE(B127, ""en"", ""zh"")"),"蹴鞠比赛的评判标准是什么？")</f>
        <v>蹴鞠比赛的评判标准是什么？</v>
      </c>
      <c r="I127" s="7" t="str">
        <f>IFERROR(__xludf.DUMMYFUNCTION("GOOGLETRANSLATE(C127, ""en"", ""zh"")"),"A) 准确性和技巧 B) 仅速度 C) 仅风格 D) 仅力量")</f>
        <v>A) 准确性和技巧 B) 仅速度 C) 仅风格 D) 仅力量</v>
      </c>
      <c r="J127" s="7" t="str">
        <f>IFERROR(__xludf.DUMMYFUNCTION("GOOGLETRANSLATE(D127, ""en"", ""zh"")"),"A) 准确性和技巧")</f>
        <v>A) 准确性和技巧</v>
      </c>
      <c r="K127" s="7" t="str">
        <f>IFERROR(__xludf.DUMMYFUNCTION("GOOGLETRANSLATE(E127, ""en"", ""zh"")"),"#VALUE!")</f>
        <v>#VALUE!</v>
      </c>
      <c r="L127" s="2"/>
      <c r="M127" s="2"/>
      <c r="N127" s="2"/>
      <c r="O127" s="2"/>
      <c r="P127" s="2"/>
      <c r="Q127" s="2"/>
      <c r="R127" s="2"/>
      <c r="S127" s="2"/>
      <c r="T127" s="2"/>
      <c r="U127" s="2"/>
      <c r="V127" s="2"/>
      <c r="W127" s="2"/>
      <c r="X127" s="2"/>
      <c r="Y127" s="2"/>
      <c r="Z127" s="2"/>
      <c r="AA127" s="2"/>
      <c r="AB127" s="2"/>
      <c r="AC127" s="2"/>
    </row>
    <row r="128">
      <c r="A128" s="17">
        <v>127.0</v>
      </c>
      <c r="B128" s="18" t="s">
        <v>439</v>
      </c>
      <c r="C128" s="18" t="s">
        <v>440</v>
      </c>
      <c r="D128" s="18" t="s">
        <v>441</v>
      </c>
      <c r="E128" s="19"/>
      <c r="F128" s="2"/>
      <c r="G128" s="2"/>
      <c r="H128" s="7" t="str">
        <f>IFERROR(__xludf.DUMMYFUNCTION("GOOGLETRANSLATE(B128, ""en"", ""zh"")"),"蹴鞠涉及哪种踢法？")</f>
        <v>蹴鞠涉及哪种踢法？</v>
      </c>
      <c r="I128" s="7" t="str">
        <f>IFERROR(__xludf.DUMMYFUNCTION("GOOGLETRANSLATE(C128, ""en"", ""zh"")"),"A) 仅用脚踢 B) 用手踢 C) 用头踢 D) 用膝击")</f>
        <v>A) 仅用脚踢 B) 用手踢 C) 用头踢 D) 用膝击</v>
      </c>
      <c r="J128" s="7" t="str">
        <f>IFERROR(__xludf.DUMMYFUNCTION("GOOGLETRANSLATE(D128, ""en"", ""zh"")"),"A) 仅限脚部")</f>
        <v>A) 仅限脚部</v>
      </c>
      <c r="K128" s="7" t="str">
        <f>IFERROR(__xludf.DUMMYFUNCTION("GOOGLETRANSLATE(E128, ""en"", ""zh"")"),"#VALUE!")</f>
        <v>#VALUE!</v>
      </c>
      <c r="L128" s="2"/>
      <c r="M128" s="2"/>
      <c r="N128" s="2"/>
      <c r="O128" s="2"/>
      <c r="P128" s="2"/>
      <c r="Q128" s="2"/>
      <c r="R128" s="2"/>
      <c r="S128" s="2"/>
      <c r="T128" s="2"/>
      <c r="U128" s="2"/>
      <c r="V128" s="2"/>
      <c r="W128" s="2"/>
      <c r="X128" s="2"/>
      <c r="Y128" s="2"/>
      <c r="Z128" s="2"/>
      <c r="AA128" s="2"/>
      <c r="AB128" s="2"/>
      <c r="AC128" s="2"/>
    </row>
    <row r="129">
      <c r="A129" s="17">
        <v>128.0</v>
      </c>
      <c r="B129" s="18" t="s">
        <v>442</v>
      </c>
      <c r="C129" s="18" t="s">
        <v>443</v>
      </c>
      <c r="D129" s="18" t="s">
        <v>444</v>
      </c>
      <c r="E129" s="19"/>
      <c r="F129" s="2"/>
      <c r="G129" s="2"/>
      <c r="H129" s="7" t="str">
        <f>IFERROR(__xludf.DUMMYFUNCTION("GOOGLETRANSLATE(B129, ""en"", ""zh"")"),"蹴鞠帮助士兵为哪种类型的战斗场景做好准备？")</f>
        <v>蹴鞠帮助士兵为哪种类型的战斗场景做好准备？</v>
      </c>
      <c r="I129" s="7" t="str">
        <f>IFERROR(__xludf.DUMMYFUNCTION("GOOGLETRANSLATE(C129, ""en"", ""zh"")"),"A) 步兵作战 B) 骑射 C) 攻城战 D) 海战")</f>
        <v>A) 步兵作战 B) 骑射 C) 攻城战 D) 海战</v>
      </c>
      <c r="J129" s="7" t="str">
        <f>IFERROR(__xludf.DUMMYFUNCTION("GOOGLETRANSLATE(D129, ""en"", ""zh"")"),"A) 步兵战斗")</f>
        <v>A) 步兵战斗</v>
      </c>
      <c r="K129" s="7" t="str">
        <f>IFERROR(__xludf.DUMMYFUNCTION("GOOGLETRANSLATE(E129, ""en"", ""zh"")"),"#VALUE!")</f>
        <v>#VALUE!</v>
      </c>
      <c r="L129" s="2"/>
      <c r="M129" s="2"/>
      <c r="N129" s="2"/>
      <c r="O129" s="2"/>
      <c r="P129" s="2"/>
      <c r="Q129" s="2"/>
      <c r="R129" s="2"/>
      <c r="S129" s="2"/>
      <c r="T129" s="2"/>
      <c r="U129" s="2"/>
      <c r="V129" s="2"/>
      <c r="W129" s="2"/>
      <c r="X129" s="2"/>
      <c r="Y129" s="2"/>
      <c r="Z129" s="2"/>
      <c r="AA129" s="2"/>
      <c r="AB129" s="2"/>
      <c r="AC129" s="2"/>
    </row>
    <row r="130">
      <c r="A130" s="17">
        <v>129.0</v>
      </c>
      <c r="B130" s="18" t="s">
        <v>445</v>
      </c>
      <c r="C130" s="18" t="s">
        <v>446</v>
      </c>
      <c r="D130" s="18" t="s">
        <v>447</v>
      </c>
      <c r="E130" s="19"/>
      <c r="F130" s="2"/>
      <c r="G130" s="2"/>
      <c r="H130" s="7" t="str">
        <f>IFERROR(__xludf.DUMMYFUNCTION("GOOGLETRANSLATE(B130, ""en"", ""zh"")"),"蹴鞠球是用什么材料充气的？")</f>
        <v>蹴鞠球是用什么材料充气的？</v>
      </c>
      <c r="I130" s="7" t="str">
        <f>IFERROR(__xludf.DUMMYFUNCTION("GOOGLETRANSLATE(C130, ""en"", ""zh"")"),"A) 空气或羽毛 B) 水 C) 沙子 D) 布料")</f>
        <v>A) 空气或羽毛 B) 水 C) 沙子 D) 布料</v>
      </c>
      <c r="J130" s="7" t="str">
        <f>IFERROR(__xludf.DUMMYFUNCTION("GOOGLETRANSLATE(D130, ""en"", ""zh"")"),"A) 空气或羽毛")</f>
        <v>A) 空气或羽毛</v>
      </c>
      <c r="K130" s="7" t="str">
        <f>IFERROR(__xludf.DUMMYFUNCTION("GOOGLETRANSLATE(E130, ""en"", ""zh"")"),"#VALUE!")</f>
        <v>#VALUE!</v>
      </c>
      <c r="L130" s="2"/>
      <c r="M130" s="2"/>
      <c r="N130" s="2"/>
      <c r="O130" s="2"/>
      <c r="P130" s="2"/>
      <c r="Q130" s="2"/>
      <c r="R130" s="2"/>
      <c r="S130" s="2"/>
      <c r="T130" s="2"/>
      <c r="U130" s="2"/>
      <c r="V130" s="2"/>
      <c r="W130" s="2"/>
      <c r="X130" s="2"/>
      <c r="Y130" s="2"/>
      <c r="Z130" s="2"/>
      <c r="AA130" s="2"/>
      <c r="AB130" s="2"/>
      <c r="AC130" s="2"/>
    </row>
    <row r="131">
      <c r="A131" s="17">
        <v>130.0</v>
      </c>
      <c r="B131" s="18" t="s">
        <v>448</v>
      </c>
      <c r="C131" s="18" t="s">
        <v>449</v>
      </c>
      <c r="D131" s="18" t="s">
        <v>450</v>
      </c>
      <c r="E131" s="19"/>
      <c r="F131" s="2"/>
      <c r="G131" s="2"/>
      <c r="H131" s="7" t="str">
        <f>IFERROR(__xludf.DUMMYFUNCTION("GOOGLETRANSLATE(B131, ""en"", ""zh"")"),"蹴鞠既被认为是一种娱乐活动，又是什么呢？")</f>
        <v>蹴鞠既被认为是一种娱乐活动，又是什么呢？</v>
      </c>
      <c r="I131" s="7" t="str">
        <f>IFERROR(__xludf.DUMMYFUNCTION("GOOGLETRANSLATE(C131, ""en"", ""zh"")"),"A) 战争训练 B) 宗教仪式 C) 赌博 D) 狩猎")</f>
        <v>A) 战争训练 B) 宗教仪式 C) 赌博 D) 狩猎</v>
      </c>
      <c r="J131" s="7" t="str">
        <f>IFERROR(__xludf.DUMMYFUNCTION("GOOGLETRANSLATE(D131, ""en"", ""zh"")"),"A) 战争训练")</f>
        <v>A) 战争训练</v>
      </c>
      <c r="K131" s="7" t="str">
        <f>IFERROR(__xludf.DUMMYFUNCTION("GOOGLETRANSLATE(E131, ""en"", ""zh"")"),"#VALUE!")</f>
        <v>#VALUE!</v>
      </c>
      <c r="L131" s="2"/>
      <c r="M131" s="2"/>
      <c r="N131" s="2"/>
      <c r="O131" s="2"/>
      <c r="P131" s="2"/>
      <c r="Q131" s="2"/>
      <c r="R131" s="2"/>
      <c r="S131" s="2"/>
      <c r="T131" s="2"/>
      <c r="U131" s="2"/>
      <c r="V131" s="2"/>
      <c r="W131" s="2"/>
      <c r="X131" s="2"/>
      <c r="Y131" s="2"/>
      <c r="Z131" s="2"/>
      <c r="AA131" s="2"/>
      <c r="AB131" s="2"/>
      <c r="AC131" s="2"/>
    </row>
    <row r="132">
      <c r="A132" s="17">
        <v>131.0</v>
      </c>
      <c r="B132" s="18" t="s">
        <v>451</v>
      </c>
      <c r="C132" s="18" t="s">
        <v>452</v>
      </c>
      <c r="D132" s="18" t="s">
        <v>453</v>
      </c>
      <c r="E132" s="19"/>
      <c r="F132" s="2"/>
      <c r="G132" s="2"/>
      <c r="H132" s="7" t="str">
        <f>IFERROR(__xludf.DUMMYFUNCTION("GOOGLETRANSLATE(B132, ""en"", ""zh"")"),"蹴鞠训练最强调的是什么素质？")</f>
        <v>蹴鞠训练最强调的是什么素质？</v>
      </c>
      <c r="I132" s="7" t="str">
        <f>IFERROR(__xludf.DUMMYFUNCTION("GOOGLETRANSLATE(C132, ""en"", ""zh"")"),"A) 精准度和步法 B) 仅力量 C) 仅速度 D) 仅柔韧性")</f>
        <v>A) 精准度和步法 B) 仅力量 C) 仅速度 D) 仅柔韧性</v>
      </c>
      <c r="J132" s="7" t="str">
        <f>IFERROR(__xludf.DUMMYFUNCTION("GOOGLETRANSLATE(D132, ""en"", ""zh"")"),"A) 准确性和步法")</f>
        <v>A) 准确性和步法</v>
      </c>
      <c r="K132" s="7" t="str">
        <f>IFERROR(__xludf.DUMMYFUNCTION("GOOGLETRANSLATE(E132, ""en"", ""zh"")"),"#VALUE!")</f>
        <v>#VALUE!</v>
      </c>
      <c r="L132" s="2"/>
      <c r="M132" s="2"/>
      <c r="N132" s="2"/>
      <c r="O132" s="2"/>
      <c r="P132" s="2"/>
      <c r="Q132" s="2"/>
      <c r="R132" s="2"/>
      <c r="S132" s="2"/>
      <c r="T132" s="2"/>
      <c r="U132" s="2"/>
      <c r="V132" s="2"/>
      <c r="W132" s="2"/>
      <c r="X132" s="2"/>
      <c r="Y132" s="2"/>
      <c r="Z132" s="2"/>
      <c r="AA132" s="2"/>
      <c r="AB132" s="2"/>
      <c r="AC132" s="2"/>
    </row>
    <row r="133">
      <c r="A133" s="17">
        <v>132.0</v>
      </c>
      <c r="B133" s="18" t="s">
        <v>454</v>
      </c>
      <c r="C133" s="18" t="s">
        <v>455</v>
      </c>
      <c r="D133" s="18" t="s">
        <v>456</v>
      </c>
      <c r="E133" s="19"/>
      <c r="F133" s="2"/>
      <c r="G133" s="2"/>
      <c r="H133" s="7" t="str">
        <f>IFERROR(__xludf.DUMMYFUNCTION("GOOGLETRANSLATE(B133, ""en"", ""zh"")"),"蹴鞠最终影响了哪项日本运动？")</f>
        <v>蹴鞠最终影响了哪项日本运动？</v>
      </c>
      <c r="I133" s="7" t="str">
        <f>IFERROR(__xludf.DUMMYFUNCTION("GOOGLETRANSLATE(C133, ""en"", ""zh"")"),"A) Kemari B) 相扑 C) 剑道 D) 空手道")</f>
        <v>A) Kemari B) 相扑 C) 剑道 D) 空手道</v>
      </c>
      <c r="J133" s="7" t="str">
        <f>IFERROR(__xludf.DUMMYFUNCTION("GOOGLETRANSLATE(D133, ""en"", ""zh"")"),"A) 菖蒲")</f>
        <v>A) 菖蒲</v>
      </c>
      <c r="K133" s="7" t="str">
        <f>IFERROR(__xludf.DUMMYFUNCTION("GOOGLETRANSLATE(E133, ""en"", ""zh"")"),"#VALUE!")</f>
        <v>#VALUE!</v>
      </c>
      <c r="L133" s="2"/>
      <c r="M133" s="2"/>
      <c r="N133" s="2"/>
      <c r="O133" s="2"/>
      <c r="P133" s="2"/>
      <c r="Q133" s="2"/>
      <c r="R133" s="2"/>
      <c r="S133" s="2"/>
      <c r="T133" s="2"/>
      <c r="U133" s="2"/>
      <c r="V133" s="2"/>
      <c r="W133" s="2"/>
      <c r="X133" s="2"/>
      <c r="Y133" s="2"/>
      <c r="Z133" s="2"/>
      <c r="AA133" s="2"/>
      <c r="AB133" s="2"/>
      <c r="AC133" s="2"/>
    </row>
    <row r="134">
      <c r="A134" s="17">
        <v>133.0</v>
      </c>
      <c r="B134" s="18" t="s">
        <v>457</v>
      </c>
      <c r="C134" s="18" t="s">
        <v>458</v>
      </c>
      <c r="D134" s="18" t="s">
        <v>459</v>
      </c>
      <c r="E134" s="19"/>
      <c r="F134" s="2"/>
      <c r="G134" s="2"/>
      <c r="H134" s="7" t="str">
        <f>IFERROR(__xludf.DUMMYFUNCTION("GOOGLETRANSLATE(B134, ""en"", ""zh"")"),"历史上蹴鞠比赛是由谁组织的？")</f>
        <v>历史上蹴鞠比赛是由谁组织的？</v>
      </c>
      <c r="I134" s="7" t="str">
        <f>IFERROR(__xludf.DUMMYFUNCTION("GOOGLETRANSLATE(C134, ""en"", ""zh"")"),"A) 皇家宫廷和地方官员 B) 仅限士兵 C) 仅限农民 D) 仅限僧侣")</f>
        <v>A) 皇家宫廷和地方官员 B) 仅限士兵 C) 仅限农民 D) 仅限僧侣</v>
      </c>
      <c r="J134" s="7" t="str">
        <f>IFERROR(__xludf.DUMMYFUNCTION("GOOGLETRANSLATE(D134, ""en"", ""zh"")"),"A) 皇家宫廷和地方官员")</f>
        <v>A) 皇家宫廷和地方官员</v>
      </c>
      <c r="K134" s="7" t="str">
        <f>IFERROR(__xludf.DUMMYFUNCTION("GOOGLETRANSLATE(E134, ""en"", ""zh"")"),"#VALUE!")</f>
        <v>#VALUE!</v>
      </c>
      <c r="L134" s="2"/>
      <c r="M134" s="2"/>
      <c r="N134" s="2"/>
      <c r="O134" s="2"/>
      <c r="P134" s="2"/>
      <c r="Q134" s="2"/>
      <c r="R134" s="2"/>
      <c r="S134" s="2"/>
      <c r="T134" s="2"/>
      <c r="U134" s="2"/>
      <c r="V134" s="2"/>
      <c r="W134" s="2"/>
      <c r="X134" s="2"/>
      <c r="Y134" s="2"/>
      <c r="Z134" s="2"/>
      <c r="AA134" s="2"/>
      <c r="AB134" s="2"/>
      <c r="AC134" s="2"/>
    </row>
    <row r="135">
      <c r="A135" s="17">
        <v>134.0</v>
      </c>
      <c r="B135" s="18" t="s">
        <v>460</v>
      </c>
      <c r="C135" s="18" t="s">
        <v>461</v>
      </c>
      <c r="D135" s="18" t="s">
        <v>462</v>
      </c>
      <c r="E135" s="19"/>
      <c r="F135" s="2"/>
      <c r="G135" s="2"/>
      <c r="H135" s="7" t="str">
        <f>IFERROR(__xludf.DUMMYFUNCTION("GOOGLETRANSLATE(B135, ""en"", ""zh"")"),"蹴鞠球有时带有流苏或标记，其用途是什么？")</f>
        <v>蹴鞠球有时带有流苏或标记，其用途是什么？</v>
      </c>
      <c r="I135" s="7" t="str">
        <f>IFERROR(__xludf.DUMMYFUNCTION("GOOGLETRANSLATE(C135, ""en"", ""zh"")"),"A) 可见性和装饰性 B) 仅速度 C) 重量 D) 平衡性")</f>
        <v>A) 可见性和装饰性 B) 仅速度 C) 重量 D) 平衡性</v>
      </c>
      <c r="J135" s="7" t="str">
        <f>IFERROR(__xludf.DUMMYFUNCTION("GOOGLETRANSLATE(D135, ""en"", ""zh"")"),"A) 可见性和装饰性")</f>
        <v>A) 可见性和装饰性</v>
      </c>
      <c r="K135" s="7" t="str">
        <f>IFERROR(__xludf.DUMMYFUNCTION("GOOGLETRANSLATE(E135, ""en"", ""zh"")"),"#VALUE!")</f>
        <v>#VALUE!</v>
      </c>
      <c r="L135" s="2"/>
      <c r="M135" s="2"/>
      <c r="N135" s="2"/>
      <c r="O135" s="2"/>
      <c r="P135" s="2"/>
      <c r="Q135" s="2"/>
      <c r="R135" s="2"/>
      <c r="S135" s="2"/>
      <c r="T135" s="2"/>
      <c r="U135" s="2"/>
      <c r="V135" s="2"/>
      <c r="W135" s="2"/>
      <c r="X135" s="2"/>
      <c r="Y135" s="2"/>
      <c r="Z135" s="2"/>
      <c r="AA135" s="2"/>
      <c r="AB135" s="2"/>
      <c r="AC135" s="2"/>
    </row>
    <row r="136">
      <c r="A136" s="17">
        <v>135.0</v>
      </c>
      <c r="B136" s="18" t="s">
        <v>463</v>
      </c>
      <c r="C136" s="18" t="s">
        <v>464</v>
      </c>
      <c r="D136" s="18" t="s">
        <v>465</v>
      </c>
      <c r="E136" s="19"/>
      <c r="F136" s="2"/>
      <c r="G136" s="2"/>
      <c r="H136" s="7" t="str">
        <f>IFERROR(__xludf.DUMMYFUNCTION("GOOGLETRANSLATE(B136, ""en"", ""zh"")"),"蹴鞠在近代因其历史价值而被哪个组织认可？")</f>
        <v>蹴鞠在近代因其历史价值而被哪个组织认可？</v>
      </c>
      <c r="I136" s="7" t="str">
        <f>IFERROR(__xludf.DUMMYFUNCTION("GOOGLETRANSLATE(C136, ""en"", ""zh"")"),"A) 国际足联 B) 国际奥委会 C) 联合国教科文组织 D) 中国奥委会")</f>
        <v>A) 国际足联 B) 国际奥委会 C) 联合国教科文组织 D) 中国奥委会</v>
      </c>
      <c r="J136" s="7" t="str">
        <f>IFERROR(__xludf.DUMMYFUNCTION("GOOGLETRANSLATE(D136, ""en"", ""zh"")"),"C) 联合国教科文组织")</f>
        <v>C) 联合国教科文组织</v>
      </c>
      <c r="K136" s="7" t="str">
        <f>IFERROR(__xludf.DUMMYFUNCTION("GOOGLETRANSLATE(E136, ""en"", ""zh"")"),"#VALUE!")</f>
        <v>#VALUE!</v>
      </c>
      <c r="L136" s="2"/>
      <c r="M136" s="2"/>
      <c r="N136" s="2"/>
      <c r="O136" s="2"/>
      <c r="P136" s="2"/>
      <c r="Q136" s="2"/>
      <c r="R136" s="2"/>
      <c r="S136" s="2"/>
      <c r="T136" s="2"/>
      <c r="U136" s="2"/>
      <c r="V136" s="2"/>
      <c r="W136" s="2"/>
      <c r="X136" s="2"/>
      <c r="Y136" s="2"/>
      <c r="Z136" s="2"/>
      <c r="AA136" s="2"/>
      <c r="AB136" s="2"/>
      <c r="AC136" s="2"/>
    </row>
    <row r="137">
      <c r="A137" s="6">
        <v>136.0</v>
      </c>
      <c r="B137" s="18" t="s">
        <v>466</v>
      </c>
      <c r="C137" s="18" t="s">
        <v>467</v>
      </c>
      <c r="D137" s="18" t="s">
        <v>468</v>
      </c>
      <c r="E137" s="19"/>
      <c r="F137" s="2"/>
      <c r="G137" s="2"/>
      <c r="H137" s="7" t="str">
        <f>IFERROR(__xludf.DUMMYFUNCTION("GOOGLETRANSLATE(B137, ""en"", ""zh"")"),"蹴鞠训练有助于培养哪种心理技能？")</f>
        <v>蹴鞠训练有助于培养哪种心理技能？</v>
      </c>
      <c r="I137" s="7" t="str">
        <f>IFERROR(__xludf.DUMMYFUNCTION("GOOGLETRANSLATE(C137, ""en"", ""zh"")"),"A) 战略思维 B) 记忆 C) 计算 D) 冥想")</f>
        <v>A) 战略思维 B) 记忆 C) 计算 D) 冥想</v>
      </c>
      <c r="J137" s="7" t="str">
        <f>IFERROR(__xludf.DUMMYFUNCTION("GOOGLETRANSLATE(D137, ""en"", ""zh"")"),"A) 战略思维")</f>
        <v>A) 战略思维</v>
      </c>
      <c r="K137" s="7" t="str">
        <f>IFERROR(__xludf.DUMMYFUNCTION("GOOGLETRANSLATE(E137, ""en"", ""zh"")"),"#VALUE!")</f>
        <v>#VALUE!</v>
      </c>
      <c r="L137" s="2"/>
      <c r="M137" s="2"/>
      <c r="N137" s="2"/>
      <c r="O137" s="2"/>
      <c r="P137" s="2"/>
      <c r="Q137" s="2"/>
      <c r="R137" s="2"/>
      <c r="S137" s="2"/>
      <c r="T137" s="2"/>
      <c r="U137" s="2"/>
      <c r="V137" s="2"/>
      <c r="W137" s="2"/>
      <c r="X137" s="2"/>
      <c r="Y137" s="2"/>
      <c r="Z137" s="2"/>
      <c r="AA137" s="2"/>
      <c r="AB137" s="2"/>
      <c r="AC137" s="2"/>
    </row>
    <row r="138">
      <c r="A138" s="6">
        <v>137.0</v>
      </c>
      <c r="B138" s="18" t="s">
        <v>469</v>
      </c>
      <c r="C138" s="18" t="s">
        <v>470</v>
      </c>
      <c r="D138" s="18" t="s">
        <v>471</v>
      </c>
      <c r="E138" s="19"/>
      <c r="F138" s="2"/>
      <c r="G138" s="2"/>
      <c r="H138" s="7" t="str">
        <f>IFERROR(__xludf.DUMMYFUNCTION("GOOGLETRANSLATE(B138, ""en"", ""zh"")"),"蹴鞠比赛可能采用哪种得分方式？")</f>
        <v>蹴鞠比赛可能采用哪种得分方式？</v>
      </c>
      <c r="I138" s="7" t="str">
        <f>IFERROR(__xludf.DUMMYFUNCTION("GOOGLETRANSLATE(C138, ""en"", ""zh"")"),"A) 准确度评分 B) 时长评分 C) 踢腿次数评分 D) 观众评分")</f>
        <v>A) 准确度评分 B) 时长评分 C) 踢腿次数评分 D) 观众评分</v>
      </c>
      <c r="J138" s="7" t="str">
        <f>IFERROR(__xludf.DUMMYFUNCTION("GOOGLETRANSLATE(D138, ""en"", ""zh"")"),"A) 准确度评分")</f>
        <v>A) 准确度评分</v>
      </c>
      <c r="K138" s="7" t="str">
        <f>IFERROR(__xludf.DUMMYFUNCTION("GOOGLETRANSLATE(E138, ""en"", ""zh"")"),"#VALUE!")</f>
        <v>#VALUE!</v>
      </c>
      <c r="L138" s="2"/>
      <c r="M138" s="2"/>
      <c r="N138" s="2"/>
      <c r="O138" s="2"/>
      <c r="P138" s="2"/>
      <c r="Q138" s="2"/>
      <c r="R138" s="2"/>
      <c r="S138" s="2"/>
      <c r="T138" s="2"/>
      <c r="U138" s="2"/>
      <c r="V138" s="2"/>
      <c r="W138" s="2"/>
      <c r="X138" s="2"/>
      <c r="Y138" s="2"/>
      <c r="Z138" s="2"/>
      <c r="AA138" s="2"/>
      <c r="AB138" s="2"/>
      <c r="AC138" s="2"/>
    </row>
    <row r="139">
      <c r="A139" s="6">
        <v>138.0</v>
      </c>
      <c r="B139" s="18" t="s">
        <v>472</v>
      </c>
      <c r="C139" s="18" t="s">
        <v>473</v>
      </c>
      <c r="D139" s="18" t="s">
        <v>474</v>
      </c>
      <c r="E139" s="19"/>
      <c r="F139" s="2"/>
      <c r="G139" s="2"/>
      <c r="H139" s="7" t="str">
        <f>IFERROR(__xludf.DUMMYFUNCTION("GOOGLETRANSLATE(B139, ""en"", ""zh"")"),"蹴鞠如今在哪些文化媒介中被描绘？")</f>
        <v>蹴鞠如今在哪些文化媒介中被描绘？</v>
      </c>
      <c r="I139" s="7" t="str">
        <f>IFERROR(__xludf.DUMMYFUNCTION("GOOGLETRANSLATE(C139, ""en"", ""zh"")"),"A) 博物馆和美术馆 B) 电视 C) 仅限书籍 D) 街头表演")</f>
        <v>A) 博物馆和美术馆 B) 电视 C) 仅限书籍 D) 街头表演</v>
      </c>
      <c r="J139" s="7" t="str">
        <f>IFERROR(__xludf.DUMMYFUNCTION("GOOGLETRANSLATE(D139, ""en"", ""zh"")"),"A) 博物馆和美术馆")</f>
        <v>A) 博物馆和美术馆</v>
      </c>
      <c r="K139" s="7" t="str">
        <f>IFERROR(__xludf.DUMMYFUNCTION("GOOGLETRANSLATE(E139, ""en"", ""zh"")"),"#VALUE!")</f>
        <v>#VALUE!</v>
      </c>
      <c r="L139" s="2"/>
      <c r="M139" s="2"/>
      <c r="N139" s="2"/>
      <c r="O139" s="2"/>
      <c r="P139" s="2"/>
      <c r="Q139" s="2"/>
      <c r="R139" s="2"/>
      <c r="S139" s="2"/>
      <c r="T139" s="2"/>
      <c r="U139" s="2"/>
      <c r="V139" s="2"/>
      <c r="W139" s="2"/>
      <c r="X139" s="2"/>
      <c r="Y139" s="2"/>
      <c r="Z139" s="2"/>
      <c r="AA139" s="2"/>
      <c r="AB139" s="2"/>
      <c r="AC139" s="2"/>
    </row>
    <row r="140">
      <c r="A140" s="6">
        <v>139.0</v>
      </c>
      <c r="B140" s="18" t="s">
        <v>475</v>
      </c>
      <c r="C140" s="18" t="s">
        <v>476</v>
      </c>
      <c r="D140" s="18" t="s">
        <v>477</v>
      </c>
      <c r="E140" s="19"/>
      <c r="F140" s="2"/>
      <c r="G140" s="2"/>
      <c r="H140" s="7" t="str">
        <f>IFERROR(__xludf.DUMMYFUNCTION("GOOGLETRANSLATE(B140, ""en"", ""zh"")"),"貉对足球的影响主要体现在哪个方面？")</f>
        <v>貉对足球的影响主要体现在哪个方面？</v>
      </c>
      <c r="I140" s="7" t="str">
        <f>IFERROR(__xludf.DUMMYFUNCTION("GOOGLETRANSLATE(C140, ""en"", ""zh"")"),"A) 踢球技巧和控球能力 B) 跑动能力 C) 球队规模 D) 球门设计")</f>
        <v>A) 踢球技巧和控球能力 B) 跑动能力 C) 球队规模 D) 球门设计</v>
      </c>
      <c r="J140" s="7" t="str">
        <f>IFERROR(__xludf.DUMMYFUNCTION("GOOGLETRANSLATE(D140, ""en"", ""zh"")"),"A) 踢球技巧和控球能力")</f>
        <v>A) 踢球技巧和控球能力</v>
      </c>
      <c r="K140" s="7" t="str">
        <f>IFERROR(__xludf.DUMMYFUNCTION("GOOGLETRANSLATE(E140, ""en"", ""zh"")"),"#VALUE!")</f>
        <v>#VALUE!</v>
      </c>
      <c r="L140" s="2"/>
      <c r="M140" s="2"/>
      <c r="N140" s="2"/>
      <c r="O140" s="2"/>
      <c r="P140" s="2"/>
      <c r="Q140" s="2"/>
      <c r="R140" s="2"/>
      <c r="S140" s="2"/>
      <c r="T140" s="2"/>
      <c r="U140" s="2"/>
      <c r="V140" s="2"/>
      <c r="W140" s="2"/>
      <c r="X140" s="2"/>
      <c r="Y140" s="2"/>
      <c r="Z140" s="2"/>
      <c r="AA140" s="2"/>
      <c r="AB140" s="2"/>
      <c r="AC140" s="2"/>
    </row>
    <row r="141">
      <c r="A141" s="6">
        <v>140.0</v>
      </c>
      <c r="B141" s="18" t="s">
        <v>478</v>
      </c>
      <c r="C141" s="18" t="s">
        <v>479</v>
      </c>
      <c r="D141" s="18" t="s">
        <v>480</v>
      </c>
      <c r="E141" s="19"/>
      <c r="F141" s="2"/>
      <c r="G141" s="2"/>
      <c r="H141" s="7" t="str">
        <f>IFERROR(__xludf.DUMMYFUNCTION("GOOGLETRANSLATE(B141, ""en"", ""zh"")"),"蹴鞠在历史上是单人游戏还是团队游戏？")</f>
        <v>蹴鞠在历史上是单人游戏还是团队游戏？</v>
      </c>
      <c r="I141" s="7" t="str">
        <f>IFERROR(__xludf.DUMMYFUNCTION("GOOGLETRANSLATE(C141, ""en"", ""zh"")"),"A) 团队游戏 B) 单人游戏 C) 个人对决 D) 小团体游戏")</f>
        <v>A) 团队游戏 B) 单人游戏 C) 个人对决 D) 小团体游戏</v>
      </c>
      <c r="J141" s="7" t="str">
        <f>IFERROR(__xludf.DUMMYFUNCTION("GOOGLETRANSLATE(D141, ""en"", ""zh"")"),"A) 团队游戏")</f>
        <v>A) 团队游戏</v>
      </c>
      <c r="K141" s="7" t="str">
        <f>IFERROR(__xludf.DUMMYFUNCTION("GOOGLETRANSLATE(E141, ""en"", ""zh"")"),"#VALUE!")</f>
        <v>#VALUE!</v>
      </c>
      <c r="L141" s="2"/>
      <c r="M141" s="2"/>
      <c r="N141" s="2"/>
      <c r="O141" s="2"/>
      <c r="P141" s="2"/>
      <c r="Q141" s="2"/>
      <c r="R141" s="2"/>
      <c r="S141" s="2"/>
      <c r="T141" s="2"/>
      <c r="U141" s="2"/>
      <c r="V141" s="2"/>
      <c r="W141" s="2"/>
      <c r="X141" s="2"/>
      <c r="Y141" s="2"/>
      <c r="Z141" s="2"/>
      <c r="AA141" s="2"/>
      <c r="AB141" s="2"/>
      <c r="AC141" s="2"/>
    </row>
    <row r="142">
      <c r="A142" s="6">
        <v>141.0</v>
      </c>
      <c r="B142" s="18" t="s">
        <v>481</v>
      </c>
      <c r="C142" s="18" t="s">
        <v>482</v>
      </c>
      <c r="D142" s="18" t="s">
        <v>483</v>
      </c>
      <c r="E142" s="19"/>
      <c r="F142" s="2"/>
      <c r="G142" s="2"/>
      <c r="H142" s="7" t="str">
        <f>IFERROR(__xludf.DUMMYFUNCTION("GOOGLETRANSLATE(B142, ""en"", ""zh"")"),"蹴鞠球是用什么材料修复的？")</f>
        <v>蹴鞠球是用什么材料修复的？</v>
      </c>
      <c r="I142" s="7" t="str">
        <f>IFERROR(__xludf.DUMMYFUNCTION("GOOGLETRANSLATE(C142, ""en"", ""zh"")"),"A) 皮革贴片 B) 木材 C) 布料 D) 金属条")</f>
        <v>A) 皮革贴片 B) 木材 C) 布料 D) 金属条</v>
      </c>
      <c r="J142" s="7" t="str">
        <f>IFERROR(__xludf.DUMMYFUNCTION("GOOGLETRANSLATE(D142, ""en"", ""zh"")"),"A) 皮革贴片")</f>
        <v>A) 皮革贴片</v>
      </c>
      <c r="K142" s="7" t="str">
        <f>IFERROR(__xludf.DUMMYFUNCTION("GOOGLETRANSLATE(E142, ""en"", ""zh"")"),"#VALUE!")</f>
        <v>#VALUE!</v>
      </c>
      <c r="L142" s="2"/>
      <c r="M142" s="2"/>
      <c r="N142" s="2"/>
      <c r="O142" s="2"/>
      <c r="P142" s="2"/>
      <c r="Q142" s="2"/>
      <c r="R142" s="2"/>
      <c r="S142" s="2"/>
      <c r="T142" s="2"/>
      <c r="U142" s="2"/>
      <c r="V142" s="2"/>
      <c r="W142" s="2"/>
      <c r="X142" s="2"/>
      <c r="Y142" s="2"/>
      <c r="Z142" s="2"/>
      <c r="AA142" s="2"/>
      <c r="AB142" s="2"/>
      <c r="AC142" s="2"/>
    </row>
    <row r="143">
      <c r="A143" s="6">
        <v>142.0</v>
      </c>
      <c r="B143" s="18" t="s">
        <v>484</v>
      </c>
      <c r="C143" s="18" t="s">
        <v>485</v>
      </c>
      <c r="D143" s="18" t="s">
        <v>486</v>
      </c>
      <c r="E143" s="19"/>
      <c r="F143" s="2"/>
      <c r="G143" s="2"/>
      <c r="H143" s="7" t="str">
        <f>IFERROR(__xludf.DUMMYFUNCTION("GOOGLETRANSLATE(B143, ""en"", ""zh"")"),"蹴鞠选手除了踢球之外，还经常练习什么？")</f>
        <v>蹴鞠选手除了踢球之外，还经常练习什么？</v>
      </c>
      <c r="I143" s="7" t="str">
        <f>IFERROR(__xludf.DUMMYFUNCTION("GOOGLETRANSLATE(C143, ""en"", ""zh"")"),"A) 传球和控球 B) 射箭 C) 摔跤 D) 剑术")</f>
        <v>A) 传球和控球 B) 射箭 C) 摔跤 D) 剑术</v>
      </c>
      <c r="J143" s="7" t="str">
        <f>IFERROR(__xludf.DUMMYFUNCTION("GOOGLETRANSLATE(D143, ""en"", ""zh"")"),"A) 传球和控球")</f>
        <v>A) 传球和控球</v>
      </c>
      <c r="K143" s="7" t="str">
        <f>IFERROR(__xludf.DUMMYFUNCTION("GOOGLETRANSLATE(E143, ""en"", ""zh"")"),"#VALUE!")</f>
        <v>#VALUE!</v>
      </c>
      <c r="L143" s="2"/>
      <c r="M143" s="2"/>
      <c r="N143" s="2"/>
      <c r="O143" s="2"/>
      <c r="P143" s="2"/>
      <c r="Q143" s="2"/>
      <c r="R143" s="2"/>
      <c r="S143" s="2"/>
      <c r="T143" s="2"/>
      <c r="U143" s="2"/>
      <c r="V143" s="2"/>
      <c r="W143" s="2"/>
      <c r="X143" s="2"/>
      <c r="Y143" s="2"/>
      <c r="Z143" s="2"/>
      <c r="AA143" s="2"/>
      <c r="AB143" s="2"/>
      <c r="AC143" s="2"/>
    </row>
    <row r="144">
      <c r="A144" s="6">
        <v>143.0</v>
      </c>
      <c r="B144" s="18" t="s">
        <v>487</v>
      </c>
      <c r="C144" s="18" t="s">
        <v>488</v>
      </c>
      <c r="D144" s="18" t="s">
        <v>489</v>
      </c>
      <c r="E144" s="19"/>
      <c r="F144" s="2"/>
      <c r="G144" s="2"/>
      <c r="H144" s="7" t="str">
        <f>IFERROR(__xludf.DUMMYFUNCTION("GOOGLETRANSLATE(B144, ""en"", ""zh"")"),"蹴鞠能帮助士兵提高哪项身体素质？")</f>
        <v>蹴鞠能帮助士兵提高哪项身体素质？</v>
      </c>
      <c r="I144" s="7" t="str">
        <f>IFERROR(__xludf.DUMMYFUNCTION("GOOGLETRANSLATE(C144, ""en"", ""zh"")"),"A) 耐力和敏捷性 B) 仅力量 C) 仅柔韧性 D) 仅速度")</f>
        <v>A) 耐力和敏捷性 B) 仅力量 C) 仅柔韧性 D) 仅速度</v>
      </c>
      <c r="J144" s="7" t="str">
        <f>IFERROR(__xludf.DUMMYFUNCTION("GOOGLETRANSLATE(D144, ""en"", ""zh"")"),"A) 耐力和敏捷性")</f>
        <v>A) 耐力和敏捷性</v>
      </c>
      <c r="K144" s="7" t="str">
        <f>IFERROR(__xludf.DUMMYFUNCTION("GOOGLETRANSLATE(E144, ""en"", ""zh"")"),"#VALUE!")</f>
        <v>#VALUE!</v>
      </c>
      <c r="L144" s="2"/>
      <c r="M144" s="2"/>
      <c r="N144" s="2"/>
      <c r="O144" s="2"/>
      <c r="P144" s="2"/>
      <c r="Q144" s="2"/>
      <c r="R144" s="2"/>
      <c r="S144" s="2"/>
      <c r="T144" s="2"/>
      <c r="U144" s="2"/>
      <c r="V144" s="2"/>
      <c r="W144" s="2"/>
      <c r="X144" s="2"/>
      <c r="Y144" s="2"/>
      <c r="Z144" s="2"/>
      <c r="AA144" s="2"/>
      <c r="AB144" s="2"/>
      <c r="AC144" s="2"/>
    </row>
    <row r="145">
      <c r="A145" s="6">
        <v>144.0</v>
      </c>
      <c r="B145" s="18" t="s">
        <v>490</v>
      </c>
      <c r="C145" s="18" t="s">
        <v>491</v>
      </c>
      <c r="D145" s="18" t="s">
        <v>492</v>
      </c>
      <c r="E145" s="19"/>
      <c r="F145" s="2"/>
      <c r="G145" s="2"/>
      <c r="H145" s="7" t="str">
        <f>IFERROR(__xludf.DUMMYFUNCTION("GOOGLETRANSLATE(B145, ""en"", ""zh"")"),"蹴鞠比赛有时与什么奖励有关？")</f>
        <v>蹴鞠比赛有时与什么奖励有关？</v>
      </c>
      <c r="I145" s="7" t="str">
        <f>IFERROR(__xludf.DUMMYFUNCTION("GOOGLETRANSLATE(C145, ""en"", ""zh"")"),"A) 奖品和表彰 B) 仅提供食物 C) 仅授予头衔 D) 仅授予荣誉")</f>
        <v>A) 奖品和表彰 B) 仅提供食物 C) 仅授予头衔 D) 仅授予荣誉</v>
      </c>
      <c r="J145" s="7" t="str">
        <f>IFERROR(__xludf.DUMMYFUNCTION("GOOGLETRANSLATE(D145, ""en"", ""zh"")"),"A) 奖项和表彰")</f>
        <v>A) 奖项和表彰</v>
      </c>
      <c r="K145" s="7" t="str">
        <f>IFERROR(__xludf.DUMMYFUNCTION("GOOGLETRANSLATE(E145, ""en"", ""zh"")"),"#VALUE!")</f>
        <v>#VALUE!</v>
      </c>
      <c r="L145" s="2"/>
      <c r="M145" s="2"/>
      <c r="N145" s="2"/>
      <c r="O145" s="2"/>
      <c r="P145" s="2"/>
      <c r="Q145" s="2"/>
      <c r="R145" s="2"/>
      <c r="S145" s="2"/>
      <c r="T145" s="2"/>
      <c r="U145" s="2"/>
      <c r="V145" s="2"/>
      <c r="W145" s="2"/>
      <c r="X145" s="2"/>
      <c r="Y145" s="2"/>
      <c r="Z145" s="2"/>
      <c r="AA145" s="2"/>
      <c r="AB145" s="2"/>
      <c r="AC145" s="2"/>
    </row>
    <row r="146">
      <c r="A146" s="6">
        <v>145.0</v>
      </c>
      <c r="B146" s="18" t="s">
        <v>493</v>
      </c>
      <c r="C146" s="18" t="s">
        <v>494</v>
      </c>
      <c r="D146" s="18" t="s">
        <v>495</v>
      </c>
      <c r="E146" s="19"/>
      <c r="F146" s="2"/>
      <c r="G146" s="2"/>
      <c r="H146" s="7" t="str">
        <f>IFERROR(__xludf.DUMMYFUNCTION("GOOGLETRANSLATE(B146, ""en"", ""zh"")"),"从历史上看，蹴鞠的衰落是由什么因素造成的？")</f>
        <v>从历史上看，蹴鞠的衰落是由什么因素造成的？</v>
      </c>
      <c r="I146" s="7" t="str">
        <f>IFERROR(__xludf.DUMMYFUNCTION("GOOGLETRANSLATE(C146, ""en"", ""zh"")"),"A) 明朝的限制 B) 缺乏兴趣 C) 仅战争 D) 宗教禁令")</f>
        <v>A) 明朝的限制 B) 缺乏兴趣 C) 仅战争 D) 宗教禁令</v>
      </c>
      <c r="J146" s="7" t="str">
        <f>IFERROR(__xludf.DUMMYFUNCTION("GOOGLETRANSLATE(D146, ""en"", ""zh"")"),"A) 明朝的限制")</f>
        <v>A) 明朝的限制</v>
      </c>
      <c r="K146" s="7" t="str">
        <f>IFERROR(__xludf.DUMMYFUNCTION("GOOGLETRANSLATE(E146, ""en"", ""zh"")"),"#VALUE!")</f>
        <v>#VALUE!</v>
      </c>
      <c r="L146" s="2"/>
      <c r="M146" s="2"/>
      <c r="N146" s="2"/>
      <c r="O146" s="2"/>
      <c r="P146" s="2"/>
      <c r="Q146" s="2"/>
      <c r="R146" s="2"/>
      <c r="S146" s="2"/>
      <c r="T146" s="2"/>
      <c r="U146" s="2"/>
      <c r="V146" s="2"/>
      <c r="W146" s="2"/>
      <c r="X146" s="2"/>
      <c r="Y146" s="2"/>
      <c r="Z146" s="2"/>
      <c r="AA146" s="2"/>
      <c r="AB146" s="2"/>
      <c r="AC146" s="2"/>
    </row>
    <row r="147">
      <c r="A147" s="6">
        <v>146.0</v>
      </c>
      <c r="B147" s="18" t="s">
        <v>496</v>
      </c>
      <c r="C147" s="18" t="s">
        <v>497</v>
      </c>
      <c r="D147" s="18" t="s">
        <v>498</v>
      </c>
      <c r="E147" s="19"/>
      <c r="F147" s="2"/>
      <c r="G147" s="2"/>
      <c r="H147" s="7" t="str">
        <f>IFERROR(__xludf.DUMMYFUNCTION("GOOGLETRANSLATE(B147, ""en"", ""zh"")"),"蹴鞠训练包括哪些热身活动？")</f>
        <v>蹴鞠训练包括哪些热身活动？</v>
      </c>
      <c r="I147" s="7" t="str">
        <f>IFERROR(__xludf.DUMMYFUNCTION("GOOGLETRANSLATE(C147, ""en"", ""zh"")"),"A) 拉伸和轻步练习 B) 仅跳跃 C) 射箭 D) 剑术练习")</f>
        <v>A) 拉伸和轻步练习 B) 仅跳跃 C) 射箭 D) 剑术练习</v>
      </c>
      <c r="J147" s="7" t="str">
        <f>IFERROR(__xludf.DUMMYFUNCTION("GOOGLETRANSLATE(D147, ""en"", ""zh"")"),"A）拉伸和轻柔的足部练习")</f>
        <v>A）拉伸和轻柔的足部练习</v>
      </c>
      <c r="K147" s="7" t="str">
        <f>IFERROR(__xludf.DUMMYFUNCTION("GOOGLETRANSLATE(E147, ""en"", ""zh"")"),"#VALUE!")</f>
        <v>#VALUE!</v>
      </c>
      <c r="L147" s="2"/>
      <c r="M147" s="2"/>
      <c r="N147" s="2"/>
      <c r="O147" s="2"/>
      <c r="P147" s="2"/>
      <c r="Q147" s="2"/>
      <c r="R147" s="2"/>
      <c r="S147" s="2"/>
      <c r="T147" s="2"/>
      <c r="U147" s="2"/>
      <c r="V147" s="2"/>
      <c r="W147" s="2"/>
      <c r="X147" s="2"/>
      <c r="Y147" s="2"/>
      <c r="Z147" s="2"/>
      <c r="AA147" s="2"/>
      <c r="AB147" s="2"/>
      <c r="AC147" s="2"/>
    </row>
    <row r="148">
      <c r="A148" s="6">
        <v>147.0</v>
      </c>
      <c r="B148" s="18" t="s">
        <v>499</v>
      </c>
      <c r="C148" s="18" t="s">
        <v>500</v>
      </c>
      <c r="D148" s="18" t="s">
        <v>501</v>
      </c>
      <c r="E148" s="19"/>
      <c r="F148" s="2"/>
      <c r="G148" s="2"/>
      <c r="H148" s="7" t="str">
        <f>IFERROR(__xludf.DUMMYFUNCTION("GOOGLETRANSLATE(B148, ""en"", ""zh"")"),"貉的战略层面也包括吗？")</f>
        <v>貉的战略层面也包括吗？</v>
      </c>
      <c r="I148" s="7" t="str">
        <f>IFERROR(__xludf.DUMMYFUNCTION("GOOGLETRANSLATE(C148, ""en"", ""zh"")"),"A) 传球和跑位 B) 仅速度 C) 仅力量 D) 仅耐力")</f>
        <v>A) 传球和跑位 B) 仅速度 C) 仅力量 D) 仅耐力</v>
      </c>
      <c r="J148" s="7" t="str">
        <f>IFERROR(__xludf.DUMMYFUNCTION("GOOGLETRANSLATE(D148, ""en"", ""zh"")"),"A) 传球和站位")</f>
        <v>A) 传球和站位</v>
      </c>
      <c r="K148" s="7" t="str">
        <f>IFERROR(__xludf.DUMMYFUNCTION("GOOGLETRANSLATE(E148, ""en"", ""zh"")"),"#VALUE!")</f>
        <v>#VALUE!</v>
      </c>
      <c r="L148" s="2"/>
      <c r="M148" s="2"/>
      <c r="N148" s="2"/>
      <c r="O148" s="2"/>
      <c r="P148" s="2"/>
      <c r="Q148" s="2"/>
      <c r="R148" s="2"/>
      <c r="S148" s="2"/>
      <c r="T148" s="2"/>
      <c r="U148" s="2"/>
      <c r="V148" s="2"/>
      <c r="W148" s="2"/>
      <c r="X148" s="2"/>
      <c r="Y148" s="2"/>
      <c r="Z148" s="2"/>
      <c r="AA148" s="2"/>
      <c r="AB148" s="2"/>
      <c r="AC148" s="2"/>
    </row>
    <row r="149">
      <c r="A149" s="6">
        <v>148.0</v>
      </c>
      <c r="B149" s="18" t="s">
        <v>502</v>
      </c>
      <c r="C149" s="18" t="s">
        <v>503</v>
      </c>
      <c r="D149" s="18" t="s">
        <v>504</v>
      </c>
      <c r="E149" s="19"/>
      <c r="F149" s="2"/>
      <c r="G149" s="2"/>
      <c r="H149" s="7" t="str">
        <f>IFERROR(__xludf.DUMMYFUNCTION("GOOGLETRANSLATE(B149, ""en"", ""zh"")"),"蹴鞠比赛有时会有多少观众？")</f>
        <v>蹴鞠比赛有时会有多少观众？</v>
      </c>
      <c r="I149" s="7" t="str">
        <f>IFERROR(__xludf.DUMMYFUNCTION("GOOGLETRANSLATE(C149, ""en"", ""zh"")"),"A) 皇家宫廷里的大批人群 B) 小型聚会 C) 仅限家庭成员 D) 仅限士兵")</f>
        <v>A) 皇家宫廷里的大批人群 B) 小型聚会 C) 仅限家庭成员 D) 仅限士兵</v>
      </c>
      <c r="J149" s="7" t="str">
        <f>IFERROR(__xludf.DUMMYFUNCTION("GOOGLETRANSLATE(D149, ""en"", ""zh"")"),"A) 皇家宫廷里人山人海")</f>
        <v>A) 皇家宫廷里人山人海</v>
      </c>
      <c r="K149" s="7" t="str">
        <f>IFERROR(__xludf.DUMMYFUNCTION("GOOGLETRANSLATE(E149, ""en"", ""zh"")"),"#VALUE!")</f>
        <v>#VALUE!</v>
      </c>
      <c r="L149" s="2"/>
      <c r="M149" s="2"/>
      <c r="N149" s="2"/>
      <c r="O149" s="2"/>
      <c r="P149" s="2"/>
      <c r="Q149" s="2"/>
      <c r="R149" s="2"/>
      <c r="S149" s="2"/>
      <c r="T149" s="2"/>
      <c r="U149" s="2"/>
      <c r="V149" s="2"/>
      <c r="W149" s="2"/>
      <c r="X149" s="2"/>
      <c r="Y149" s="2"/>
      <c r="Z149" s="2"/>
      <c r="AA149" s="2"/>
      <c r="AB149" s="2"/>
      <c r="AC149" s="2"/>
    </row>
    <row r="150">
      <c r="A150" s="6">
        <v>149.0</v>
      </c>
      <c r="B150" s="18" t="s">
        <v>505</v>
      </c>
      <c r="C150" s="18" t="s">
        <v>506</v>
      </c>
      <c r="D150" s="18" t="s">
        <v>507</v>
      </c>
      <c r="E150" s="19"/>
      <c r="F150" s="2"/>
      <c r="G150" s="2"/>
      <c r="H150" s="7" t="str">
        <f>IFERROR(__xludf.DUMMYFUNCTION("GOOGLETRANSLATE(B150, ""en"", ""zh"")"),"蹴鞠插画影响了哪种艺术形式？")</f>
        <v>蹴鞠插画影响了哪种艺术形式？</v>
      </c>
      <c r="I150" s="7" t="str">
        <f>IFERROR(__xludf.DUMMYFUNCTION("GOOGLETRANSLATE(C150, ""en"", ""zh"")"),"A) 中国绘画 B) 书法 C) 仅限雕塑 D) 仅限陶瓷")</f>
        <v>A) 中国绘画 B) 书法 C) 仅限雕塑 D) 仅限陶瓷</v>
      </c>
      <c r="J150" s="7" t="str">
        <f>IFERROR(__xludf.DUMMYFUNCTION("GOOGLETRANSLATE(D150, ""en"", ""zh"")"),"A) 中国绘画")</f>
        <v>A) 中国绘画</v>
      </c>
      <c r="K150" s="7" t="str">
        <f>IFERROR(__xludf.DUMMYFUNCTION("GOOGLETRANSLATE(E150, ""en"", ""zh"")"),"#VALUE!")</f>
        <v>#VALUE!</v>
      </c>
      <c r="L150" s="2"/>
      <c r="M150" s="2"/>
      <c r="N150" s="2"/>
      <c r="O150" s="2"/>
      <c r="P150" s="2"/>
      <c r="Q150" s="2"/>
      <c r="R150" s="2"/>
      <c r="S150" s="2"/>
      <c r="T150" s="2"/>
      <c r="U150" s="2"/>
      <c r="V150" s="2"/>
      <c r="W150" s="2"/>
      <c r="X150" s="2"/>
      <c r="Y150" s="2"/>
      <c r="Z150" s="2"/>
      <c r="AA150" s="2"/>
      <c r="AB150" s="2"/>
      <c r="AC150" s="2"/>
    </row>
    <row r="151">
      <c r="A151" s="6">
        <v>150.0</v>
      </c>
      <c r="B151" s="18" t="s">
        <v>508</v>
      </c>
      <c r="C151" s="18" t="s">
        <v>509</v>
      </c>
      <c r="D151" s="18" t="s">
        <v>510</v>
      </c>
      <c r="E151" s="19"/>
      <c r="F151" s="2"/>
      <c r="G151" s="2"/>
      <c r="H151" s="7" t="str">
        <f>IFERROR(__xludf.DUMMYFUNCTION("GOOGLETRANSLATE(B151, ""en"", ""zh"")"),"蹴鞠球被现代材料取代的原因是什么？")</f>
        <v>蹴鞠球被现代材料取代的原因是什么？</v>
      </c>
      <c r="I151" s="7" t="str">
        <f>IFERROR(__xludf.DUMMYFUNCTION("GOOGLETRANSLATE(C151, ""en"", ""zh"")"),"A) 耐用性和标准化 B) 仅装饰性 C) 仅重量 D) 仅安全性")</f>
        <v>A) 耐用性和标准化 B) 仅装饰性 C) 仅重量 D) 仅安全性</v>
      </c>
      <c r="J151" s="7" t="str">
        <f>IFERROR(__xludf.DUMMYFUNCTION("GOOGLETRANSLATE(D151, ""en"", ""zh"")"),"A) 耐用性和标准化")</f>
        <v>A) 耐用性和标准化</v>
      </c>
      <c r="K151" s="7" t="str">
        <f>IFERROR(__xludf.DUMMYFUNCTION("GOOGLETRANSLATE(E151, ""en"", ""zh"")"),"#VALUE!")</f>
        <v>#VALUE!</v>
      </c>
      <c r="L151" s="2"/>
      <c r="M151" s="2"/>
      <c r="N151" s="2"/>
      <c r="O151" s="2"/>
      <c r="P151" s="2"/>
      <c r="Q151" s="2"/>
      <c r="R151" s="2"/>
      <c r="S151" s="2"/>
      <c r="T151" s="2"/>
      <c r="U151" s="2"/>
      <c r="V151" s="2"/>
      <c r="W151" s="2"/>
      <c r="X151" s="2"/>
      <c r="Y151" s="2"/>
      <c r="Z151" s="2"/>
      <c r="AA151" s="2"/>
      <c r="AB151" s="2"/>
      <c r="AC151" s="2"/>
    </row>
    <row r="152">
      <c r="A152" s="6">
        <v>151.0</v>
      </c>
      <c r="B152" s="18" t="s">
        <v>511</v>
      </c>
      <c r="C152" s="18" t="s">
        <v>512</v>
      </c>
      <c r="D152" s="18" t="s">
        <v>513</v>
      </c>
      <c r="E152" s="19"/>
      <c r="F152" s="2"/>
      <c r="G152" s="2"/>
      <c r="H152" s="7" t="str">
        <f>IFERROR(__xludf.DUMMYFUNCTION("GOOGLETRANSLATE(B152, ""en"", ""zh"")"),"如今蹴鞠保存的主要目的是什么？")</f>
        <v>如今蹴鞠保存的主要目的是什么？</v>
      </c>
      <c r="I152" s="7" t="str">
        <f>IFERROR(__xludf.DUMMYFUNCTION("GOOGLETRANSLATE(C152, ""en"", ""zh"")"),"A) 文化和历史意义 B) 竞技体育 C) 仅供娱乐 D) 仅供体能训练")</f>
        <v>A) 文化和历史意义 B) 竞技体育 C) 仅供娱乐 D) 仅供体能训练</v>
      </c>
      <c r="J152" s="7" t="str">
        <f>IFERROR(__xludf.DUMMYFUNCTION("GOOGLETRANSLATE(D152, ""en"", ""zh"")"),"A) 文化和历史意义")</f>
        <v>A) 文化和历史意义</v>
      </c>
      <c r="K152" s="7" t="str">
        <f>IFERROR(__xludf.DUMMYFUNCTION("GOOGLETRANSLATE(E152, ""en"", ""zh"")"),"#VALUE!")</f>
        <v>#VALUE!</v>
      </c>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0"/>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0"/>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0"/>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0"/>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0"/>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0"/>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0"/>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0"/>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0"/>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0"/>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0"/>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0"/>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0"/>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0"/>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0"/>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0"/>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0"/>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0"/>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0"/>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0"/>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0"/>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0"/>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0"/>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0"/>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0"/>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0"/>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0"/>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0"/>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0"/>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0"/>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0"/>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0"/>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0"/>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0"/>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0"/>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0"/>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0"/>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0"/>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0"/>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0"/>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0"/>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0"/>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0"/>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0"/>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0"/>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0"/>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0"/>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0"/>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0"/>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0"/>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0"/>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0"/>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0"/>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0"/>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0"/>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0"/>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0"/>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0"/>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0"/>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0"/>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0"/>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0"/>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0"/>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0"/>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0"/>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0"/>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0"/>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0"/>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0"/>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0"/>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0"/>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0"/>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0"/>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0"/>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0"/>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0"/>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0"/>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0"/>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0"/>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0"/>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0"/>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0"/>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0"/>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0"/>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0"/>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0"/>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0"/>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0"/>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0"/>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0"/>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0"/>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0"/>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0"/>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0"/>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0"/>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0"/>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0"/>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0"/>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0"/>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0"/>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0"/>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0"/>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0"/>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0"/>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0"/>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0"/>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0"/>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0"/>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0"/>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0"/>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0"/>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0"/>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0"/>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0"/>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0"/>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0"/>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0"/>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0"/>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0"/>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0"/>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0"/>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0"/>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0"/>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0"/>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0"/>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0"/>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0"/>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0"/>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0"/>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0"/>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0"/>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0"/>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0"/>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0"/>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0"/>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0"/>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0"/>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0"/>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0"/>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0"/>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0"/>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0"/>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0"/>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0"/>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0"/>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0"/>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0"/>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0"/>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0"/>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0"/>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0"/>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0"/>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0"/>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0"/>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0"/>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0"/>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0"/>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0"/>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0"/>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0"/>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0"/>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0"/>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0"/>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0"/>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0"/>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0"/>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0"/>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0"/>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0"/>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0"/>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0"/>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0"/>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0"/>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0"/>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0"/>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0"/>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0"/>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0"/>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0"/>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0"/>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0"/>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0"/>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0"/>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0"/>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0"/>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0"/>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0"/>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0"/>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0"/>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0"/>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0"/>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0"/>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0"/>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0"/>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0"/>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0"/>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0"/>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0"/>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0"/>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0"/>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0"/>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0"/>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0"/>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0"/>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0"/>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0"/>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0"/>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0"/>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0"/>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0"/>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0"/>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0"/>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0"/>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0"/>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0"/>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0"/>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0"/>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0"/>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0"/>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0"/>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0"/>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0"/>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0"/>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0"/>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0"/>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0"/>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0"/>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0"/>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0"/>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0"/>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0"/>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0"/>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0"/>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0"/>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0"/>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0"/>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0"/>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0"/>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0"/>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0"/>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0"/>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0"/>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0"/>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0"/>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0"/>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0"/>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0"/>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0"/>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0"/>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0"/>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0"/>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0"/>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0"/>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0"/>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0"/>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0"/>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0"/>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0"/>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0"/>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0"/>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0"/>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0"/>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0"/>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0"/>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0"/>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0"/>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0"/>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0"/>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0"/>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0"/>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0"/>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0"/>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0"/>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0"/>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0"/>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0"/>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0"/>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0"/>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0"/>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0"/>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0"/>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0"/>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0"/>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0"/>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0"/>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0"/>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0"/>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0"/>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0"/>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0"/>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0"/>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0"/>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0"/>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0"/>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0"/>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0"/>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0"/>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0"/>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0"/>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0"/>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0"/>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0"/>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0"/>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0"/>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0"/>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0"/>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0"/>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0"/>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0"/>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0"/>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0"/>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0"/>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0"/>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0"/>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0"/>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0"/>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0"/>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0"/>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0"/>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0"/>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0"/>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0"/>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0"/>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0"/>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0"/>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0"/>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0"/>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0"/>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0"/>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0"/>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0"/>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0"/>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0"/>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0"/>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0"/>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0"/>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0"/>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0"/>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0"/>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0"/>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0"/>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0"/>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0"/>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0"/>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0"/>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0"/>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0"/>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0"/>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0"/>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0"/>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0"/>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0"/>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0"/>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0"/>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0"/>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0"/>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0"/>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0"/>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0"/>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0"/>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0"/>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0"/>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0"/>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0"/>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0"/>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0"/>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0"/>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0"/>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0"/>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0"/>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0"/>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0"/>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0"/>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0"/>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0"/>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0"/>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0"/>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0"/>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0"/>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0"/>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0"/>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0"/>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0"/>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0"/>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0"/>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0"/>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0"/>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0"/>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0"/>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0"/>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0"/>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0"/>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0"/>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0"/>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0"/>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0"/>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0"/>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0"/>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0"/>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0"/>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0"/>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0"/>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0"/>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0"/>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0"/>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0"/>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0"/>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0"/>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0"/>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0"/>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0"/>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0"/>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0"/>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0"/>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0"/>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0"/>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0"/>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0"/>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0"/>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0"/>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0"/>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0"/>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0"/>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0"/>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0"/>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0"/>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0"/>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0"/>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0"/>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0"/>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0"/>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0"/>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0"/>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0"/>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0"/>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0"/>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0"/>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0"/>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0"/>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0"/>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0"/>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0"/>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0"/>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0"/>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0"/>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0"/>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0"/>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0"/>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0"/>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0"/>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0"/>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0"/>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0"/>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0"/>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0"/>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0"/>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0"/>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0"/>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0"/>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0"/>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0"/>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0"/>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0"/>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0"/>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0"/>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0"/>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0"/>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0"/>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0"/>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0"/>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0"/>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0"/>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0"/>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0"/>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0"/>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0"/>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0"/>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0"/>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0"/>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0"/>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0"/>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0"/>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0"/>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0"/>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0"/>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0"/>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0"/>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0"/>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0"/>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0"/>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0"/>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0"/>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0"/>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0"/>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0"/>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0"/>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0"/>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0"/>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0"/>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0"/>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0"/>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0"/>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0"/>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0"/>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0"/>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0"/>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0"/>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0"/>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0"/>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0"/>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0"/>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0"/>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0"/>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0"/>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0"/>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0"/>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0"/>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0"/>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0"/>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0"/>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0"/>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0"/>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0"/>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0"/>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0"/>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0"/>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0"/>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0"/>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0"/>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0"/>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0"/>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0"/>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0"/>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0"/>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0"/>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0"/>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0"/>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0"/>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0"/>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0"/>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0"/>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0"/>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0"/>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0"/>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0"/>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0"/>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0"/>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0"/>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0"/>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0"/>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0"/>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0"/>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0"/>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0"/>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0"/>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0"/>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0"/>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0"/>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0"/>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0"/>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0"/>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0"/>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0"/>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0"/>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0"/>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0"/>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0"/>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0"/>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0"/>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0"/>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0"/>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0"/>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0"/>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0"/>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0"/>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0"/>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0"/>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0"/>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0"/>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0"/>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0"/>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0"/>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0"/>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0"/>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0"/>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0"/>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0"/>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0"/>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0"/>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0"/>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0"/>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0"/>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0"/>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0"/>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0"/>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0"/>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0"/>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0"/>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0"/>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0"/>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0"/>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0"/>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0"/>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0"/>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0"/>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0"/>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0"/>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0"/>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0"/>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0"/>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0"/>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0"/>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0"/>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0"/>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0"/>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0"/>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0"/>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0"/>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0"/>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0"/>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0"/>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0"/>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0"/>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0"/>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0"/>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0"/>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0"/>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0"/>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0"/>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0"/>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0"/>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0"/>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0"/>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0"/>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0"/>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0"/>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0"/>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0"/>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0"/>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0"/>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0"/>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0"/>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0"/>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0"/>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0"/>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0"/>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0"/>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0"/>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0"/>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0"/>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0"/>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0"/>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0"/>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0"/>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0"/>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0"/>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0"/>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0"/>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0"/>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0"/>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0"/>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0"/>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0"/>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0"/>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0"/>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0"/>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0"/>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0"/>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0"/>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0"/>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0"/>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0"/>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0"/>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0"/>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0"/>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0"/>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0"/>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0"/>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0"/>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0"/>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0"/>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0"/>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0"/>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0"/>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0"/>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0"/>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0"/>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0"/>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0"/>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0"/>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0"/>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0"/>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0"/>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0"/>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0"/>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0"/>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0"/>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0"/>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0"/>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0"/>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0"/>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0"/>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0"/>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0"/>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0"/>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0"/>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0"/>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0"/>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0"/>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0"/>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0"/>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0"/>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0"/>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0"/>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0"/>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0"/>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0"/>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0"/>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0"/>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0"/>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0"/>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0"/>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0"/>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0"/>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0"/>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0"/>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0"/>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0"/>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0"/>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0"/>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0"/>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0"/>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0"/>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0"/>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0"/>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0"/>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0"/>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0"/>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0"/>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0"/>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0"/>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0"/>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0"/>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0"/>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0"/>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0"/>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0"/>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0"/>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0"/>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0"/>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0"/>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0"/>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0"/>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0"/>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0"/>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0"/>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0"/>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0"/>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0"/>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0"/>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0"/>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0"/>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0"/>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0"/>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0"/>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0"/>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0"/>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0"/>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0"/>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0"/>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0"/>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0"/>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0"/>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0"/>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0"/>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0"/>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0"/>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0"/>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0"/>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0"/>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0"/>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0"/>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0"/>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0"/>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0"/>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0"/>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0"/>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0"/>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0"/>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0"/>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0"/>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0"/>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0"/>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0"/>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0"/>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0"/>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0"/>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0"/>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0"/>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0"/>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0"/>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0"/>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0"/>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0"/>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0"/>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0"/>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0"/>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0"/>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0"/>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0"/>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0"/>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0"/>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0"/>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0"/>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0"/>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0"/>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0"/>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0"/>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0"/>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0"/>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0"/>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0"/>
      <c r="I974" s="2"/>
      <c r="J974" s="2"/>
      <c r="K974" s="2"/>
      <c r="L974" s="2"/>
      <c r="M974" s="2"/>
      <c r="N974" s="2"/>
      <c r="O974" s="2"/>
      <c r="P974" s="2"/>
      <c r="Q974" s="2"/>
      <c r="R974" s="2"/>
      <c r="S974" s="2"/>
      <c r="T974" s="2"/>
      <c r="U974" s="2"/>
      <c r="V974" s="2"/>
      <c r="W974" s="2"/>
      <c r="X974" s="2"/>
      <c r="Y974" s="2"/>
      <c r="Z974" s="2"/>
      <c r="AA974" s="2"/>
      <c r="AB974" s="2"/>
      <c r="AC974" s="2"/>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5" width="12.75"/>
    <col customWidth="1" min="9" max="10" width="12.75"/>
  </cols>
  <sheetData>
    <row r="1">
      <c r="A1" s="21" t="s">
        <v>0</v>
      </c>
      <c r="B1" s="21" t="s">
        <v>1</v>
      </c>
      <c r="C1" s="21" t="s">
        <v>2</v>
      </c>
      <c r="D1" s="21" t="s">
        <v>3</v>
      </c>
      <c r="E1" s="21" t="s">
        <v>4</v>
      </c>
      <c r="F1" s="10"/>
      <c r="G1" s="10"/>
      <c r="H1" s="21" t="s">
        <v>5</v>
      </c>
      <c r="I1" s="21" t="s">
        <v>6</v>
      </c>
      <c r="J1" s="1" t="s">
        <v>7</v>
      </c>
      <c r="K1" s="21" t="s">
        <v>4</v>
      </c>
      <c r="L1" s="4"/>
      <c r="M1" s="11"/>
      <c r="N1" s="4"/>
      <c r="O1" s="11"/>
      <c r="P1" s="4"/>
    </row>
    <row r="2">
      <c r="A2" s="7">
        <v>1.0</v>
      </c>
      <c r="B2" s="9" t="s">
        <v>514</v>
      </c>
      <c r="C2" s="9" t="s">
        <v>515</v>
      </c>
      <c r="D2" s="9" t="s">
        <v>516</v>
      </c>
      <c r="E2" s="9" t="s">
        <v>517</v>
      </c>
      <c r="F2" s="10"/>
      <c r="G2" s="10"/>
      <c r="H2" s="7" t="str">
        <f>IFERROR(__xludf.DUMMYFUNCTION("GOOGLETRANSLATE(B2, ""en"", ""zh"")"),"龙舟竞渡起源于哪个国家？")</f>
        <v>龙舟竞渡起源于哪个国家？</v>
      </c>
      <c r="I2" s="7" t="str">
        <f>IFERROR(__xludf.DUMMYFUNCTION("GOOGLETRANSLATE(C2, ""en"", ""zh"")"),"A) 日本，B) 中国，C) 泰国，D) 越南")</f>
        <v>A) 日本，B) 中国，C) 泰国，D) 越南</v>
      </c>
      <c r="J2" s="7" t="str">
        <f>IFERROR(__xludf.DUMMYFUNCTION("GOOGLETRANSLATE(D2, ""en"", ""zh"")"),"B) 中国")</f>
        <v>B) 中国</v>
      </c>
      <c r="K2" s="7" t="str">
        <f>IFERROR(__xludf.DUMMYFUNCTION("GOOGLETRANSLATE(E2, ""en"", ""zh"")"),"龙舟竞渡起源于2000多年前的中国。")</f>
        <v>龙舟竞渡起源于2000多年前的中国。</v>
      </c>
      <c r="L2" s="10"/>
      <c r="M2" s="11"/>
      <c r="N2" s="10"/>
      <c r="O2" s="11"/>
      <c r="P2" s="10"/>
    </row>
    <row r="3">
      <c r="A3" s="7">
        <v>2.0</v>
      </c>
      <c r="B3" s="9" t="s">
        <v>518</v>
      </c>
      <c r="C3" s="9" t="s">
        <v>519</v>
      </c>
      <c r="D3" s="9" t="s">
        <v>520</v>
      </c>
      <c r="E3" s="9" t="s">
        <v>521</v>
      </c>
      <c r="F3" s="10"/>
      <c r="G3" s="10"/>
      <c r="H3" s="7" t="str">
        <f>IFERROR(__xludf.DUMMYFUNCTION("GOOGLETRANSLATE(B3, ""en"", ""zh"")"),"龙舟竞渡传统上是为了纪念哪位中国古代诗人？")</f>
        <v>龙舟竞渡传统上是为了纪念哪位中国古代诗人？</v>
      </c>
      <c r="I3" s="7" t="str">
        <f>IFERROR(__xludf.DUMMYFUNCTION("GOOGLETRANSLATE(C3, ""en"", ""zh"")"),"A) 李白，B) 屈原，C) 孔子，D) 王维")</f>
        <v>A) 李白，B) 屈原，C) 孔子，D) 王维</v>
      </c>
      <c r="J3" s="7" t="str">
        <f>IFERROR(__xludf.DUMMYFUNCTION("GOOGLETRANSLATE(D3, ""en"", ""zh"")"),"B) 屈原")</f>
        <v>B) 屈原</v>
      </c>
      <c r="K3" s="7" t="str">
        <f>IFERROR(__xludf.DUMMYFUNCTION("GOOGLETRANSLATE(E3, ""en"", ""zh"")"),"这项赛事是为了纪念中国著名诗人屈原而举办的。")</f>
        <v>这项赛事是为了纪念中国著名诗人屈原而举办的。</v>
      </c>
      <c r="L3" s="10"/>
      <c r="M3" s="11"/>
      <c r="N3" s="10"/>
      <c r="O3" s="11"/>
      <c r="P3" s="10"/>
    </row>
    <row r="4">
      <c r="A4" s="7">
        <v>3.0</v>
      </c>
      <c r="B4" s="9" t="s">
        <v>522</v>
      </c>
      <c r="C4" s="9" t="s">
        <v>523</v>
      </c>
      <c r="D4" s="9" t="s">
        <v>524</v>
      </c>
      <c r="E4" s="9" t="s">
        <v>525</v>
      </c>
      <c r="F4" s="10"/>
      <c r="G4" s="10"/>
      <c r="H4" s="7" t="str">
        <f>IFERROR(__xludf.DUMMYFUNCTION("GOOGLETRANSLATE(B4, ""en"", ""zh"")"),"龙舟赛与中国哪个节日有关？")</f>
        <v>龙舟赛与中国哪个节日有关？</v>
      </c>
      <c r="I4" s="7" t="str">
        <f>IFERROR(__xludf.DUMMYFUNCTION("GOOGLETRANSLATE(C4, ""en"", ""zh"")"),"A) 春节，B) 清明节，C) 端午节，D) 中秋节")</f>
        <v>A) 春节，B) 清明节，C) 端午节，D) 中秋节</v>
      </c>
      <c r="J4" s="7" t="str">
        <f>IFERROR(__xludf.DUMMYFUNCTION("GOOGLETRANSLATE(D4, ""en"", ""zh"")"),"C) 端午节")</f>
        <v>C) 端午节</v>
      </c>
      <c r="K4" s="7" t="str">
        <f>IFERROR(__xludf.DUMMYFUNCTION("GOOGLETRANSLATE(E4, ""en"", ""zh"")"),"比赛在端午节期间举行，端午节是农历五月初五。")</f>
        <v>比赛在端午节期间举行，端午节是农历五月初五。</v>
      </c>
      <c r="L4" s="10"/>
      <c r="M4" s="11"/>
      <c r="N4" s="10"/>
      <c r="O4" s="11"/>
      <c r="P4" s="11"/>
    </row>
    <row r="5">
      <c r="A5" s="7">
        <v>4.0</v>
      </c>
      <c r="B5" s="9" t="s">
        <v>526</v>
      </c>
      <c r="C5" s="9" t="s">
        <v>527</v>
      </c>
      <c r="D5" s="9" t="s">
        <v>528</v>
      </c>
      <c r="E5" s="9" t="s">
        <v>529</v>
      </c>
      <c r="F5" s="10"/>
      <c r="G5" s="10"/>
      <c r="H5" s="7" t="str">
        <f>IFERROR(__xludf.DUMMYFUNCTION("GOOGLETRANSLATE(B5, ""en"", ""zh"")"),"龙舟竞渡运动在中国哪个朝代开始流行？")</f>
        <v>龙舟竞渡运动在中国哪个朝代开始流行？</v>
      </c>
      <c r="I5" s="7" t="str">
        <f>IFERROR(__xludf.DUMMYFUNCTION("GOOGLETRANSLATE(C5, ""en"", ""zh"")"),"A) 唐，B) 秦，C) 韩，D) 周")</f>
        <v>A) 唐，B) 秦，C) 韩，D) 周</v>
      </c>
      <c r="J5" s="7" t="str">
        <f>IFERROR(__xludf.DUMMYFUNCTION("GOOGLETRANSLATE(D5, ""en"", ""zh"")"),"A) 唐")</f>
        <v>A) 唐</v>
      </c>
      <c r="K5" s="7" t="str">
        <f>IFERROR(__xludf.DUMMYFUNCTION("GOOGLETRANSLATE(E5, ""en"", ""zh"")"),"唐朝时期，龙舟竞渡运动开始流行。")</f>
        <v>唐朝时期，龙舟竞渡运动开始流行。</v>
      </c>
      <c r="L5" s="10"/>
      <c r="M5" s="11"/>
      <c r="N5" s="10"/>
      <c r="O5" s="11"/>
      <c r="P5" s="10"/>
    </row>
    <row r="6">
      <c r="A6" s="7">
        <v>5.0</v>
      </c>
      <c r="B6" s="9" t="s">
        <v>530</v>
      </c>
      <c r="C6" s="9" t="s">
        <v>531</v>
      </c>
      <c r="D6" s="9" t="s">
        <v>532</v>
      </c>
      <c r="E6" s="9" t="s">
        <v>533</v>
      </c>
      <c r="F6" s="10"/>
      <c r="G6" s="10"/>
      <c r="H6" s="7" t="str">
        <f>IFERROR(__xludf.DUMMYFUNCTION("GOOGLETRANSLATE(B6, ""en"", ""zh"")"),"屈原以效忠哪个中国王国而闻名？")</f>
        <v>屈原以效忠哪个中国王国而闻名？</v>
      </c>
      <c r="I6" s="7" t="str">
        <f>IFERROR(__xludf.DUMMYFUNCTION("GOOGLETRANSLATE(C6, ""en"", ""zh"")"),"A）楚，B）秦，C）汉，D）魏")</f>
        <v>A）楚，B）秦，C）汉，D）魏</v>
      </c>
      <c r="J6" s="7" t="str">
        <f>IFERROR(__xludf.DUMMYFUNCTION("GOOGLETRANSLATE(D6, ""en"", ""zh"")"),"A) 朱")</f>
        <v>A) 朱</v>
      </c>
      <c r="K6" s="7" t="str">
        <f>IFERROR(__xludf.DUMMYFUNCTION("GOOGLETRANSLATE(E6, ""en"", ""zh"")"),"屈原为楚国效力，并创作了许多爱国诗歌。")</f>
        <v>屈原为楚国效力，并创作了许多爱国诗歌。</v>
      </c>
      <c r="L6" s="10"/>
      <c r="M6" s="11"/>
      <c r="N6" s="10"/>
      <c r="O6" s="11"/>
      <c r="P6" s="10"/>
    </row>
    <row r="7">
      <c r="A7" s="7">
        <v>6.0</v>
      </c>
      <c r="B7" s="9" t="s">
        <v>534</v>
      </c>
      <c r="C7" s="9" t="s">
        <v>535</v>
      </c>
      <c r="D7" s="9" t="s">
        <v>536</v>
      </c>
      <c r="E7" s="9" t="s">
        <v>537</v>
      </c>
      <c r="F7" s="10"/>
      <c r="G7" s="10"/>
      <c r="H7" s="7" t="str">
        <f>IFERROR(__xludf.DUMMYFUNCTION("GOOGLETRANSLATE(B7, ""en"", ""zh"")"),"龙舟运动在中国大约有多少年的历史？")</f>
        <v>龙舟运动在中国大约有多少年的历史？</v>
      </c>
      <c r="I7" s="7" t="str">
        <f>IFERROR(__xludf.DUMMYFUNCTION("GOOGLETRANSLATE(C7, ""en"", ""zh"")"),"A) 1,000，B) 1,500，C) 2,000，D) 2,500")</f>
        <v>A) 1,000，B) 1,500，C) 2,000，D) 2,500</v>
      </c>
      <c r="J7" s="7" t="str">
        <f>IFERROR(__xludf.DUMMYFUNCTION("GOOGLETRANSLATE(D7, ""en"", ""zh"")"),"C) 2,000")</f>
        <v>C) 2,000</v>
      </c>
      <c r="K7" s="7" t="str">
        <f>IFERROR(__xludf.DUMMYFUNCTION("GOOGLETRANSLATE(E7, ""en"", ""zh"")"),"龙舟竞渡在中国已有2000多年的历史。")</f>
        <v>龙舟竞渡在中国已有2000多年的历史。</v>
      </c>
      <c r="L7" s="10"/>
      <c r="M7" s="11"/>
      <c r="N7" s="11"/>
      <c r="O7" s="11"/>
      <c r="P7" s="10"/>
    </row>
    <row r="8">
      <c r="A8" s="7">
        <v>7.0</v>
      </c>
      <c r="B8" s="9" t="s">
        <v>538</v>
      </c>
      <c r="C8" s="9" t="s">
        <v>539</v>
      </c>
      <c r="D8" s="9" t="s">
        <v>540</v>
      </c>
      <c r="E8" s="9" t="s">
        <v>541</v>
      </c>
      <c r="F8" s="10"/>
      <c r="G8" s="10"/>
      <c r="H8" s="7" t="str">
        <f>IFERROR(__xludf.DUMMYFUNCTION("GOOGLETRANSLATE(B8, ""en"", ""zh"")"),"屈原投身于哪条河？")</f>
        <v>屈原投身于哪条河？</v>
      </c>
      <c r="I8" s="7" t="str">
        <f>IFERROR(__xludf.DUMMYFUNCTION("GOOGLETRANSLATE(C8, ""en"", ""zh"")"),"A) 长江，B) 黄河，C) 汨罗江，D) 珍珠河")</f>
        <v>A) 长江，B) 黄河，C) 汨罗江，D) 珍珠河</v>
      </c>
      <c r="J8" s="7" t="str">
        <f>IFERROR(__xludf.DUMMYFUNCTION("GOOGLETRANSLATE(D8, ""en"", ""zh"")"),"C) 汨罗")</f>
        <v>C) 汨罗</v>
      </c>
      <c r="K8" s="7" t="str">
        <f>IFERROR(__xludf.DUMMYFUNCTION("GOOGLETRANSLATE(E8, ""en"", ""zh"")"),"屈原因对国家前途绝望而投汨罗江自尽。")</f>
        <v>屈原因对国家前途绝望而投汨罗江自尽。</v>
      </c>
      <c r="L8" s="11"/>
      <c r="M8" s="11"/>
      <c r="N8" s="11"/>
      <c r="O8" s="11"/>
      <c r="P8" s="10"/>
    </row>
    <row r="9">
      <c r="A9" s="7">
        <v>8.0</v>
      </c>
      <c r="B9" s="9" t="s">
        <v>542</v>
      </c>
      <c r="C9" s="9" t="s">
        <v>543</v>
      </c>
      <c r="D9" s="9" t="s">
        <v>544</v>
      </c>
      <c r="E9" s="9" t="s">
        <v>545</v>
      </c>
      <c r="F9" s="10"/>
      <c r="G9" s="10"/>
      <c r="H9" s="7" t="str">
        <f>IFERROR(__xludf.DUMMYFUNCTION("GOOGLETRANSLATE(B9, ""en"", ""zh"")"),"村民们最初是为了保护屈原的遗体免受什么伤害？")</f>
        <v>村民们最初是为了保护屈原的遗体免受什么伤害？</v>
      </c>
      <c r="I9" s="7" t="str">
        <f>IFERROR(__xludf.DUMMYFUNCTION("GOOGLETRANSLATE(C9, ""en"", ""zh"")"),"A) 精灵，B) 河流，C) 鱼和邪灵，D) 其他王国")</f>
        <v>A) 精灵，B) 河流，C) 鱼和邪灵，D) 其他王国</v>
      </c>
      <c r="J9" s="7" t="str">
        <f>IFERROR(__xludf.DUMMYFUNCTION("GOOGLETRANSLATE(D9, ""en"", ""zh"")"),"C）鱼和邪灵")</f>
        <v>C）鱼和邪灵</v>
      </c>
      <c r="K9" s="7" t="str">
        <f>IFERROR(__xludf.DUMMYFUNCTION("GOOGLETRANSLATE(E9, ""en"", ""zh"")"),"村民们敲鼓驱赶鱼群和邪灵，以保护屈原的身体。")</f>
        <v>村民们敲鼓驱赶鱼群和邪灵，以保护屈原的身体。</v>
      </c>
      <c r="L9" s="10"/>
      <c r="M9" s="11"/>
      <c r="N9" s="10"/>
      <c r="O9" s="11"/>
      <c r="P9" s="10"/>
    </row>
    <row r="10">
      <c r="A10" s="7">
        <v>9.0</v>
      </c>
      <c r="B10" s="9" t="s">
        <v>546</v>
      </c>
      <c r="C10" s="9" t="s">
        <v>547</v>
      </c>
      <c r="D10" s="9" t="s">
        <v>548</v>
      </c>
      <c r="E10" s="9" t="s">
        <v>549</v>
      </c>
      <c r="F10" s="10"/>
      <c r="G10" s="10"/>
      <c r="H10" s="7" t="str">
        <f>IFERROR(__xludf.DUMMYFUNCTION("GOOGLETRANSLATE(B10, ""en"", ""zh"")"),"端午节期间，人们为了纪念屈原，通常会吃些什么？")</f>
        <v>端午节期间，人们为了纪念屈原，通常会吃些什么？</v>
      </c>
      <c r="I10" s="7" t="str">
        <f>IFERROR(__xludf.DUMMYFUNCTION("GOOGLETRANSLATE(C10, ""en"", ""zh"")"),"A) 饺子，B) 月饼，C) 粽子，D) 汤圆")</f>
        <v>A) 饺子，B) 月饼，C) 粽子，D) 汤圆</v>
      </c>
      <c r="J10" s="7" t="str">
        <f>IFERROR(__xludf.DUMMYFUNCTION("GOOGLETRANSLATE(D10, ""en"", ""zh"")"),"C) 粽子")</f>
        <v>C) 粽子</v>
      </c>
      <c r="K10" s="7" t="str">
        <f>IFERROR(__xludf.DUMMYFUNCTION("GOOGLETRANSLATE(E10, ""en"", ""zh"")"),"粽子，也就是糯米团子，是端午节期间的传统食品。")</f>
        <v>粽子，也就是糯米团子，是端午节期间的传统食品。</v>
      </c>
      <c r="L10" s="10"/>
      <c r="M10" s="11"/>
      <c r="N10" s="10"/>
      <c r="O10" s="11"/>
      <c r="P10" s="10"/>
    </row>
    <row r="11">
      <c r="A11" s="7">
        <v>10.0</v>
      </c>
      <c r="B11" s="9" t="s">
        <v>550</v>
      </c>
      <c r="C11" s="9" t="s">
        <v>551</v>
      </c>
      <c r="D11" s="9" t="s">
        <v>552</v>
      </c>
      <c r="E11" s="9" t="s">
        <v>553</v>
      </c>
      <c r="F11" s="10"/>
      <c r="G11" s="10"/>
      <c r="H11" s="7" t="str">
        <f>IFERROR(__xludf.DUMMYFUNCTION("GOOGLETRANSLATE(B11, ""en"", ""zh"")"),"首届龙舟赛旨在象征以下哪一项？")</f>
        <v>首届龙舟赛旨在象征以下哪一项？</v>
      </c>
      <c r="I11" s="7" t="str">
        <f>IFERROR(__xludf.DUMMYFUNCTION("GOOGLETRANSLATE(C11, ""en"", ""zh"")"),"A) 寻找失落的宝藏，B) 战争重演，C) 寻找屈原，D) 祭祀祖先")</f>
        <v>A) 寻找失落的宝藏，B) 战争重演，C) 寻找屈原，D) 祭祀祖先</v>
      </c>
      <c r="J11" s="7" t="str">
        <f>IFERROR(__xludf.DUMMYFUNCTION("GOOGLETRANSLATE(D11, ""en"", ""zh"")"),"C) 寻找屈原")</f>
        <v>C) 寻找屈原</v>
      </c>
      <c r="K11" s="7" t="str">
        <f>IFERROR(__xludf.DUMMYFUNCTION("GOOGLETRANSLATE(E11, ""en"", ""zh"")"),"这场比赛象征着村民们在河中寻找屈原的努力。")</f>
        <v>这场比赛象征着村民们在河中寻找屈原的努力。</v>
      </c>
      <c r="L11" s="10"/>
      <c r="M11" s="11"/>
      <c r="N11" s="10"/>
      <c r="O11" s="11"/>
      <c r="P11" s="10"/>
    </row>
    <row r="12">
      <c r="A12" s="7">
        <v>11.0</v>
      </c>
      <c r="B12" s="9" t="s">
        <v>554</v>
      </c>
      <c r="C12" s="9" t="s">
        <v>555</v>
      </c>
      <c r="D12" s="9" t="s">
        <v>556</v>
      </c>
      <c r="E12" s="9" t="s">
        <v>557</v>
      </c>
      <c r="F12" s="10"/>
      <c r="G12" s="10"/>
      <c r="H12" s="7" t="str">
        <f>IFERROR(__xludf.DUMMYFUNCTION("GOOGLETRANSLATE(B12, ""en"", ""zh"")"),"龙舟传统上会被装饰成哪种神话生物的模样？")</f>
        <v>龙舟传统上会被装饰成哪种神话生物的模样？</v>
      </c>
      <c r="I12" s="7" t="str">
        <f>IFERROR(__xludf.DUMMYFUNCTION("GOOGLETRANSLATE(C12, ""en"", ""zh"")"),"A) 狮子，B) 凤凰，C) 龙，D) 老虎")</f>
        <v>A) 狮子，B) 凤凰，C) 龙，D) 老虎</v>
      </c>
      <c r="J12" s="7" t="str">
        <f>IFERROR(__xludf.DUMMYFUNCTION("GOOGLETRANSLATE(D12, ""en"", ""zh"")"),"C) 龙")</f>
        <v>C) 龙</v>
      </c>
      <c r="K12" s="7" t="str">
        <f>IFERROR(__xludf.DUMMYFUNCTION("GOOGLETRANSLATE(E12, ""en"", ""zh"")"),"船只被装饰成龙的模样，象征着力量和保护。")</f>
        <v>船只被装饰成龙的模样，象征着力量和保护。</v>
      </c>
      <c r="L12" s="10"/>
      <c r="M12" s="11"/>
      <c r="N12" s="10"/>
      <c r="O12" s="11"/>
      <c r="P12" s="10"/>
    </row>
    <row r="13">
      <c r="A13" s="7">
        <v>12.0</v>
      </c>
      <c r="B13" s="9" t="s">
        <v>558</v>
      </c>
      <c r="C13" s="9" t="s">
        <v>559</v>
      </c>
      <c r="D13" s="9" t="s">
        <v>560</v>
      </c>
      <c r="E13" s="9" t="s">
        <v>561</v>
      </c>
      <c r="F13" s="10"/>
      <c r="G13" s="10"/>
      <c r="H13" s="7" t="str">
        <f>IFERROR(__xludf.DUMMYFUNCTION("GOOGLETRANSLATE(B13, ""en"", ""zh"")"),"为什么古代中国人会在端午节往河里扔米？")</f>
        <v>为什么古代中国人会在端午节往河里扔米？</v>
      </c>
      <c r="I13" s="7" t="str">
        <f>IFERROR(__xludf.DUMMYFUNCTION("GOOGLETRANSLATE(C13, ""en"", ""zh"")"),"A) 喂鱼，B) 祭祀祖先，C) 安抚屈原的灵魂，D) 平息河流")</f>
        <v>A) 喂鱼，B) 祭祀祖先，C) 安抚屈原的灵魂，D) 平息河流</v>
      </c>
      <c r="J13" s="7" t="str">
        <f>IFERROR(__xludf.DUMMYFUNCTION("GOOGLETRANSLATE(D13, ""en"", ""zh"")"),"C）为了滋养屈原的灵魂")</f>
        <v>C）为了滋养屈原的灵魂</v>
      </c>
      <c r="K13" s="7" t="str">
        <f>IFERROR(__xludf.DUMMYFUNCTION("GOOGLETRANSLATE(E13, ""en"", ""zh"")"),"人们撒米是为了供养屈原的亡灵，并防止鱼儿打扰他。")</f>
        <v>人们撒米是为了供养屈原的亡灵，并防止鱼儿打扰他。</v>
      </c>
      <c r="L13" s="11"/>
      <c r="M13" s="11"/>
      <c r="N13" s="11"/>
      <c r="O13" s="11"/>
      <c r="P13" s="10"/>
    </row>
    <row r="14">
      <c r="A14" s="7">
        <v>13.0</v>
      </c>
      <c r="B14" s="9" t="s">
        <v>562</v>
      </c>
      <c r="C14" s="9" t="s">
        <v>563</v>
      </c>
      <c r="D14" s="9" t="s">
        <v>564</v>
      </c>
      <c r="E14" s="9" t="s">
        <v>565</v>
      </c>
      <c r="F14" s="10"/>
      <c r="G14" s="10"/>
      <c r="H14" s="7" t="str">
        <f>IFERROR(__xludf.DUMMYFUNCTION("GOOGLETRANSLATE(B14, ""en"", ""zh"")"),"龙舟竞渡运动何时开始在国际上流行起来？")</f>
        <v>龙舟竞渡运动何时开始在国际上流行起来？</v>
      </c>
      <c r="I14" s="7" t="str">
        <f>IFERROR(__xludf.DUMMYFUNCTION("GOOGLETRANSLATE(C14, ""en"", ""zh"")"),"A) 20世纪50年代，B) 20世纪60年代，C) 20世纪70年代，D) 20世纪80年代")</f>
        <v>A) 20世纪50年代，B) 20世纪60年代，C) 20世纪70年代，D) 20世纪80年代</v>
      </c>
      <c r="J14" s="7" t="str">
        <f>IFERROR(__xludf.DUMMYFUNCTION("GOOGLETRANSLATE(D14, ""en"", ""zh"")"),"C) 20世纪70年代")</f>
        <v>C) 20世纪70年代</v>
      </c>
      <c r="K14" s="7" t="str">
        <f>IFERROR(__xludf.DUMMYFUNCTION("GOOGLETRANSLATE(E14, ""en"", ""zh"")"),"这项运动在20世纪70年代获得了国际知名度。")</f>
        <v>这项运动在20世纪70年代获得了国际知名度。</v>
      </c>
      <c r="L14" s="10"/>
      <c r="M14" s="11"/>
      <c r="N14" s="11"/>
      <c r="O14" s="11"/>
      <c r="P14" s="10"/>
    </row>
    <row r="15">
      <c r="A15" s="7">
        <v>14.0</v>
      </c>
      <c r="B15" s="9" t="s">
        <v>566</v>
      </c>
      <c r="C15" s="9" t="s">
        <v>567</v>
      </c>
      <c r="D15" s="9" t="s">
        <v>568</v>
      </c>
      <c r="E15" s="9" t="s">
        <v>569</v>
      </c>
      <c r="F15" s="10"/>
      <c r="G15" s="10"/>
      <c r="H15" s="7" t="str">
        <f>IFERROR(__xludf.DUMMYFUNCTION("GOOGLETRANSLATE(B15, ""en"", ""zh"")"),"首届国际龙舟比赛是哪个主要城市举办的？")</f>
        <v>首届国际龙舟比赛是哪个主要城市举办的？</v>
      </c>
      <c r="I15" s="7" t="str">
        <f>IFERROR(__xludf.DUMMYFUNCTION("GOOGLETRANSLATE(C15, ""en"", ""zh"")"),"A) 香港，B) 北京，C) 上海，D) 台北")</f>
        <v>A) 香港，B) 北京，C) 上海，D) 台北</v>
      </c>
      <c r="J15" s="7" t="str">
        <f>IFERROR(__xludf.DUMMYFUNCTION("GOOGLETRANSLATE(D15, ""en"", ""zh"")"),"A) 香港")</f>
        <v>A) 香港</v>
      </c>
      <c r="K15" s="7" t="str">
        <f>IFERROR(__xludf.DUMMYFUNCTION("GOOGLETRANSLATE(E15, ""en"", ""zh"")"),"香港于1976年举办了首届国际龙舟比赛。")</f>
        <v>香港于1976年举办了首届国际龙舟比赛。</v>
      </c>
      <c r="L15" s="10"/>
      <c r="M15" s="11"/>
      <c r="N15" s="11"/>
      <c r="O15" s="11"/>
      <c r="P15" s="10"/>
    </row>
    <row r="16">
      <c r="A16" s="7">
        <v>15.0</v>
      </c>
      <c r="B16" s="9" t="s">
        <v>570</v>
      </c>
      <c r="C16" s="9" t="s">
        <v>571</v>
      </c>
      <c r="D16" s="9" t="s">
        <v>572</v>
      </c>
      <c r="E16" s="9" t="s">
        <v>573</v>
      </c>
      <c r="F16" s="10"/>
      <c r="G16" s="10"/>
      <c r="H16" s="7" t="str">
        <f>IFERROR(__xludf.DUMMYFUNCTION("GOOGLETRANSLATE(B16, ""en"", ""zh"")"),"传统龙舟的长度是多少？")</f>
        <v>传统龙舟的长度是多少？</v>
      </c>
      <c r="I16" s="7" t="str">
        <f>IFERROR(__xludf.DUMMYFUNCTION("GOOGLETRANSLATE(C16, ""en"", ""zh"")"),"A) 12米，B) 15米，C) 18米，D) 20米")</f>
        <v>A) 12米，B) 15米，C) 18米，D) 20米</v>
      </c>
      <c r="J16" s="7" t="str">
        <f>IFERROR(__xludf.DUMMYFUNCTION("GOOGLETRANSLATE(D16, ""en"", ""zh"")"),"B) 15米")</f>
        <v>B) 15米</v>
      </c>
      <c r="K16" s="7" t="str">
        <f>IFERROR(__xludf.DUMMYFUNCTION("GOOGLETRANSLATE(E16, ""en"", ""zh"")"),"传统龙舟长约15米，可容纳一大群人。")</f>
        <v>传统龙舟长约15米，可容纳一大群人。</v>
      </c>
      <c r="L16" s="10"/>
      <c r="M16" s="11"/>
      <c r="N16" s="10"/>
      <c r="O16" s="11"/>
      <c r="P16" s="10"/>
    </row>
    <row r="17">
      <c r="A17" s="7">
        <v>16.0</v>
      </c>
      <c r="B17" s="9" t="s">
        <v>574</v>
      </c>
      <c r="C17" s="9" t="s">
        <v>575</v>
      </c>
      <c r="D17" s="9" t="s">
        <v>219</v>
      </c>
      <c r="E17" s="9" t="s">
        <v>576</v>
      </c>
      <c r="F17" s="10"/>
      <c r="G17" s="10"/>
      <c r="H17" s="7" t="str">
        <f>IFERROR(__xludf.DUMMYFUNCTION("GOOGLETRANSLATE(B17, ""en"", ""zh"")"),"哪位中国皇帝被认为将龙舟比赛推广为全国性赛事？")</f>
        <v>哪位中国皇帝被认为将龙舟比赛推广为全国性赛事？</v>
      </c>
      <c r="I17" s="7" t="str">
        <f>IFERROR(__xludf.DUMMYFUNCTION("GOOGLETRANSLATE(C17, ""en"", ""zh"")"),"A) 唐太宗 B) 秦始皇 C) 汉武帝 D) 高祖")</f>
        <v>A) 唐太宗 B) 秦始皇 C) 汉武帝 D) 高祖</v>
      </c>
      <c r="J17" s="7" t="str">
        <f>IFERROR(__xludf.DUMMYFUNCTION("GOOGLETRANSLATE(D17, ""en"", ""zh"")"),"A) 皇帝太宗")</f>
        <v>A) 皇帝太宗</v>
      </c>
      <c r="K17" s="7" t="str">
        <f>IFERROR(__xludf.DUMMYFUNCTION("GOOGLETRANSLATE(E17, ""en"", ""zh"")"),"唐太宗大力推广龙舟运动，使之成为全国性运动。")</f>
        <v>唐太宗大力推广龙舟运动，使之成为全国性运动。</v>
      </c>
      <c r="L17" s="10"/>
      <c r="M17" s="11"/>
      <c r="N17" s="11"/>
      <c r="O17" s="11"/>
      <c r="P17" s="10"/>
    </row>
    <row r="18">
      <c r="A18" s="7">
        <v>17.0</v>
      </c>
      <c r="B18" s="9" t="s">
        <v>577</v>
      </c>
      <c r="C18" s="9" t="s">
        <v>578</v>
      </c>
      <c r="D18" s="9" t="s">
        <v>579</v>
      </c>
      <c r="E18" s="9" t="s">
        <v>580</v>
      </c>
      <c r="F18" s="10"/>
      <c r="G18" s="10"/>
      <c r="H18" s="7" t="str">
        <f>IFERROR(__xludf.DUMMYFUNCTION("GOOGLETRANSLATE(B18, ""en"", ""zh"")"),"龙舟赛中击鼓的传统目的是什么？")</f>
        <v>龙舟赛中击鼓的传统目的是什么？</v>
      </c>
      <c r="I18" s="7" t="str">
        <f>IFERROR(__xludf.DUMMYFUNCTION("GOOGLETRANSLATE(C18, ""en"", ""zh"")"),"A) 为了同步划桨，B) 为了庆祝胜利，C) 为了吓走鱼群，D) 为了祭祀祖先")</f>
        <v>A) 为了同步划桨，B) 为了庆祝胜利，C) 为了吓走鱼群，D) 为了祭祀祖先</v>
      </c>
      <c r="J18" s="7" t="str">
        <f>IFERROR(__xludf.DUMMYFUNCTION("GOOGLETRANSLATE(D18, ""en"", ""zh"")"),"A) 同步划桨")</f>
        <v>A) 同步划桨</v>
      </c>
      <c r="K18" s="7" t="str">
        <f>IFERROR(__xludf.DUMMYFUNCTION("GOOGLETRANSLATE(E18, ""en"", ""zh"")"),"鼓点有助于划船者同步划桨，从而达到最大的速度和协调性。")</f>
        <v>鼓点有助于划船者同步划桨，从而达到最大的速度和协调性。</v>
      </c>
      <c r="L18" s="10"/>
      <c r="M18" s="11"/>
      <c r="N18" s="10"/>
      <c r="O18" s="11"/>
      <c r="P18" s="11"/>
    </row>
    <row r="19">
      <c r="A19" s="7">
        <v>18.0</v>
      </c>
      <c r="B19" s="9" t="s">
        <v>581</v>
      </c>
      <c r="C19" s="9" t="s">
        <v>582</v>
      </c>
      <c r="D19" s="9" t="s">
        <v>583</v>
      </c>
      <c r="E19" s="9" t="s">
        <v>584</v>
      </c>
      <c r="F19" s="10"/>
      <c r="G19" s="10"/>
      <c r="H19" s="7" t="str">
        <f>IFERROR(__xludf.DUMMYFUNCTION("GOOGLETRANSLATE(B19, ""en"", ""zh"")"),"端午节期间人们传统上吃哪种粽子？")</f>
        <v>端午节期间人们传统上吃哪种粽子？</v>
      </c>
      <c r="I19" s="7" t="str">
        <f>IFERROR(__xludf.DUMMYFUNCTION("GOOGLETRANSLATE(C19, ""en"", ""zh"")"),"A) 麻糬，B) 粽子，C) 包子，D) 饺子")</f>
        <v>A) 麻糬，B) 粽子，C) 包子，D) 饺子</v>
      </c>
      <c r="J19" s="7" t="str">
        <f>IFERROR(__xludf.DUMMYFUNCTION("GOOGLETRANSLATE(D19, ""en"", ""zh"")"),"B) 粽子")</f>
        <v>B) 粽子</v>
      </c>
      <c r="K19" s="7" t="str">
        <f>IFERROR(__xludf.DUMMYFUNCTION("GOOGLETRANSLATE(E19, ""en"", ""zh"")"),"粽子，即用竹叶包裹的糯米，是节日里的传统食品。")</f>
        <v>粽子，即用竹叶包裹的糯米，是节日里的传统食品。</v>
      </c>
      <c r="L19" s="10"/>
      <c r="M19" s="11"/>
      <c r="N19" s="10"/>
      <c r="O19" s="11"/>
      <c r="P19" s="10"/>
    </row>
    <row r="20">
      <c r="A20" s="7">
        <v>19.0</v>
      </c>
      <c r="B20" s="9" t="s">
        <v>585</v>
      </c>
      <c r="C20" s="9" t="s">
        <v>586</v>
      </c>
      <c r="D20" s="9" t="s">
        <v>587</v>
      </c>
      <c r="E20" s="9" t="s">
        <v>588</v>
      </c>
      <c r="F20" s="10"/>
      <c r="G20" s="10"/>
      <c r="H20" s="7" t="str">
        <f>IFERROR(__xludf.DUMMYFUNCTION("GOOGLETRANSLATE(B20, ""en"", ""zh"")"),"古代中国举办龙舟赛最初是为了确保什么？")</f>
        <v>古代中国举办龙舟赛最初是为了确保什么？</v>
      </c>
      <c r="I20" s="7" t="str">
        <f>IFERROR(__xludf.DUMMYFUNCTION("GOOGLETRANSLATE(C20, ""en"", ""zh"")"),"A) 战争胜利，B) 丰收，C) 健康，D) 农作物所需的雨水")</f>
        <v>A) 战争胜利，B) 丰收，C) 健康，D) 农作物所需的雨水</v>
      </c>
      <c r="J20" s="7" t="str">
        <f>IFERROR(__xludf.DUMMYFUNCTION("GOOGLETRANSLATE(D20, ""en"", ""zh"")"),"D) 农作物所需的雨水")</f>
        <v>D) 农作物所需的雨水</v>
      </c>
      <c r="K20" s="7" t="str">
        <f>IFERROR(__xludf.DUMMYFUNCTION("GOOGLETRANSLATE(E20, ""en"", ""zh"")"),"人们早期认为龙舟赛能招来雨水，促进农业繁荣。")</f>
        <v>人们早期认为龙舟赛能招来雨水，促进农业繁荣。</v>
      </c>
      <c r="L20" s="11"/>
      <c r="M20" s="11"/>
      <c r="N20" s="10"/>
      <c r="O20" s="11"/>
      <c r="P20" s="10"/>
    </row>
    <row r="21">
      <c r="A21" s="7">
        <v>20.0</v>
      </c>
      <c r="B21" s="9" t="s">
        <v>589</v>
      </c>
      <c r="C21" s="9" t="s">
        <v>590</v>
      </c>
      <c r="D21" s="9" t="s">
        <v>591</v>
      </c>
      <c r="E21" s="9" t="s">
        <v>592</v>
      </c>
      <c r="F21" s="10"/>
      <c r="G21" s="10"/>
      <c r="H21" s="7" t="str">
        <f>IFERROR(__xludf.DUMMYFUNCTION("GOOGLETRANSLATE(B21, ""en"", ""zh"")"),"谁被认为是现代龙舟赛的“创始人”？")</f>
        <v>谁被认为是现代龙舟赛的“创始人”？</v>
      </c>
      <c r="I21" s="7" t="str">
        <f>IFERROR(__xludf.DUMMYFUNCTION("GOOGLETRANSLATE(C21, ""en"", ""zh"")"),"A) 李凯，B) 杰弗里·邦德，C) 屈原，D) Stanley Tan")</f>
        <v>A) 李凯，B) 杰弗里·邦德，C) 屈原，D) Stanley Tan</v>
      </c>
      <c r="J21" s="7" t="str">
        <f>IFERROR(__xludf.DUMMYFUNCTION("GOOGLETRANSLATE(D21, ""en"", ""zh"")"),"B) 杰弗里·邦德")</f>
        <v>B) 杰弗里·邦德</v>
      </c>
      <c r="K21" s="7" t="str">
        <f>IFERROR(__xludf.DUMMYFUNCTION("GOOGLETRANSLATE(E21, ""en"", ""zh"")"),"杰弗里·邦德被誉为现代龙舟运动之父，他在国际上推广了这项运动。")</f>
        <v>杰弗里·邦德被誉为现代龙舟运动之父，他在国际上推广了这项运动。</v>
      </c>
      <c r="L21" s="11"/>
      <c r="M21" s="11"/>
      <c r="N21" s="11"/>
      <c r="O21" s="11"/>
      <c r="P21" s="10"/>
    </row>
    <row r="22">
      <c r="A22" s="7">
        <v>21.0</v>
      </c>
      <c r="B22" s="9" t="s">
        <v>593</v>
      </c>
      <c r="C22" s="9" t="s">
        <v>594</v>
      </c>
      <c r="D22" s="9" t="s">
        <v>595</v>
      </c>
      <c r="E22" s="9" t="s">
        <v>596</v>
      </c>
      <c r="F22" s="10"/>
      <c r="G22" s="10"/>
      <c r="H22" s="7" t="str">
        <f>IFERROR(__xludf.DUMMYFUNCTION("GOOGLETRANSLATE(B22, ""en"", ""zh"")"),"端午节标志着屈原一生中的哪件重要事件？")</f>
        <v>端午节标志着屈原一生中的哪件重要事件？</v>
      </c>
      <c r="I22" s="7" t="str">
        <f>IFERROR(__xludf.DUMMYFUNCTION("GOOGLETRANSLATE(C22, ""en"", ""zh"")"),"A) 他的流放，B) 他的诗歌首秀，C) 他的去世，D) 他的晋升")</f>
        <v>A) 他的流放，B) 他的诗歌首秀，C) 他的去世，D) 他的晋升</v>
      </c>
      <c r="J22" s="7" t="str">
        <f>IFERROR(__xludf.DUMMYFUNCTION("GOOGLETRANSLATE(D22, ""en"", ""zh"")"),"C) 他的死")</f>
        <v>C) 他的死</v>
      </c>
      <c r="K22" s="7" t="str">
        <f>IFERROR(__xludf.DUMMYFUNCTION("GOOGLETRANSLATE(E22, ""en"", ""zh"")"),"这个节日是为了纪念屈原逝世周年。")</f>
        <v>这个节日是为了纪念屈原逝世周年。</v>
      </c>
      <c r="L22" s="11"/>
      <c r="M22" s="11"/>
      <c r="N22" s="10"/>
      <c r="O22" s="11"/>
      <c r="P22" s="11"/>
    </row>
    <row r="23">
      <c r="A23" s="7">
        <v>22.0</v>
      </c>
      <c r="B23" s="9" t="s">
        <v>597</v>
      </c>
      <c r="C23" s="9" t="s">
        <v>598</v>
      </c>
      <c r="D23" s="9" t="s">
        <v>599</v>
      </c>
      <c r="E23" s="9" t="s">
        <v>600</v>
      </c>
      <c r="F23" s="10"/>
      <c r="G23" s="10"/>
      <c r="H23" s="7" t="str">
        <f>IFERROR(__xludf.DUMMYFUNCTION("GOOGLETRANSLATE(B23, ""en"", ""zh"")"),"是什么事件导致村民们到河边寻找屈原？")</f>
        <v>是什么事件导致村民们到河边寻找屈原？</v>
      </c>
      <c r="I23" s="7" t="str">
        <f>IFERROR(__xludf.DUMMYFUNCTION("GOOGLETRANSLATE(C23, ""en"", ""zh"")"),"A) 自然灾害，B) 他的失踪，C) 他的溺水，D) 战争")</f>
        <v>A) 自然灾害，B) 他的失踪，C) 他的溺水，D) 战争</v>
      </c>
      <c r="J23" s="7" t="str">
        <f>IFERROR(__xludf.DUMMYFUNCTION("GOOGLETRANSLATE(D23, ""en"", ""zh"")"),"C）他的溺水")</f>
        <v>C）他的溺水</v>
      </c>
      <c r="K23" s="7" t="str">
        <f>IFERROR(__xludf.DUMMYFUNCTION("GOOGLETRANSLATE(E23, ""en"", ""zh"")"),"屈原投河自尽后，村民们在河里寻找他的遗体。")</f>
        <v>屈原投河自尽后，村民们在河里寻找他的遗体。</v>
      </c>
      <c r="L23" s="11"/>
      <c r="M23" s="11"/>
      <c r="N23" s="11"/>
      <c r="O23" s="11"/>
      <c r="P23" s="10"/>
    </row>
    <row r="24">
      <c r="A24" s="7">
        <v>23.0</v>
      </c>
      <c r="B24" s="9" t="s">
        <v>601</v>
      </c>
      <c r="C24" s="9" t="s">
        <v>602</v>
      </c>
      <c r="D24" s="9" t="s">
        <v>603</v>
      </c>
      <c r="E24" s="9" t="s">
        <v>604</v>
      </c>
      <c r="F24" s="10"/>
      <c r="G24" s="10"/>
      <c r="H24" s="7" t="str">
        <f>IFERROR(__xludf.DUMMYFUNCTION("GOOGLETRANSLATE(B24, ""en"", ""zh"")"),"这个节日是在农历几月的第五天举行的？")</f>
        <v>这个节日是在农历几月的第五天举行的？</v>
      </c>
      <c r="I24" s="7" t="str">
        <f>IFERROR(__xludf.DUMMYFUNCTION("GOOGLETRANSLATE(C24, ""en"", ""zh"")"),"A) 第四，B) 第五，C) 第六，D) 第七")</f>
        <v>A) 第四，B) 第五，C) 第六，D) 第七</v>
      </c>
      <c r="J24" s="7" t="str">
        <f>IFERROR(__xludf.DUMMYFUNCTION("GOOGLETRANSLATE(D24, ""en"", ""zh"")"),"B）第五")</f>
        <v>B）第五</v>
      </c>
      <c r="K24" s="7" t="str">
        <f>IFERROR(__xludf.DUMMYFUNCTION("GOOGLETRANSLATE(E24, ""en"", ""zh"")"),"端午节是每年农历五月初五。")</f>
        <v>端午节是每年农历五月初五。</v>
      </c>
      <c r="L24" s="10"/>
      <c r="M24" s="11"/>
      <c r="N24" s="10"/>
      <c r="O24" s="11"/>
      <c r="P24" s="10"/>
    </row>
    <row r="25">
      <c r="A25" s="7">
        <v>24.0</v>
      </c>
      <c r="B25" s="9" t="s">
        <v>605</v>
      </c>
      <c r="C25" s="9" t="s">
        <v>606</v>
      </c>
      <c r="D25" s="9" t="s">
        <v>607</v>
      </c>
      <c r="E25" s="9" t="s">
        <v>608</v>
      </c>
      <c r="F25" s="10"/>
      <c r="G25" s="10"/>
      <c r="H25" s="7" t="str">
        <f>IFERROR(__xludf.DUMMYFUNCTION("GOOGLETRANSLATE(B25, ""en"", ""zh"")"),"在中国古代，端午节又被称为“双五”，原因如下：")</f>
        <v>在中国古代，端午节又被称为“双五”，原因如下：</v>
      </c>
      <c r="I25" s="7" t="str">
        <f>IFERROR(__xludf.DUMMYFUNCTION("GOOGLETRANSLATE(C25, ""en"", ""zh"")"),"A) 双重节日地位，B) 为期两天的庆祝活动，C) 五月初五的日期，D) 双河祭祀仪式")</f>
        <v>A) 双重节日地位，B) 为期两天的庆祝活动，C) 五月初五的日期，D) 双河祭祀仪式</v>
      </c>
      <c r="J25" s="7" t="str">
        <f>IFERROR(__xludf.DUMMYFUNCTION("GOOGLETRANSLATE(D25, ""en"", ""zh"")"),"C) 日期定于五月份的五日")</f>
        <v>C) 日期定于五月份的五日</v>
      </c>
      <c r="K25" s="7" t="str">
        <f>IFERROR(__xludf.DUMMYFUNCTION("GOOGLETRANSLATE(E25, ""en"", ""zh"")"),"这个节日的日期与农历五月初五有关。")</f>
        <v>这个节日的日期与农历五月初五有关。</v>
      </c>
      <c r="L25" s="11"/>
      <c r="M25" s="11"/>
      <c r="N25" s="11"/>
      <c r="O25" s="11"/>
      <c r="P25" s="10"/>
    </row>
    <row r="26">
      <c r="A26" s="7">
        <v>25.0</v>
      </c>
      <c r="B26" s="9" t="s">
        <v>609</v>
      </c>
      <c r="C26" s="9" t="s">
        <v>610</v>
      </c>
      <c r="D26" s="9" t="s">
        <v>611</v>
      </c>
      <c r="E26" s="9" t="s">
        <v>612</v>
      </c>
      <c r="F26" s="10"/>
      <c r="G26" s="10"/>
      <c r="H26" s="7" t="str">
        <f>IFERROR(__xludf.DUMMYFUNCTION("GOOGLETRANSLATE(B26, ""en"", ""zh"")"),"1994年，龙舟比赛被列入哪项国际体育赛事？")</f>
        <v>1994年，龙舟比赛被列入哪项国际体育赛事？</v>
      </c>
      <c r="I26" s="7" t="str">
        <f>IFERROR(__xludf.DUMMYFUNCTION("GOOGLETRANSLATE(C26, ""en"", ""zh"")"),"A) 奥运会，B) 亚运会，C) 东南亚运动会，D) 世界锦标赛")</f>
        <v>A) 奥运会，B) 亚运会，C) 东南亚运动会，D) 世界锦标赛</v>
      </c>
      <c r="J26" s="7" t="str">
        <f>IFERROR(__xludf.DUMMYFUNCTION("GOOGLETRANSLATE(D26, ""en"", ""zh"")"),"B) 亚运会")</f>
        <v>B) 亚运会</v>
      </c>
      <c r="K26" s="7" t="str">
        <f>IFERROR(__xludf.DUMMYFUNCTION("GOOGLETRANSLATE(E26, ""en"", ""zh"")"),"龙舟比赛被列入亚运会比赛项目，这进一步促进了这项运动的发展。")</f>
        <v>龙舟比赛被列入亚运会比赛项目，这进一步促进了这项运动的发展。</v>
      </c>
      <c r="L26" s="10"/>
      <c r="M26" s="11"/>
      <c r="N26" s="10"/>
      <c r="O26" s="11"/>
      <c r="P26" s="10"/>
    </row>
    <row r="27">
      <c r="A27" s="7">
        <v>26.0</v>
      </c>
      <c r="B27" s="9" t="s">
        <v>613</v>
      </c>
      <c r="C27" s="9" t="s">
        <v>614</v>
      </c>
      <c r="D27" s="9" t="s">
        <v>615</v>
      </c>
      <c r="E27" s="9" t="s">
        <v>616</v>
      </c>
      <c r="F27" s="10"/>
      <c r="G27" s="10"/>
      <c r="H27" s="7" t="str">
        <f>IFERROR(__xludf.DUMMYFUNCTION("GOOGLETRANSLATE(B27, ""en"", ""zh"")"),"传统龙舟的主色调通常是什么？")</f>
        <v>传统龙舟的主色调通常是什么？</v>
      </c>
      <c r="I27" s="7" t="str">
        <f>IFERROR(__xludf.DUMMYFUNCTION("GOOGLETRANSLATE(C27, ""en"", ""zh"")"),"A) 红色，B) 蓝色，C) 绿色，D) 金色")</f>
        <v>A) 红色，B) 蓝色，C) 绿色，D) 金色</v>
      </c>
      <c r="J27" s="7" t="str">
        <f>IFERROR(__xludf.DUMMYFUNCTION("GOOGLETRANSLATE(D27, ""en"", ""zh"")"),"A) 红色")</f>
        <v>A) 红色</v>
      </c>
      <c r="K27" s="7" t="str">
        <f>IFERROR(__xludf.DUMMYFUNCTION("GOOGLETRANSLATE(E27, ""en"", ""zh"")"),"红色象征着好运和繁荣，也是龙舟的常用颜色。")</f>
        <v>红色象征着好运和繁荣，也是龙舟的常用颜色。</v>
      </c>
      <c r="L27" s="10"/>
      <c r="M27" s="11"/>
      <c r="N27" s="10"/>
      <c r="O27" s="11"/>
      <c r="P27" s="10"/>
    </row>
    <row r="28">
      <c r="A28" s="7">
        <v>27.0</v>
      </c>
      <c r="B28" s="9" t="s">
        <v>617</v>
      </c>
      <c r="C28" s="9" t="s">
        <v>618</v>
      </c>
      <c r="D28" s="9" t="s">
        <v>619</v>
      </c>
      <c r="E28" s="9" t="s">
        <v>620</v>
      </c>
      <c r="F28" s="10"/>
      <c r="G28" s="10"/>
      <c r="H28" s="7" t="str">
        <f>IFERROR(__xludf.DUMMYFUNCTION("GOOGLETRANSLATE(B28, ""en"", ""zh"")"),"香港哪条河流以举办一年一度的龙舟比赛而闻名？")</f>
        <v>香港哪条河流以举办一年一度的龙舟比赛而闻名？</v>
      </c>
      <c r="I28" s="7" t="str">
        <f>IFERROR(__xludf.DUMMYFUNCTION("GOOGLETRANSLATE(C28, ""en"", ""zh"")"),"A) 珠江，B) 城门江，C) 长江，D) 漓江")</f>
        <v>A) 珠江，B) 城门江，C) 长江，D) 漓江</v>
      </c>
      <c r="J28" s="7" t="str">
        <f>IFERROR(__xludf.DUMMYFUNCTION("GOOGLETRANSLATE(D28, ""en"", ""zh"")"),"B）城门河")</f>
        <v>B）城门河</v>
      </c>
      <c r="K28" s="7" t="str">
        <f>IFERROR(__xludf.DUMMYFUNCTION("GOOGLETRANSLATE(E28, ""en"", ""zh"")"),"香港城门河以一年一度的龙舟竞渡活动而闻名。")</f>
        <v>香港城门河以一年一度的龙舟竞渡活动而闻名。</v>
      </c>
      <c r="L28" s="10"/>
      <c r="M28" s="11"/>
      <c r="N28" s="10"/>
      <c r="O28" s="11"/>
      <c r="P28" s="10"/>
    </row>
    <row r="29">
      <c r="A29" s="7">
        <v>28.0</v>
      </c>
      <c r="B29" s="9" t="s">
        <v>621</v>
      </c>
      <c r="C29" s="9" t="s">
        <v>622</v>
      </c>
      <c r="D29" s="9" t="s">
        <v>623</v>
      </c>
      <c r="E29" s="9" t="s">
        <v>624</v>
      </c>
      <c r="F29" s="10"/>
      <c r="G29" s="10"/>
      <c r="H29" s="7" t="str">
        <f>IFERROR(__xludf.DUMMYFUNCTION("GOOGLETRANSLATE(B29, ""en"", ""zh"")"),"端午节是中国从哪一年成为全国性节日的？")</f>
        <v>端午节是中国从哪一年成为全国性节日的？</v>
      </c>
      <c r="I29" s="7" t="str">
        <f>IFERROR(__xludf.DUMMYFUNCTION("GOOGLETRANSLATE(C29, ""en"", ""zh"")"),"A) 1989年，B) 2001年，C) 2008年，D) 2015年")</f>
        <v>A) 1989年，B) 2001年，C) 2008年，D) 2015年</v>
      </c>
      <c r="J29" s="7" t="str">
        <f>IFERROR(__xludf.DUMMYFUNCTION("GOOGLETRANSLATE(D29, ""en"", ""zh"")"),"© 2008")</f>
        <v>© 2008</v>
      </c>
      <c r="K29" s="7" t="str">
        <f>IFERROR(__xludf.DUMMYFUNCTION("GOOGLETRANSLATE(E29, ""en"", ""zh"")"),"2008年，中国政府将端午节定为国家法定假日。")</f>
        <v>2008年，中国政府将端午节定为国家法定假日。</v>
      </c>
      <c r="L29" s="10"/>
      <c r="M29" s="11"/>
      <c r="N29" s="11"/>
      <c r="O29" s="11"/>
      <c r="P29" s="10"/>
    </row>
    <row r="30">
      <c r="A30" s="7">
        <v>29.0</v>
      </c>
      <c r="B30" s="9" t="s">
        <v>625</v>
      </c>
      <c r="C30" s="9" t="s">
        <v>626</v>
      </c>
      <c r="D30" s="9" t="s">
        <v>627</v>
      </c>
      <c r="E30" s="9" t="s">
        <v>628</v>
      </c>
      <c r="F30" s="10"/>
      <c r="G30" s="10"/>
      <c r="H30" s="7" t="str">
        <f>IFERROR(__xludf.DUMMYFUNCTION("GOOGLETRANSLATE(B30, ""en"", ""zh"")"),"以下哪种食材并非粽子的传统配料？")</f>
        <v>以下哪种食材并非粽子的传统配料？</v>
      </c>
      <c r="I30" s="7" t="str">
        <f>IFERROR(__xludf.DUMMYFUNCTION("GOOGLETRANSLATE(C30, ""en"", ""zh"")"),"A) 米饭，B) 竹叶，C) 肉，D) 面条")</f>
        <v>A) 米饭，B) 竹叶，C) 肉，D) 面条</v>
      </c>
      <c r="J30" s="7" t="str">
        <f>IFERROR(__xludf.DUMMYFUNCTION("GOOGLETRANSLATE(D30, ""en"", ""zh"")"),"D) 面条")</f>
        <v>D) 面条</v>
      </c>
      <c r="K30" s="7" t="str">
        <f>IFERROR(__xludf.DUMMYFUNCTION("GOOGLETRANSLATE(E30, ""en"", ""zh"")"),"粽子是用竹叶包裹的米饭制成的，有时会加入肉，但绝不会加入面条。")</f>
        <v>粽子是用竹叶包裹的米饭制成的，有时会加入肉，但绝不会加入面条。</v>
      </c>
      <c r="L30" s="10"/>
      <c r="M30" s="11"/>
      <c r="N30" s="10"/>
      <c r="O30" s="11"/>
      <c r="P30" s="10"/>
    </row>
    <row r="31">
      <c r="A31" s="7">
        <v>30.0</v>
      </c>
      <c r="B31" s="9" t="s">
        <v>629</v>
      </c>
      <c r="C31" s="9" t="s">
        <v>630</v>
      </c>
      <c r="D31" s="9" t="s">
        <v>631</v>
      </c>
      <c r="E31" s="9" t="s">
        <v>632</v>
      </c>
      <c r="F31" s="10"/>
      <c r="G31" s="10"/>
      <c r="H31" s="7" t="str">
        <f>IFERROR(__xludf.DUMMYFUNCTION("GOOGLETRANSLATE(B31, ""en"", ""zh"")"),"2009年，联合国教科文组织将龙舟竞渡列为什么世界文化遗产？")</f>
        <v>2009年，联合国教科文组织将龙舟竞渡列为什么世界文化遗产？</v>
      </c>
      <c r="I31" s="7" t="str">
        <f>IFERROR(__xludf.DUMMYFUNCTION("GOOGLETRANSLATE(C31, ""en"", ""zh"")"),"A) 文化遗产，B) 民族体育，C) 宗教仪式，D) 节日仪式")</f>
        <v>A) 文化遗产，B) 民族体育，C) 宗教仪式，D) 节日仪式</v>
      </c>
      <c r="J31" s="7" t="str">
        <f>IFERROR(__xludf.DUMMYFUNCTION("GOOGLETRANSLATE(D31, ""en"", ""zh"")"),"A) 文化遗产")</f>
        <v>A) 文化遗产</v>
      </c>
      <c r="K31" s="7" t="str">
        <f>IFERROR(__xludf.DUMMYFUNCTION("GOOGLETRANSLATE(E31, ""en"", ""zh"")"),"联合国教科文组织将龙舟竞渡列为人类非物质文化遗产。")</f>
        <v>联合国教科文组织将龙舟竞渡列为人类非物质文化遗产。</v>
      </c>
      <c r="L31" s="10"/>
      <c r="M31" s="11"/>
      <c r="N31" s="11"/>
      <c r="O31" s="11"/>
      <c r="P31" s="10"/>
    </row>
    <row r="32">
      <c r="A32" s="7">
        <v>31.0</v>
      </c>
      <c r="B32" s="9" t="s">
        <v>633</v>
      </c>
      <c r="C32" s="9" t="s">
        <v>634</v>
      </c>
      <c r="D32" s="9" t="s">
        <v>635</v>
      </c>
      <c r="E32" s="9" t="s">
        <v>636</v>
      </c>
      <c r="F32" s="10"/>
      <c r="G32" s="10"/>
      <c r="H32" s="7" t="str">
        <f>IFERROR(__xludf.DUMMYFUNCTION("GOOGLETRANSLATE(B32, ""en"", ""zh"")"),"龙舟比赛中使用的桨传统上是用什么材料制成的？")</f>
        <v>龙舟比赛中使用的桨传统上是用什么材料制成的？</v>
      </c>
      <c r="I32" s="7" t="str">
        <f>IFERROR(__xludf.DUMMYFUNCTION("GOOGLETRANSLATE(C32, ""en"", ""zh"")"),"A) 金属，B) 竹子，C) 木头，D) 塑料")</f>
        <v>A) 金属，B) 竹子，C) 木头，D) 塑料</v>
      </c>
      <c r="J32" s="7" t="str">
        <f>IFERROR(__xludf.DUMMYFUNCTION("GOOGLETRANSLATE(D32, ""en"", ""zh"")"),"C) 木材")</f>
        <v>C) 木材</v>
      </c>
      <c r="K32" s="7" t="str">
        <f>IFERROR(__xludf.DUMMYFUNCTION("GOOGLETRANSLATE(E32, ""en"", ""zh"")"),"传统龙舟桨由木头制成，反映了古代的做法。")</f>
        <v>传统龙舟桨由木头制成，反映了古代的做法。</v>
      </c>
      <c r="L32" s="10"/>
      <c r="M32" s="11"/>
      <c r="N32" s="11"/>
      <c r="O32" s="11"/>
      <c r="P32" s="11"/>
    </row>
    <row r="33">
      <c r="A33" s="7">
        <v>32.0</v>
      </c>
      <c r="B33" s="9" t="s">
        <v>637</v>
      </c>
      <c r="C33" s="9" t="s">
        <v>638</v>
      </c>
      <c r="D33" s="9" t="s">
        <v>639</v>
      </c>
      <c r="E33" s="9" t="s">
        <v>640</v>
      </c>
      <c r="F33" s="10"/>
      <c r="G33" s="10"/>
      <c r="H33" s="7" t="str">
        <f>IFERROR(__xludf.DUMMYFUNCTION("GOOGLETRANSLATE(B33, ""en"", ""zh"")"),"在早期的比赛中，村民们为什么会奋力划船并敲鼓呢？")</f>
        <v>在早期的比赛中，村民们为什么会奋力划船并敲鼓呢？</v>
      </c>
      <c r="I33" s="7" t="str">
        <f>IFERROR(__xludf.DUMMYFUNCTION("GOOGLETRANSLATE(C33, ""en"", ""zh"")"),"A) 吓唬敌人，B) 驱邪避凶，C) 荣耀皇帝，D) 展示划船技巧")</f>
        <v>A) 吓唬敌人，B) 驱邪避凶，C) 荣耀皇帝，D) 展示划船技巧</v>
      </c>
      <c r="J33" s="7" t="str">
        <f>IFERROR(__xludf.DUMMYFUNCTION("GOOGLETRANSLATE(D33, ""en"", ""zh"")"),"B) 驱邪避凶")</f>
        <v>B) 驱邪避凶</v>
      </c>
      <c r="K33" s="7" t="str">
        <f>IFERROR(__xludf.DUMMYFUNCTION("GOOGLETRANSLATE(E33, ""en"", ""zh"")"),"村民们敲鼓划船，以驱赶水中的鬼魂。")</f>
        <v>村民们敲鼓划船，以驱赶水中的鬼魂。</v>
      </c>
      <c r="L33" s="10"/>
      <c r="M33" s="11"/>
      <c r="N33" s="10"/>
      <c r="O33" s="11"/>
      <c r="P33" s="10"/>
    </row>
    <row r="34">
      <c r="A34" s="7">
        <v>33.0</v>
      </c>
      <c r="B34" s="9" t="s">
        <v>641</v>
      </c>
      <c r="C34" s="9" t="s">
        <v>642</v>
      </c>
      <c r="D34" s="9" t="s">
        <v>643</v>
      </c>
      <c r="E34" s="9" t="s">
        <v>644</v>
      </c>
      <c r="F34" s="10"/>
      <c r="G34" s="10"/>
      <c r="H34" s="7" t="str">
        <f>IFERROR(__xludf.DUMMYFUNCTION("GOOGLETRANSLATE(B34, ""en"", ""zh"")"),"屈原的故事最早记载于哪个朝代的历史文献中？")</f>
        <v>屈原的故事最早记载于哪个朝代的历史文献中？</v>
      </c>
      <c r="I34" s="7" t="str">
        <f>IFERROR(__xludf.DUMMYFUNCTION("GOOGLETRANSLATE(C34, ""en"", ""zh"")"),"A) 周，B) 唐，C) 汉，D) 清")</f>
        <v>A) 周，B) 唐，C) 汉，D) 清</v>
      </c>
      <c r="J34" s="7" t="str">
        <f>IFERROR(__xludf.DUMMYFUNCTION("GOOGLETRANSLATE(D34, ""en"", ""zh"")"),"C) 韩")</f>
        <v>C) 韩</v>
      </c>
      <c r="K34" s="7" t="str">
        <f>IFERROR(__xludf.DUMMYFUNCTION("GOOGLETRANSLATE(E34, ""en"", ""zh"")"),"屈原的故事最早记载于汉代。")</f>
        <v>屈原的故事最早记载于汉代。</v>
      </c>
      <c r="L34" s="10"/>
      <c r="M34" s="11"/>
      <c r="N34" s="11"/>
      <c r="O34" s="11"/>
      <c r="P34" s="10"/>
    </row>
    <row r="35">
      <c r="A35" s="7">
        <v>34.0</v>
      </c>
      <c r="B35" s="9" t="s">
        <v>645</v>
      </c>
      <c r="C35" s="9" t="s">
        <v>646</v>
      </c>
      <c r="D35" s="9" t="s">
        <v>647</v>
      </c>
      <c r="E35" s="9" t="s">
        <v>648</v>
      </c>
      <c r="F35" s="10"/>
      <c r="G35" s="10"/>
      <c r="H35" s="7" t="str">
        <f>IFERROR(__xludf.DUMMYFUNCTION("GOOGLETRANSLATE(B35, ""en"", ""zh"")"),"人们普遍认为龙舟竞渡起源于哪个时期？")</f>
        <v>人们普遍认为龙舟竞渡起源于哪个时期？</v>
      </c>
      <c r="I35" s="7" t="str">
        <f>IFERROR(__xludf.DUMMYFUNCTION("GOOGLETRANSLATE(C35, ""en"", ""zh"")"),"A) 公元前100年，B) 公元前221年，C) 公元前278年，D) 公元前500年")</f>
        <v>A) 公元前100年，B) 公元前221年，C) 公元前278年，D) 公元前500年</v>
      </c>
      <c r="J35" s="7" t="str">
        <f>IFERROR(__xludf.DUMMYFUNCTION("GOOGLETRANSLATE(D35, ""en"", ""zh"")"),"C) 公元前278年")</f>
        <v>C) 公元前278年</v>
      </c>
      <c r="K35" s="7" t="str">
        <f>IFERROR(__xludf.DUMMYFUNCTION("GOOGLETRANSLATE(E35, ""en"", ""zh"")"),"这项运动的起源可以追溯到公元前278年左右，与屈原的去世有关。")</f>
        <v>这项运动的起源可以追溯到公元前278年左右，与屈原的去世有关。</v>
      </c>
      <c r="L35" s="11"/>
      <c r="M35" s="11"/>
      <c r="N35" s="10"/>
      <c r="O35" s="11"/>
      <c r="P35" s="10"/>
    </row>
    <row r="36">
      <c r="A36" s="7">
        <v>35.0</v>
      </c>
      <c r="B36" s="9" t="s">
        <v>649</v>
      </c>
      <c r="C36" s="9" t="s">
        <v>650</v>
      </c>
      <c r="D36" s="9" t="s">
        <v>651</v>
      </c>
      <c r="E36" s="9" t="s">
        <v>652</v>
      </c>
      <c r="F36" s="10"/>
      <c r="G36" s="10"/>
      <c r="H36" s="7" t="str">
        <f>IFERROR(__xludf.DUMMYFUNCTION("GOOGLETRANSLATE(B36, ""en"", ""zh"")"),"为什么龙舟桨传统上都要涂上颜色？")</f>
        <v>为什么龙舟桨传统上都要涂上颜色？</v>
      </c>
      <c r="I36" s="7" t="str">
        <f>IFERROR(__xludf.DUMMYFUNCTION("GOOGLETRANSLATE(C36, ""en"", ""zh"")"),"A) 吸引鱼群，B) 象征团结，C) 召唤龙神，D) 吓走鬼魂")</f>
        <v>A) 吸引鱼群，B) 象征团结，C) 召唤龙神，D) 吓走鬼魂</v>
      </c>
      <c r="J36" s="7" t="str">
        <f>IFERROR(__xludf.DUMMYFUNCTION("GOOGLETRANSLATE(D36, ""en"", ""zh"")"),"C) 召唤龙灵")</f>
        <v>C) 召唤龙灵</v>
      </c>
      <c r="K36" s="7" t="str">
        <f>IFERROR(__xludf.DUMMYFUNCTION("GOOGLETRANSLATE(E36, ""en"", ""zh"")"),"人们相信彩绘船桨可以召唤龙神，带来保护和力量。")</f>
        <v>人们相信彩绘船桨可以召唤龙神，带来保护和力量。</v>
      </c>
      <c r="L36" s="11"/>
      <c r="M36" s="11"/>
      <c r="N36" s="10"/>
      <c r="O36" s="11"/>
      <c r="P36" s="10"/>
    </row>
    <row r="37">
      <c r="A37" s="7">
        <v>36.0</v>
      </c>
      <c r="B37" s="9" t="s">
        <v>653</v>
      </c>
      <c r="C37" s="9" t="s">
        <v>654</v>
      </c>
      <c r="D37" s="9" t="s">
        <v>655</v>
      </c>
      <c r="E37" s="9" t="s">
        <v>656</v>
      </c>
      <c r="F37" s="10"/>
      <c r="G37" s="10"/>
      <c r="H37" s="7" t="str">
        <f>IFERROR(__xludf.DUMMYFUNCTION("GOOGLETRANSLATE(B37, ""en"", ""zh"")"),"是什么事件促使村民们开始了端午节划龙舟的传统？")</f>
        <v>是什么事件促使村民们开始了端午节划龙舟的传统？</v>
      </c>
      <c r="I37" s="7" t="str">
        <f>IFERROR(__xludf.DUMMYFUNCTION("GOOGLETRANSLATE(C37, ""en"", ""zh"")"),"A) 赢得一场战役，B) 救皇帝，C) 失去屈原，D) 收割稻米")</f>
        <v>A) 赢得一场战役，B) 救皇帝，C) 失去屈原，D) 收割稻米</v>
      </c>
      <c r="J37" s="7" t="str">
        <f>IFERROR(__xludf.DUMMYFUNCTION("GOOGLETRANSLATE(D37, ""en"", ""zh"")"),"C）失去曲原")</f>
        <v>C）失去曲原</v>
      </c>
      <c r="K37" s="7" t="str">
        <f>IFERROR(__xludf.DUMMYFUNCTION("GOOGLETRANSLATE(E37, ""en"", ""zh"")"),"这一传统始于村民们悼念在河中溺亡的屈原。")</f>
        <v>这一传统始于村民们悼念在河中溺亡的屈原。</v>
      </c>
      <c r="L37" s="10"/>
      <c r="M37" s="11"/>
      <c r="N37" s="10"/>
      <c r="O37" s="11"/>
      <c r="P37" s="10"/>
    </row>
    <row r="38">
      <c r="A38" s="7">
        <v>37.0</v>
      </c>
      <c r="B38" s="9" t="s">
        <v>657</v>
      </c>
      <c r="C38" s="9" t="s">
        <v>658</v>
      </c>
      <c r="D38" s="9" t="s">
        <v>659</v>
      </c>
      <c r="E38" s="9" t="s">
        <v>660</v>
      </c>
      <c r="F38" s="10"/>
      <c r="G38" s="10"/>
      <c r="H38" s="7" t="str">
        <f>IFERROR(__xludf.DUMMYFUNCTION("GOOGLETRANSLATE(B38, ""en"", ""zh"")"),"以下哪种材料并非传统上用于建造龙舟？")</f>
        <v>以下哪种材料并非传统上用于建造龙舟？</v>
      </c>
      <c r="I38" s="7" t="str">
        <f>IFERROR(__xludf.DUMMYFUNCTION("GOOGLETRANSLATE(C38, ""en"", ""zh"")"),"A) 竹子，B) 木头，C) 钢，D) 油漆")</f>
        <v>A) 竹子，B) 木头，C) 钢，D) 油漆</v>
      </c>
      <c r="J38" s="7" t="str">
        <f>IFERROR(__xludf.DUMMYFUNCTION("GOOGLETRANSLATE(D38, ""en"", ""zh"")"),"C) 钢铁")</f>
        <v>C) 钢铁</v>
      </c>
      <c r="K38" s="7" t="str">
        <f>IFERROR(__xludf.DUMMYFUNCTION("GOOGLETRANSLATE(E38, ""en"", ""zh"")"),"传统龙舟由竹子和木头制成，不含任何钢材。")</f>
        <v>传统龙舟由竹子和木头制成，不含任何钢材。</v>
      </c>
      <c r="L38" s="10"/>
      <c r="M38" s="11"/>
      <c r="N38" s="10"/>
      <c r="O38" s="11"/>
      <c r="P38" s="10"/>
    </row>
    <row r="39">
      <c r="A39" s="7">
        <v>38.0</v>
      </c>
      <c r="B39" s="9" t="s">
        <v>661</v>
      </c>
      <c r="C39" s="9" t="s">
        <v>662</v>
      </c>
      <c r="D39" s="9" t="s">
        <v>663</v>
      </c>
      <c r="E39" s="9" t="s">
        <v>664</v>
      </c>
      <c r="F39" s="10"/>
      <c r="G39" s="10"/>
      <c r="H39" s="7" t="str">
        <f>IFERROR(__xludf.DUMMYFUNCTION("GOOGLETRANSLATE(B39, ""en"", ""zh"")"),"龙舟竞渡运动于1986年传入哪个西方国家？")</f>
        <v>龙舟竞渡运动于1986年传入哪个西方国家？</v>
      </c>
      <c r="I39" s="7" t="str">
        <f>IFERROR(__xludf.DUMMYFUNCTION("GOOGLETRANSLATE(C39, ""en"", ""zh"")"),"A) 美国，B) 加拿大，C) 澳大利亚，D) 英国")</f>
        <v>A) 美国，B) 加拿大，C) 澳大利亚，D) 英国</v>
      </c>
      <c r="J39" s="7" t="str">
        <f>IFERROR(__xludf.DUMMYFUNCTION("GOOGLETRANSLATE(D39, ""en"", ""zh"")"),"B) 加拿大")</f>
        <v>B) 加拿大</v>
      </c>
      <c r="K39" s="7" t="str">
        <f>IFERROR(__xludf.DUMMYFUNCTION("GOOGLETRANSLATE(E39, ""en"", ""zh"")"),"加拿大于 1986 年举办了首届龙舟比赛，引起了整个西部地区的兴趣。")</f>
        <v>加拿大于 1986 年举办了首届龙舟比赛，引起了整个西部地区的兴趣。</v>
      </c>
      <c r="L39" s="10"/>
      <c r="M39" s="11"/>
      <c r="N39" s="10"/>
      <c r="O39" s="11"/>
      <c r="P39" s="10"/>
    </row>
    <row r="40">
      <c r="A40" s="7">
        <v>39.0</v>
      </c>
      <c r="B40" s="9" t="s">
        <v>665</v>
      </c>
      <c r="C40" s="9" t="s">
        <v>666</v>
      </c>
      <c r="D40" s="9" t="s">
        <v>667</v>
      </c>
      <c r="E40" s="9" t="s">
        <v>668</v>
      </c>
      <c r="F40" s="10"/>
      <c r="G40" s="10"/>
      <c r="H40" s="7" t="str">
        <f>IFERROR(__xludf.DUMMYFUNCTION("GOOGLETRANSLATE(B40, ""en"", ""zh"")"),"中国哪个城市每年都会举办历史最悠久的龙舟比赛？")</f>
        <v>中国哪个城市每年都会举办历史最悠久的龙舟比赛？</v>
      </c>
      <c r="I40" s="7" t="str">
        <f>IFERROR(__xludf.DUMMYFUNCTION("GOOGLETRANSLATE(C40, ""en"", ""zh"")"),"A) 广州，B) 屈原的故乡，C) 香港，D) 苏州")</f>
        <v>A) 广州，B) 屈原的故乡，C) 香港，D) 苏州</v>
      </c>
      <c r="J40" s="7" t="str">
        <f>IFERROR(__xludf.DUMMYFUNCTION("GOOGLETRANSLATE(D40, ""en"", ""zh"")"),"A) 广州")</f>
        <v>A) 广州</v>
      </c>
      <c r="K40" s="7" t="str">
        <f>IFERROR(__xludf.DUMMYFUNCTION("GOOGLETRANSLATE(E40, ""en"", ""zh"")"),"广州以举办中国历史最悠久的龙舟比赛之一而闻名。")</f>
        <v>广州以举办中国历史最悠久的龙舟比赛之一而闻名。</v>
      </c>
      <c r="L40" s="10"/>
      <c r="M40" s="11"/>
      <c r="N40" s="10"/>
      <c r="O40" s="11"/>
      <c r="P40" s="10"/>
    </row>
    <row r="41">
      <c r="A41" s="7">
        <v>40.0</v>
      </c>
      <c r="B41" s="9" t="s">
        <v>669</v>
      </c>
      <c r="C41" s="9" t="s">
        <v>670</v>
      </c>
      <c r="D41" s="9" t="s">
        <v>671</v>
      </c>
      <c r="E41" s="9" t="s">
        <v>672</v>
      </c>
      <c r="F41" s="10"/>
      <c r="G41" s="10"/>
      <c r="H41" s="7" t="str">
        <f>IFERROR(__xludf.DUMMYFUNCTION("GOOGLETRANSLATE(B41, ""en"", ""zh"")"),"端午节也是一个回顾主题的时刻？")</f>
        <v>端午节也是一个回顾主题的时刻？</v>
      </c>
      <c r="I41" s="7" t="str">
        <f>IFERROR(__xludf.DUMMYFUNCTION("GOOGLETRANSLATE(C41, ""en"", ""zh"")"),"A) 爱国主义，B) 创造力，C) 创新，D) 物质主义")</f>
        <v>A) 爱国主义，B) 创造力，C) 创新，D) 物质主义</v>
      </c>
      <c r="J41" s="7" t="str">
        <f>IFERROR(__xludf.DUMMYFUNCTION("GOOGLETRANSLATE(D41, ""en"", ""zh"")"),"A）爱国主义")</f>
        <v>A）爱国主义</v>
      </c>
      <c r="K41" s="7" t="str">
        <f>IFERROR(__xludf.DUMMYFUNCTION("GOOGLETRANSLATE(E41, ""en"", ""zh"")"),"该节日颂扬爱国主义，屈原对祖国的忠诚和热爱就是爱国主义的典范。")</f>
        <v>该节日颂扬爱国主义，屈原对祖国的忠诚和热爱就是爱国主义的典范。</v>
      </c>
      <c r="L41" s="10"/>
      <c r="M41" s="11"/>
      <c r="N41" s="11"/>
      <c r="O41" s="11"/>
      <c r="P41" s="11"/>
    </row>
    <row r="42">
      <c r="A42" s="7">
        <v>41.0</v>
      </c>
      <c r="B42" s="9" t="s">
        <v>673</v>
      </c>
      <c r="C42" s="9" t="s">
        <v>674</v>
      </c>
      <c r="D42" s="9" t="s">
        <v>675</v>
      </c>
      <c r="E42" s="9" t="s">
        <v>676</v>
      </c>
      <c r="F42" s="10"/>
      <c r="G42" s="10"/>
      <c r="H42" s="7" t="str">
        <f>IFERROR(__xludf.DUMMYFUNCTION("GOOGLETRANSLATE(B42, ""en"", ""zh"")"),"哪条河与龙舟竞渡的起源有着著名的联系？")</f>
        <v>哪条河与龙舟竞渡的起源有着著名的联系？</v>
      </c>
      <c r="I42" s="7" t="str">
        <f>IFERROR(__xludf.DUMMYFUNCTION("GOOGLETRANSLATE(C42, ""en"", ""zh"")"),"A) 长江，B) 漓江，C) 湘江，D) 黄河")</f>
        <v>A) 长江，B) 漓江，C) 湘江，D) 黄河</v>
      </c>
      <c r="J42" s="7" t="str">
        <f>IFERROR(__xludf.DUMMYFUNCTION("GOOGLETRANSLATE(D42, ""en"", ""zh"")"),"C) 湘江")</f>
        <v>C) 湘江</v>
      </c>
      <c r="K42" s="7" t="str">
        <f>IFERROR(__xludf.DUMMYFUNCTION("GOOGLETRANSLATE(E42, ""en"", ""zh"")"),"湘江是屈原和龙舟竞渡的古老故事的起源地。")</f>
        <v>湘江是屈原和龙舟竞渡的古老故事的起源地。</v>
      </c>
      <c r="L42" s="10"/>
      <c r="M42" s="11"/>
      <c r="N42" s="10"/>
      <c r="O42" s="11"/>
      <c r="P42" s="10"/>
    </row>
    <row r="43">
      <c r="A43" s="7">
        <v>42.0</v>
      </c>
      <c r="B43" s="9" t="s">
        <v>677</v>
      </c>
      <c r="C43" s="9" t="s">
        <v>678</v>
      </c>
      <c r="D43" s="9" t="s">
        <v>679</v>
      </c>
      <c r="E43" s="9" t="s">
        <v>680</v>
      </c>
      <c r="F43" s="10"/>
      <c r="G43" s="10"/>
      <c r="H43" s="7" t="str">
        <f>IFERROR(__xludf.DUMMYFUNCTION("GOOGLETRANSLATE(B43, ""en"", ""zh"")"),"端午节已有两千多年的历史，起源于中国哪个朝代？")</f>
        <v>端午节已有两千多年的历史，起源于中国哪个朝代？</v>
      </c>
      <c r="I43" s="7" t="str">
        <f>IFERROR(__xludf.DUMMYFUNCTION("GOOGLETRANSLATE(C43, ""en"", ""zh"")"),"A) 周，B) 韩，C) 秦，D) 唐")</f>
        <v>A) 周，B) 韩，C) 秦，D) 唐</v>
      </c>
      <c r="J43" s="7" t="str">
        <f>IFERROR(__xludf.DUMMYFUNCTION("GOOGLETRANSLATE(D43, ""en"", ""zh"")"),"A) 周")</f>
        <v>A) 周</v>
      </c>
      <c r="K43" s="7" t="str">
        <f>IFERROR(__xludf.DUMMYFUNCTION("GOOGLETRANSLATE(E43, ""en"", ""zh"")"),"端午节起源于周朝。")</f>
        <v>端午节起源于周朝。</v>
      </c>
      <c r="L43" s="10"/>
      <c r="M43" s="11"/>
      <c r="N43" s="10"/>
      <c r="O43" s="11"/>
      <c r="P43" s="10"/>
    </row>
    <row r="44">
      <c r="A44" s="7">
        <v>43.0</v>
      </c>
      <c r="B44" s="9" t="s">
        <v>681</v>
      </c>
      <c r="C44" s="9" t="s">
        <v>682</v>
      </c>
      <c r="D44" s="9" t="s">
        <v>683</v>
      </c>
      <c r="E44" s="9" t="s">
        <v>684</v>
      </c>
      <c r="F44" s="10"/>
      <c r="G44" s="10"/>
      <c r="H44" s="7" t="str">
        <f>IFERROR(__xludf.DUMMYFUNCTION("GOOGLETRANSLATE(B44, ""en"", ""zh"")"),"与龙舟竞渡相关的屈原传说象征着什么？")</f>
        <v>与龙舟竞渡相关的屈原传说象征着什么？</v>
      </c>
      <c r="I44" s="7" t="str">
        <f>IFERROR(__xludf.DUMMYFUNCTION("GOOGLETRANSLATE(C44, ""en"", ""zh"")"),"A) 反叛，B) 爱国主义，C) 财富，D) 浪漫")</f>
        <v>A) 反叛，B) 爱国主义，C) 财富，D) 浪漫</v>
      </c>
      <c r="J44" s="7" t="str">
        <f>IFERROR(__xludf.DUMMYFUNCTION("GOOGLETRANSLATE(D44, ""en"", ""zh"")"),"B）爱国主义")</f>
        <v>B）爱国主义</v>
      </c>
      <c r="K44" s="7" t="str">
        <f>IFERROR(__xludf.DUMMYFUNCTION("GOOGLETRANSLATE(E44, ""en"", ""zh"")"),"屈原的故事象征着爱国主义，因为他为了自己的信仰和对祖国的热爱而牺牲了自己。")</f>
        <v>屈原的故事象征着爱国主义，因为他为了自己的信仰和对祖国的热爱而牺牲了自己。</v>
      </c>
      <c r="L44" s="10"/>
      <c r="M44" s="11"/>
      <c r="N44" s="10"/>
      <c r="O44" s="11"/>
      <c r="P44" s="10"/>
    </row>
    <row r="45">
      <c r="A45" s="7">
        <v>44.0</v>
      </c>
      <c r="B45" s="9" t="s">
        <v>685</v>
      </c>
      <c r="C45" s="9" t="s">
        <v>686</v>
      </c>
      <c r="D45" s="9" t="s">
        <v>687</v>
      </c>
      <c r="E45" s="9" t="s">
        <v>688</v>
      </c>
      <c r="F45" s="10"/>
      <c r="G45" s="10"/>
      <c r="H45" s="7" t="str">
        <f>IFERROR(__xludf.DUMMYFUNCTION("GOOGLETRANSLATE(B45, ""en"", ""zh"")"),"根据古代信仰，人们认为龙舟中蕴含着哪种元素？")</f>
        <v>根据古代信仰，人们认为龙舟中蕴含着哪种元素？</v>
      </c>
      <c r="I45" s="7" t="str">
        <f>IFERROR(__xludf.DUMMYFUNCTION("GOOGLETRANSLATE(C45, ""en"", ""zh"")"),"A) 水之精灵，B) 火之精灵，C) 龙之精灵，D) 土之精灵")</f>
        <v>A) 水之精灵，B) 火之精灵，C) 龙之精灵，D) 土之精灵</v>
      </c>
      <c r="J45" s="7" t="str">
        <f>IFERROR(__xludf.DUMMYFUNCTION("GOOGLETRANSLATE(D45, ""en"", ""zh"")"),"C) 龙魂")</f>
        <v>C) 龙魂</v>
      </c>
      <c r="K45" s="7" t="str">
        <f>IFERROR(__xludf.DUMMYFUNCTION("GOOGLETRANSLATE(E45, ""en"", ""zh"")"),"人们相信龙神栖息在船只之中，给予船只保护和力量。")</f>
        <v>人们相信龙神栖息在船只之中，给予船只保护和力量。</v>
      </c>
      <c r="L45" s="11"/>
      <c r="M45" s="11"/>
      <c r="N45" s="11"/>
      <c r="O45" s="11"/>
      <c r="P45" s="10"/>
    </row>
    <row r="46">
      <c r="A46" s="7">
        <v>45.0</v>
      </c>
      <c r="B46" s="9" t="s">
        <v>689</v>
      </c>
      <c r="C46" s="9" t="s">
        <v>690</v>
      </c>
      <c r="D46" s="9" t="s">
        <v>691</v>
      </c>
      <c r="E46" s="9" t="s">
        <v>692</v>
      </c>
      <c r="F46" s="10"/>
      <c r="G46" s="10"/>
      <c r="H46" s="7" t="str">
        <f>IFERROR(__xludf.DUMMYFUNCTION("GOOGLETRANSLATE(B46, ""en"", ""zh"")"),"古代人们认为龙舟赛可以抵御什么？")</f>
        <v>古代人们认为龙舟赛可以抵御什么？</v>
      </c>
      <c r="I46" s="7" t="str">
        <f>IFERROR(__xludf.DUMMYFUNCTION("GOOGLETRANSLATE(C46, ""en"", ""zh"")"),"A) 洪水，B) 邪灵，C) 瘟疫，D) 作物歉收")</f>
        <v>A) 洪水，B) 邪灵，C) 瘟疫，D) 作物歉收</v>
      </c>
      <c r="J46" s="7" t="str">
        <f>IFERROR(__xludf.DUMMYFUNCTION("GOOGLETRANSLATE(D46, ""en"", ""zh"")"),"B）邪灵")</f>
        <v>B）邪灵</v>
      </c>
      <c r="K46" s="7" t="str">
        <f>IFERROR(__xludf.DUMMYFUNCTION("GOOGLETRANSLATE(E46, ""en"", ""zh"")"),"人们认为赛马可以驱邪避凶，给社区带来好运。")</f>
        <v>人们认为赛马可以驱邪避凶，给社区带来好运。</v>
      </c>
      <c r="L46" s="10"/>
      <c r="M46" s="11"/>
      <c r="N46" s="10"/>
      <c r="O46" s="11"/>
      <c r="P46" s="10"/>
    </row>
    <row r="47">
      <c r="A47" s="7">
        <v>46.0</v>
      </c>
      <c r="B47" s="9" t="s">
        <v>693</v>
      </c>
      <c r="C47" s="9" t="s">
        <v>694</v>
      </c>
      <c r="D47" s="9" t="s">
        <v>695</v>
      </c>
      <c r="E47" s="9" t="s">
        <v>696</v>
      </c>
      <c r="F47" s="10"/>
      <c r="G47" s="10"/>
      <c r="H47" s="7" t="str">
        <f>IFERROR(__xludf.DUMMYFUNCTION("GOOGLETRANSLATE(B47, ""en"", ""zh"")"),"在船上，人们会进行哪种传统仪式来“唤醒”龙？")</f>
        <v>在船上，人们会进行哪种传统仪式来“唤醒”龙？</v>
      </c>
      <c r="I47" s="7" t="str">
        <f>IFERROR(__xludf.DUMMYFUNCTION("GOOGLETRANSLATE(C47, ""en"", ""zh"")"),"A) 击鼓，B) 画眼睛，C) 吟唱，D) 供奉食物")</f>
        <v>A) 击鼓，B) 画眼睛，C) 吟唱，D) 供奉食物</v>
      </c>
      <c r="J47" s="7" t="str">
        <f>IFERROR(__xludf.DUMMYFUNCTION("GOOGLETRANSLATE(D47, ""en"", ""zh"")"),"B) 画眼睛")</f>
        <v>B) 画眼睛</v>
      </c>
      <c r="K47" s="7" t="str">
        <f>IFERROR(__xludf.DUMMYFUNCTION("GOOGLETRANSLATE(E47, ""en"", ""zh"")"),"在比赛前，船头的眼睛会被涂上颜色，以“唤醒”船上的龙灵。")</f>
        <v>在比赛前，船头的眼睛会被涂上颜色，以“唤醒”船上的龙灵。</v>
      </c>
      <c r="L47" s="10"/>
      <c r="M47" s="11"/>
      <c r="N47" s="11"/>
      <c r="O47" s="11"/>
      <c r="P47" s="11"/>
    </row>
    <row r="48">
      <c r="A48" s="7">
        <v>47.0</v>
      </c>
      <c r="B48" s="9" t="s">
        <v>697</v>
      </c>
      <c r="C48" s="9" t="s">
        <v>698</v>
      </c>
      <c r="D48" s="9" t="s">
        <v>699</v>
      </c>
      <c r="E48" s="9" t="s">
        <v>700</v>
      </c>
      <c r="F48" s="10"/>
      <c r="G48" s="10"/>
      <c r="H48" s="7" t="str">
        <f>IFERROR(__xludf.DUMMYFUNCTION("GOOGLETRANSLATE(B48, ""en"", ""zh"")"),"端午节在中国古代历史上扮演着怎样的重要角色？")</f>
        <v>端午节在中国古代历史上扮演着怎样的重要角色？</v>
      </c>
      <c r="I48" s="7" t="str">
        <f>IFERROR(__xludf.DUMMYFUNCTION("GOOGLETRANSLATE(C48, ""en"", ""zh"")"),"A) 加强社区联系，B) 尊崇皇帝，C) 集结士兵，D) 炫耀财富")</f>
        <v>A) 加强社区联系，B) 尊崇皇帝，C) 集结士兵，D) 炫耀财富</v>
      </c>
      <c r="J48" s="7" t="str">
        <f>IFERROR(__xludf.DUMMYFUNCTION("GOOGLETRANSLATE(D48, ""en"", ""zh"")"),"A) 加强社区联系")</f>
        <v>A) 加强社区联系</v>
      </c>
      <c r="K48" s="7" t="str">
        <f>IFERROR(__xludf.DUMMYFUNCTION("GOOGLETRANSLATE(E48, ""en"", ""zh"")"),"该节日将人们聚集在一起，促进了团结和文化传承。")</f>
        <v>该节日将人们聚集在一起，促进了团结和文化传承。</v>
      </c>
      <c r="L48" s="11"/>
      <c r="M48" s="11"/>
      <c r="N48" s="10"/>
      <c r="O48" s="11"/>
      <c r="P48" s="10"/>
    </row>
    <row r="49">
      <c r="A49" s="7">
        <v>48.0</v>
      </c>
      <c r="B49" s="9" t="s">
        <v>701</v>
      </c>
      <c r="C49" s="9" t="s">
        <v>702</v>
      </c>
      <c r="D49" s="9" t="s">
        <v>703</v>
      </c>
      <c r="E49" s="9" t="s">
        <v>704</v>
      </c>
      <c r="F49" s="10"/>
      <c r="G49" s="10"/>
      <c r="H49" s="7" t="str">
        <f>IFERROR(__xludf.DUMMYFUNCTION("GOOGLETRANSLATE(B49, ""en"", ""zh"")"),"哪个国家是亚洲以外最早开展龙舟运动的国家之一？")</f>
        <v>哪个国家是亚洲以外最早开展龙舟运动的国家之一？</v>
      </c>
      <c r="I49" s="7" t="str">
        <f>IFERROR(__xludf.DUMMYFUNCTION("GOOGLETRANSLATE(C49, ""en"", ""zh"")"),"A) 澳大利亚，B) 美国，C) 加拿大，D) 英国")</f>
        <v>A) 澳大利亚，B) 美国，C) 加拿大，D) 英国</v>
      </c>
      <c r="J49" s="7" t="str">
        <f>IFERROR(__xludf.DUMMYFUNCTION("GOOGLETRANSLATE(D49, ""en"", ""zh"")"),"C) 加拿大")</f>
        <v>C) 加拿大</v>
      </c>
      <c r="K49" s="7" t="str">
        <f>IFERROR(__xludf.DUMMYFUNCTION("GOOGLETRANSLATE(E49, ""en"", ""zh"")"),"加拿大是龙舟竞渡运动的早期倡导者，并将这项运动推广到西方国家。")</f>
        <v>加拿大是龙舟竞渡运动的早期倡导者，并将这项运动推广到西方国家。</v>
      </c>
      <c r="L49" s="10"/>
      <c r="M49" s="11"/>
      <c r="N49" s="10"/>
      <c r="O49" s="11"/>
      <c r="P49" s="11"/>
    </row>
    <row r="50">
      <c r="A50" s="22">
        <v>49.0</v>
      </c>
      <c r="B50" s="9" t="s">
        <v>705</v>
      </c>
      <c r="C50" s="9" t="s">
        <v>706</v>
      </c>
      <c r="D50" s="9" t="s">
        <v>707</v>
      </c>
      <c r="E50" s="9" t="s">
        <v>708</v>
      </c>
      <c r="F50" s="10"/>
      <c r="G50" s="10"/>
      <c r="H50" s="7" t="str">
        <f>IFERROR(__xludf.DUMMYFUNCTION("GOOGLETRANSLATE(B50, ""en"", ""zh"")"),"船上龙头图案的主色调是什么？")</f>
        <v>船上龙头图案的主色调是什么？</v>
      </c>
      <c r="I50" s="7" t="str">
        <f>IFERROR(__xludf.DUMMYFUNCTION("GOOGLETRANSLATE(C50, ""en"", ""zh"")"),"A) 红色，B) 金色，C) 绿色，D) 蓝色")</f>
        <v>A) 红色，B) 金色，C) 绿色，D) 蓝色</v>
      </c>
      <c r="J50" s="7" t="str">
        <f>IFERROR(__xludf.DUMMYFUNCTION("GOOGLETRANSLATE(D50, ""en"", ""zh"")"),"B) 黄金")</f>
        <v>B) 黄金</v>
      </c>
      <c r="K50" s="7" t="str">
        <f>IFERROR(__xludf.DUMMYFUNCTION("GOOGLETRANSLATE(E50, ""en"", ""zh"")"),"龙头通常为金色，在中国文化中象征着力量和权力。")</f>
        <v>龙头通常为金色，在中国文化中象征着力量和权力。</v>
      </c>
      <c r="L50" s="10"/>
      <c r="M50" s="11"/>
      <c r="N50" s="11"/>
      <c r="O50" s="11"/>
      <c r="P50" s="10"/>
    </row>
    <row r="51">
      <c r="A51" s="22">
        <v>50.0</v>
      </c>
      <c r="B51" s="9" t="s">
        <v>709</v>
      </c>
      <c r="C51" s="9" t="s">
        <v>710</v>
      </c>
      <c r="D51" s="9" t="s">
        <v>524</v>
      </c>
      <c r="E51" s="9" t="s">
        <v>711</v>
      </c>
      <c r="F51" s="10"/>
      <c r="G51" s="10"/>
      <c r="H51" s="7" t="str">
        <f>IFERROR(__xludf.DUMMYFUNCTION("GOOGLETRANSLATE(B51, ""en"", ""zh"")"),"哪个节日与龙舟比赛关系最为密切？")</f>
        <v>哪个节日与龙舟比赛关系最为密切？</v>
      </c>
      <c r="I51" s="7" t="str">
        <f>IFERROR(__xludf.DUMMYFUNCTION("GOOGLETRANSLATE(C51, ""en"", ""zh"")"),"A) 中秋节，B) 春节，C) 端午节，D) 元宵节")</f>
        <v>A) 中秋节，B) 春节，C) 端午节，D) 元宵节</v>
      </c>
      <c r="J51" s="7" t="str">
        <f>IFERROR(__xludf.DUMMYFUNCTION("GOOGLETRANSLATE(D51, ""en"", ""zh"")"),"C) 端午节")</f>
        <v>C) 端午节</v>
      </c>
      <c r="K51" s="7" t="str">
        <f>IFERROR(__xludf.DUMMYFUNCTION("GOOGLETRANSLATE(E51, ""en"", ""zh"")"),"端午节，即农历五月初五，是传统的龙舟比赛时间。")</f>
        <v>端午节，即农历五月初五，是传统的龙舟比赛时间。</v>
      </c>
      <c r="L51" s="10"/>
      <c r="M51" s="11"/>
      <c r="N51" s="10"/>
      <c r="O51" s="11"/>
      <c r="P51" s="10"/>
    </row>
    <row r="52">
      <c r="A52" s="22">
        <v>51.0</v>
      </c>
      <c r="B52" s="9" t="s">
        <v>712</v>
      </c>
      <c r="C52" s="9" t="s">
        <v>713</v>
      </c>
      <c r="D52" s="9" t="s">
        <v>714</v>
      </c>
      <c r="E52" s="9" t="s">
        <v>715</v>
      </c>
      <c r="F52" s="10"/>
      <c r="G52" s="10"/>
      <c r="H52" s="7" t="str">
        <f>IFERROR(__xludf.DUMMYFUNCTION("GOOGLETRANSLATE(B52, ""en"", ""zh"")"),"龙舟赛的象征意义是什么？")</f>
        <v>龙舟赛的象征意义是什么？</v>
      </c>
      <c r="I52" s="7" t="str">
        <f>IFERROR(__xludf.DUMMYFUNCTION("GOOGLETRANSLATE(C52, ""en"", ""zh"")"),"A) 庆祝丰收，B) 祭祀祖先，C) 纪念屈原，D) 庆祝夏至")</f>
        <v>A) 庆祝丰收，B) 祭祀祖先，C) 纪念屈原，D) 庆祝夏至</v>
      </c>
      <c r="J52" s="7" t="str">
        <f>IFERROR(__xludf.DUMMYFUNCTION("GOOGLETRANSLATE(D52, ""en"", ""zh"")"),"C）为纪念屈原")</f>
        <v>C）为纪念屈原</v>
      </c>
      <c r="K52" s="7" t="str">
        <f>IFERROR(__xludf.DUMMYFUNCTION("GOOGLETRANSLATE(E52, ""en"", ""zh"")"),"这项赛事是为了纪念诗人屈原而举办的，屈原为了抗议古代中国的腐败而投水自尽。")</f>
        <v>这项赛事是为了纪念诗人屈原而举办的，屈原为了抗议古代中国的腐败而投水自尽。</v>
      </c>
      <c r="L52" s="10"/>
      <c r="M52" s="11"/>
      <c r="N52" s="10"/>
      <c r="O52" s="11"/>
      <c r="P52" s="10"/>
    </row>
    <row r="53">
      <c r="A53" s="22">
        <v>52.0</v>
      </c>
      <c r="B53" s="9" t="s">
        <v>716</v>
      </c>
      <c r="C53" s="9" t="s">
        <v>717</v>
      </c>
      <c r="D53" s="9" t="s">
        <v>718</v>
      </c>
      <c r="E53" s="9" t="s">
        <v>719</v>
      </c>
      <c r="F53" s="10"/>
      <c r="G53" s="10"/>
      <c r="H53" s="7" t="str">
        <f>IFERROR(__xludf.DUMMYFUNCTION("GOOGLETRANSLATE(B53, ""en"", ""zh"")"),"船上的龙尾象征着什么？")</f>
        <v>船上的龙尾象征着什么？</v>
      </c>
      <c r="I53" s="7" t="str">
        <f>IFERROR(__xludf.DUMMYFUNCTION("GOOGLETRANSLATE(C53, ""en"", ""zh"")"),"A) 速度，B) 耐力，C) 力量，D) 团结")</f>
        <v>A) 速度，B) 耐力，C) 力量，D) 团结</v>
      </c>
      <c r="J53" s="7" t="str">
        <f>IFERROR(__xludf.DUMMYFUNCTION("GOOGLETRANSLATE(D53, ""en"", ""zh"")"),"B）耐力")</f>
        <v>B）耐力</v>
      </c>
      <c r="K53" s="7" t="str">
        <f>IFERROR(__xludf.DUMMYFUNCTION("GOOGLETRANSLATE(E53, ""en"", ""zh"")"),"船尾的龙尾象征着比赛中的耐力。")</f>
        <v>船尾的龙尾象征着比赛中的耐力。</v>
      </c>
      <c r="L53" s="10"/>
      <c r="M53" s="11"/>
      <c r="N53" s="10"/>
      <c r="O53" s="11"/>
      <c r="P53" s="10"/>
    </row>
    <row r="54">
      <c r="A54" s="22">
        <v>53.0</v>
      </c>
      <c r="B54" s="9" t="s">
        <v>720</v>
      </c>
      <c r="C54" s="9" t="s">
        <v>721</v>
      </c>
      <c r="D54" s="9" t="s">
        <v>722</v>
      </c>
      <c r="E54" s="9" t="s">
        <v>723</v>
      </c>
      <c r="F54" s="10"/>
      <c r="G54" s="10"/>
      <c r="H54" s="7" t="str">
        <f>IFERROR(__xludf.DUMMYFUNCTION("GOOGLETRANSLATE(B54, ""en"", ""zh"")"),"龙舟桨手通常穿什么样的传统服装？")</f>
        <v>龙舟桨手通常穿什么样的传统服装？</v>
      </c>
      <c r="I54" s="7" t="str">
        <f>IFERROR(__xludf.DUMMYFUNCTION("GOOGLETRANSLATE(C54, ""en"", ""zh"")"),"A) 制服，B) T恤衫，C) 龙主题服装，D) 传统中国长袍")</f>
        <v>A) 制服，B) T恤衫，C) 龙主题服装，D) 传统中国长袍</v>
      </c>
      <c r="J54" s="7" t="str">
        <f>IFERROR(__xludf.DUMMYFUNCTION("GOOGLETRANSLATE(D54, ""en"", ""zh"")"),"A) 制服")</f>
        <v>A) 制服</v>
      </c>
      <c r="K54" s="7" t="str">
        <f>IFERROR(__xludf.DUMMYFUNCTION("GOOGLETRANSLATE(E54, ""en"", ""zh"")"),"桨手们穿着专为比赛设计的舒适且功能齐全的制服。")</f>
        <v>桨手们穿着专为比赛设计的舒适且功能齐全的制服。</v>
      </c>
      <c r="L54" s="11"/>
      <c r="M54" s="11"/>
      <c r="N54" s="10"/>
      <c r="O54" s="11"/>
      <c r="P54" s="10"/>
    </row>
    <row r="55">
      <c r="A55" s="22">
        <v>54.0</v>
      </c>
      <c r="B55" s="9" t="s">
        <v>724</v>
      </c>
      <c r="C55" s="9" t="s">
        <v>725</v>
      </c>
      <c r="D55" s="9" t="s">
        <v>726</v>
      </c>
      <c r="E55" s="9" t="s">
        <v>727</v>
      </c>
      <c r="F55" s="10"/>
      <c r="G55" s="10"/>
      <c r="H55" s="7" t="str">
        <f>IFERROR(__xludf.DUMMYFUNCTION("GOOGLETRANSLATE(B55, ""en"", ""zh"")"),"龙舟龙头在传统上有什么象征意义？")</f>
        <v>龙舟龙头在传统上有什么象征意义？</v>
      </c>
      <c r="I55" s="7" t="str">
        <f>IFERROR(__xludf.DUMMYFUNCTION("GOOGLETRANSLATE(C55, ""en"", ""zh"")"),"A) 标记领地，B) 象征好运，C) 吸引注意力，D) 驱邪避凶")</f>
        <v>A) 标记领地，B) 象征好运，C) 吸引注意力，D) 驱邪避凶</v>
      </c>
      <c r="J55" s="7" t="str">
        <f>IFERROR(__xludf.DUMMYFUNCTION("GOOGLETRANSLATE(D55, ""en"", ""zh"")"),"B) 象征好运")</f>
        <v>B) 象征好运</v>
      </c>
      <c r="K55" s="7" t="str">
        <f>IFERROR(__xludf.DUMMYFUNCTION("GOOGLETRANSLATE(E55, ""en"", ""zh"")"),"人们认为龙头能带来好运，是这项赛事中重要的文化象征。")</f>
        <v>人们认为龙头能带来好运，是这项赛事中重要的文化象征。</v>
      </c>
      <c r="L55" s="10"/>
      <c r="M55" s="11"/>
      <c r="N55" s="10"/>
      <c r="O55" s="11"/>
      <c r="P55" s="10"/>
    </row>
    <row r="56">
      <c r="A56" s="22">
        <v>55.0</v>
      </c>
      <c r="B56" s="9" t="s">
        <v>728</v>
      </c>
      <c r="C56" s="9" t="s">
        <v>729</v>
      </c>
      <c r="D56" s="9" t="s">
        <v>730</v>
      </c>
      <c r="E56" s="9" t="s">
        <v>731</v>
      </c>
      <c r="F56" s="10"/>
      <c r="G56" s="10"/>
      <c r="H56" s="7" t="str">
        <f>IFERROR(__xludf.DUMMYFUNCTION("GOOGLETRANSLATE(B56, ""en"", ""zh"")"),"端午节期间的龙舟竞渡活动是为了纪念什么？")</f>
        <v>端午节期间的龙舟竞渡活动是为了纪念什么？</v>
      </c>
      <c r="I56" s="7" t="str">
        <f>IFERROR(__xludf.DUMMYFUNCTION("GOOGLETRANSLATE(C56, ""en"", ""zh"")"),"A) 夏至，B) 屈原逝世纪念日，C) 收获季节，D) 中国的建立")</f>
        <v>A) 夏至，B) 屈原逝世纪念日，C) 收获季节，D) 中国的建立</v>
      </c>
      <c r="J56" s="7" t="str">
        <f>IFERROR(__xludf.DUMMYFUNCTION("GOOGLETRANSLATE(D56, ""en"", ""zh"")"),"B）屈原逝世周年纪念日")</f>
        <v>B）屈原逝世周年纪念日</v>
      </c>
      <c r="K56" s="7" t="str">
        <f>IFERROR(__xludf.DUMMYFUNCTION("GOOGLETRANSLATE(E56, ""en"", ""zh"")"),"端午节是为了纪念屈原的逝世和他象征性的牺牲行为。")</f>
        <v>端午节是为了纪念屈原的逝世和他象征性的牺牲行为。</v>
      </c>
      <c r="L56" s="10"/>
      <c r="M56" s="11"/>
      <c r="N56" s="10"/>
      <c r="O56" s="11"/>
      <c r="P56" s="10"/>
    </row>
    <row r="57">
      <c r="A57" s="22">
        <v>56.0</v>
      </c>
      <c r="B57" s="9" t="s">
        <v>732</v>
      </c>
      <c r="C57" s="9" t="s">
        <v>733</v>
      </c>
      <c r="D57" s="9" t="s">
        <v>734</v>
      </c>
      <c r="E57" s="9" t="s">
        <v>735</v>
      </c>
      <c r="F57" s="10"/>
      <c r="G57" s="10"/>
      <c r="H57" s="7" t="str">
        <f>IFERROR(__xludf.DUMMYFUNCTION("GOOGLETRANSLATE(B57, ""en"", ""zh"")"),"传统上，龙舟比赛前会在船上放置什么东西以求好运？")</f>
        <v>传统上，龙舟比赛前会在船上放置什么东西以求好运？</v>
      </c>
      <c r="I57" s="7" t="str">
        <f>IFERROR(__xludf.DUMMYFUNCTION("GOOGLETRANSLATE(C57, ""en"", ""zh"")"),"A) 大米，B) 鲜花，C) 硬币，D) 香")</f>
        <v>A) 大米，B) 鲜花，C) 硬币，D) 香</v>
      </c>
      <c r="J57" s="7" t="str">
        <f>IFERROR(__xludf.DUMMYFUNCTION("GOOGLETRANSLATE(D57, ""en"", ""zh"")"),"C) 一枚硬币")</f>
        <v>C) 一枚硬币</v>
      </c>
      <c r="K57" s="7" t="str">
        <f>IFERROR(__xludf.DUMMYFUNCTION("GOOGLETRANSLATE(E57, ""en"", ""zh"")"),"赛前在船上放置一枚硬币是一种传统习俗，人们认为这会带来好运。")</f>
        <v>赛前在船上放置一枚硬币是一种传统习俗，人们认为这会带来好运。</v>
      </c>
      <c r="L57" s="11"/>
      <c r="M57" s="11"/>
      <c r="N57" s="10"/>
      <c r="O57" s="11"/>
      <c r="P57" s="10"/>
    </row>
    <row r="58">
      <c r="A58" s="22">
        <v>57.0</v>
      </c>
      <c r="B58" s="9" t="s">
        <v>736</v>
      </c>
      <c r="C58" s="9" t="s">
        <v>737</v>
      </c>
      <c r="D58" s="9" t="s">
        <v>738</v>
      </c>
      <c r="E58" s="9" t="s">
        <v>739</v>
      </c>
      <c r="F58" s="10"/>
      <c r="G58" s="10"/>
      <c r="H58" s="7" t="str">
        <f>IFERROR(__xludf.DUMMYFUNCTION("GOOGLETRANSLATE(B58, ""en"", ""zh"")"),"龙舟竞渡起源于中国的哪个地区？")</f>
        <v>龙舟竞渡起源于中国的哪个地区？</v>
      </c>
      <c r="I58" s="7" t="str">
        <f>IFERROR(__xludf.DUMMYFUNCTION("GOOGLETRANSLATE(C58, ""en"", ""zh"")"),"A) 中国北方，B) 中国南方，C) 中国中部，D) 中国东部")</f>
        <v>A) 中国北方，B) 中国南方，C) 中国中部，D) 中国东部</v>
      </c>
      <c r="J58" s="7" t="str">
        <f>IFERROR(__xludf.DUMMYFUNCTION("GOOGLETRANSLATE(D58, ""en"", ""zh"")"),"B) 华南地区")</f>
        <v>B) 华南地区</v>
      </c>
      <c r="K58" s="7" t="str">
        <f>IFERROR(__xludf.DUMMYFUNCTION("GOOGLETRANSLATE(E58, ""en"", ""zh"")"),"龙舟竞渡起源于中国南方地区，特别是长江流域。")</f>
        <v>龙舟竞渡起源于中国南方地区，特别是长江流域。</v>
      </c>
      <c r="L58" s="10"/>
      <c r="M58" s="11"/>
      <c r="N58" s="10"/>
      <c r="O58" s="11"/>
      <c r="P58" s="10"/>
    </row>
    <row r="59">
      <c r="A59" s="22">
        <v>58.0</v>
      </c>
      <c r="B59" s="9" t="s">
        <v>740</v>
      </c>
      <c r="C59" s="9" t="s">
        <v>741</v>
      </c>
      <c r="D59" s="9" t="s">
        <v>742</v>
      </c>
      <c r="E59" s="9" t="s">
        <v>743</v>
      </c>
      <c r="F59" s="10"/>
      <c r="G59" s="10"/>
      <c r="H59" s="7" t="str">
        <f>IFERROR(__xludf.DUMMYFUNCTION("GOOGLETRANSLATE(B59, ""en"", ""zh"")"),"龙舟上的装饰通常代表什么？")</f>
        <v>龙舟上的装饰通常代表什么？</v>
      </c>
      <c r="I59" s="7" t="str">
        <f>IFERROR(__xludf.DUMMYFUNCTION("GOOGLETRANSLATE(C59, ""en"", ""zh"")"),"A) 好运，B) 历史意义，C) 团队精神，D) 政治权力")</f>
        <v>A) 好运，B) 历史意义，C) 团队精神，D) 政治权力</v>
      </c>
      <c r="J59" s="7" t="str">
        <f>IFERROR(__xludf.DUMMYFUNCTION("GOOGLETRANSLATE(D59, ""en"", ""zh"")"),"A) 好运")</f>
        <v>A) 好运</v>
      </c>
      <c r="K59" s="7" t="str">
        <f>IFERROR(__xludf.DUMMYFUNCTION("GOOGLETRANSLATE(E59, ""en"", ""zh"")"),"龙形装饰象征着好运，并能保佑船只在比赛中平安无事。")</f>
        <v>龙形装饰象征着好运，并能保佑船只在比赛中平安无事。</v>
      </c>
      <c r="L59" s="11"/>
      <c r="M59" s="11"/>
      <c r="N59" s="11"/>
      <c r="O59" s="11"/>
      <c r="P59" s="10"/>
    </row>
    <row r="60">
      <c r="A60" s="22">
        <v>59.0</v>
      </c>
      <c r="B60" s="9" t="s">
        <v>744</v>
      </c>
      <c r="C60" s="9" t="s">
        <v>745</v>
      </c>
      <c r="D60" s="9" t="s">
        <v>746</v>
      </c>
      <c r="E60" s="9" t="s">
        <v>747</v>
      </c>
      <c r="F60" s="10"/>
      <c r="G60" s="10"/>
      <c r="H60" s="7" t="str">
        <f>IFERROR(__xludf.DUMMYFUNCTION("GOOGLETRANSLATE(B60, ""en"", ""zh"")"),"龙舟上传统的座位安排是怎样的？")</f>
        <v>龙舟上传统的座位安排是怎样的？</v>
      </c>
      <c r="I60" s="7" t="str">
        <f>IFERROR(__xludf.DUMMYFUNCTION("GOOGLETRANSLATE(C60, ""en"", ""zh"")"),"A) 划桨者围成一圈坐着，B) 划桨者分成两排坐着，C) 划桨者排成一列坐着，D) 划桨者分散坐着。")</f>
        <v>A) 划桨者围成一圈坐着，B) 划桨者分成两排坐着，C) 划桨者排成一列坐着，D) 划桨者分散坐着。</v>
      </c>
      <c r="J60" s="7" t="str">
        <f>IFERROR(__xludf.DUMMYFUNCTION("GOOGLETRANSLATE(D60, ""en"", ""zh"")"),"B) 划桨者分两排就座")</f>
        <v>B) 划桨者分两排就座</v>
      </c>
      <c r="K60" s="7" t="str">
        <f>IFERROR(__xludf.DUMMYFUNCTION("GOOGLETRANSLATE(E60, ""en"", ""zh"")"),"在传统的龙舟中，桨手们排成两排，面向前方，以便高效划桨。")</f>
        <v>在传统的龙舟中，桨手们排成两排，面向前方，以便高效划桨。</v>
      </c>
      <c r="L60" s="10"/>
      <c r="M60" s="11"/>
      <c r="N60" s="10"/>
      <c r="O60" s="11"/>
      <c r="P60" s="10"/>
    </row>
    <row r="61">
      <c r="A61" s="22">
        <v>60.0</v>
      </c>
      <c r="B61" s="9" t="s">
        <v>748</v>
      </c>
      <c r="C61" s="9" t="s">
        <v>749</v>
      </c>
      <c r="D61" s="9" t="s">
        <v>750</v>
      </c>
      <c r="E61" s="9" t="s">
        <v>751</v>
      </c>
      <c r="F61" s="10"/>
      <c r="G61" s="10"/>
      <c r="H61" s="7" t="str">
        <f>IFERROR(__xludf.DUMMYFUNCTION("GOOGLETRANSLATE(B61, ""en"", ""zh"")"),"以下哪项是龙舟比赛后常见的传统习俗？")</f>
        <v>以下哪项是龙舟比赛后常见的传统习俗？</v>
      </c>
      <c r="I61" s="7" t="str">
        <f>IFERROR(__xludf.DUMMYFUNCTION("GOOGLETRANSLATE(C61, ""en"", ""zh"")"),"A) 桨手祈祷，B) 桨手饮茶，C) 各队表演胜利之舞，D) 各队互赠礼物")</f>
        <v>A) 桨手祈祷，B) 桨手饮茶，C) 各队表演胜利之舞，D) 各队互赠礼物</v>
      </c>
      <c r="J61" s="7" t="str">
        <f>IFERROR(__xludf.DUMMYFUNCTION("GOOGLETRANSLATE(D61, ""en"", ""zh"")"),"B) 划桨者饮用仪式茶")</f>
        <v>B) 划桨者饮用仪式茶</v>
      </c>
      <c r="K61" s="7" t="str">
        <f>IFERROR(__xludf.DUMMYFUNCTION("GOOGLETRANSLATE(E61, ""en"", ""zh"")"),"比赛结束后，桨手们经常会喝仪式茶来庆祝或放松。")</f>
        <v>比赛结束后，桨手们经常会喝仪式茶来庆祝或放松。</v>
      </c>
      <c r="L61" s="11"/>
      <c r="M61" s="11"/>
      <c r="N61" s="11"/>
      <c r="O61" s="11"/>
      <c r="P61" s="10"/>
    </row>
    <row r="62">
      <c r="A62" s="22">
        <v>61.0</v>
      </c>
      <c r="B62" s="9" t="s">
        <v>752</v>
      </c>
      <c r="C62" s="9" t="s">
        <v>753</v>
      </c>
      <c r="D62" s="9" t="s">
        <v>754</v>
      </c>
      <c r="E62" s="9" t="s">
        <v>755</v>
      </c>
      <c r="F62" s="10"/>
      <c r="G62" s="10"/>
      <c r="H62" s="7" t="str">
        <f>IFERROR(__xludf.DUMMYFUNCTION("GOOGLETRANSLATE(B62, ""en"", ""zh"")"),"龙舟船头通常会放置什么来祈求好运？")</f>
        <v>龙舟船头通常会放置什么来祈求好运？</v>
      </c>
      <c r="I62" s="7" t="str">
        <f>IFERROR(__xludf.DUMMYFUNCTION("GOOGLETRANSLATE(C62, ""en"", ""zh"")"),"A) 一块玉，B) 一个龙头，C) 一面旗帜，D) 一枚硬币")</f>
        <v>A) 一块玉，B) 一个龙头，C) 一面旗帜，D) 一枚硬币</v>
      </c>
      <c r="J62" s="7" t="str">
        <f>IFERROR(__xludf.DUMMYFUNCTION("GOOGLETRANSLATE(D62, ""en"", ""zh"")"),"B) 龙头")</f>
        <v>B) 龙头</v>
      </c>
      <c r="K62" s="7" t="str">
        <f>IFERROR(__xludf.DUMMYFUNCTION("GOOGLETRANSLATE(E62, ""en"", ""zh"")"),"在船头放置龙头，以祈求比赛期间带来好运和庇佑。")</f>
        <v>在船头放置龙头，以祈求比赛期间带来好运和庇佑。</v>
      </c>
      <c r="L62" s="10"/>
      <c r="M62" s="11"/>
      <c r="N62" s="10"/>
      <c r="O62" s="11"/>
      <c r="P62" s="10"/>
    </row>
    <row r="63">
      <c r="A63" s="22">
        <v>62.0</v>
      </c>
      <c r="B63" s="9" t="s">
        <v>756</v>
      </c>
      <c r="C63" s="9" t="s">
        <v>757</v>
      </c>
      <c r="D63" s="9" t="s">
        <v>516</v>
      </c>
      <c r="E63" s="9" t="s">
        <v>758</v>
      </c>
      <c r="F63" s="10"/>
      <c r="G63" s="10"/>
      <c r="H63" s="7" t="str">
        <f>IFERROR(__xludf.DUMMYFUNCTION("GOOGLETRANSLATE(B63, ""en"", ""zh"")"),"龙舟竞渡起源于哪里？")</f>
        <v>龙舟竞渡起源于哪里？</v>
      </c>
      <c r="I63" s="7" t="str">
        <f>IFERROR(__xludf.DUMMYFUNCTION("GOOGLETRANSLATE(C63, ""en"", ""zh"")"),"A) 日本，B) 中国，C) 印度，D) 泰国")</f>
        <v>A) 日本，B) 中国，C) 印度，D) 泰国</v>
      </c>
      <c r="J63" s="7" t="str">
        <f>IFERROR(__xludf.DUMMYFUNCTION("GOOGLETRANSLATE(D63, ""en"", ""zh"")"),"B) 中国")</f>
        <v>B) 中国</v>
      </c>
      <c r="K63" s="7" t="str">
        <f>IFERROR(__xludf.DUMMYFUNCTION("GOOGLETRANSLATE(E63, ""en"", ""zh"")"),"龙舟竞渡起源于中国古代，与纪念屈原有关。")</f>
        <v>龙舟竞渡起源于中国古代，与纪念屈原有关。</v>
      </c>
      <c r="L63" s="10"/>
      <c r="M63" s="11"/>
      <c r="N63" s="10"/>
      <c r="O63" s="11"/>
      <c r="P63" s="10"/>
    </row>
    <row r="64">
      <c r="A64" s="22">
        <v>63.0</v>
      </c>
      <c r="B64" s="9" t="s">
        <v>759</v>
      </c>
      <c r="C64" s="9" t="s">
        <v>760</v>
      </c>
      <c r="D64" s="9" t="s">
        <v>548</v>
      </c>
      <c r="E64" s="9" t="s">
        <v>761</v>
      </c>
      <c r="F64" s="10"/>
      <c r="G64" s="10"/>
      <c r="H64" s="7" t="str">
        <f>IFERROR(__xludf.DUMMYFUNCTION("GOOGLETRANSLATE(B64, ""en"", ""zh"")"),"以下哪一项是端午节期间的传统食物？")</f>
        <v>以下哪一项是端午节期间的传统食物？</v>
      </c>
      <c r="I64" s="7" t="str">
        <f>IFERROR(__xludf.DUMMYFUNCTION("GOOGLETRANSLATE(C64, ""en"", ""zh"")"),"A) 饺子，B) 年糕，C) 粽子，D) 面条")</f>
        <v>A) 饺子，B) 年糕，C) 粽子，D) 面条</v>
      </c>
      <c r="J64" s="7" t="str">
        <f>IFERROR(__xludf.DUMMYFUNCTION("GOOGLETRANSLATE(D64, ""en"", ""zh"")"),"C) 粽子")</f>
        <v>C) 粽子</v>
      </c>
      <c r="K64" s="7" t="str">
        <f>IFERROR(__xludf.DUMMYFUNCTION("GOOGLETRANSLATE(E64, ""en"", ""zh"")"),"粽子，是用竹叶包裹的糯米，是节日期间食用的传统食品。")</f>
        <v>粽子，是用竹叶包裹的糯米，是节日期间食用的传统食品。</v>
      </c>
      <c r="L64" s="10"/>
      <c r="M64" s="11"/>
      <c r="N64" s="10"/>
      <c r="O64" s="11"/>
      <c r="P64" s="10"/>
    </row>
    <row r="65">
      <c r="A65" s="22">
        <v>64.0</v>
      </c>
      <c r="B65" s="9" t="s">
        <v>762</v>
      </c>
      <c r="C65" s="9" t="s">
        <v>763</v>
      </c>
      <c r="D65" s="9" t="s">
        <v>764</v>
      </c>
      <c r="E65" s="9" t="s">
        <v>765</v>
      </c>
      <c r="F65" s="10"/>
      <c r="G65" s="10"/>
      <c r="H65" s="7" t="str">
        <f>IFERROR(__xludf.DUMMYFUNCTION("GOOGLETRANSLATE(B65, ""en"", ""zh"")"),"龙舟比赛在中国有多久的历史了？")</f>
        <v>龙舟比赛在中国有多久的历史了？</v>
      </c>
      <c r="I65" s="7" t="str">
        <f>IFERROR(__xludf.DUMMYFUNCTION("GOOGLETRANSLATE(C65, ""en"", ""zh"")"),"A) 超过1000年，B) 超过2000年，C) 超过3000年，D) 超过500年")</f>
        <v>A) 超过1000年，B) 超过2000年，C) 超过3000年，D) 超过500年</v>
      </c>
      <c r="J65" s="7" t="str">
        <f>IFERROR(__xludf.DUMMYFUNCTION("GOOGLETRANSLATE(D65, ""en"", ""zh"")"),"B) 超过2000年")</f>
        <v>B) 超过2000年</v>
      </c>
      <c r="K65" s="7" t="str">
        <f>IFERROR(__xludf.DUMMYFUNCTION("GOOGLETRANSLATE(E65, ""en"", ""zh"")"),"龙舟竞渡已有2000多年的历史，起源于中国古代。")</f>
        <v>龙舟竞渡已有2000多年的历史，起源于中国古代。</v>
      </c>
      <c r="L65" s="10"/>
      <c r="M65" s="11"/>
      <c r="N65" s="10"/>
      <c r="O65" s="11"/>
      <c r="P65" s="10"/>
    </row>
    <row r="66">
      <c r="A66" s="22">
        <v>65.0</v>
      </c>
      <c r="B66" s="9" t="s">
        <v>766</v>
      </c>
      <c r="C66" s="9" t="s">
        <v>767</v>
      </c>
      <c r="D66" s="9" t="s">
        <v>768</v>
      </c>
      <c r="E66" s="9" t="s">
        <v>769</v>
      </c>
      <c r="F66" s="10"/>
      <c r="G66" s="10"/>
      <c r="H66" s="7" t="str">
        <f>IFERROR(__xludf.DUMMYFUNCTION("GOOGLETRANSLATE(B66, ""en"", ""zh"")"),"端午节期间人们传统上吃的“粽子”是什么？")</f>
        <v>端午节期间人们传统上吃的“粽子”是什么？</v>
      </c>
      <c r="I66" s="7" t="str">
        <f>IFERROR(__xludf.DUMMYFUNCTION("GOOGLETRANSLATE(C66, ""en"", ""zh"")"),"A) 粽子，B) 鱼，C) 面条，D) 薄饼")</f>
        <v>A) 粽子，B) 鱼，C) 面条，D) 薄饼</v>
      </c>
      <c r="J66" s="7" t="str">
        <f>IFERROR(__xludf.DUMMYFUNCTION("GOOGLETRANSLATE(D66, ""en"", ""zh"")"),"A) 粽子")</f>
        <v>A) 粽子</v>
      </c>
      <c r="K66" s="7" t="str">
        <f>IFERROR(__xludf.DUMMYFUNCTION("GOOGLETRANSLATE(E66, ""en"", ""zh"")"),"粽子是用竹叶包裹的传统糯米团子，通常在端午节食用。")</f>
        <v>粽子是用竹叶包裹的传统糯米团子，通常在端午节食用。</v>
      </c>
      <c r="L66" s="10"/>
      <c r="M66" s="11"/>
      <c r="N66" s="10"/>
      <c r="O66" s="11"/>
      <c r="P66" s="10"/>
    </row>
    <row r="67">
      <c r="A67" s="22">
        <v>66.0</v>
      </c>
      <c r="B67" s="9" t="s">
        <v>770</v>
      </c>
      <c r="C67" s="9" t="s">
        <v>771</v>
      </c>
      <c r="D67" s="9" t="s">
        <v>772</v>
      </c>
      <c r="E67" s="9" t="s">
        <v>773</v>
      </c>
      <c r="F67" s="10"/>
      <c r="G67" s="10"/>
      <c r="H67" s="7" t="str">
        <f>IFERROR(__xludf.DUMMYFUNCTION("GOOGLETRANSLATE(B67, ""en"", ""zh"")"),"龙舟赛与哪位历史人物有关？")</f>
        <v>龙舟赛与哪位历史人物有关？</v>
      </c>
      <c r="I67" s="7" t="str">
        <f>IFERROR(__xludf.DUMMYFUNCTION("GOOGLETRANSLATE(C67, ""en"", ""zh"")"),"A) 孔子，B) 孙子，C) 屈原，D) 老子")</f>
        <v>A) 孔子，B) 孙子，C) 屈原，D) 老子</v>
      </c>
      <c r="J67" s="7" t="str">
        <f>IFERROR(__xludf.DUMMYFUNCTION("GOOGLETRANSLATE(D67, ""en"", ""zh"")"),"C) 屈原")</f>
        <v>C) 屈原</v>
      </c>
      <c r="K67" s="7" t="str">
        <f>IFERROR(__xludf.DUMMYFUNCTION("GOOGLETRANSLATE(E67, ""en"", ""zh"")"),"龙舟赛是为了纪念诗人、政治家屈原而举行的，他投水自尽以抗议腐败。")</f>
        <v>龙舟赛是为了纪念诗人、政治家屈原而举行的，他投水自尽以抗议腐败。</v>
      </c>
      <c r="L67" s="10"/>
      <c r="M67" s="11"/>
      <c r="N67" s="10"/>
      <c r="O67" s="11"/>
      <c r="P67" s="10"/>
    </row>
    <row r="68">
      <c r="A68" s="8">
        <v>67.0</v>
      </c>
      <c r="B68" s="18" t="s">
        <v>514</v>
      </c>
      <c r="C68" s="18" t="s">
        <v>774</v>
      </c>
      <c r="D68" s="18" t="s">
        <v>516</v>
      </c>
      <c r="H68" s="7" t="str">
        <f>IFERROR(__xludf.DUMMYFUNCTION("GOOGLETRANSLATE(B68, ""en"", ""zh"")"),"龙舟竞渡起源于哪个国家？")</f>
        <v>龙舟竞渡起源于哪个国家？</v>
      </c>
      <c r="I68" s="7" t="str">
        <f>IFERROR(__xludf.DUMMYFUNCTION("GOOGLETRANSLATE(C68, ""en"", ""zh"")"),"A) 日本 B) 中国 C) 韩国 D) 越南")</f>
        <v>A) 日本 B) 中国 C) 韩国 D) 越南</v>
      </c>
      <c r="J68" s="7" t="str">
        <f>IFERROR(__xludf.DUMMYFUNCTION("GOOGLETRANSLATE(D68, ""en"", ""zh"")"),"B) 中国")</f>
        <v>B) 中国</v>
      </c>
      <c r="K68" s="7" t="str">
        <f>IFERROR(__xludf.DUMMYFUNCTION("GOOGLETRANSLATE(E68, ""en"", ""zh"")"),"#VALUE!")</f>
        <v>#VALUE!</v>
      </c>
    </row>
    <row r="69">
      <c r="A69" s="8">
        <v>68.0</v>
      </c>
      <c r="B69" s="18" t="s">
        <v>775</v>
      </c>
      <c r="C69" s="18" t="s">
        <v>776</v>
      </c>
      <c r="D69" s="18" t="s">
        <v>777</v>
      </c>
      <c r="H69" s="7" t="str">
        <f>IFERROR(__xludf.DUMMYFUNCTION("GOOGLETRANSLATE(B69, ""en"", ""zh"")"),"龙舟赛传统上与哪个节日相关？")</f>
        <v>龙舟赛传统上与哪个节日相关？</v>
      </c>
      <c r="I69" s="7" t="str">
        <f>IFERROR(__xludf.DUMMYFUNCTION("GOOGLETRANSLATE(C69, ""en"", ""zh"")"),"A) 元宵节 B) 端午节 C) 中秋节 D) 春节")</f>
        <v>A) 元宵节 B) 端午节 C) 中秋节 D) 春节</v>
      </c>
      <c r="J69" s="7" t="str">
        <f>IFERROR(__xludf.DUMMYFUNCTION("GOOGLETRANSLATE(D69, ""en"", ""zh"")"),"B) 端午节")</f>
        <v>B) 端午节</v>
      </c>
      <c r="K69" s="7" t="str">
        <f>IFERROR(__xludf.DUMMYFUNCTION("GOOGLETRANSLATE(E69, ""en"", ""zh"")"),"#VALUE!")</f>
        <v>#VALUE!</v>
      </c>
    </row>
    <row r="70">
      <c r="A70" s="8">
        <v>69.0</v>
      </c>
      <c r="B70" s="18" t="s">
        <v>778</v>
      </c>
      <c r="C70" s="18" t="s">
        <v>779</v>
      </c>
      <c r="D70" s="18" t="s">
        <v>520</v>
      </c>
      <c r="H70" s="7" t="str">
        <f>IFERROR(__xludf.DUMMYFUNCTION("GOOGLETRANSLATE(B70, ""en"", ""zh"")"),"端午节是为了纪念哪位历史人物？")</f>
        <v>端午节是为了纪念哪位历史人物？</v>
      </c>
      <c r="I70" s="7" t="str">
        <f>IFERROR(__xludf.DUMMYFUNCTION("GOOGLETRANSLATE(C70, ""en"", ""zh"")"),"A) 孔子 B) 屈原 C) 孙子 D) 老子")</f>
        <v>A) 孔子 B) 屈原 C) 孙子 D) 老子</v>
      </c>
      <c r="J70" s="7" t="str">
        <f>IFERROR(__xludf.DUMMYFUNCTION("GOOGLETRANSLATE(D70, ""en"", ""zh"")"),"B) 屈原")</f>
        <v>B) 屈原</v>
      </c>
      <c r="K70" s="7" t="str">
        <f>IFERROR(__xludf.DUMMYFUNCTION("GOOGLETRANSLATE(E70, ""en"", ""zh"")"),"#VALUE!")</f>
        <v>#VALUE!</v>
      </c>
    </row>
    <row r="71">
      <c r="A71" s="8">
        <v>70.0</v>
      </c>
      <c r="B71" s="18" t="s">
        <v>780</v>
      </c>
      <c r="C71" s="18" t="s">
        <v>781</v>
      </c>
      <c r="D71" s="18" t="s">
        <v>782</v>
      </c>
      <c r="H71" s="7" t="str">
        <f>IFERROR(__xludf.DUMMYFUNCTION("GOOGLETRANSLATE(B71, ""en"", ""zh"")"),"龙舟竞渡最早的文字记载出现在哪个朝代？")</f>
        <v>龙舟竞渡最早的文字记载出现在哪个朝代？</v>
      </c>
      <c r="I71" s="7" t="str">
        <f>IFERROR(__xludf.DUMMYFUNCTION("GOOGLETRANSLATE(C71, ""en"", ""zh"")"),"A) 唐朝 B) 汉朝 C) 明朝 D) 清朝")</f>
        <v>A) 唐朝 B) 汉朝 C) 明朝 D) 清朝</v>
      </c>
      <c r="J71" s="7" t="str">
        <f>IFERROR(__xludf.DUMMYFUNCTION("GOOGLETRANSLATE(D71, ""en"", ""zh"")"),"B）汉朝")</f>
        <v>B）汉朝</v>
      </c>
      <c r="K71" s="7" t="str">
        <f>IFERROR(__xludf.DUMMYFUNCTION("GOOGLETRANSLATE(E71, ""en"", ""zh"")"),"#VALUE!")</f>
        <v>#VALUE!</v>
      </c>
    </row>
    <row r="72">
      <c r="A72" s="8">
        <v>71.0</v>
      </c>
      <c r="B72" s="18" t="s">
        <v>783</v>
      </c>
      <c r="C72" s="18" t="s">
        <v>784</v>
      </c>
      <c r="D72" s="18" t="s">
        <v>785</v>
      </c>
      <c r="H72" s="7" t="str">
        <f>IFERROR(__xludf.DUMMYFUNCTION("GOOGLETRANSLATE(B72, ""en"", ""zh"")"),"龙舟比赛用船都装饰着什么？")</f>
        <v>龙舟比赛用船都装饰着什么？</v>
      </c>
      <c r="I72" s="7" t="str">
        <f>IFERROR(__xludf.DUMMYFUNCTION("GOOGLETRANSLATE(C72, ""en"", ""zh"")"),"A) 动物头像 B) 龙头 C) 凤凰尾羽 D) 虎纹")</f>
        <v>A) 动物头像 B) 龙头 C) 凤凰尾羽 D) 虎纹</v>
      </c>
      <c r="J72" s="7" t="str">
        <f>IFERROR(__xludf.DUMMYFUNCTION("GOOGLETRANSLATE(D72, ""en"", ""zh"")"),"B) 龙头")</f>
        <v>B) 龙头</v>
      </c>
      <c r="K72" s="7" t="str">
        <f>IFERROR(__xludf.DUMMYFUNCTION("GOOGLETRANSLATE(E72, ""en"", ""zh"")"),"#VALUE!")</f>
        <v>#VALUE!</v>
      </c>
    </row>
    <row r="73">
      <c r="A73" s="8">
        <v>72.0</v>
      </c>
      <c r="B73" s="18" t="s">
        <v>786</v>
      </c>
      <c r="C73" s="18" t="s">
        <v>787</v>
      </c>
      <c r="D73" s="18" t="s">
        <v>788</v>
      </c>
      <c r="H73" s="7" t="str">
        <f>IFERROR(__xludf.DUMMYFUNCTION("GOOGLETRANSLATE(B73, ""en"", ""zh"")"),"历史上，龙舟竞渡的目的是什么？")</f>
        <v>历史上，龙舟竞渡的目的是什么？</v>
      </c>
      <c r="I73" s="7" t="str">
        <f>IFERROR(__xludf.DUMMYFUNCTION("GOOGLETRANSLATE(C73, ""en"", ""zh"")"),"A) 宗教仪式 B) 军事训练 C) 社区凝聚力 D) 贸易")</f>
        <v>A) 宗教仪式 B) 军事训练 C) 社区凝聚力 D) 贸易</v>
      </c>
      <c r="J73" s="7" t="str">
        <f>IFERROR(__xludf.DUMMYFUNCTION("GOOGLETRANSLATE(D73, ""en"", ""zh"")"),"C) 社区凝聚力")</f>
        <v>C) 社区凝聚力</v>
      </c>
      <c r="K73" s="7" t="str">
        <f>IFERROR(__xludf.DUMMYFUNCTION("GOOGLETRANSLATE(E73, ""en"", ""zh"")"),"#VALUE!")</f>
        <v>#VALUE!</v>
      </c>
    </row>
    <row r="74">
      <c r="A74" s="8">
        <v>73.0</v>
      </c>
      <c r="B74" s="18" t="s">
        <v>789</v>
      </c>
      <c r="C74" s="18" t="s">
        <v>790</v>
      </c>
      <c r="D74" s="18" t="s">
        <v>791</v>
      </c>
      <c r="H74" s="7" t="str">
        <f>IFERROR(__xludf.DUMMYFUNCTION("GOOGLETRANSLATE(B74, ""en"", ""zh"")"),"传统龙舟的标准长度大约是多少？")</f>
        <v>传统龙舟的标准长度大约是多少？</v>
      </c>
      <c r="I74" s="7" t="str">
        <f>IFERROR(__xludf.DUMMYFUNCTION("GOOGLETRANSLATE(C74, ""en"", ""zh"")"),"A) 12米 B) 18米 C) 24米 D) 30米")</f>
        <v>A) 12米 B) 18米 C) 24米 D) 30米</v>
      </c>
      <c r="J74" s="7" t="str">
        <f>IFERROR(__xludf.DUMMYFUNCTION("GOOGLETRANSLATE(D74, ""en"", ""zh"")"),"C) 24米")</f>
        <v>C) 24米</v>
      </c>
      <c r="K74" s="7" t="str">
        <f>IFERROR(__xludf.DUMMYFUNCTION("GOOGLETRANSLATE(E74, ""en"", ""zh"")"),"#VALUE!")</f>
        <v>#VALUE!</v>
      </c>
    </row>
    <row r="75">
      <c r="A75" s="8">
        <v>74.0</v>
      </c>
      <c r="B75" s="18" t="s">
        <v>792</v>
      </c>
      <c r="C75" s="18" t="s">
        <v>793</v>
      </c>
      <c r="D75" s="18" t="s">
        <v>794</v>
      </c>
      <c r="H75" s="7" t="str">
        <f>IFERROR(__xludf.DUMMYFUNCTION("GOOGLETRANSLATE(B75, ""en"", ""zh"")"),"龙舟队通常由多少名桨手组成？")</f>
        <v>龙舟队通常由多少名桨手组成？</v>
      </c>
      <c r="I75" s="7" t="str">
        <f>IFERROR(__xludf.DUMMYFUNCTION("GOOGLETRANSLATE(C75, ""en"", ""zh"")"),"A) 10 B) 20 C) 40 D) 50")</f>
        <v>A) 10 B) 20 C) 40 D) 50</v>
      </c>
      <c r="J75" s="7" t="str">
        <f>IFERROR(__xludf.DUMMYFUNCTION("GOOGLETRANSLATE(D75, ""en"", ""zh"")"),"C) 40")</f>
        <v>C) 40</v>
      </c>
      <c r="K75" s="7" t="str">
        <f>IFERROR(__xludf.DUMMYFUNCTION("GOOGLETRANSLATE(E75, ""en"", ""zh"")"),"#VALUE!")</f>
        <v>#VALUE!</v>
      </c>
    </row>
    <row r="76">
      <c r="A76" s="17">
        <v>75.0</v>
      </c>
      <c r="B76" s="18" t="s">
        <v>795</v>
      </c>
      <c r="C76" s="18" t="s">
        <v>796</v>
      </c>
      <c r="D76" s="18" t="s">
        <v>797</v>
      </c>
      <c r="H76" s="7" t="str">
        <f>IFERROR(__xludf.DUMMYFUNCTION("GOOGLETRANSLATE(B76, ""en"", ""zh"")"),"中国哪个省份以龙舟竞渡传统而闻名？")</f>
        <v>中国哪个省份以龙舟竞渡传统而闻名？</v>
      </c>
      <c r="I76" s="7" t="str">
        <f>IFERROR(__xludf.DUMMYFUNCTION("GOOGLETRANSLATE(C76, ""en"", ""zh"")"),"A) 广东 B) 湖南 C) 湖北 D) 江苏")</f>
        <v>A) 广东 B) 湖南 C) 湖北 D) 江苏</v>
      </c>
      <c r="J76" s="7" t="str">
        <f>IFERROR(__xludf.DUMMYFUNCTION("GOOGLETRANSLATE(D76, ""en"", ""zh"")"),"C) 湖北")</f>
        <v>C) 湖北</v>
      </c>
      <c r="K76" s="7" t="str">
        <f>IFERROR(__xludf.DUMMYFUNCTION("GOOGLETRANSLATE(E76, ""en"", ""zh"")"),"#VALUE!")</f>
        <v>#VALUE!</v>
      </c>
    </row>
    <row r="77">
      <c r="A77" s="17">
        <v>76.0</v>
      </c>
      <c r="B77" s="18" t="s">
        <v>798</v>
      </c>
      <c r="C77" s="18" t="s">
        <v>799</v>
      </c>
      <c r="D77" s="18" t="s">
        <v>800</v>
      </c>
      <c r="H77" s="7" t="str">
        <f>IFERROR(__xludf.DUMMYFUNCTION("GOOGLETRANSLATE(B77, ""en"", ""zh"")"),"龙舟比赛中的鼓手起什么作用？")</f>
        <v>龙舟比赛中的鼓手起什么作用？</v>
      </c>
      <c r="I77" s="7" t="str">
        <f>IFERROR(__xludf.DUMMYFUNCTION("GOOGLETRANSLATE(C77, ""en"", ""zh"")"),"A) 数划水次数 B) 掌舵 C) 为队伍加油 D) 计时")</f>
        <v>A) 数划水次数 B) 掌舵 C) 为队伍加油 D) 计时</v>
      </c>
      <c r="J77" s="7" t="str">
        <f>IFERROR(__xludf.DUMMYFUNCTION("GOOGLETRANSLATE(D77, ""en"", ""zh"")"),"A) 数笔画")</f>
        <v>A) 数笔画</v>
      </c>
      <c r="K77" s="7" t="str">
        <f>IFERROR(__xludf.DUMMYFUNCTION("GOOGLETRANSLATE(E77, ""en"", ""zh"")"),"#VALUE!")</f>
        <v>#VALUE!</v>
      </c>
    </row>
    <row r="78">
      <c r="A78" s="17">
        <v>77.0</v>
      </c>
      <c r="B78" s="18" t="s">
        <v>801</v>
      </c>
      <c r="C78" s="18" t="s">
        <v>802</v>
      </c>
      <c r="D78" s="18" t="s">
        <v>803</v>
      </c>
      <c r="H78" s="7" t="str">
        <f>IFERROR(__xludf.DUMMYFUNCTION("GOOGLETRANSLATE(B78, ""en"", ""zh"")"),"龙舟赛最初是为了纪念谁？")</f>
        <v>龙舟赛最初是为了纪念谁？</v>
      </c>
      <c r="I78" s="7" t="str">
        <f>IFERROR(__xludf.DUMMYFUNCTION("GOOGLETRANSLATE(C78, ""en"", ""zh"")"),"A) 地方统治者 B) 河神 C) 诗人 D) 农民")</f>
        <v>A) 地方统治者 B) 河神 C) 诗人 D) 农民</v>
      </c>
      <c r="J78" s="7" t="str">
        <f>IFERROR(__xludf.DUMMYFUNCTION("GOOGLETRANSLATE(D78, ""en"", ""zh"")"),"B）河神")</f>
        <v>B）河神</v>
      </c>
      <c r="K78" s="7" t="str">
        <f>IFERROR(__xludf.DUMMYFUNCTION("GOOGLETRANSLATE(E78, ""en"", ""zh"")"),"#VALUE!")</f>
        <v>#VALUE!</v>
      </c>
    </row>
    <row r="79">
      <c r="A79" s="17">
        <v>78.0</v>
      </c>
      <c r="B79" s="18" t="s">
        <v>804</v>
      </c>
      <c r="C79" s="18" t="s">
        <v>805</v>
      </c>
      <c r="D79" s="18" t="s">
        <v>603</v>
      </c>
      <c r="H79" s="7" t="str">
        <f>IFERROR(__xludf.DUMMYFUNCTION("GOOGLETRANSLATE(B79, ""en"", ""zh"")"),"端午节是农历哪个月？")</f>
        <v>端午节是农历哪个月？</v>
      </c>
      <c r="I79" s="7" t="str">
        <f>IFERROR(__xludf.DUMMYFUNCTION("GOOGLETRANSLATE(C79, ""en"", ""zh"")"),"A) 第三 B) 第五 C) 第七 D) 第九")</f>
        <v>A) 第三 B) 第五 C) 第七 D) 第九</v>
      </c>
      <c r="J79" s="7" t="str">
        <f>IFERROR(__xludf.DUMMYFUNCTION("GOOGLETRANSLATE(D79, ""en"", ""zh"")"),"B）第五")</f>
        <v>B）第五</v>
      </c>
      <c r="K79" s="7" t="str">
        <f>IFERROR(__xludf.DUMMYFUNCTION("GOOGLETRANSLATE(E79, ""en"", ""zh"")"),"#VALUE!")</f>
        <v>#VALUE!</v>
      </c>
    </row>
    <row r="80">
      <c r="A80" s="17">
        <v>79.0</v>
      </c>
      <c r="B80" s="18" t="s">
        <v>806</v>
      </c>
      <c r="C80" s="18" t="s">
        <v>807</v>
      </c>
      <c r="D80" s="18" t="s">
        <v>808</v>
      </c>
      <c r="H80" s="7" t="str">
        <f>IFERROR(__xludf.DUMMYFUNCTION("GOOGLETRANSLATE(B80, ""en"", ""zh"")"),"龙舟比赛用什么工具推进？")</f>
        <v>龙舟比赛用什么工具推进？</v>
      </c>
      <c r="I80" s="7" t="str">
        <f>IFERROR(__xludf.DUMMYFUNCTION("GOOGLETRANSLATE(C80, ""en"", ""zh"")"),"A) 桨 B) 船桨 C) 撑杆 D) 手")</f>
        <v>A) 桨 B) 船桨 C) 撑杆 D) 手</v>
      </c>
      <c r="J80" s="7" t="str">
        <f>IFERROR(__xludf.DUMMYFUNCTION("GOOGLETRANSLATE(D80, ""en"", ""zh"")"),"B）桨")</f>
        <v>B）桨</v>
      </c>
      <c r="K80" s="7" t="str">
        <f>IFERROR(__xludf.DUMMYFUNCTION("GOOGLETRANSLATE(E80, ""en"", ""zh"")"),"#VALUE!")</f>
        <v>#VALUE!</v>
      </c>
    </row>
    <row r="81">
      <c r="A81" s="17">
        <v>80.0</v>
      </c>
      <c r="B81" s="18" t="s">
        <v>809</v>
      </c>
      <c r="C81" s="18" t="s">
        <v>810</v>
      </c>
      <c r="D81" s="18" t="s">
        <v>811</v>
      </c>
      <c r="H81" s="7" t="str">
        <f>IFERROR(__xludf.DUMMYFUNCTION("GOOGLETRANSLATE(B81, ""en"", ""zh"")"),"在中国文化中，龙舟竞渡被视为什么象征？")</f>
        <v>在中国文化中，龙舟竞渡被视为什么象征？</v>
      </c>
      <c r="I81" s="7" t="str">
        <f>IFERROR(__xludf.DUMMYFUNCTION("GOOGLETRANSLATE(C81, ""en"", ""zh"")"),"A) 勇气与团队合作 B) 财富 C) 艺术才能 D) 冥想")</f>
        <v>A) 勇气与团队合作 B) 财富 C) 艺术才能 D) 冥想</v>
      </c>
      <c r="J81" s="7" t="str">
        <f>IFERROR(__xludf.DUMMYFUNCTION("GOOGLETRANSLATE(D81, ""en"", ""zh"")"),"A) 勇气和团队合作")</f>
        <v>A) 勇气和团队合作</v>
      </c>
      <c r="K81" s="7" t="str">
        <f>IFERROR(__xludf.DUMMYFUNCTION("GOOGLETRANSLATE(E81, ""en"", ""zh"")"),"#VALUE!")</f>
        <v>#VALUE!</v>
      </c>
    </row>
    <row r="82">
      <c r="A82" s="17">
        <v>81.0</v>
      </c>
      <c r="B82" s="18" t="s">
        <v>812</v>
      </c>
      <c r="C82" s="18" t="s">
        <v>813</v>
      </c>
      <c r="D82" s="18" t="s">
        <v>814</v>
      </c>
      <c r="H82" s="7" t="str">
        <f>IFERROR(__xludf.DUMMYFUNCTION("GOOGLETRANSLATE(B82, ""en"", ""zh"")"),"与龙舟竞渡相关的屈原，以什么职业闻名？")</f>
        <v>与龙舟竞渡相关的屈原，以什么职业闻名？</v>
      </c>
      <c r="I82" s="7" t="str">
        <f>IFERROR(__xludf.DUMMYFUNCTION("GOOGLETRANSLATE(C82, ""en"", ""zh"")"),"A) 诗人兼牧师 B) 战士 C) 农民 D) 商人")</f>
        <v>A) 诗人兼牧师 B) 战士 C) 农民 D) 商人</v>
      </c>
      <c r="J82" s="7" t="str">
        <f>IFERROR(__xludf.DUMMYFUNCTION("GOOGLETRANSLATE(D82, ""en"", ""zh"")"),"A) 诗人兼牧师")</f>
        <v>A) 诗人兼牧师</v>
      </c>
      <c r="K82" s="7" t="str">
        <f>IFERROR(__xludf.DUMMYFUNCTION("GOOGLETRANSLATE(E82, ""en"", ""zh"")"),"#VALUE!")</f>
        <v>#VALUE!</v>
      </c>
    </row>
    <row r="83">
      <c r="A83" s="17">
        <v>82.0</v>
      </c>
      <c r="B83" s="18" t="s">
        <v>815</v>
      </c>
      <c r="C83" s="18" t="s">
        <v>816</v>
      </c>
      <c r="D83" s="18" t="s">
        <v>817</v>
      </c>
      <c r="H83" s="7" t="str">
        <f>IFERROR(__xludf.DUMMYFUNCTION("GOOGLETRANSLATE(B83, ""en"", ""zh"")"),"龙舟竞渡起源于哪条河流？")</f>
        <v>龙舟竞渡起源于哪条河流？</v>
      </c>
      <c r="I83" s="7" t="str">
        <f>IFERROR(__xludf.DUMMYFUNCTION("GOOGLETRANSLATE(C83, ""en"", ""zh"")"),"A) 长江 B) 黄河 C) 湄公河 D) 珠江")</f>
        <v>A) 长江 B) 黄河 C) 湄公河 D) 珠江</v>
      </c>
      <c r="J83" s="7" t="str">
        <f>IFERROR(__xludf.DUMMYFUNCTION("GOOGLETRANSLATE(D83, ""en"", ""zh"")"),"B) 黄色")</f>
        <v>B) 黄色</v>
      </c>
      <c r="K83" s="7" t="str">
        <f>IFERROR(__xludf.DUMMYFUNCTION("GOOGLETRANSLATE(E83, ""en"", ""zh"")"),"#VALUE!")</f>
        <v>#VALUE!</v>
      </c>
    </row>
    <row r="84">
      <c r="A84" s="17">
        <v>83.0</v>
      </c>
      <c r="B84" s="18" t="s">
        <v>818</v>
      </c>
      <c r="C84" s="18" t="s">
        <v>819</v>
      </c>
      <c r="D84" s="18" t="s">
        <v>615</v>
      </c>
      <c r="H84" s="7" t="str">
        <f>IFERROR(__xludf.DUMMYFUNCTION("GOOGLETRANSLATE(B84, ""en"", ""zh"")"),"船上龙的头部通常涂成什么颜色？")</f>
        <v>船上龙的头部通常涂成什么颜色？</v>
      </c>
      <c r="I84" s="7" t="str">
        <f>IFERROR(__xludf.DUMMYFUNCTION("GOOGLETRANSLATE(C84, ""en"", ""zh"")"),"A) 红色 B) 蓝色 C) 绿色 D) 黄色")</f>
        <v>A) 红色 B) 蓝色 C) 绿色 D) 黄色</v>
      </c>
      <c r="J84" s="7" t="str">
        <f>IFERROR(__xludf.DUMMYFUNCTION("GOOGLETRANSLATE(D84, ""en"", ""zh"")"),"A) 红色")</f>
        <v>A) 红色</v>
      </c>
      <c r="K84" s="7" t="str">
        <f>IFERROR(__xludf.DUMMYFUNCTION("GOOGLETRANSLATE(E84, ""en"", ""zh"")"),"#VALUE!")</f>
        <v>#VALUE!</v>
      </c>
    </row>
    <row r="85">
      <c r="A85" s="17">
        <v>84.0</v>
      </c>
      <c r="B85" s="18" t="s">
        <v>820</v>
      </c>
      <c r="C85" s="18" t="s">
        <v>821</v>
      </c>
      <c r="D85" s="18" t="s">
        <v>822</v>
      </c>
      <c r="H85" s="7" t="str">
        <f>IFERROR(__xludf.DUMMYFUNCTION("GOOGLETRANSLATE(B85, ""en"", ""zh"")"),"从历史上看，龙舟竞渡是一种怎样的仪式？")</f>
        <v>从历史上看，龙舟竞渡是一种怎样的仪式？</v>
      </c>
      <c r="I85" s="7" t="str">
        <f>IFERROR(__xludf.DUMMYFUNCTION("GOOGLETRANSLATE(C85, ""en"", ""zh"")"),"A) 防洪 B) 庆祝丰收 C) 为战士祈祷 D) 促进贸易")</f>
        <v>A) 防洪 B) 庆祝丰收 C) 为战士祈祷 D) 促进贸易</v>
      </c>
      <c r="J85" s="7" t="str">
        <f>IFERROR(__xludf.DUMMYFUNCTION("GOOGLETRANSLATE(D85, ""en"", ""zh"")"),"A) 防洪")</f>
        <v>A) 防洪</v>
      </c>
      <c r="K85" s="7" t="str">
        <f>IFERROR(__xludf.DUMMYFUNCTION("GOOGLETRANSLATE(E85, ""en"", ""zh"")"),"#VALUE!")</f>
        <v>#VALUE!</v>
      </c>
    </row>
    <row r="86">
      <c r="A86" s="17">
        <v>85.0</v>
      </c>
      <c r="B86" s="18" t="s">
        <v>823</v>
      </c>
      <c r="C86" s="18" t="s">
        <v>824</v>
      </c>
      <c r="D86" s="18" t="s">
        <v>825</v>
      </c>
      <c r="H86" s="7" t="str">
        <f>IFERROR(__xludf.DUMMYFUNCTION("GOOGLETRANSLATE(B86, ""en"", ""zh"")"),"龙舟竞渡者必须以何种方式划桨？")</f>
        <v>龙舟竞渡者必须以何种方式划桨？</v>
      </c>
      <c r="I86" s="7" t="str">
        <f>IFERROR(__xludf.DUMMYFUNCTION("GOOGLETRANSLATE(C86, ""en"", ""zh"")"),"A) 同步 B) 交替 C) 随机 D) 独奏")</f>
        <v>A) 同步 B) 交替 C) 随机 D) 独奏</v>
      </c>
      <c r="J86" s="7" t="str">
        <f>IFERROR(__xludf.DUMMYFUNCTION("GOOGLETRANSLATE(D86, ""en"", ""zh"")"),"A) 同步")</f>
        <v>A) 同步</v>
      </c>
      <c r="K86" s="7" t="str">
        <f>IFERROR(__xludf.DUMMYFUNCTION("GOOGLETRANSLATE(E86, ""en"", ""zh"")"),"#VALUE!")</f>
        <v>#VALUE!</v>
      </c>
    </row>
    <row r="87">
      <c r="A87" s="17">
        <v>86.0</v>
      </c>
      <c r="B87" s="18" t="s">
        <v>826</v>
      </c>
      <c r="C87" s="18" t="s">
        <v>827</v>
      </c>
      <c r="D87" s="18" t="s">
        <v>828</v>
      </c>
      <c r="H87" s="7" t="str">
        <f>IFERROR(__xludf.DUMMYFUNCTION("GOOGLETRANSLATE(B87, ""en"", ""zh"")"),"龙舟比赛中使用的传统鼓叫什么？")</f>
        <v>龙舟比赛中使用的传统鼓叫什么？</v>
      </c>
      <c r="I87" s="7" t="str">
        <f>IFERROR(__xludf.DUMMYFUNCTION("GOOGLETRANSLATE(C87, ""en"", ""zh"")"),"A) 塘沽 B) 大沽 C) 班古 D) 瑶古")</f>
        <v>A) 塘沽 B) 大沽 C) 班古 D) 瑶古</v>
      </c>
      <c r="J87" s="7" t="str">
        <f>IFERROR(__xludf.DUMMYFUNCTION("GOOGLETRANSLATE(D87, ""en"", ""zh"")"),"B) 大沽")</f>
        <v>B) 大沽</v>
      </c>
      <c r="K87" s="7" t="str">
        <f>IFERROR(__xludf.DUMMYFUNCTION("GOOGLETRANSLATE(E87, ""en"", ""zh"")"),"#VALUE!")</f>
        <v>#VALUE!</v>
      </c>
    </row>
    <row r="88">
      <c r="A88" s="17">
        <v>87.0</v>
      </c>
      <c r="B88" s="18" t="s">
        <v>829</v>
      </c>
      <c r="C88" s="18" t="s">
        <v>830</v>
      </c>
      <c r="D88" s="18" t="s">
        <v>831</v>
      </c>
      <c r="H88" s="7" t="str">
        <f>IFERROR(__xludf.DUMMYFUNCTION("GOOGLETRANSLATE(B88, ""en"", ""zh"")"),"龙舟竞渡比赛最早于哪个世纪正式确立？")</f>
        <v>龙舟竞渡比赛最早于哪个世纪正式确立？</v>
      </c>
      <c r="I88" s="7" t="str">
        <f>IFERROR(__xludf.DUMMYFUNCTION("GOOGLETRANSLATE(C88, ""en"", ""zh"")"),"A) 第十二届 B) 第十五届 C) 第二十届 D) 第十八届")</f>
        <v>A) 第十二届 B) 第十五届 C) 第二十届 D) 第十八届</v>
      </c>
      <c r="J88" s="7" t="str">
        <f>IFERROR(__xludf.DUMMYFUNCTION("GOOGLETRANSLATE(D88, ""en"", ""zh"")"),"C) 20世纪")</f>
        <v>C) 20世纪</v>
      </c>
      <c r="K88" s="7" t="str">
        <f>IFERROR(__xludf.DUMMYFUNCTION("GOOGLETRANSLATE(E88, ""en"", ""zh"")"),"#VALUE!")</f>
        <v>#VALUE!</v>
      </c>
    </row>
    <row r="89">
      <c r="A89" s="17">
        <v>88.0</v>
      </c>
      <c r="B89" s="18" t="s">
        <v>832</v>
      </c>
      <c r="C89" s="18" t="s">
        <v>833</v>
      </c>
      <c r="D89" s="18" t="s">
        <v>834</v>
      </c>
      <c r="H89" s="7" t="str">
        <f>IFERROR(__xludf.DUMMYFUNCTION("GOOGLETRANSLATE(B89, ""en"", ""zh"")"),"龙舟赛中的龙图案象征着什么？")</f>
        <v>龙舟赛中的龙图案象征着什么？</v>
      </c>
      <c r="I89" s="7" t="str">
        <f>IFERROR(__xludf.DUMMYFUNCTION("GOOGLETRANSLATE(C89, ""en"", ""zh"")"),"A) 力量与繁荣 B) 智慧 C) 和平 D) 生育力")</f>
        <v>A) 力量与繁荣 B) 智慧 C) 和平 D) 生育力</v>
      </c>
      <c r="J89" s="7" t="str">
        <f>IFERROR(__xludf.DUMMYFUNCTION("GOOGLETRANSLATE(D89, ""en"", ""zh"")"),"A) 实力与繁荣")</f>
        <v>A) 实力与繁荣</v>
      </c>
      <c r="K89" s="7" t="str">
        <f>IFERROR(__xludf.DUMMYFUNCTION("GOOGLETRANSLATE(E89, ""en"", ""zh"")"),"#VALUE!")</f>
        <v>#VALUE!</v>
      </c>
    </row>
    <row r="90">
      <c r="A90" s="17">
        <v>89.0</v>
      </c>
      <c r="B90" s="18" t="s">
        <v>835</v>
      </c>
      <c r="C90" s="18" t="s">
        <v>836</v>
      </c>
      <c r="D90" s="18" t="s">
        <v>837</v>
      </c>
      <c r="H90" s="7" t="str">
        <f>IFERROR(__xludf.DUMMYFUNCTION("GOOGLETRANSLATE(B90, ""en"", ""zh"")"),"受中国影响，哪个现代国家也举办龙舟比赛？")</f>
        <v>受中国影响，哪个现代国家也举办龙舟比赛？</v>
      </c>
      <c r="I90" s="7" t="str">
        <f>IFERROR(__xludf.DUMMYFUNCTION("GOOGLETRANSLATE(C90, ""en"", ""zh"")"),"A) 新加坡 B) 日本 C) 印度 D) 泰国")</f>
        <v>A) 新加坡 B) 日本 C) 印度 D) 泰国</v>
      </c>
      <c r="J90" s="7" t="str">
        <f>IFERROR(__xludf.DUMMYFUNCTION("GOOGLETRANSLATE(D90, ""en"", ""zh"")"),"A) 新加坡")</f>
        <v>A) 新加坡</v>
      </c>
      <c r="K90" s="7" t="str">
        <f>IFERROR(__xludf.DUMMYFUNCTION("GOOGLETRANSLATE(E90, ""en"", ""zh"")"),"#VALUE!")</f>
        <v>#VALUE!</v>
      </c>
    </row>
    <row r="91">
      <c r="A91" s="17">
        <v>90.0</v>
      </c>
      <c r="B91" s="18" t="s">
        <v>838</v>
      </c>
      <c r="C91" s="18" t="s">
        <v>839</v>
      </c>
      <c r="D91" s="18" t="s">
        <v>583</v>
      </c>
      <c r="H91" s="7" t="str">
        <f>IFERROR(__xludf.DUMMYFUNCTION("GOOGLETRANSLATE(B91, ""en"", ""zh"")"),"历史上，龙舟赛与哪种祭祀食物有关？")</f>
        <v>历史上，龙舟赛与哪种祭祀食物有关？</v>
      </c>
      <c r="I91" s="7" t="str">
        <f>IFERROR(__xludf.DUMMYFUNCTION("GOOGLETRANSLATE(C91, ""en"", ""zh"")"),"A) 饺子 B) 粽子 C) 面条 D) 年糕")</f>
        <v>A) 饺子 B) 粽子 C) 面条 D) 年糕</v>
      </c>
      <c r="J91" s="7" t="str">
        <f>IFERROR(__xludf.DUMMYFUNCTION("GOOGLETRANSLATE(D91, ""en"", ""zh"")"),"B) 粽子")</f>
        <v>B) 粽子</v>
      </c>
      <c r="K91" s="7" t="str">
        <f>IFERROR(__xludf.DUMMYFUNCTION("GOOGLETRANSLATE(E91, ""en"", ""zh"")"),"#VALUE!")</f>
        <v>#VALUE!</v>
      </c>
    </row>
    <row r="92">
      <c r="A92" s="17">
        <v>91.0</v>
      </c>
      <c r="B92" s="18" t="s">
        <v>840</v>
      </c>
      <c r="C92" s="18" t="s">
        <v>841</v>
      </c>
      <c r="D92" s="18" t="s">
        <v>842</v>
      </c>
      <c r="H92" s="7" t="str">
        <f>IFERROR(__xludf.DUMMYFUNCTION("GOOGLETRANSLATE(B92, ""en"", ""zh"")"),"龙舟比赛中，船尾通常呈哪种形状？")</f>
        <v>龙舟比赛中，船尾通常呈哪种形状？</v>
      </c>
      <c r="I92" s="7" t="str">
        <f>IFERROR(__xludf.DUMMYFUNCTION("GOOGLETRANSLATE(C92, ""en"", ""zh"")"),"A) 鱼 B) 龙 C) 虎 D) 凤凰")</f>
        <v>A) 鱼 B) 龙 C) 虎 D) 凤凰</v>
      </c>
      <c r="J92" s="7" t="str">
        <f>IFERROR(__xludf.DUMMYFUNCTION("GOOGLETRANSLATE(D92, ""en"", ""zh"")"),"B) 龙")</f>
        <v>B) 龙</v>
      </c>
      <c r="K92" s="7" t="str">
        <f>IFERROR(__xludf.DUMMYFUNCTION("GOOGLETRANSLATE(E92, ""en"", ""zh"")"),"#VALUE!")</f>
        <v>#VALUE!</v>
      </c>
    </row>
    <row r="93">
      <c r="A93" s="17">
        <v>92.0</v>
      </c>
      <c r="B93" s="18" t="s">
        <v>843</v>
      </c>
      <c r="C93" s="18" t="s">
        <v>844</v>
      </c>
      <c r="D93" s="18" t="s">
        <v>845</v>
      </c>
      <c r="H93" s="7" t="str">
        <f>IFERROR(__xludf.DUMMYFUNCTION("GOOGLETRANSLATE(B93, ""en"", ""zh"")"),"龙舟赛节通常包含以下哪些内容？")</f>
        <v>龙舟赛节通常包含以下哪些内容？</v>
      </c>
      <c r="I93" s="7" t="str">
        <f>IFERROR(__xludf.DUMMYFUNCTION("GOOGLETRANSLATE(C93, ""en"", ""zh"")"),"A) 游行和表演 B) 摔跤 C) 射箭 D) 赛马")</f>
        <v>A) 游行和表演 B) 摔跤 C) 射箭 D) 赛马</v>
      </c>
      <c r="J93" s="7" t="str">
        <f>IFERROR(__xludf.DUMMYFUNCTION("GOOGLETRANSLATE(D93, ""en"", ""zh"")"),"A) 游行和表演")</f>
        <v>A) 游行和表演</v>
      </c>
      <c r="K93" s="7" t="str">
        <f>IFERROR(__xludf.DUMMYFUNCTION("GOOGLETRANSLATE(E93, ""en"", ""zh"")"),"#VALUE!")</f>
        <v>#VALUE!</v>
      </c>
    </row>
    <row r="94">
      <c r="A94" s="17">
        <v>93.0</v>
      </c>
      <c r="B94" s="18" t="s">
        <v>846</v>
      </c>
      <c r="C94" s="18" t="s">
        <v>299</v>
      </c>
      <c r="D94" s="18" t="s">
        <v>300</v>
      </c>
      <c r="H94" s="7" t="str">
        <f>IFERROR(__xludf.DUMMYFUNCTION("GOOGLETRANSLATE(B94, ""en"", ""zh"")"),"有记载的第一次端午节是在哪个朝代举行的？")</f>
        <v>有记载的第一次端午节是在哪个朝代举行的？</v>
      </c>
      <c r="I94" s="7" t="str">
        <f>IFERROR(__xludf.DUMMYFUNCTION("GOOGLETRANSLATE(C94, ""en"", ""zh"")"),"A) 汉朝 B) 唐朝 C) 宋朝 D) 明朝")</f>
        <v>A) 汉朝 B) 唐朝 C) 宋朝 D) 明朝</v>
      </c>
      <c r="J94" s="7" t="str">
        <f>IFERROR(__xludf.DUMMYFUNCTION("GOOGLETRANSLATE(D94, ""en"", ""zh"")"),"A）汉朝")</f>
        <v>A）汉朝</v>
      </c>
      <c r="K94" s="7" t="str">
        <f>IFERROR(__xludf.DUMMYFUNCTION("GOOGLETRANSLATE(E94, ""en"", ""zh"")"),"#VALUE!")</f>
        <v>#VALUE!</v>
      </c>
    </row>
    <row r="95">
      <c r="A95" s="17">
        <v>94.0</v>
      </c>
      <c r="B95" s="18" t="s">
        <v>847</v>
      </c>
      <c r="C95" s="18" t="s">
        <v>848</v>
      </c>
      <c r="D95" s="18" t="s">
        <v>849</v>
      </c>
      <c r="H95" s="7" t="str">
        <f>IFERROR(__xludf.DUMMYFUNCTION("GOOGLETRANSLATE(B95, ""en"", ""zh"")"),"龙舟竞渡选手传统上穿什么？")</f>
        <v>龙舟竞渡选手传统上穿什么？</v>
      </c>
      <c r="I95" s="7" t="str">
        <f>IFERROR(__xludf.DUMMYFUNCTION("GOOGLETRANSLATE(C95, ""en"", ""zh"")"),"A) 队服 B) 盔甲 C) 长袍 D) 帽子")</f>
        <v>A) 队服 B) 盔甲 C) 长袍 D) 帽子</v>
      </c>
      <c r="J95" s="7" t="str">
        <f>IFERROR(__xludf.DUMMYFUNCTION("GOOGLETRANSLATE(D95, ""en"", ""zh"")"),"A) 队服")</f>
        <v>A) 队服</v>
      </c>
      <c r="K95" s="7" t="str">
        <f>IFERROR(__xludf.DUMMYFUNCTION("GOOGLETRANSLATE(E95, ""en"", ""zh"")"),"#VALUE!")</f>
        <v>#VALUE!</v>
      </c>
    </row>
    <row r="96">
      <c r="A96" s="17">
        <v>95.0</v>
      </c>
      <c r="B96" s="18" t="s">
        <v>850</v>
      </c>
      <c r="C96" s="18" t="s">
        <v>851</v>
      </c>
      <c r="D96" s="18" t="s">
        <v>852</v>
      </c>
      <c r="H96" s="7" t="str">
        <f>IFERROR(__xludf.DUMMYFUNCTION("GOOGLETRANSLATE(B96, ""en"", ""zh"")"),"龙舟竞渡是为了纪念屈原的哪项壮举？")</f>
        <v>龙舟竞渡是为了纪念屈原的哪项壮举？</v>
      </c>
      <c r="I96" s="7" t="str">
        <f>IFERROR(__xludf.DUMMYFUNCTION("GOOGLETRANSLATE(C96, ""en"", ""zh"")"),"A) 投河自尽 B) 诗歌朗诵 C) 政治演讲 D) 军事胜利")</f>
        <v>A) 投河自尽 B) 诗歌朗诵 C) 政治演讲 D) 军事胜利</v>
      </c>
      <c r="J96" s="7" t="str">
        <f>IFERROR(__xludf.DUMMYFUNCTION("GOOGLETRANSLATE(D96, ""en"", ""zh"")"),"A) 河中自杀")</f>
        <v>A) 河中自杀</v>
      </c>
      <c r="K96" s="7" t="str">
        <f>IFERROR(__xludf.DUMMYFUNCTION("GOOGLETRANSLATE(E96, ""en"", ""zh"")"),"#VALUE!")</f>
        <v>#VALUE!</v>
      </c>
    </row>
    <row r="97">
      <c r="A97" s="17">
        <v>96.0</v>
      </c>
      <c r="B97" s="18" t="s">
        <v>853</v>
      </c>
      <c r="C97" s="18" t="s">
        <v>854</v>
      </c>
      <c r="D97" s="18" t="s">
        <v>855</v>
      </c>
      <c r="H97" s="7" t="str">
        <f>IFERROR(__xludf.DUMMYFUNCTION("GOOGLETRANSLATE(B97, ""en"", ""zh"")"),"龙舟比赛用船主要由什么材料制成？")</f>
        <v>龙舟比赛用船主要由什么材料制成？</v>
      </c>
      <c r="I97" s="7" t="str">
        <f>IFERROR(__xludf.DUMMYFUNCTION("GOOGLETRANSLATE(C97, ""en"", ""zh"")"),"A) 木材 B) 金属 C) 竹子 D) 塑料")</f>
        <v>A) 木材 B) 金属 C) 竹子 D) 塑料</v>
      </c>
      <c r="J97" s="7" t="str">
        <f>IFERROR(__xludf.DUMMYFUNCTION("GOOGLETRANSLATE(D97, ""en"", ""zh"")"),"A) 木材")</f>
        <v>A) 木材</v>
      </c>
      <c r="K97" s="7" t="str">
        <f>IFERROR(__xludf.DUMMYFUNCTION("GOOGLETRANSLATE(E97, ""en"", ""zh"")"),"#VALUE!")</f>
        <v>#VALUE!</v>
      </c>
    </row>
    <row r="98">
      <c r="A98" s="17">
        <v>97.0</v>
      </c>
      <c r="B98" s="18" t="s">
        <v>856</v>
      </c>
      <c r="C98" s="18" t="s">
        <v>857</v>
      </c>
      <c r="D98" s="18" t="s">
        <v>858</v>
      </c>
      <c r="H98" s="7" t="str">
        <f>IFERROR(__xludf.DUMMYFUNCTION("GOOGLETRANSLATE(B98, ""en"", ""zh"")"),"船上的鼓手面向哪个方向？")</f>
        <v>船上的鼓手面向哪个方向？</v>
      </c>
      <c r="I98" s="7" t="str">
        <f>IFERROR(__xludf.DUMMYFUNCTION("GOOGLETRANSLATE(C98, ""en"", ""zh"")"),"A) 正面 B) 背面 C) 侧面 D) 上方")</f>
        <v>A) 正面 B) 背面 C) 侧面 D) 上方</v>
      </c>
      <c r="J98" s="7" t="str">
        <f>IFERROR(__xludf.DUMMYFUNCTION("GOOGLETRANSLATE(D98, ""en"", ""zh"")"),"A) 正面")</f>
        <v>A) 正面</v>
      </c>
      <c r="K98" s="7" t="str">
        <f>IFERROR(__xludf.DUMMYFUNCTION("GOOGLETRANSLATE(E98, ""en"", ""zh"")"),"#VALUE!")</f>
        <v>#VALUE!</v>
      </c>
    </row>
    <row r="99">
      <c r="A99" s="17">
        <v>98.0</v>
      </c>
      <c r="B99" s="18" t="s">
        <v>859</v>
      </c>
      <c r="C99" s="18" t="s">
        <v>860</v>
      </c>
      <c r="D99" s="18" t="s">
        <v>861</v>
      </c>
      <c r="H99" s="7" t="str">
        <f>IFERROR(__xludf.DUMMYFUNCTION("GOOGLETRANSLATE(B99, ""en"", ""zh"")"),"龙舟竞渡体现了哪种社会价值观？")</f>
        <v>龙舟竞渡体现了哪种社会价值观？</v>
      </c>
      <c r="I99" s="7" t="str">
        <f>IFERROR(__xludf.DUMMYFUNCTION("GOOGLETRANSLATE(C99, ""en"", ""zh"")"),"A) 团队合作 B) 个人主义 C) 冥想 D) 商业")</f>
        <v>A) 团队合作 B) 个人主义 C) 冥想 D) 商业</v>
      </c>
      <c r="J99" s="7" t="str">
        <f>IFERROR(__xludf.DUMMYFUNCTION("GOOGLETRANSLATE(D99, ""en"", ""zh"")"),"A) 团队合作")</f>
        <v>A) 团队合作</v>
      </c>
      <c r="K99" s="7" t="str">
        <f>IFERROR(__xludf.DUMMYFUNCTION("GOOGLETRANSLATE(E99, ""en"", ""zh"")"),"#VALUE!")</f>
        <v>#VALUE!</v>
      </c>
    </row>
    <row r="100">
      <c r="A100" s="17">
        <v>99.0</v>
      </c>
      <c r="B100" s="18" t="s">
        <v>862</v>
      </c>
      <c r="C100" s="18" t="s">
        <v>863</v>
      </c>
      <c r="D100" s="18" t="s">
        <v>631</v>
      </c>
      <c r="H100" s="7" t="str">
        <f>IFERROR(__xludf.DUMMYFUNCTION("GOOGLETRANSLATE(B100, ""en"", ""zh"")"),"龙舟赛旨在提高人们对什么的认识？")</f>
        <v>龙舟赛旨在提高人们对什么的认识？</v>
      </c>
      <c r="I100" s="7" t="str">
        <f>IFERROR(__xludf.DUMMYFUNCTION("GOOGLETRANSLATE(C100, ""en"", ""zh"")"),"A) 文化遗产 B) 经济贸易 C) 军事力量 D) 教育")</f>
        <v>A) 文化遗产 B) 经济贸易 C) 军事力量 D) 教育</v>
      </c>
      <c r="J100" s="7" t="str">
        <f>IFERROR(__xludf.DUMMYFUNCTION("GOOGLETRANSLATE(D100, ""en"", ""zh"")"),"A) 文化遗产")</f>
        <v>A) 文化遗产</v>
      </c>
      <c r="K100" s="7" t="str">
        <f>IFERROR(__xludf.DUMMYFUNCTION("GOOGLETRANSLATE(E100, ""en"", ""zh"")"),"#VALUE!")</f>
        <v>#VALUE!</v>
      </c>
    </row>
    <row r="101">
      <c r="A101" s="17">
        <v>100.0</v>
      </c>
      <c r="B101" s="18" t="s">
        <v>864</v>
      </c>
      <c r="C101" s="18" t="s">
        <v>865</v>
      </c>
      <c r="D101" s="18" t="s">
        <v>866</v>
      </c>
      <c r="H101" s="7" t="str">
        <f>IFERROR(__xludf.DUMMYFUNCTION("GOOGLETRANSLATE(B101, ""en"", ""zh"")"),"传统的龙舟比赛是在哪些水域进行的？")</f>
        <v>传统的龙舟比赛是在哪些水域进行的？</v>
      </c>
      <c r="I101" s="7" t="str">
        <f>IFERROR(__xludf.DUMMYFUNCTION("GOOGLETRANSLATE(C101, ""en"", ""zh"")"),"A) 河流和湖泊 B) 海洋 C) 仅限池塘 D) 仅限水库")</f>
        <v>A) 河流和湖泊 B) 海洋 C) 仅限池塘 D) 仅限水库</v>
      </c>
      <c r="J101" s="7" t="str">
        <f>IFERROR(__xludf.DUMMYFUNCTION("GOOGLETRANSLATE(D101, ""en"", ""zh"")"),"A) 河流和湖泊")</f>
        <v>A) 河流和湖泊</v>
      </c>
      <c r="K101" s="7" t="str">
        <f>IFERROR(__xludf.DUMMYFUNCTION("GOOGLETRANSLATE(E101, ""en"", ""zh"")"),"#VALUE!")</f>
        <v>#VALUE!</v>
      </c>
    </row>
    <row r="102">
      <c r="A102" s="17">
        <v>101.0</v>
      </c>
      <c r="B102" s="18" t="s">
        <v>867</v>
      </c>
      <c r="C102" s="18" t="s">
        <v>868</v>
      </c>
      <c r="D102" s="18" t="s">
        <v>869</v>
      </c>
      <c r="H102" s="7" t="str">
        <f>IFERROR(__xludf.DUMMYFUNCTION("GOOGLETRANSLATE(B102, ""en"", ""zh"")"),"鼓手在龙舟比赛中还扮演什么角色？")</f>
        <v>鼓手在龙舟比赛中还扮演什么角色？</v>
      </c>
      <c r="I102" s="7" t="str">
        <f>IFERROR(__xludf.DUMMYFUNCTION("GOOGLETRANSLATE(C102, ""en"", ""zh"")"),"A) 动力和节奏 B) 控制 C) 食物计数 D) 装饰")</f>
        <v>A) 动力和节奏 B) 控制 C) 食物计数 D) 装饰</v>
      </c>
      <c r="J102" s="7" t="str">
        <f>IFERROR(__xludf.DUMMYFUNCTION("GOOGLETRANSLATE(D102, ""en"", ""zh"")"),"A) 动机和节奏")</f>
        <v>A) 动机和节奏</v>
      </c>
      <c r="K102" s="7" t="str">
        <f>IFERROR(__xludf.DUMMYFUNCTION("GOOGLETRANSLATE(E102, ""en"", ""zh"")"),"#VALUE!")</f>
        <v>#VALUE!</v>
      </c>
    </row>
    <row r="103">
      <c r="A103" s="17">
        <v>102.0</v>
      </c>
      <c r="B103" s="18" t="s">
        <v>870</v>
      </c>
      <c r="C103" s="18" t="s">
        <v>871</v>
      </c>
      <c r="D103" s="18" t="s">
        <v>872</v>
      </c>
      <c r="H103" s="7" t="str">
        <f>IFERROR(__xludf.DUMMYFUNCTION("GOOGLETRANSLATE(B103, ""en"", ""zh"")"),"龙舟竞渡是一项竞技体育项目，属于哪项现代国际赛事？")</f>
        <v>龙舟竞渡是一项竞技体育项目，属于哪项现代国际赛事？</v>
      </c>
      <c r="I103" s="7" t="str">
        <f>IFERROR(__xludf.DUMMYFUNCTION("GOOGLETRANSLATE(C103, ""en"", ""zh"")"),"A) 亚运会 B) 奥运会 C) 世界杯 D) 英联邦运动会")</f>
        <v>A) 亚运会 B) 奥运会 C) 世界杯 D) 英联邦运动会</v>
      </c>
      <c r="J103" s="7" t="str">
        <f>IFERROR(__xludf.DUMMYFUNCTION("GOOGLETRANSLATE(D103, ""en"", ""zh"")"),"A) 亚运会")</f>
        <v>A) 亚运会</v>
      </c>
      <c r="K103" s="7" t="str">
        <f>IFERROR(__xludf.DUMMYFUNCTION("GOOGLETRANSLATE(E103, ""en"", ""zh"")"),"#VALUE!")</f>
        <v>#VALUE!</v>
      </c>
    </row>
    <row r="104">
      <c r="A104" s="17">
        <v>103.0</v>
      </c>
      <c r="B104" s="18" t="s">
        <v>873</v>
      </c>
      <c r="C104" s="18" t="s">
        <v>874</v>
      </c>
      <c r="D104" s="18" t="s">
        <v>875</v>
      </c>
      <c r="H104" s="7" t="str">
        <f>IFERROR(__xludf.DUMMYFUNCTION("GOOGLETRANSLATE(B104, ""en"", ""zh"")"),"龙舟竞渡象征着哪项季节性活动？")</f>
        <v>龙舟竞渡象征着哪项季节性活动？</v>
      </c>
      <c r="I104" s="7" t="str">
        <f>IFERROR(__xludf.DUMMYFUNCTION("GOOGLETRANSLATE(C104, ""en"", ""zh"")"),"A) 夏季 B) 冬季 C) 春季 D) 秋季")</f>
        <v>A) 夏季 B) 冬季 C) 春季 D) 秋季</v>
      </c>
      <c r="J104" s="7" t="str">
        <f>IFERROR(__xludf.DUMMYFUNCTION("GOOGLETRANSLATE(D104, ""en"", ""zh"")"),"A) 夏季")</f>
        <v>A) 夏季</v>
      </c>
      <c r="K104" s="7" t="str">
        <f>IFERROR(__xludf.DUMMYFUNCTION("GOOGLETRANSLATE(E104, ""en"", ""zh"")"),"#VALUE!")</f>
        <v>#VALUE!</v>
      </c>
    </row>
    <row r="105">
      <c r="A105" s="17">
        <v>104.0</v>
      </c>
      <c r="B105" s="18" t="s">
        <v>876</v>
      </c>
      <c r="C105" s="18" t="s">
        <v>877</v>
      </c>
      <c r="D105" s="18" t="s">
        <v>878</v>
      </c>
      <c r="H105" s="7" t="str">
        <f>IFERROR(__xludf.DUMMYFUNCTION("GOOGLETRANSLATE(B105, ""en"", ""zh"")"),"龙舟比赛用船的长度各不相同，通常可达？")</f>
        <v>龙舟比赛用船的长度各不相同，通常可达？</v>
      </c>
      <c r="I105" s="7" t="str">
        <f>IFERROR(__xludf.DUMMYFUNCTION("GOOGLETRANSLATE(C105, ""en"", ""zh"")"),"A) 30米 B) 10米 C) 50米 D) 70米")</f>
        <v>A) 30米 B) 10米 C) 50米 D) 70米</v>
      </c>
      <c r="J105" s="7" t="str">
        <f>IFERROR(__xludf.DUMMYFUNCTION("GOOGLETRANSLATE(D105, ""en"", ""zh"")"),"A) 30米")</f>
        <v>A) 30米</v>
      </c>
      <c r="K105" s="7" t="str">
        <f>IFERROR(__xludf.DUMMYFUNCTION("GOOGLETRANSLATE(E105, ""en"", ""zh"")"),"#VALUE!")</f>
        <v>#VALUE!</v>
      </c>
    </row>
    <row r="106">
      <c r="A106" s="17">
        <v>105.0</v>
      </c>
      <c r="B106" s="18" t="s">
        <v>879</v>
      </c>
      <c r="C106" s="18" t="s">
        <v>880</v>
      </c>
      <c r="D106" s="18" t="s">
        <v>881</v>
      </c>
      <c r="H106" s="7" t="str">
        <f>IFERROR(__xludf.DUMMYFUNCTION("GOOGLETRANSLATE(B106, ""en"", ""zh"")"),"龙舟竞渡需要以下哪些技能？")</f>
        <v>龙舟竞渡需要以下哪些技能？</v>
      </c>
      <c r="I106" s="7" t="str">
        <f>IFERROR(__xludf.DUMMYFUNCTION("GOOGLETRANSLATE(C106, ""en"", ""zh"")"),"A) 协调性和耐力 B) 仅力量 C) 射箭 D) 骑马")</f>
        <v>A) 协调性和耐力 B) 仅力量 C) 射箭 D) 骑马</v>
      </c>
      <c r="J106" s="7" t="str">
        <f>IFERROR(__xludf.DUMMYFUNCTION("GOOGLETRANSLATE(D106, ""en"", ""zh"")"),"A) 协调性和耐力")</f>
        <v>A) 协调性和耐力</v>
      </c>
      <c r="K106" s="7" t="str">
        <f>IFERROR(__xludf.DUMMYFUNCTION("GOOGLETRANSLATE(E106, ""en"", ""zh"")"),"#VALUE!")</f>
        <v>#VALUE!</v>
      </c>
    </row>
    <row r="107">
      <c r="A107" s="17">
        <v>106.0</v>
      </c>
      <c r="B107" s="18" t="s">
        <v>882</v>
      </c>
      <c r="C107" s="18" t="s">
        <v>883</v>
      </c>
      <c r="D107" s="18" t="s">
        <v>884</v>
      </c>
      <c r="H107" s="7" t="str">
        <f>IFERROR(__xludf.DUMMYFUNCTION("GOOGLETRANSLATE(B107, ""en"", ""zh"")"),"中国哪个水乡城市以龙舟比赛闻名？")</f>
        <v>中国哪个水乡城市以龙舟比赛闻名？</v>
      </c>
      <c r="I107" s="7" t="str">
        <f>IFERROR(__xludf.DUMMYFUNCTION("GOOGLETRANSLATE(C107, ""en"", ""zh"")"),"A) 武汉 B) 北京 C) 上海 D) 广州")</f>
        <v>A) 武汉 B) 北京 C) 上海 D) 广州</v>
      </c>
      <c r="J107" s="7" t="str">
        <f>IFERROR(__xludf.DUMMYFUNCTION("GOOGLETRANSLATE(D107, ""en"", ""zh"")"),"A) 武汉")</f>
        <v>A) 武汉</v>
      </c>
      <c r="K107" s="7" t="str">
        <f>IFERROR(__xludf.DUMMYFUNCTION("GOOGLETRANSLATE(E107, ""en"", ""zh"")"),"#VALUE!")</f>
        <v>#VALUE!</v>
      </c>
    </row>
    <row r="108">
      <c r="A108" s="17">
        <v>107.0</v>
      </c>
      <c r="B108" s="18" t="s">
        <v>885</v>
      </c>
      <c r="C108" s="18" t="s">
        <v>886</v>
      </c>
      <c r="D108" s="18" t="s">
        <v>887</v>
      </c>
      <c r="H108" s="7" t="str">
        <f>IFERROR(__xludf.DUMMYFUNCTION("GOOGLETRANSLATE(B108, ""en"", ""zh"")"),"历史上，龙舟比赛是由谁赞助的？")</f>
        <v>历史上，龙舟比赛是由谁赞助的？</v>
      </c>
      <c r="I108" s="7" t="str">
        <f>IFERROR(__xludf.DUMMYFUNCTION("GOOGLETRANSLATE(C108, ""en"", ""zh"")"),"A) 地方官员和皇帝 B) 仅限商人 C) 仅限农民 D) 仅限士兵")</f>
        <v>A) 地方官员和皇帝 B) 仅限商人 C) 仅限农民 D) 仅限士兵</v>
      </c>
      <c r="J108" s="7" t="str">
        <f>IFERROR(__xludf.DUMMYFUNCTION("GOOGLETRANSLATE(D108, ""en"", ""zh"")"),"A) 地方官员和皇帝")</f>
        <v>A) 地方官员和皇帝</v>
      </c>
      <c r="K108" s="7" t="str">
        <f>IFERROR(__xludf.DUMMYFUNCTION("GOOGLETRANSLATE(E108, ""en"", ""zh"")"),"#VALUE!")</f>
        <v>#VALUE!</v>
      </c>
    </row>
    <row r="109">
      <c r="A109" s="17">
        <v>108.0</v>
      </c>
      <c r="B109" s="18" t="s">
        <v>888</v>
      </c>
      <c r="C109" s="18" t="s">
        <v>889</v>
      </c>
      <c r="D109" s="18" t="s">
        <v>890</v>
      </c>
      <c r="H109" s="7" t="str">
        <f>IFERROR(__xludf.DUMMYFUNCTION("GOOGLETRANSLATE(B109, ""en"", ""zh"")"),"传统的龙舟比赛用船每侧有多少名桨手？")</f>
        <v>传统的龙舟比赛用船每侧有多少名桨手？</v>
      </c>
      <c r="I109" s="7" t="str">
        <f>IFERROR(__xludf.DUMMYFUNCTION("GOOGLETRANSLATE(C109, ""en"", ""zh"")"),"A) 10-20 B) 5 C) 3 D) 30")</f>
        <v>A) 10-20 B) 5 C) 3 D) 30</v>
      </c>
      <c r="J109" s="7" t="str">
        <f>IFERROR(__xludf.DUMMYFUNCTION("GOOGLETRANSLATE(D109, ""en"", ""zh"")"),"A) 10-20")</f>
        <v>A) 10-20</v>
      </c>
      <c r="K109" s="7" t="str">
        <f>IFERROR(__xludf.DUMMYFUNCTION("GOOGLETRANSLATE(E109, ""en"", ""zh"")"),"#VALUE!")</f>
        <v>#VALUE!</v>
      </c>
    </row>
    <row r="110">
      <c r="A110" s="17">
        <v>109.0</v>
      </c>
      <c r="B110" s="18" t="s">
        <v>891</v>
      </c>
      <c r="C110" s="18" t="s">
        <v>892</v>
      </c>
      <c r="D110" s="18" t="s">
        <v>893</v>
      </c>
      <c r="H110" s="7" t="str">
        <f>IFERROR(__xludf.DUMMYFUNCTION("GOOGLETRANSLATE(B110, ""en"", ""zh"")"),"龙舟竞渡被视为哪种国家价值观的象征？")</f>
        <v>龙舟竞渡被视为哪种国家价值观的象征？</v>
      </c>
      <c r="I110" s="7" t="str">
        <f>IFERROR(__xludf.DUMMYFUNCTION("GOOGLETRANSLATE(C110, ""en"", ""zh"")"),"A) 团结 B) 财富 C) 权力 D) 冥想")</f>
        <v>A) 团结 B) 财富 C) 权力 D) 冥想</v>
      </c>
      <c r="J110" s="7" t="str">
        <f>IFERROR(__xludf.DUMMYFUNCTION("GOOGLETRANSLATE(D110, ""en"", ""zh"")"),"A) 统一性")</f>
        <v>A) 统一性</v>
      </c>
      <c r="K110" s="7" t="str">
        <f>IFERROR(__xludf.DUMMYFUNCTION("GOOGLETRANSLATE(E110, ""en"", ""zh"")"),"#VALUE!")</f>
        <v>#VALUE!</v>
      </c>
    </row>
    <row r="111">
      <c r="A111" s="17">
        <v>110.0</v>
      </c>
      <c r="B111" s="18" t="s">
        <v>894</v>
      </c>
      <c r="C111" s="18" t="s">
        <v>895</v>
      </c>
      <c r="D111" s="18" t="s">
        <v>896</v>
      </c>
      <c r="H111" s="7" t="str">
        <f>IFERROR(__xludf.DUMMYFUNCTION("GOOGLETRANSLATE(B111, ""en"", ""zh"")"),"龙舟竞渡节包含哪些传统活动？")</f>
        <v>龙舟竞渡节包含哪些传统活动？</v>
      </c>
      <c r="I111" s="7" t="str">
        <f>IFERROR(__xludf.DUMMYFUNCTION("GOOGLETRANSLATE(C111, ""en"", ""zh"")"),"A) 吃粽子 B) 只放烟花 C) 只放灯笼 D) 只听音乐")</f>
        <v>A) 吃粽子 B) 只放烟花 C) 只放灯笼 D) 只听音乐</v>
      </c>
      <c r="J111" s="7" t="str">
        <f>IFERROR(__xludf.DUMMYFUNCTION("GOOGLETRANSLATE(D111, ""en"", ""zh"")"),"A) 吃粽子")</f>
        <v>A) 吃粽子</v>
      </c>
      <c r="K111" s="7" t="str">
        <f>IFERROR(__xludf.DUMMYFUNCTION("GOOGLETRANSLATE(E111, ""en"", ""zh"")"),"#VALUE!")</f>
        <v>#VALUE!</v>
      </c>
    </row>
    <row r="112">
      <c r="A112" s="17">
        <v>111.0</v>
      </c>
      <c r="B112" s="18" t="s">
        <v>897</v>
      </c>
      <c r="C112" s="18" t="s">
        <v>898</v>
      </c>
      <c r="D112" s="18" t="s">
        <v>899</v>
      </c>
      <c r="H112" s="7" t="str">
        <f>IFERROR(__xludf.DUMMYFUNCTION("GOOGLETRANSLATE(B112, ""en"", ""zh"")"),"龙舟比赛用船有时会装饰什么？")</f>
        <v>龙舟比赛用船有时会装饰什么？</v>
      </c>
      <c r="I112" s="7" t="str">
        <f>IFERROR(__xludf.DUMMYFUNCTION("GOOGLETRANSLATE(C112, ""en"", ""zh"")"),"A) 旗帜和横幅 B) 仅灯笼 C) 仅鲜花 D) 仅石头")</f>
        <v>A) 旗帜和横幅 B) 仅灯笼 C) 仅鲜花 D) 仅石头</v>
      </c>
      <c r="J112" s="7" t="str">
        <f>IFERROR(__xludf.DUMMYFUNCTION("GOOGLETRANSLATE(D112, ""en"", ""zh"")"),"A) 旗帜和横幅")</f>
        <v>A) 旗帜和横幅</v>
      </c>
      <c r="K112" s="7" t="str">
        <f>IFERROR(__xludf.DUMMYFUNCTION("GOOGLETRANSLATE(E112, ""en"", ""zh"")"),"#VALUE!")</f>
        <v>#VALUE!</v>
      </c>
    </row>
    <row r="113">
      <c r="A113" s="17">
        <v>112.0</v>
      </c>
      <c r="B113" s="18" t="s">
        <v>900</v>
      </c>
      <c r="C113" s="18" t="s">
        <v>901</v>
      </c>
      <c r="D113" s="18" t="s">
        <v>902</v>
      </c>
      <c r="H113" s="7" t="str">
        <f>IFERROR(__xludf.DUMMYFUNCTION("GOOGLETRANSLATE(B113, ""en"", ""zh"")"),"龙舟竞渡有助于保护哪些文化习俗？")</f>
        <v>龙舟竞渡有助于保护哪些文化习俗？</v>
      </c>
      <c r="I113" s="7" t="str">
        <f>IFERROR(__xludf.DUMMYFUNCTION("GOOGLETRANSLATE(C113, ""en"", ""zh"")"),"A) 民间传说和传统 B) 军事战略 C) 贸易 D) 商业")</f>
        <v>A) 民间传说和传统 B) 军事战略 C) 贸易 D) 商业</v>
      </c>
      <c r="J113" s="7" t="str">
        <f>IFERROR(__xludf.DUMMYFUNCTION("GOOGLETRANSLATE(D113, ""en"", ""zh"")"),"A) 民间传说和传统")</f>
        <v>A) 民间传说和传统</v>
      </c>
      <c r="K113" s="7" t="str">
        <f>IFERROR(__xludf.DUMMYFUNCTION("GOOGLETRANSLATE(E113, ""en"", ""zh"")"),"#VALUE!")</f>
        <v>#VALUE!</v>
      </c>
    </row>
    <row r="114">
      <c r="A114" s="17">
        <v>113.0</v>
      </c>
      <c r="B114" s="18" t="s">
        <v>903</v>
      </c>
      <c r="C114" s="18" t="s">
        <v>904</v>
      </c>
      <c r="D114" s="18" t="s">
        <v>905</v>
      </c>
      <c r="H114" s="7" t="str">
        <f>IFERROR(__xludf.DUMMYFUNCTION("GOOGLETRANSLATE(B114, ""en"", ""zh"")"),"人们认为龙舟竞渡具有某种保护作用？")</f>
        <v>人们认为龙舟竞渡具有某种保护作用？</v>
      </c>
      <c r="I114" s="7" t="str">
        <f>IFERROR(__xludf.DUMMYFUNCTION("GOOGLETRANSLATE(C114, ""en"", ""zh"")"),"A) 邪灵 B) 干旱 C) 风暴 D) 疾病")</f>
        <v>A) 邪灵 B) 干旱 C) 风暴 D) 疾病</v>
      </c>
      <c r="J114" s="7" t="str">
        <f>IFERROR(__xludf.DUMMYFUNCTION("GOOGLETRANSLATE(D114, ""en"", ""zh"")"),"A）邪灵")</f>
        <v>A）邪灵</v>
      </c>
      <c r="K114" s="7" t="str">
        <f>IFERROR(__xludf.DUMMYFUNCTION("GOOGLETRANSLATE(E114, ""en"", ""zh"")"),"#VALUE!")</f>
        <v>#VALUE!</v>
      </c>
    </row>
    <row r="115">
      <c r="A115" s="17">
        <v>114.0</v>
      </c>
      <c r="B115" s="18" t="s">
        <v>906</v>
      </c>
      <c r="C115" s="18" t="s">
        <v>907</v>
      </c>
      <c r="D115" s="18" t="s">
        <v>908</v>
      </c>
      <c r="H115" s="7" t="str">
        <f>IFERROR(__xludf.DUMMYFUNCTION("GOOGLETRANSLATE(B115, ""en"", ""zh"")"),"第一届国际龙舟比赛是在哪一年举行的？")</f>
        <v>第一届国际龙舟比赛是在哪一年举行的？</v>
      </c>
      <c r="I115" s="7" t="str">
        <f>IFERROR(__xludf.DUMMYFUNCTION("GOOGLETRANSLATE(C115, ""en"", ""zh"")"),"A) 1976年 B) 1950年 C) 1985年 D) 1992年")</f>
        <v>A) 1976年 B) 1950年 C) 1985年 D) 1992年</v>
      </c>
      <c r="J115" s="7" t="str">
        <f>IFERROR(__xludf.DUMMYFUNCTION("GOOGLETRANSLATE(D115, ""en"", ""zh"")"),"A) 1976")</f>
        <v>A) 1976</v>
      </c>
      <c r="K115" s="7" t="str">
        <f>IFERROR(__xludf.DUMMYFUNCTION("GOOGLETRANSLATE(E115, ""en"", ""zh"")"),"#VALUE!")</f>
        <v>#VALUE!</v>
      </c>
    </row>
    <row r="116">
      <c r="A116" s="17">
        <v>115.0</v>
      </c>
      <c r="B116" s="18" t="s">
        <v>909</v>
      </c>
      <c r="C116" s="18" t="s">
        <v>910</v>
      </c>
      <c r="D116" s="18" t="s">
        <v>911</v>
      </c>
      <c r="H116" s="7" t="str">
        <f>IFERROR(__xludf.DUMMYFUNCTION("GOOGLETRANSLATE(B116, ""en"", ""zh"")"),"龙舟赛是在农历哪一天举行的？")</f>
        <v>龙舟赛是在农历哪一天举行的？</v>
      </c>
      <c r="I116" s="7" t="str">
        <f>IFERROR(__xludf.DUMMYFUNCTION("GOOGLETRANSLATE(C116, ""en"", ""zh"")"),"A) 五月五日 B) 五月一日 C) 七月十五日 D) 十月一日")</f>
        <v>A) 五月五日 B) 五月一日 C) 七月十五日 D) 十月一日</v>
      </c>
      <c r="J116" s="7" t="str">
        <f>IFERROR(__xludf.DUMMYFUNCTION("GOOGLETRANSLATE(D116, ""en"", ""zh"")"),"A) 五月份的五日")</f>
        <v>A) 五月份的五日</v>
      </c>
      <c r="K116" s="7" t="str">
        <f>IFERROR(__xludf.DUMMYFUNCTION("GOOGLETRANSLATE(E116, ""en"", ""zh"")"),"#VALUE!")</f>
        <v>#VALUE!</v>
      </c>
    </row>
    <row r="117">
      <c r="A117" s="17">
        <v>116.0</v>
      </c>
      <c r="B117" s="18" t="s">
        <v>912</v>
      </c>
      <c r="C117" s="18" t="s">
        <v>913</v>
      </c>
      <c r="D117" s="18" t="s">
        <v>914</v>
      </c>
      <c r="H117" s="7" t="str">
        <f>IFERROR(__xludf.DUMMYFUNCTION("GOOGLETRANSLATE(B117, ""en"", ""zh"")"),"龙舟赛弘扬的是哪种精神？")</f>
        <v>龙舟赛弘扬的是哪种精神？</v>
      </c>
      <c r="I117" s="7" t="str">
        <f>IFERROR(__xludf.DUMMYFUNCTION("GOOGLETRANSLATE(C117, ""en"", ""zh"")"),"A) 团队合作与毅力 B) 个人荣耀 C) 冥想 D) 放松")</f>
        <v>A) 团队合作与毅力 B) 个人荣耀 C) 冥想 D) 放松</v>
      </c>
      <c r="J117" s="7" t="str">
        <f>IFERROR(__xludf.DUMMYFUNCTION("GOOGLETRANSLATE(D117, ""en"", ""zh"")"),"A) 团队和毅力")</f>
        <v>A) 团队和毅力</v>
      </c>
      <c r="K117" s="7" t="str">
        <f>IFERROR(__xludf.DUMMYFUNCTION("GOOGLETRANSLATE(E117, ""en"", ""zh"")"),"#VALUE!")</f>
        <v>#VALUE!</v>
      </c>
    </row>
    <row r="118">
      <c r="A118" s="17">
        <v>117.0</v>
      </c>
      <c r="B118" s="18" t="s">
        <v>915</v>
      </c>
      <c r="C118" s="18" t="s">
        <v>916</v>
      </c>
      <c r="D118" s="18" t="s">
        <v>917</v>
      </c>
      <c r="H118" s="7" t="str">
        <f>IFERROR(__xludf.DUMMYFUNCTION("GOOGLETRANSLATE(B118, ""en"", ""zh"")"),"龙舟竞渡主要起源于中国哪个地区？")</f>
        <v>龙舟竞渡主要起源于中国哪个地区？</v>
      </c>
      <c r="I118" s="7" t="str">
        <f>IFERROR(__xludf.DUMMYFUNCTION("GOOGLETRANSLATE(C118, ""en"", ""zh"")"),"A) 南方河流 B) 北方平原 C) 沿海沙滩 D) 西部沙漠")</f>
        <v>A) 南方河流 B) 北方平原 C) 沿海沙滩 D) 西部沙漠</v>
      </c>
      <c r="J118" s="7" t="str">
        <f>IFERROR(__xludf.DUMMYFUNCTION("GOOGLETRANSLATE(D118, ""en"", ""zh"")"),"A) 南部河流")</f>
        <v>A) 南部河流</v>
      </c>
      <c r="K118" s="7" t="str">
        <f>IFERROR(__xludf.DUMMYFUNCTION("GOOGLETRANSLATE(E118, ""en"", ""zh"")"),"#VALUE!")</f>
        <v>#VALUE!</v>
      </c>
    </row>
    <row r="119">
      <c r="A119" s="17">
        <v>118.0</v>
      </c>
      <c r="B119" s="18" t="s">
        <v>918</v>
      </c>
      <c r="C119" s="18" t="s">
        <v>919</v>
      </c>
      <c r="D119" s="18" t="s">
        <v>920</v>
      </c>
      <c r="H119" s="7" t="str">
        <f>IFERROR(__xludf.DUMMYFUNCTION("GOOGLETRANSLATE(B119, ""en"", ""zh"")"),"龙舟竞渡与哪种农业活动有关？")</f>
        <v>龙舟竞渡与哪种农业活动有关？</v>
      </c>
      <c r="I119" s="7" t="str">
        <f>IFERROR(__xludf.DUMMYFUNCTION("GOOGLETRANSLATE(C119, ""en"", ""zh"")"),"A) 水资源管理 B) 水稻种植 C) 茶叶种植 D) 蚕桑养殖")</f>
        <v>A) 水资源管理 B) 水稻种植 C) 茶叶种植 D) 蚕桑养殖</v>
      </c>
      <c r="J119" s="7" t="str">
        <f>IFERROR(__xludf.DUMMYFUNCTION("GOOGLETRANSLATE(D119, ""en"", ""zh"")"),"B）水稻种植")</f>
        <v>B）水稻种植</v>
      </c>
      <c r="K119" s="7" t="str">
        <f>IFERROR(__xludf.DUMMYFUNCTION("GOOGLETRANSLATE(E119, ""en"", ""zh"")"),"#VALUE!")</f>
        <v>#VALUE!</v>
      </c>
    </row>
    <row r="120">
      <c r="A120" s="17">
        <v>119.0</v>
      </c>
      <c r="B120" s="18" t="s">
        <v>921</v>
      </c>
      <c r="C120" s="18" t="s">
        <v>922</v>
      </c>
      <c r="D120" s="18" t="s">
        <v>923</v>
      </c>
      <c r="H120" s="7" t="str">
        <f>IFERROR(__xludf.DUMMYFUNCTION("GOOGLETRANSLATE(B120, ""en"", ""zh"")"),"龙舟比赛用船总共可以容纳多少名参赛者？")</f>
        <v>龙舟比赛用船总共可以容纳多少名参赛者？</v>
      </c>
      <c r="I120" s="7" t="str">
        <f>IFERROR(__xludf.DUMMYFUNCTION("GOOGLETRANSLATE(C120, ""en"", ""zh"")"),"A) 40-60 B) 10-20 C) 70-80 D) 100")</f>
        <v>A) 40-60 B) 10-20 C) 70-80 D) 100</v>
      </c>
      <c r="J120" s="7" t="str">
        <f>IFERROR(__xludf.DUMMYFUNCTION("GOOGLETRANSLATE(D120, ""en"", ""zh"")"),"A) 40-60")</f>
        <v>A) 40-60</v>
      </c>
      <c r="K120" s="7" t="str">
        <f>IFERROR(__xludf.DUMMYFUNCTION("GOOGLETRANSLATE(E120, ""en"", ""zh"")"),"#VALUE!")</f>
        <v>#VALUE!</v>
      </c>
    </row>
    <row r="121">
      <c r="A121" s="17">
        <v>120.0</v>
      </c>
      <c r="B121" s="18" t="s">
        <v>924</v>
      </c>
      <c r="C121" s="18" t="s">
        <v>925</v>
      </c>
      <c r="D121" s="18" t="s">
        <v>926</v>
      </c>
      <c r="H121" s="7" t="str">
        <f>IFERROR(__xludf.DUMMYFUNCTION("GOOGLETRANSLATE(B121, ""en"", ""zh"")"),"龙舟赛的鼓声是用来提示什么的？")</f>
        <v>龙舟赛的鼓声是用来提示什么的？</v>
      </c>
      <c r="I121" s="7" t="str">
        <f>IFERROR(__xludf.DUMMYFUNCTION("GOOGLETRANSLATE(C121, ""en"", ""zh"")"),"A) 划桨计时 B) 船向 C) 仅庆祝 D) 仅开始比赛")</f>
        <v>A) 划桨计时 B) 船向 C) 仅庆祝 D) 仅开始比赛</v>
      </c>
      <c r="J121" s="7" t="str">
        <f>IFERROR(__xludf.DUMMYFUNCTION("GOOGLETRANSLATE(D121, ""en"", ""zh"")"),"A) 冲程时间")</f>
        <v>A) 冲程时间</v>
      </c>
      <c r="K121" s="7" t="str">
        <f>IFERROR(__xludf.DUMMYFUNCTION("GOOGLETRANSLATE(E121, ""en"", ""zh"")"),"#VALUE!")</f>
        <v>#VALUE!</v>
      </c>
    </row>
    <row r="122">
      <c r="A122" s="17">
        <v>121.0</v>
      </c>
      <c r="B122" s="18" t="s">
        <v>927</v>
      </c>
      <c r="C122" s="18" t="s">
        <v>928</v>
      </c>
      <c r="D122" s="18" t="s">
        <v>929</v>
      </c>
      <c r="H122" s="7" t="str">
        <f>IFERROR(__xludf.DUMMYFUNCTION("GOOGLETRANSLATE(B122, ""en"", ""zh"")"),"龙舟竞渡运动受到哪个国际组织的认可？")</f>
        <v>龙舟竞渡运动受到哪个国际组织的认可？</v>
      </c>
      <c r="I122" s="7" t="str">
        <f>IFERROR(__xludf.DUMMYFUNCTION("GOOGLETRANSLATE(C122, ""en"", ""zh"")"),"A) 国际龙舟联合会 B) 国际足联 C) 国际奥委会 D) 国际泳联")</f>
        <v>A) 国际龙舟联合会 B) 国际足联 C) 国际奥委会 D) 国际泳联</v>
      </c>
      <c r="J122" s="7" t="str">
        <f>IFERROR(__xludf.DUMMYFUNCTION("GOOGLETRANSLATE(D122, ""en"", ""zh"")"),"A) 国际龙舟联合会")</f>
        <v>A) 国际龙舟联合会</v>
      </c>
      <c r="K122" s="7" t="str">
        <f>IFERROR(__xludf.DUMMYFUNCTION("GOOGLETRANSLATE(E122, ""en"", ""zh"")"),"#VALUE!")</f>
        <v>#VALUE!</v>
      </c>
    </row>
    <row r="123">
      <c r="A123" s="17">
        <v>122.0</v>
      </c>
      <c r="B123" s="18" t="s">
        <v>930</v>
      </c>
      <c r="C123" s="18" t="s">
        <v>931</v>
      </c>
      <c r="D123" s="18" t="s">
        <v>932</v>
      </c>
      <c r="H123" s="7" t="str">
        <f>IFERROR(__xludf.DUMMYFUNCTION("GOOGLETRANSLATE(B123, ""en"", ""zh"")"),"传统的龙舟赛艇有多宽？")</f>
        <v>传统的龙舟赛艇有多宽？</v>
      </c>
      <c r="I123" s="7" t="str">
        <f>IFERROR(__xludf.DUMMYFUNCTION("GOOGLETRANSLATE(C123, ""en"", ""zh"")"),"A) 1-1.5米 B) 2-3米 C) 3-4米 D) 4-5米")</f>
        <v>A) 1-1.5米 B) 2-3米 C) 3-4米 D) 4-5米</v>
      </c>
      <c r="J123" s="7" t="str">
        <f>IFERROR(__xludf.DUMMYFUNCTION("GOOGLETRANSLATE(D123, ""en"", ""zh"")"),"A) 1-1.5米")</f>
        <v>A) 1-1.5米</v>
      </c>
      <c r="K123" s="7" t="str">
        <f>IFERROR(__xludf.DUMMYFUNCTION("GOOGLETRANSLATE(E123, ""en"", ""zh"")"),"#VALUE!")</f>
        <v>#VALUE!</v>
      </c>
    </row>
    <row r="124">
      <c r="A124" s="17">
        <v>123.0</v>
      </c>
      <c r="B124" s="18" t="s">
        <v>933</v>
      </c>
      <c r="C124" s="18" t="s">
        <v>934</v>
      </c>
      <c r="D124" s="18" t="s">
        <v>935</v>
      </c>
      <c r="H124" s="7" t="str">
        <f>IFERROR(__xludf.DUMMYFUNCTION("GOOGLETRANSLATE(B124, ""en"", ""zh"")"),"龙舟竞渡节包含哪些仪式活动？")</f>
        <v>龙舟竞渡节包含哪些仪式活动？</v>
      </c>
      <c r="I124" s="7" t="str">
        <f>IFERROR(__xludf.DUMMYFUNCTION("GOOGLETRANSLATE(C124, ""en"", ""zh"")"),"A) 向河神献祭食物 B) 剑术比赛 C) 射箭 D) 骑马")</f>
        <v>A) 向河神献祭食物 B) 剑术比赛 C) 射箭 D) 骑马</v>
      </c>
      <c r="J124" s="7" t="str">
        <f>IFERROR(__xludf.DUMMYFUNCTION("GOOGLETRANSLATE(D124, ""en"", ""zh"")"),"A) 向河神供奉食物")</f>
        <v>A) 向河神供奉食物</v>
      </c>
      <c r="K124" s="7" t="str">
        <f>IFERROR(__xludf.DUMMYFUNCTION("GOOGLETRANSLATE(E124, ""en"", ""zh"")"),"#VALUE!")</f>
        <v>#VALUE!</v>
      </c>
    </row>
    <row r="125">
      <c r="A125" s="17">
        <v>124.0</v>
      </c>
      <c r="B125" s="18" t="s">
        <v>936</v>
      </c>
      <c r="C125" s="18" t="s">
        <v>937</v>
      </c>
      <c r="D125" s="18" t="s">
        <v>938</v>
      </c>
      <c r="H125" s="7" t="str">
        <f>IFERROR(__xludf.DUMMYFUNCTION("GOOGLETRANSLATE(B125, ""en"", ""zh"")"),"龙舟除了划桨手之外，船上还有哪个座位？")</f>
        <v>龙舟除了划桨手之外，船上还有哪个座位？</v>
      </c>
      <c r="I125" s="7" t="str">
        <f>IFERROR(__xludf.DUMMYFUNCTION("GOOGLETRANSLATE(C125, ""en"", ""zh"")"),"A) 舵手兼鼓手 B) 弓箭手 C) 诗人 D) 歌手")</f>
        <v>A) 舵手兼鼓手 B) 弓箭手 C) 诗人 D) 歌手</v>
      </c>
      <c r="J125" s="7" t="str">
        <f>IFERROR(__xludf.DUMMYFUNCTION("GOOGLETRANSLATE(D125, ""en"", ""zh"")"),"A) 舵手兼鼓手")</f>
        <v>A) 舵手兼鼓手</v>
      </c>
      <c r="K125" s="7" t="str">
        <f>IFERROR(__xludf.DUMMYFUNCTION("GOOGLETRANSLATE(E125, ""en"", ""zh"")"),"#VALUE!")</f>
        <v>#VALUE!</v>
      </c>
    </row>
    <row r="126">
      <c r="A126" s="17">
        <v>125.0</v>
      </c>
      <c r="B126" s="18" t="s">
        <v>939</v>
      </c>
      <c r="C126" s="18" t="s">
        <v>940</v>
      </c>
      <c r="D126" s="18" t="s">
        <v>941</v>
      </c>
      <c r="H126" s="7" t="str">
        <f>IFERROR(__xludf.DUMMYFUNCTION("GOOGLETRANSLATE(B126, ""en"", ""zh"")"),"龙舟竞渡比赛有助于保护哪种语言？")</f>
        <v>龙舟竞渡比赛有助于保护哪种语言？</v>
      </c>
      <c r="I126" s="7" t="str">
        <f>IFERROR(__xludf.DUMMYFUNCTION("GOOGLETRANSLATE(C126, ""en"", ""zh"")"),"A) 中国民歌 B) 英语 C) 拉丁语 D) 日语")</f>
        <v>A) 中国民歌 B) 英语 C) 拉丁语 D) 日语</v>
      </c>
      <c r="J126" s="7" t="str">
        <f>IFERROR(__xludf.DUMMYFUNCTION("GOOGLETRANSLATE(D126, ""en"", ""zh"")"),"A) 中国民歌")</f>
        <v>A) 中国民歌</v>
      </c>
      <c r="K126" s="7" t="str">
        <f>IFERROR(__xludf.DUMMYFUNCTION("GOOGLETRANSLATE(E126, ""en"", ""zh"")"),"#VALUE!")</f>
        <v>#VALUE!</v>
      </c>
    </row>
    <row r="127">
      <c r="A127" s="17">
        <v>126.0</v>
      </c>
      <c r="B127" s="18" t="s">
        <v>942</v>
      </c>
      <c r="C127" s="18" t="s">
        <v>943</v>
      </c>
      <c r="D127" s="18" t="s">
        <v>944</v>
      </c>
      <c r="H127" s="7" t="str">
        <f>IFERROR(__xludf.DUMMYFUNCTION("GOOGLETRANSLATE(B127, ""en"", ""zh"")"),"龙舟竞渡运动能促进参与者的哪些方面发展？")</f>
        <v>龙舟竞渡运动能促进参与者的哪些方面发展？</v>
      </c>
      <c r="I127" s="7" t="str">
        <f>IFERROR(__xludf.DUMMYFUNCTION("GOOGLETRANSLATE(C127, ""en"", ""zh"")"),"A) 团队凝聚力 B) 个人表现 C) 冥想 D) 交易技能")</f>
        <v>A) 团队凝聚力 B) 个人表现 C) 冥想 D) 交易技能</v>
      </c>
      <c r="J127" s="7" t="str">
        <f>IFERROR(__xludf.DUMMYFUNCTION("GOOGLETRANSLATE(D127, ""en"", ""zh"")"),"A) 团队凝聚力")</f>
        <v>A) 团队凝聚力</v>
      </c>
      <c r="K127" s="7" t="str">
        <f>IFERROR(__xludf.DUMMYFUNCTION("GOOGLETRANSLATE(E127, ""en"", ""zh"")"),"#VALUE!")</f>
        <v>#VALUE!</v>
      </c>
    </row>
    <row r="128">
      <c r="A128" s="17">
        <v>127.0</v>
      </c>
      <c r="B128" s="18" t="s">
        <v>945</v>
      </c>
      <c r="C128" s="18" t="s">
        <v>946</v>
      </c>
      <c r="D128" s="18" t="s">
        <v>947</v>
      </c>
      <c r="H128" s="7" t="str">
        <f>IFERROR(__xludf.DUMMYFUNCTION("GOOGLETRANSLATE(B128, ""en"", ""zh"")"),"龙舟比赛采用哪种划桨方式？")</f>
        <v>龙舟比赛采用哪种划桨方式？</v>
      </c>
      <c r="I128" s="7" t="str">
        <f>IFERROR(__xludf.DUMMYFUNCTION("GOOGLETRANSLATE(C128, ""en"", ""zh"")"),"A) 向前同步划桨 B) 仅向后划桨 C) 圆形划桨 D) 随机划桨")</f>
        <v>A) 向前同步划桨 B) 仅向后划桨 C) 圆形划桨 D) 随机划桨</v>
      </c>
      <c r="J128" s="7" t="str">
        <f>IFERROR(__xludf.DUMMYFUNCTION("GOOGLETRANSLATE(D128, ""en"", ""zh"")"),"A) 向前同步划桨")</f>
        <v>A) 向前同步划桨</v>
      </c>
      <c r="K128" s="7" t="str">
        <f>IFERROR(__xludf.DUMMYFUNCTION("GOOGLETRANSLATE(E128, ""en"", ""zh"")"),"#VALUE!")</f>
        <v>#VALUE!</v>
      </c>
    </row>
    <row r="129">
      <c r="A129" s="17">
        <v>128.0</v>
      </c>
      <c r="B129" s="18" t="s">
        <v>948</v>
      </c>
      <c r="C129" s="18" t="s">
        <v>949</v>
      </c>
      <c r="D129" s="18" t="s">
        <v>950</v>
      </c>
      <c r="H129" s="7" t="str">
        <f>IFERROR(__xludf.DUMMYFUNCTION("GOOGLETRANSLATE(B129, ""en"", ""zh"")"),"传统上，龙舟比赛用船具有哪种结构特征？")</f>
        <v>传统上，龙舟比赛用船具有哪种结构特征？</v>
      </c>
      <c r="I129" s="7" t="str">
        <f>IFERROR(__xludf.DUMMYFUNCTION("GOOGLETRANSLATE(C129, ""en"", ""zh"")"),"A) 长而窄的船体 B) 宽而扁平的船体 C) 圆形船体 D) 短船体")</f>
        <v>A) 长而窄的船体 B) 宽而扁平的船体 C) 圆形船体 D) 短船体</v>
      </c>
      <c r="J129" s="7" t="str">
        <f>IFERROR(__xludf.DUMMYFUNCTION("GOOGLETRANSLATE(D129, ""en"", ""zh"")"),"A) 细长的船体")</f>
        <v>A) 细长的船体</v>
      </c>
      <c r="K129" s="7" t="str">
        <f>IFERROR(__xludf.DUMMYFUNCTION("GOOGLETRANSLATE(E129, ""en"", ""zh"")"),"#VALUE!")</f>
        <v>#VALUE!</v>
      </c>
    </row>
    <row r="130">
      <c r="A130" s="17">
        <v>129.0</v>
      </c>
      <c r="B130" s="18" t="s">
        <v>951</v>
      </c>
      <c r="C130" s="18" t="s">
        <v>952</v>
      </c>
      <c r="D130" s="18" t="s">
        <v>953</v>
      </c>
      <c r="H130" s="7" t="str">
        <f>IFERROR(__xludf.DUMMYFUNCTION("GOOGLETRANSLATE(B130, ""en"", ""zh"")"),"龙舟竞渡象征着对什么的纪念？")</f>
        <v>龙舟竞渡象征着对什么的纪念？</v>
      </c>
      <c r="I130" s="7" t="str">
        <f>IFERROR(__xludf.DUMMYFUNCTION("GOOGLETRANSLATE(C130, ""en"", ""zh"")"),"A) 屈原的牺牲 B) 皇帝的诞生 C) 防洪 D) 军事胜利")</f>
        <v>A) 屈原的牺牲 B) 皇帝的诞生 C) 防洪 D) 军事胜利</v>
      </c>
      <c r="J130" s="7" t="str">
        <f>IFERROR(__xludf.DUMMYFUNCTION("GOOGLETRANSLATE(D130, ""en"", ""zh"")"),"A）屈原的牺牲")</f>
        <v>A）屈原的牺牲</v>
      </c>
      <c r="K130" s="7" t="str">
        <f>IFERROR(__xludf.DUMMYFUNCTION("GOOGLETRANSLATE(E130, ""en"", ""zh"")"),"#VALUE!")</f>
        <v>#VALUE!</v>
      </c>
    </row>
    <row r="131">
      <c r="A131" s="17">
        <v>130.0</v>
      </c>
      <c r="B131" s="18" t="s">
        <v>954</v>
      </c>
      <c r="C131" s="18" t="s">
        <v>955</v>
      </c>
      <c r="D131" s="18" t="s">
        <v>956</v>
      </c>
      <c r="H131" s="7" t="str">
        <f>IFERROR(__xludf.DUMMYFUNCTION("GOOGLETRANSLATE(B131, ""en"", ""zh"")"),"龙舟竞渡目前在哪些大洲流行？")</f>
        <v>龙舟竞渡目前在哪些大洲流行？</v>
      </c>
      <c r="I131" s="7" t="str">
        <f>IFERROR(__xludf.DUMMYFUNCTION("GOOGLETRANSLATE(C131, ""en"", ""zh"")"),"A) 亚洲、欧洲、北美洲 B) 仅非洲 C) 仅澳大利亚 D) 仅南美洲")</f>
        <v>A) 亚洲、欧洲、北美洲 B) 仅非洲 C) 仅澳大利亚 D) 仅南美洲</v>
      </c>
      <c r="J131" s="7" t="str">
        <f>IFERROR(__xludf.DUMMYFUNCTION("GOOGLETRANSLATE(D131, ""en"", ""zh"")"),"A) 亚洲、欧洲、北美洲")</f>
        <v>A) 亚洲、欧洲、北美洲</v>
      </c>
      <c r="K131" s="7" t="str">
        <f>IFERROR(__xludf.DUMMYFUNCTION("GOOGLETRANSLATE(E131, ""en"", ""zh"")"),"#VALUE!")</f>
        <v>#VALUE!</v>
      </c>
    </row>
    <row r="132">
      <c r="A132" s="23"/>
    </row>
    <row r="133">
      <c r="A133" s="23"/>
    </row>
    <row r="134">
      <c r="A134" s="23"/>
    </row>
    <row r="135">
      <c r="A135" s="23"/>
    </row>
    <row r="136">
      <c r="A136" s="23"/>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10" max="11" width="12.75"/>
  </cols>
  <sheetData>
    <row r="1">
      <c r="A1" s="1" t="s">
        <v>0</v>
      </c>
      <c r="B1" s="1" t="s">
        <v>1</v>
      </c>
      <c r="C1" s="1" t="s">
        <v>2</v>
      </c>
      <c r="D1" s="1" t="s">
        <v>3</v>
      </c>
      <c r="E1" s="1" t="s">
        <v>4</v>
      </c>
      <c r="F1" s="2"/>
      <c r="G1" s="2"/>
      <c r="H1" s="4"/>
      <c r="I1" s="1" t="s">
        <v>5</v>
      </c>
      <c r="J1" s="1" t="s">
        <v>6</v>
      </c>
      <c r="K1" s="1" t="s">
        <v>7</v>
      </c>
      <c r="L1" s="1" t="s">
        <v>4</v>
      </c>
      <c r="M1" s="4"/>
      <c r="N1" s="24"/>
      <c r="O1" s="4"/>
      <c r="P1" s="24"/>
    </row>
    <row r="2">
      <c r="A2" s="5">
        <v>1.0</v>
      </c>
      <c r="B2" s="6" t="s">
        <v>957</v>
      </c>
      <c r="C2" s="6" t="s">
        <v>958</v>
      </c>
      <c r="D2" s="6" t="s">
        <v>959</v>
      </c>
      <c r="E2" s="6" t="s">
        <v>960</v>
      </c>
      <c r="F2" s="2"/>
      <c r="G2" s="2"/>
      <c r="H2" s="25"/>
      <c r="I2" s="6" t="str">
        <f>IFERROR(__xludf.DUMMYFUNCTION("GOOGLETRANSLATE(B2, ""en"", ""zh"")"),"中国历史上最早有关于围棋的记载是什么时候？")</f>
        <v>中国历史上最早有关于围棋的记载是什么时候？</v>
      </c>
      <c r="J2" s="6" t="str">
        <f>IFERROR(__xludf.DUMMYFUNCTION("GOOGLETRANSLATE(C2, ""en"", ""zh"")"),"A) 公元前3000年，B) 公元前5000年，C) 公元前1000年，D) 公元前2000年")</f>
        <v>A) 公元前3000年，B) 公元前5000年，C) 公元前1000年，D) 公元前2000年</v>
      </c>
      <c r="K2" s="6" t="str">
        <f>IFERROR(__xludf.DUMMYFUNCTION("GOOGLETRANSLATE(D2, ""en"", ""zh"")"),"B) 公元前5000年")</f>
        <v>B) 公元前5000年</v>
      </c>
      <c r="L2" s="6" t="str">
        <f>IFERROR(__xludf.DUMMYFUNCTION("GOOGLETRANSLATE(E2, ""en"", ""zh"")"),"围棋是最古老的棋类游戏之一，其起源可以追溯到公元前5000年左右的中国古代周朝。")</f>
        <v>围棋是最古老的棋类游戏之一，其起源可以追溯到公元前5000年左右的中国古代周朝。</v>
      </c>
      <c r="M2" s="4"/>
      <c r="N2" s="26"/>
      <c r="O2" s="4"/>
      <c r="P2" s="27"/>
    </row>
    <row r="3">
      <c r="A3" s="5">
        <v>2.0</v>
      </c>
      <c r="B3" s="6" t="s">
        <v>961</v>
      </c>
      <c r="C3" s="6" t="s">
        <v>962</v>
      </c>
      <c r="D3" s="6" t="s">
        <v>963</v>
      </c>
      <c r="E3" s="6" t="s">
        <v>964</v>
      </c>
      <c r="F3" s="2"/>
      <c r="G3" s="2"/>
      <c r="H3" s="25"/>
      <c r="I3" s="6" t="str">
        <f>IFERROR(__xludf.DUMMYFUNCTION("GOOGLETRANSLATE(B3, ""en"", ""zh"")"),"谁被认为是将围棋传入日本的人？")</f>
        <v>谁被认为是将围棋传入日本的人？</v>
      </c>
      <c r="J3" s="6" t="str">
        <f>IFERROR(__xludf.DUMMYFUNCTION("GOOGLETRANSLATE(C3, ""en"", ""zh"")"),"A) 本因坊周作、B) 城夫正斋、C) 池田悟、D) 伊后周作")</f>
        <v>A) 本因坊周作、B) 城夫正斋、C) 池田悟、D) 伊后周作</v>
      </c>
      <c r="K3" s="6" t="str">
        <f>IFERROR(__xludf.DUMMYFUNCTION("GOOGLETRANSLATE(D3, ""en"", ""zh"")"),"A) 本因坊周作")</f>
        <v>A) 本因坊周作</v>
      </c>
      <c r="L3" s="6" t="str">
        <f>IFERROR(__xludf.DUMMYFUNCTION("GOOGLETRANSLATE(E3, ""en"", ""zh"")"),"19 世纪著名围棋棋手本因坊周作帮助围棋在日本流行起来。")</f>
        <v>19 世纪著名围棋棋手本因坊周作帮助围棋在日本流行起来。</v>
      </c>
      <c r="M3" s="4"/>
      <c r="N3" s="26"/>
      <c r="O3" s="4"/>
      <c r="P3" s="27"/>
    </row>
    <row r="4">
      <c r="A4" s="5">
        <v>3.0</v>
      </c>
      <c r="B4" s="6" t="s">
        <v>965</v>
      </c>
      <c r="C4" s="6" t="s">
        <v>966</v>
      </c>
      <c r="D4" s="6" t="s">
        <v>967</v>
      </c>
      <c r="E4" s="6" t="s">
        <v>968</v>
      </c>
      <c r="F4" s="2"/>
      <c r="G4" s="2"/>
      <c r="H4" s="25"/>
      <c r="I4" s="6" t="str">
        <f>IFERROR(__xludf.DUMMYFUNCTION("GOOGLETRANSLATE(B4, ""en"", ""zh"")"),"哪位中国哲学家会下围棋？")</f>
        <v>哪位中国哲学家会下围棋？</v>
      </c>
      <c r="J4" s="6" t="str">
        <f>IFERROR(__xludf.DUMMYFUNCTION("GOOGLETRANSLATE(C4, ""en"", ""zh"")"),"A) 孔子，B) 老子，C) 孙子，D) 庄子")</f>
        <v>A) 孔子，B) 老子，C) 孙子，D) 庄子</v>
      </c>
      <c r="K4" s="6" t="str">
        <f>IFERROR(__xludf.DUMMYFUNCTION("GOOGLETRANSLATE(D4, ""en"", ""zh"")"),"A）孔子")</f>
        <v>A）孔子</v>
      </c>
      <c r="L4" s="6" t="str">
        <f>IFERROR(__xludf.DUMMYFUNCTION("GOOGLETRANSLATE(E4, ""en"", ""zh"")"),"中国著名哲学家孔子曾下围棋，甚至在他的教义中也提到过围棋。")</f>
        <v>中国著名哲学家孔子曾下围棋，甚至在他的教义中也提到过围棋。</v>
      </c>
      <c r="M4" s="4"/>
      <c r="N4" s="27"/>
      <c r="O4" s="4"/>
      <c r="P4" s="27"/>
    </row>
    <row r="5">
      <c r="A5" s="5">
        <v>4.0</v>
      </c>
      <c r="B5" s="6" t="s">
        <v>969</v>
      </c>
      <c r="C5" s="6" t="s">
        <v>970</v>
      </c>
      <c r="D5" s="6" t="s">
        <v>971</v>
      </c>
      <c r="E5" s="6" t="s">
        <v>972</v>
      </c>
      <c r="F5" s="2"/>
      <c r="G5" s="2"/>
      <c r="H5" s="25"/>
      <c r="I5" s="6" t="str">
        <f>IFERROR(__xludf.DUMMYFUNCTION("GOOGLETRANSLATE(B5, ""en"", ""zh"")"),"围棋在中国古代的主要目的是什么？")</f>
        <v>围棋在中国古代的主要目的是什么？</v>
      </c>
      <c r="J5" s="6" t="str">
        <f>IFERROR(__xludf.DUMMYFUNCTION("GOOGLETRANSLATE(C5, ""en"", ""zh"")"),"A) 娱乐，B) 军事战略，C) 教育，D) 宗教仪式")</f>
        <v>A) 娱乐，B) 军事战略，C) 教育，D) 宗教仪式</v>
      </c>
      <c r="K5" s="6" t="str">
        <f>IFERROR(__xludf.DUMMYFUNCTION("GOOGLETRANSLATE(D5, ""en"", ""zh"")"),"B) 军事战略")</f>
        <v>B) 军事战略</v>
      </c>
      <c r="L5" s="6" t="str">
        <f>IFERROR(__xludf.DUMMYFUNCTION("GOOGLETRANSLATE(E5, ""en"", ""zh"")"),"围棋最初在中国被用作一种战略工具，用于教授军事战术和提高决策能力。")</f>
        <v>围棋最初在中国被用作一种战略工具，用于教授军事战术和提高决策能力。</v>
      </c>
      <c r="M5" s="4"/>
      <c r="N5" s="27"/>
      <c r="O5" s="4"/>
      <c r="P5" s="27"/>
    </row>
    <row r="6">
      <c r="A6" s="5">
        <v>5.0</v>
      </c>
      <c r="B6" s="6" t="s">
        <v>973</v>
      </c>
      <c r="C6" s="6" t="s">
        <v>974</v>
      </c>
      <c r="D6" s="6" t="s">
        <v>975</v>
      </c>
      <c r="E6" s="6" t="s">
        <v>976</v>
      </c>
      <c r="F6" s="2"/>
      <c r="G6" s="2"/>
      <c r="H6" s="25"/>
      <c r="I6" s="6" t="str">
        <f>IFERROR(__xludf.DUMMYFUNCTION("GOOGLETRANSLATE(B6, ""en"", ""zh"")"),"据说哪位皇帝在中国禁止了围棋？")</f>
        <v>据说哪位皇帝在中国禁止了围棋？</v>
      </c>
      <c r="J6" s="6" t="str">
        <f>IFERROR(__xludf.DUMMYFUNCTION("GOOGLETRANSLATE(C6, ""en"", ""zh"")"),"A) 秦始皇，B) 汉武帝，C) 康熙皇帝，D) 唐太宗")</f>
        <v>A) 秦始皇，B) 汉武帝，C) 康熙皇帝，D) 唐太宗</v>
      </c>
      <c r="K6" s="6" t="str">
        <f>IFERROR(__xludf.DUMMYFUNCTION("GOOGLETRANSLATE(D6, ""en"", ""zh"")"),"A) 秦始皇")</f>
        <v>A) 秦始皇</v>
      </c>
      <c r="L6" s="6" t="str">
        <f>IFERROR(__xludf.DUMMYFUNCTION("GOOGLETRANSLATE(E6, ""en"", ""zh"")"),"据记载，秦始皇在公元前3世纪统治时期，禁止了围棋以及其他一些学术活动。")</f>
        <v>据记载，秦始皇在公元前3世纪统治时期，禁止了围棋以及其他一些学术活动。</v>
      </c>
      <c r="M6" s="4"/>
      <c r="N6" s="27"/>
      <c r="O6" s="4"/>
      <c r="P6" s="26"/>
    </row>
    <row r="7">
      <c r="A7" s="5">
        <v>6.0</v>
      </c>
      <c r="B7" s="6" t="s">
        <v>977</v>
      </c>
      <c r="C7" s="6" t="s">
        <v>978</v>
      </c>
      <c r="D7" s="6" t="s">
        <v>979</v>
      </c>
      <c r="E7" s="6" t="s">
        <v>980</v>
      </c>
      <c r="F7" s="2"/>
      <c r="G7" s="2"/>
      <c r="H7" s="25"/>
      <c r="I7" s="6" t="str">
        <f>IFERROR(__xludf.DUMMYFUNCTION("GOOGLETRANSLATE(B7, ""en"", ""zh"")"),"“Go”一词源自哪种语言？")</f>
        <v>“Go”一词源自哪种语言？</v>
      </c>
      <c r="J7" s="6" t="str">
        <f>IFERROR(__xludf.DUMMYFUNCTION("GOOGLETRANSLATE(C7, ""en"", ""zh"")"),"A) 日语，B) 中文，C) 韩语，D) 越南语")</f>
        <v>A) 日语，B) 中文，C) 韩语，D) 越南语</v>
      </c>
      <c r="K7" s="6" t="str">
        <f>IFERROR(__xludf.DUMMYFUNCTION("GOOGLETRANSLATE(D7, ""en"", ""zh"")"),"B) 中文")</f>
        <v>B) 中文</v>
      </c>
      <c r="L7" s="6" t="str">
        <f>IFERROR(__xludf.DUMMYFUNCTION("GOOGLETRANSLATE(E7, ""en"", ""zh"")"),"“围棋”这个名称来源于中文“围棋”，意思是“围棋”。")</f>
        <v>“围棋”这个名称来源于中文“围棋”，意思是“围棋”。</v>
      </c>
      <c r="M7" s="4"/>
      <c r="N7" s="27"/>
      <c r="O7" s="4"/>
      <c r="P7" s="26"/>
    </row>
    <row r="8">
      <c r="A8" s="5">
        <v>7.0</v>
      </c>
      <c r="B8" s="6" t="s">
        <v>981</v>
      </c>
      <c r="C8" s="6" t="s">
        <v>982</v>
      </c>
      <c r="D8" s="6" t="s">
        <v>983</v>
      </c>
      <c r="E8" s="6" t="s">
        <v>984</v>
      </c>
      <c r="F8" s="2"/>
      <c r="G8" s="2"/>
      <c r="H8" s="25"/>
      <c r="I8" s="6" t="str">
        <f>IFERROR(__xludf.DUMMYFUNCTION("GOOGLETRANSLATE(B8, ""en"", ""zh"")"),"围棋在中国哪个朝代开始流行？")</f>
        <v>围棋在中国哪个朝代开始流行？</v>
      </c>
      <c r="J8" s="6" t="str">
        <f>IFERROR(__xludf.DUMMYFUNCTION("GOOGLETRANSLATE(C8, ""en"", ""zh"")"),"A) 唐朝，B) 汉朝，C) 明朝，D) 宋朝")</f>
        <v>A) 唐朝，B) 汉朝，C) 明朝，D) 宋朝</v>
      </c>
      <c r="K8" s="6" t="str">
        <f>IFERROR(__xludf.DUMMYFUNCTION("GOOGLETRANSLATE(D8, ""en"", ""zh"")"),"A) 唐朝")</f>
        <v>A) 唐朝</v>
      </c>
      <c r="L8" s="6" t="str">
        <f>IFERROR(__xludf.DUMMYFUNCTION("GOOGLETRANSLATE(E8, ""en"", ""zh"")"),"围棋在中国唐朝（公元618-907年）时期成为一种广泛流行且风靡的游戏。")</f>
        <v>围棋在中国唐朝（公元618-907年）时期成为一种广泛流行且风靡的游戏。</v>
      </c>
      <c r="M8" s="4"/>
      <c r="N8" s="27"/>
      <c r="O8" s="4"/>
      <c r="P8" s="26"/>
    </row>
    <row r="9">
      <c r="A9" s="5">
        <v>8.0</v>
      </c>
      <c r="B9" s="6" t="s">
        <v>985</v>
      </c>
      <c r="C9" s="6" t="s">
        <v>986</v>
      </c>
      <c r="D9" s="6" t="s">
        <v>987</v>
      </c>
      <c r="E9" s="6" t="s">
        <v>988</v>
      </c>
      <c r="F9" s="2"/>
      <c r="G9" s="2"/>
      <c r="H9" s="25"/>
      <c r="I9" s="6" t="str">
        <f>IFERROR(__xludf.DUMMYFUNCTION("GOOGLETRANSLATE(B9, ""en"", ""zh"")"),"哪位中国著名围棋棋手被认为是唐代最优秀的棋手之一？")</f>
        <v>哪位中国著名围棋棋手被认为是唐代最优秀的棋手之一？</v>
      </c>
      <c r="J9" s="6" t="str">
        <f>IFERROR(__xludf.DUMMYFUNCTION("GOOGLETRANSLATE(C9, ""en"", ""zh"")"),"A) 吴清源、B) 张忠、C) 李青、D) 谢媛")</f>
        <v>A) 吴清源、B) 张忠、C) 李青、D) 谢媛</v>
      </c>
      <c r="K9" s="6" t="str">
        <f>IFERROR(__xludf.DUMMYFUNCTION("GOOGLETRANSLATE(D9, ""en"", ""zh"")"),"B) 张忠")</f>
        <v>B) 张忠</v>
      </c>
      <c r="L9" s="6" t="str">
        <f>IFERROR(__xludf.DUMMYFUNCTION("GOOGLETRANSLATE(E9, ""en"", ""zh"")"),"张忠是唐代著名的围棋棋手，被认为是当时最优秀的棋手之一。")</f>
        <v>张忠是唐代著名的围棋棋手，被认为是当时最优秀的棋手之一。</v>
      </c>
      <c r="M9" s="4"/>
      <c r="N9" s="27"/>
      <c r="O9" s="4"/>
      <c r="P9" s="26"/>
    </row>
    <row r="10">
      <c r="A10" s="5">
        <v>9.0</v>
      </c>
      <c r="B10" s="6" t="s">
        <v>989</v>
      </c>
      <c r="C10" s="6" t="s">
        <v>990</v>
      </c>
      <c r="D10" s="6" t="s">
        <v>991</v>
      </c>
      <c r="E10" s="6" t="s">
        <v>992</v>
      </c>
      <c r="F10" s="2"/>
      <c r="G10" s="2"/>
      <c r="H10" s="25"/>
      <c r="I10" s="6" t="str">
        <f>IFERROR(__xludf.DUMMYFUNCTION("GOOGLETRANSLATE(B10, ""en"", ""zh"")"),"中国现存最早的围棋手册叫什么名字？")</f>
        <v>中国现存最早的围棋手册叫什么名字？</v>
      </c>
      <c r="J10" s="6" t="str">
        <f>IFERROR(__xludf.DUMMYFUNCTION("GOOGLETRANSLATE(C10, ""en"", ""zh"")"),"A)《易经》, B)《孙子兵法》, C)《魏的围棋》, D)《易经》")</f>
        <v>A)《易经》, B)《孙子兵法》, C)《魏的围棋》, D)《易经》</v>
      </c>
      <c r="K10" s="6" t="str">
        <f>IFERROR(__xludf.DUMMYFUNCTION("GOOGLETRANSLATE(D10, ""en"", ""zh"")"),"C) 魏的围棋手册")</f>
        <v>C) 魏的围棋手册</v>
      </c>
      <c r="L10" s="6" t="str">
        <f>IFERROR(__xludf.DUMMYFUNCTION("GOOGLETRANSLATE(E10, ""en"", ""zh"")"),"已知最早的围棋教材是《魏氏围棋》，成书于中国魏朝时期。")</f>
        <v>已知最早的围棋教材是《魏氏围棋》，成书于中国魏朝时期。</v>
      </c>
      <c r="M10" s="4"/>
      <c r="N10" s="26"/>
      <c r="O10" s="4"/>
      <c r="P10" s="27"/>
    </row>
    <row r="11">
      <c r="A11" s="5">
        <v>10.0</v>
      </c>
      <c r="B11" s="6" t="s">
        <v>993</v>
      </c>
      <c r="C11" s="6" t="s">
        <v>994</v>
      </c>
      <c r="D11" s="6" t="s">
        <v>995</v>
      </c>
      <c r="E11" s="6" t="s">
        <v>996</v>
      </c>
      <c r="F11" s="2"/>
      <c r="G11" s="2"/>
      <c r="H11" s="25"/>
      <c r="I11" s="6" t="str">
        <f>IFERROR(__xludf.DUMMYFUNCTION("GOOGLETRANSLATE(B11, ""en"", ""zh"")"),"现存最古老的围棋棋盘是哪一副？")</f>
        <v>现存最古老的围棋棋盘是哪一副？</v>
      </c>
      <c r="J11" s="6" t="str">
        <f>IFERROR(__xludf.DUMMYFUNCTION("GOOGLETRANSLATE(C11, ""en"", ""zh"")"),"A) 清朝棋盘，B) 唐朝棋盘，C) 宋朝棋盘，D) 汉朝棋盘")</f>
        <v>A) 清朝棋盘，B) 唐朝棋盘，C) 宋朝棋盘，D) 汉朝棋盘</v>
      </c>
      <c r="K11" s="6" t="str">
        <f>IFERROR(__xludf.DUMMYFUNCTION("GOOGLETRANSLATE(D11, ""en"", ""zh"")"),"D) 汉朝委员会")</f>
        <v>D) 汉朝委员会</v>
      </c>
      <c r="L11" s="6" t="str">
        <f>IFERROR(__xludf.DUMMYFUNCTION("GOOGLETRANSLATE(E11, ""en"", ""zh"")"),"现存最古老的围棋棋盘可以追溯到汉代，距今约2000年。")</f>
        <v>现存最古老的围棋棋盘可以追溯到汉代，距今约2000年。</v>
      </c>
      <c r="M11" s="4"/>
      <c r="N11" s="27"/>
      <c r="O11" s="4"/>
      <c r="P11" s="26"/>
    </row>
    <row r="12">
      <c r="A12" s="5">
        <v>11.0</v>
      </c>
      <c r="B12" s="6" t="s">
        <v>997</v>
      </c>
      <c r="C12" s="6" t="s">
        <v>998</v>
      </c>
      <c r="D12" s="6" t="s">
        <v>999</v>
      </c>
      <c r="E12" s="6" t="s">
        <v>1000</v>
      </c>
      <c r="F12" s="2"/>
      <c r="G12" s="2"/>
      <c r="H12" s="25"/>
      <c r="I12" s="6" t="str">
        <f>IFERROR(__xludf.DUMMYFUNCTION("GOOGLETRANSLATE(B12, ""en"", ""zh"")"),"哪个国家拥有已知历史最悠久的职业围棋协会？")</f>
        <v>哪个国家拥有已知历史最悠久的职业围棋协会？</v>
      </c>
      <c r="J12" s="6" t="str">
        <f>IFERROR(__xludf.DUMMYFUNCTION("GOOGLETRANSLATE(C12, ""en"", ""zh"")"),"A) 日本，B) 中国，C) 韩国，D) 台湾")</f>
        <v>A) 日本，B) 中国，C) 韩国，D) 台湾</v>
      </c>
      <c r="K12" s="6" t="str">
        <f>IFERROR(__xludf.DUMMYFUNCTION("GOOGLETRANSLATE(D12, ""en"", ""zh"")"),"A) 日本")</f>
        <v>A) 日本</v>
      </c>
      <c r="L12" s="6" t="str">
        <f>IFERROR(__xludf.DUMMYFUNCTION("GOOGLETRANSLATE(E12, ""en"", ""zh"")"),"日本职业围棋协会成立于19世纪，是已知最古老的职业围棋组织。")</f>
        <v>日本职业围棋协会成立于19世纪，是已知最古老的职业围棋组织。</v>
      </c>
      <c r="M12" s="4"/>
      <c r="N12" s="27"/>
      <c r="O12" s="4"/>
      <c r="P12" s="26"/>
    </row>
    <row r="13">
      <c r="A13" s="5">
        <v>12.0</v>
      </c>
      <c r="B13" s="6" t="s">
        <v>1001</v>
      </c>
      <c r="C13" s="6" t="s">
        <v>1002</v>
      </c>
      <c r="D13" s="6" t="s">
        <v>30</v>
      </c>
      <c r="E13" s="6" t="s">
        <v>1003</v>
      </c>
      <c r="F13" s="2"/>
      <c r="G13" s="2"/>
      <c r="H13" s="25"/>
      <c r="I13" s="6" t="str">
        <f>IFERROR(__xludf.DUMMYFUNCTION("GOOGLETRANSLATE(B13, ""en"", ""zh"")"),"在现代围棋赛中，哪个国家拥有最成功的棋手？")</f>
        <v>在现代围棋赛中，哪个国家拥有最成功的棋手？</v>
      </c>
      <c r="J13" s="6" t="str">
        <f>IFERROR(__xludf.DUMMYFUNCTION("GOOGLETRANSLATE(C13, ""en"", ""zh"")"),"A) 中国，B) 日本，C) 韩国，D) 台湾")</f>
        <v>A) 中国，B) 日本，C) 韩国，D) 台湾</v>
      </c>
      <c r="K13" s="6" t="str">
        <f>IFERROR(__xludf.DUMMYFUNCTION("GOOGLETRANSLATE(D13, ""en"", ""zh"")"),"A) 中国")</f>
        <v>A) 中国</v>
      </c>
      <c r="L13" s="6" t="str">
        <f>IFERROR(__xludf.DUMMYFUNCTION("GOOGLETRANSLATE(E13, ""en"", ""zh"")"),"中国在现代，特别是21世纪，涌现出了一些最成功的围棋棋手。")</f>
        <v>中国在现代，特别是21世纪，涌现出了一些最成功的围棋棋手。</v>
      </c>
      <c r="M13" s="4"/>
      <c r="N13" s="27"/>
      <c r="O13" s="4"/>
      <c r="P13" s="27"/>
    </row>
    <row r="14">
      <c r="A14" s="5">
        <v>13.0</v>
      </c>
      <c r="B14" s="6" t="s">
        <v>1004</v>
      </c>
      <c r="C14" s="6" t="s">
        <v>1005</v>
      </c>
      <c r="D14" s="6" t="s">
        <v>1006</v>
      </c>
      <c r="E14" s="6" t="s">
        <v>1007</v>
      </c>
      <c r="F14" s="2"/>
      <c r="G14" s="2"/>
      <c r="H14" s="25"/>
      <c r="I14" s="6" t="str">
        <f>IFERROR(__xludf.DUMMYFUNCTION("GOOGLETRANSLATE(B14, ""en"", ""zh"")"),"负责监管围棋比赛的中国政府机构名称是什么？")</f>
        <v>负责监管围棋比赛的中国政府机构名称是什么？</v>
      </c>
      <c r="J14" s="6" t="str">
        <f>IFERROR(__xludf.DUMMYFUNCTION("GOOGLETRANSLATE(C14, ""en"", ""zh"")"),"A) 中国围棋协会，B) 中国国际象棋协会，C) 中国策略棋类游戏委员会，D) 全国围棋理事会")</f>
        <v>A) 中国围棋协会，B) 中国国际象棋协会，C) 中国策略棋类游戏委员会，D) 全国围棋理事会</v>
      </c>
      <c r="K14" s="6" t="str">
        <f>IFERROR(__xludf.DUMMYFUNCTION("GOOGLETRANSLATE(D14, ""en"", ""zh"")"),"A) 中国围棋联合会")</f>
        <v>A) 中国围棋联合会</v>
      </c>
      <c r="L14" s="6" t="str">
        <f>IFERROR(__xludf.DUMMYFUNCTION("GOOGLETRANSLATE(E14, ""en"", ""zh"")"),"中国围棋联合会是负责监管中国围棋比赛和赛事的主要组织。")</f>
        <v>中国围棋联合会是负责监管中国围棋比赛和赛事的主要组织。</v>
      </c>
      <c r="M14" s="4"/>
      <c r="N14" s="26"/>
      <c r="O14" s="4"/>
      <c r="P14" s="26"/>
    </row>
    <row r="15">
      <c r="A15" s="5">
        <v>14.0</v>
      </c>
      <c r="B15" s="6" t="s">
        <v>1008</v>
      </c>
      <c r="C15" s="6" t="s">
        <v>1009</v>
      </c>
      <c r="D15" s="6" t="s">
        <v>855</v>
      </c>
      <c r="E15" s="6" t="s">
        <v>1010</v>
      </c>
      <c r="F15" s="2"/>
      <c r="G15" s="2"/>
      <c r="H15" s="25"/>
      <c r="I15" s="6" t="str">
        <f>IFERROR(__xludf.DUMMYFUNCTION("GOOGLETRANSLATE(B15, ""en"", ""zh"")"),"传统围棋棋盘是由什么材料制成的？")</f>
        <v>传统围棋棋盘是由什么材料制成的？</v>
      </c>
      <c r="J15" s="6" t="str">
        <f>IFERROR(__xludf.DUMMYFUNCTION("GOOGLETRANSLATE(C15, ""en"", ""zh"")"),"A) 木材，B) 竹子，C) 石头，D) 塑料")</f>
        <v>A) 木材，B) 竹子，C) 石头，D) 塑料</v>
      </c>
      <c r="K15" s="6" t="str">
        <f>IFERROR(__xludf.DUMMYFUNCTION("GOOGLETRANSLATE(D15, ""en"", ""zh"")"),"A) 木材")</f>
        <v>A) 木材</v>
      </c>
      <c r="L15" s="6" t="str">
        <f>IFERROR(__xludf.DUMMYFUNCTION("GOOGLETRANSLATE(E15, ""en"", ""zh"")"),"传统围棋棋盘由优质木材制成，专业棋盘通常采用檀木等材料。")</f>
        <v>传统围棋棋盘由优质木材制成，专业棋盘通常采用檀木等材料。</v>
      </c>
      <c r="M15" s="4"/>
      <c r="N15" s="26"/>
      <c r="O15" s="4"/>
      <c r="P15" s="26"/>
    </row>
    <row r="16">
      <c r="A16" s="5">
        <v>15.0</v>
      </c>
      <c r="B16" s="6" t="s">
        <v>1011</v>
      </c>
      <c r="C16" s="6" t="s">
        <v>1012</v>
      </c>
      <c r="D16" s="6" t="s">
        <v>1013</v>
      </c>
      <c r="E16" s="6" t="s">
        <v>1014</v>
      </c>
      <c r="F16" s="2"/>
      <c r="G16" s="2"/>
      <c r="H16" s="25"/>
      <c r="I16" s="6" t="str">
        <f>IFERROR(__xludf.DUMMYFUNCTION("GOOGLETRANSLATE(B16, ""en"", ""zh"")"),"谁是第一位在日本达到九段的西方围棋棋手？")</f>
        <v>谁是第一位在日本达到九段的西方围棋棋手？</v>
      </c>
      <c r="J16" s="6" t="str">
        <f>IFERROR(__xludf.DUMMYFUNCTION("GOOGLETRANSLATE(C16, ""en"", ""zh"")"),"A) Thomas Hsiang，B) Michael Redmond，C) John T. McFarland，D) Christopher Welker")</f>
        <v>A) Thomas Hsiang，B) Michael Redmond，C) John T. McFarland，D) Christopher Welker</v>
      </c>
      <c r="K16" s="6" t="str">
        <f>IFERROR(__xludf.DUMMYFUNCTION("GOOGLETRANSLATE(D16, ""en"", ""zh"")"),"B) 迈克尔·雷德蒙德")</f>
        <v>B) 迈克尔·雷德蒙德</v>
      </c>
      <c r="L16" s="6" t="str">
        <f>IFERROR(__xludf.DUMMYFUNCTION("GOOGLETRANSLATE(E16, ""en"", ""zh"")"),"迈克尔·雷德蒙德是第一位在日本达到围棋九段的西方棋手，这是围棋界的一项重大成就。")</f>
        <v>迈克尔·雷德蒙德是第一位在日本达到围棋九段的西方棋手，这是围棋界的一项重大成就。</v>
      </c>
      <c r="M16" s="4"/>
      <c r="N16" s="27"/>
      <c r="O16" s="4"/>
      <c r="P16" s="27"/>
    </row>
    <row r="17">
      <c r="A17" s="5">
        <v>16.0</v>
      </c>
      <c r="B17" s="6" t="s">
        <v>1015</v>
      </c>
      <c r="C17" s="6" t="s">
        <v>1016</v>
      </c>
      <c r="D17" s="6" t="s">
        <v>1017</v>
      </c>
      <c r="E17" s="6" t="s">
        <v>1018</v>
      </c>
      <c r="F17" s="2"/>
      <c r="G17" s="2"/>
      <c r="H17" s="25"/>
      <c r="I17" s="6" t="str">
        <f>IFERROR(__xludf.DUMMYFUNCTION("GOOGLETRANSLATE(B17, ""en"", ""zh"")"),"以下哪句是著名的围棋谚语？")</f>
        <v>以下哪句是著名的围棋谚语？</v>
      </c>
      <c r="J17" s="6" t="str">
        <f>IFERROR(__xludf.DUMMYFUNCTION("GOOGLETRANSLATE(C17, ""en"", ""zh"")"),"A) 一鸟在手胜过二鸟在林，B) 着眼棋盘，而非对手，C) 先吃子，再包围，D) 不要吃掉最后一个棋子")</f>
        <v>A) 一鸟在手胜过二鸟在林，B) 着眼棋盘，而非对手，C) 先吃子，再包围，D) 不要吃掉最后一个棋子</v>
      </c>
      <c r="K17" s="6" t="str">
        <f>IFERROR(__xludf.DUMMYFUNCTION("GOOGLETRANSLATE(D17, ""en"", ""zh"")"),"C) 先捕捉，再环绕")</f>
        <v>C) 先捕捉，再环绕</v>
      </c>
      <c r="L17" s="6" t="str">
        <f>IFERROR(__xludf.DUMMYFUNCTION("GOOGLETRANSLATE(E17, ""en"", ""zh"")"),"这句围棋谚语建议棋手在包围对手之前，应该优先吃掉对手的棋子。")</f>
        <v>这句围棋谚语建议棋手在包围对手之前，应该优先吃掉对手的棋子。</v>
      </c>
      <c r="M17" s="4"/>
      <c r="N17" s="26"/>
      <c r="O17" s="4"/>
      <c r="P17" s="26"/>
    </row>
    <row r="18">
      <c r="A18" s="5">
        <v>17.0</v>
      </c>
      <c r="B18" s="6" t="s">
        <v>1019</v>
      </c>
      <c r="C18" s="6" t="s">
        <v>1020</v>
      </c>
      <c r="D18" s="6" t="s">
        <v>1021</v>
      </c>
      <c r="E18" s="6" t="s">
        <v>1022</v>
      </c>
      <c r="F18" s="2"/>
      <c r="G18" s="2"/>
      <c r="H18" s="25"/>
      <c r="I18" s="6" t="str">
        <f>IFERROR(__xludf.DUMMYFUNCTION("GOOGLETRANSLATE(B18, ""en"", ""zh"")"),"哪位日本围棋棋手在20世纪因战胜中国职业棋手而闻名？")</f>
        <v>哪位日本围棋棋手在20世纪因战胜中国职业棋手而闻名？</v>
      </c>
      <c r="J18" s="6" t="str">
        <f>IFERROR(__xludf.DUMMYFUNCTION("GOOGLETRANSLATE(C18, ""en"", ""zh"")"),"A) 清玄刚，B) 本因坊周作，C) 伊后周作，D) 加藤勇")</f>
        <v>A) 清玄刚，B) 本因坊周作，C) 伊后周作，D) 加藤勇</v>
      </c>
      <c r="K18" s="6" t="str">
        <f>IFERROR(__xludf.DUMMYFUNCTION("GOOGLETRANSLATE(D18, ""en"", ""zh"")"),"A）高清玄")</f>
        <v>A）高清玄</v>
      </c>
      <c r="L18" s="6" t="str">
        <f>IFERROR(__xludf.DUMMYFUNCTION("GOOGLETRANSLATE(E18, ""en"", ""zh"")"),"吴清源是日本围棋界的传奇人物，他因战胜中国顶尖棋手而闻名。")</f>
        <v>吴清源是日本围棋界的传奇人物，他因战胜中国顶尖棋手而闻名。</v>
      </c>
      <c r="M18" s="4"/>
      <c r="N18" s="26"/>
      <c r="O18" s="4"/>
      <c r="P18" s="26"/>
    </row>
    <row r="19">
      <c r="A19" s="5">
        <v>18.0</v>
      </c>
      <c r="B19" s="6" t="s">
        <v>1023</v>
      </c>
      <c r="C19" s="6" t="s">
        <v>1024</v>
      </c>
      <c r="D19" s="6" t="s">
        <v>1025</v>
      </c>
      <c r="E19" s="6" t="s">
        <v>1026</v>
      </c>
      <c r="F19" s="2"/>
      <c r="G19" s="2"/>
      <c r="H19" s="25"/>
      <c r="I19" s="6" t="str">
        <f>IFERROR(__xludf.DUMMYFUNCTION("GOOGLETRANSLATE(B19, ""en"", ""zh"")"),"世界上最负盛名的围棋比赛叫什么名字？")</f>
        <v>世界上最负盛名的围棋比赛叫什么名字？</v>
      </c>
      <c r="J19" s="6" t="str">
        <f>IFERROR(__xludf.DUMMYFUNCTION("GOOGLETRANSLATE(C19, ""en"", ""zh"")"),"A) 国际围棋杯，B) 英杯，C) 围棋大师赛，D) AlphaGo挑战赛")</f>
        <v>A) 国际围棋杯，B) 英杯，C) 围棋大师赛，D) AlphaGo挑战赛</v>
      </c>
      <c r="K19" s="6" t="str">
        <f>IFERROR(__xludf.DUMMYFUNCTION("GOOGLETRANSLATE(D19, ""en"", ""zh"")"),"B) 英格杯")</f>
        <v>B) 英格杯</v>
      </c>
      <c r="L19" s="6" t="str">
        <f>IFERROR(__xludf.DUMMYFUNCTION("GOOGLETRANSLATE(E19, ""en"", ""zh"")"),"英格杯是国际围棋界最负盛名的赛事之一，其悠久的历史可以追溯到 20 世纪 90 年代。")</f>
        <v>英格杯是国际围棋界最负盛名的赛事之一，其悠久的历史可以追溯到 20 世纪 90 年代。</v>
      </c>
      <c r="M19" s="4"/>
      <c r="N19" s="28"/>
      <c r="O19" s="4"/>
      <c r="P19" s="26"/>
    </row>
    <row r="20">
      <c r="A20" s="5">
        <v>19.0</v>
      </c>
      <c r="B20" s="6" t="s">
        <v>1027</v>
      </c>
      <c r="C20" s="6" t="s">
        <v>1028</v>
      </c>
      <c r="D20" s="6" t="s">
        <v>1029</v>
      </c>
      <c r="E20" s="6" t="s">
        <v>1030</v>
      </c>
      <c r="F20" s="2"/>
      <c r="G20" s="2"/>
      <c r="H20" s="25"/>
      <c r="I20" s="6" t="str">
        <f>IFERROR(__xludf.DUMMYFUNCTION("GOOGLETRANSLATE(B20, ""en"", ""zh"")"),"以与李世石的竞争而闻名的中国著名围棋棋手叫什么名字？")</f>
        <v>以与李世石的竞争而闻名的中国著名围棋棋手叫什么名字？</v>
      </c>
      <c r="J20" s="6" t="str">
        <f>IFERROR(__xludf.DUMMYFUNCTION("GOOGLETRANSLATE(C20, ""en"", ""zh"")"),"A）马晓春，B）柯洁，C）李时珍，D）吴清源")</f>
        <v>A）马晓春，B）柯洁，C）李时珍，D）吴清源</v>
      </c>
      <c r="K20" s="6" t="str">
        <f>IFERROR(__xludf.DUMMYFUNCTION("GOOGLETRANSLATE(D20, ""en"", ""zh"")"),"B) 柯洁")</f>
        <v>B) 柯洁</v>
      </c>
      <c r="L20" s="6" t="str">
        <f>IFERROR(__xludf.DUMMYFUNCTION("GOOGLETRANSLATE(E20, ""en"", ""zh"")"),"柯洁是中国著名的围棋棋手，他与韩国棋手李世石的竞争关系为人所知。")</f>
        <v>柯洁是中国著名的围棋棋手，他与韩国棋手李世石的竞争关系为人所知。</v>
      </c>
      <c r="M20" s="4"/>
      <c r="N20" s="27"/>
      <c r="O20" s="4"/>
      <c r="P20" s="26"/>
    </row>
    <row r="21">
      <c r="A21" s="5">
        <v>20.0</v>
      </c>
      <c r="B21" s="6" t="s">
        <v>1031</v>
      </c>
      <c r="C21" s="6" t="s">
        <v>1032</v>
      </c>
      <c r="D21" s="6" t="s">
        <v>1033</v>
      </c>
      <c r="E21" s="6" t="s">
        <v>1034</v>
      </c>
      <c r="F21" s="2"/>
      <c r="G21" s="2"/>
      <c r="H21" s="25"/>
      <c r="I21" s="6" t="str">
        <f>IFERROR(__xludf.DUMMYFUNCTION("GOOGLETRANSLATE(B21, ""en"", ""zh"")"),"在中国，达到最高段位的职业围棋棋手会被授予什么称号？")</f>
        <v>在中国，达到最高段位的职业围棋棋手会被授予什么称号？</v>
      </c>
      <c r="J21" s="6" t="str">
        <f>IFERROR(__xludf.DUMMYFUNCTION("GOOGLETRANSLATE(C21, ""en"", ""zh"")"),"A) 九段，B) 围棋不朽，C) 棋坛大师，D) 特级大师")</f>
        <v>A) 九段，B) 围棋不朽，C) 棋坛大师，D) 特级大师</v>
      </c>
      <c r="K21" s="6" t="str">
        <f>IFERROR(__xludf.DUMMYFUNCTION("GOOGLETRANSLATE(D21, ""en"", ""zh"")"),"A) 九段")</f>
        <v>A) 九段</v>
      </c>
      <c r="L21" s="6" t="str">
        <f>IFERROR(__xludf.DUMMYFUNCTION("GOOGLETRANSLATE(E21, ""en"", ""zh"")"),"在中国，九段是职业围棋棋手所能达到的最高段位，只有最优秀的棋手才能获得。")</f>
        <v>在中国，九段是职业围棋棋手所能达到的最高段位，只有最优秀的棋手才能获得。</v>
      </c>
      <c r="M21" s="4"/>
      <c r="N21" s="26"/>
      <c r="O21" s="4"/>
      <c r="P21" s="26"/>
    </row>
    <row r="22">
      <c r="A22" s="5">
        <v>21.0</v>
      </c>
      <c r="B22" s="6" t="s">
        <v>1035</v>
      </c>
      <c r="C22" s="6" t="s">
        <v>1036</v>
      </c>
      <c r="D22" s="6" t="s">
        <v>1037</v>
      </c>
      <c r="E22" s="6" t="s">
        <v>1038</v>
      </c>
      <c r="F22" s="2"/>
      <c r="G22" s="2"/>
      <c r="H22" s="25"/>
      <c r="I22" s="6" t="str">
        <f>IFERROR(__xludf.DUMMYFUNCTION("GOOGLETRANSLATE(B22, ""en"", ""zh"")"),"据信哪位中国将领曾运用围棋来制定作战策略？")</f>
        <v>据信哪位中国将领曾运用围棋来制定作战策略？</v>
      </c>
      <c r="J22" s="6" t="str">
        <f>IFERROR(__xludf.DUMMYFUNCTION("GOOGLETRANSLATE(C22, ""en"", ""zh"")"),"A) 孙子，B) 曹操，C) 张飞，D) 刘备")</f>
        <v>A) 孙子，B) 曹操，C) 张飞，D) 刘备</v>
      </c>
      <c r="K22" s="6" t="str">
        <f>IFERROR(__xludf.DUMMYFUNCTION("GOOGLETRANSLATE(D22, ""en"", ""zh"")"),"A) 孙子")</f>
        <v>A) 孙子</v>
      </c>
      <c r="L22" s="6" t="str">
        <f>IFERROR(__xludf.DUMMYFUNCTION("GOOGLETRANSLATE(E22, ""en"", ""zh"")"),"著名将领兼哲学家孙子被认为曾用围棋来比喻军事战略。")</f>
        <v>著名将领兼哲学家孙子被认为曾用围棋来比喻军事战略。</v>
      </c>
      <c r="M22" s="4"/>
      <c r="N22" s="27"/>
      <c r="O22" s="4"/>
      <c r="P22" s="26"/>
    </row>
    <row r="23">
      <c r="A23" s="5">
        <v>22.0</v>
      </c>
      <c r="B23" s="6" t="s">
        <v>1039</v>
      </c>
      <c r="C23" s="6" t="s">
        <v>1040</v>
      </c>
      <c r="D23" s="6" t="s">
        <v>1041</v>
      </c>
      <c r="E23" s="6" t="s">
        <v>1042</v>
      </c>
      <c r="F23" s="2"/>
      <c r="G23" s="2"/>
      <c r="H23" s="25"/>
      <c r="I23" s="6" t="str">
        <f>IFERROR(__xludf.DUMMYFUNCTION("GOOGLETRANSLATE(B23, ""en"", ""zh"")"),"在中国古代，围棋棋子的主要材料是什么？")</f>
        <v>在中国古代，围棋棋子的主要材料是什么？</v>
      </c>
      <c r="J23" s="6" t="str">
        <f>IFERROR(__xludf.DUMMYFUNCTION("GOOGLETRANSLATE(C23, ""en"", ""zh"")"),"A) 木材，B) 大理石，C) 贝壳和板岩，D) 金属")</f>
        <v>A) 木材，B) 大理石，C) 贝壳和板岩，D) 金属</v>
      </c>
      <c r="K23" s="6" t="str">
        <f>IFERROR(__xludf.DUMMYFUNCTION("GOOGLETRANSLATE(D23, ""en"", ""zh"")"),"C) 贝壳和板岩")</f>
        <v>C) 贝壳和板岩</v>
      </c>
      <c r="L23" s="6" t="str">
        <f>IFERROR(__xludf.DUMMYFUNCTION("GOOGLETRANSLATE(E23, ""en"", ""zh"")"),"在中国古代，围棋棋子传统上是用石板制作黑色棋子，用贝壳制作白色棋子。")</f>
        <v>在中国古代，围棋棋子传统上是用石板制作黑色棋子，用贝壳制作白色棋子。</v>
      </c>
      <c r="M23" s="4"/>
      <c r="N23" s="29"/>
      <c r="O23" s="4"/>
      <c r="P23" s="29"/>
    </row>
    <row r="24">
      <c r="A24" s="5">
        <v>23.0</v>
      </c>
      <c r="B24" s="6" t="s">
        <v>1043</v>
      </c>
      <c r="C24" s="6" t="s">
        <v>1044</v>
      </c>
      <c r="D24" s="6" t="s">
        <v>1045</v>
      </c>
      <c r="E24" s="6" t="s">
        <v>1046</v>
      </c>
      <c r="F24" s="2"/>
      <c r="G24" s="2"/>
      <c r="H24" s="25"/>
      <c r="I24" s="6" t="str">
        <f>IFERROR(__xludf.DUMMYFUNCTION("GOOGLETRANSLATE(B24, ""en"", ""zh"")"),"日本第一个职业围棋协会叫什么名字？")</f>
        <v>日本第一个职业围棋协会叫什么名字？</v>
      </c>
      <c r="J24" s="6" t="str">
        <f>IFERROR(__xludf.DUMMYFUNCTION("GOOGLETRANSLATE(C24, ""en"", ""zh"")"),"A) 日本棋院，B) 日本围棋会，C) 日本围棋协会，D) 东京围棋协会")</f>
        <v>A) 日本棋院，B) 日本围棋会，C) 日本围棋协会，D) 东京围棋协会</v>
      </c>
      <c r="K24" s="6" t="str">
        <f>IFERROR(__xludf.DUMMYFUNCTION("GOOGLETRANSLATE(D24, ""en"", ""zh"")"),"A) 日本气印")</f>
        <v>A) 日本气印</v>
      </c>
      <c r="L24" s="6" t="str">
        <f>IFERROR(__xludf.DUMMYFUNCTION("GOOGLETRANSLATE(E24, ""en"", ""zh"")"),"日本棋院成立于1924年，是日本第一个职业围棋协会。")</f>
        <v>日本棋院成立于1924年，是日本第一个职业围棋协会。</v>
      </c>
      <c r="M24" s="4"/>
      <c r="N24" s="27"/>
      <c r="O24" s="4"/>
      <c r="P24" s="27"/>
    </row>
    <row r="25">
      <c r="A25" s="5">
        <v>24.0</v>
      </c>
      <c r="B25" s="6" t="s">
        <v>1047</v>
      </c>
      <c r="C25" s="6" t="s">
        <v>1048</v>
      </c>
      <c r="D25" s="6" t="s">
        <v>1049</v>
      </c>
      <c r="E25" s="6" t="s">
        <v>1050</v>
      </c>
      <c r="F25" s="2"/>
      <c r="G25" s="2"/>
      <c r="H25" s="25"/>
      <c r="I25" s="6" t="str">
        <f>IFERROR(__xludf.DUMMYFUNCTION("GOOGLETRANSLATE(B25, ""en"", ""zh"")"),"哪位中国皇帝喜爱下围棋？")</f>
        <v>哪位中国皇帝喜爱下围棋？</v>
      </c>
      <c r="J25" s="6" t="str">
        <f>IFERROR(__xludf.DUMMYFUNCTION("GOOGLETRANSLATE(C25, ""en"", ""zh"")"),"A) 唐太宗 B) 康熙皇帝 C) 乾隆皇帝 D) 光绪皇帝")</f>
        <v>A) 唐太宗 B) 康熙皇帝 C) 乾隆皇帝 D) 光绪皇帝</v>
      </c>
      <c r="K25" s="6" t="str">
        <f>IFERROR(__xludf.DUMMYFUNCTION("GOOGLETRANSLATE(D25, ""en"", ""zh"")"),"C) 乾隆皇帝")</f>
        <v>C) 乾隆皇帝</v>
      </c>
      <c r="L25" s="6" t="str">
        <f>IFERROR(__xludf.DUMMYFUNCTION("GOOGLETRANSLATE(E25, ""en"", ""zh"")"),"清朝乾隆皇帝酷爱围棋，经常在宫廷中举办围棋比赛。")</f>
        <v>清朝乾隆皇帝酷爱围棋，经常在宫廷中举办围棋比赛。</v>
      </c>
      <c r="M25" s="4"/>
      <c r="N25" s="27"/>
      <c r="O25" s="4"/>
      <c r="P25" s="26"/>
    </row>
    <row r="26">
      <c r="A26" s="5">
        <v>25.0</v>
      </c>
      <c r="B26" s="6" t="s">
        <v>1051</v>
      </c>
      <c r="C26" s="6" t="s">
        <v>1052</v>
      </c>
      <c r="D26" s="6" t="s">
        <v>1053</v>
      </c>
      <c r="E26" s="6" t="s">
        <v>1054</v>
      </c>
      <c r="F26" s="2"/>
      <c r="G26" s="2"/>
      <c r="H26" s="25"/>
      <c r="I26" s="6" t="str">
        <f>IFERROR(__xludf.DUMMYFUNCTION("GOOGLETRANSLATE(B26, ""en"", ""zh"")"),"围棋在中国古代宫廷中的主要用途是什么？")</f>
        <v>围棋在中国古代宫廷中的主要用途是什么？</v>
      </c>
      <c r="J26" s="6" t="str">
        <f>IFERROR(__xludf.DUMMYFUNCTION("GOOGLETRANSLATE(C26, ""en"", ""zh"")"),"A) 宗教仪式，B) 智力训练，C) 娱乐，D) 军事演习")</f>
        <v>A) 宗教仪式，B) 智力训练，C) 娱乐，D) 军事演习</v>
      </c>
      <c r="K26" s="6" t="str">
        <f>IFERROR(__xludf.DUMMYFUNCTION("GOOGLETRANSLATE(D26, ""en"", ""zh"")"),"B）智力训练")</f>
        <v>B）智力训练</v>
      </c>
      <c r="L26" s="6" t="str">
        <f>IFERROR(__xludf.DUMMYFUNCTION("GOOGLETRANSLATE(E26, ""en"", ""zh"")"),"围棋被认为是一种智力游戏，经常在宫廷中用来训练官员和战略家。")</f>
        <v>围棋被认为是一种智力游戏，经常在宫廷中用来训练官员和战略家。</v>
      </c>
      <c r="M26" s="4"/>
      <c r="N26" s="27"/>
      <c r="O26" s="4"/>
      <c r="P26" s="26"/>
    </row>
    <row r="27">
      <c r="A27" s="5">
        <v>26.0</v>
      </c>
      <c r="B27" s="6" t="s">
        <v>1055</v>
      </c>
      <c r="C27" s="6" t="s">
        <v>1056</v>
      </c>
      <c r="D27" s="6" t="s">
        <v>1057</v>
      </c>
      <c r="E27" s="6" t="s">
        <v>1058</v>
      </c>
      <c r="F27" s="2"/>
      <c r="G27" s="2"/>
      <c r="H27" s="25"/>
      <c r="I27" s="6" t="str">
        <f>IFERROR(__xludf.DUMMYFUNCTION("GOOGLETRANSLATE(B27, ""en"", ""zh"")"),"提到围棋的中国古代文献叫什么名字？")</f>
        <v>提到围棋的中国古代文献叫什么名字？</v>
      </c>
      <c r="J27" s="6" t="str">
        <f>IFERROR(__xludf.DUMMYFUNCTION("GOOGLETRANSLATE(C27, ""en"", ""zh"")"),"A)《孙子兵法》 B)《纪事》 C)《左传》 D)《管子》")</f>
        <v>A)《孙子兵法》 B)《纪事》 C)《左传》 D)《管子》</v>
      </c>
      <c r="K27" s="6" t="str">
        <f>IFERROR(__xludf.DUMMYFUNCTION("GOOGLETRANSLATE(D27, ""en"", ""zh"")"),"A)《孙子兵法》")</f>
        <v>A)《孙子兵法》</v>
      </c>
      <c r="L27" s="6" t="str">
        <f>IFERROR(__xludf.DUMMYFUNCTION("GOOGLETRANSLATE(E27, ""en"", ""zh"")"),"孙子的《孙子兵法》是最早提及围棋的著作之一，突出了围棋的战略价值。")</f>
        <v>孙子的《孙子兵法》是最早提及围棋的著作之一，突出了围棋的战略价值。</v>
      </c>
      <c r="M27" s="4"/>
      <c r="N27" s="27"/>
      <c r="O27" s="4"/>
      <c r="P27" s="26"/>
    </row>
    <row r="28">
      <c r="A28" s="5">
        <v>27.0</v>
      </c>
      <c r="B28" s="6" t="s">
        <v>1059</v>
      </c>
      <c r="C28" s="6" t="s">
        <v>1060</v>
      </c>
      <c r="D28" s="6" t="s">
        <v>135</v>
      </c>
      <c r="E28" s="6" t="s">
        <v>1061</v>
      </c>
      <c r="F28" s="2"/>
      <c r="G28" s="2"/>
      <c r="H28" s="25"/>
      <c r="I28" s="6" t="str">
        <f>IFERROR(__xludf.DUMMYFUNCTION("GOOGLETRANSLATE(B28, ""en"", ""zh"")"),"中国哪个朝代被认为是围棋发展的黄金时代？")</f>
        <v>中国哪个朝代被认为是围棋发展的黄金时代？</v>
      </c>
      <c r="J28" s="6" t="str">
        <f>IFERROR(__xludf.DUMMYFUNCTION("GOOGLETRANSLATE(C28, ""en"", ""zh"")"),"A) 汉朝，B) 唐朝，C) 宋朝，D) 明朝")</f>
        <v>A) 汉朝，B) 唐朝，C) 宋朝，D) 明朝</v>
      </c>
      <c r="K28" s="6" t="str">
        <f>IFERROR(__xludf.DUMMYFUNCTION("GOOGLETRANSLATE(D28, ""en"", ""zh"")"),"B）唐朝")</f>
        <v>B）唐朝</v>
      </c>
      <c r="L28" s="6" t="str">
        <f>IFERROR(__xludf.DUMMYFUNCTION("GOOGLETRANSLATE(E28, ""en"", ""zh"")"),"唐朝（公元 618-907 年）被认为是围棋发展的黄金时代，围棋在中国广受欢迎。")</f>
        <v>唐朝（公元 618-907 年）被认为是围棋发展的黄金时代，围棋在中国广受欢迎。</v>
      </c>
      <c r="M28" s="4"/>
      <c r="N28" s="27"/>
      <c r="O28" s="4"/>
      <c r="P28" s="26"/>
    </row>
    <row r="29">
      <c r="A29" s="5">
        <v>28.0</v>
      </c>
      <c r="B29" s="6" t="s">
        <v>1062</v>
      </c>
      <c r="C29" s="6" t="s">
        <v>1063</v>
      </c>
      <c r="D29" s="6" t="s">
        <v>1064</v>
      </c>
      <c r="E29" s="6" t="s">
        <v>1065</v>
      </c>
      <c r="F29" s="2"/>
      <c r="G29" s="2"/>
      <c r="H29" s="25"/>
      <c r="I29" s="6" t="str">
        <f>IFERROR(__xludf.DUMMYFUNCTION("GOOGLETRANSLATE(B29, ""en"", ""zh"")"),"哪位围棋棋手经常被认为是历史上最伟大的棋手之一，也是围棋在中国发展中的关键人物？")</f>
        <v>哪位围棋棋手经常被认为是历史上最伟大的棋手之一，也是围棋在中国发展中的关键人物？</v>
      </c>
      <c r="J29" s="6" t="str">
        <f>IFERROR(__xludf.DUMMYFUNCTION("GOOGLETRANSLATE(C29, ""en"", ""zh"")"),"A) 张忠、B) 吴庆源、C) 刚清玄、D) 本因坊周作")</f>
        <v>A) 张忠、B) 吴庆源、C) 刚清玄、D) 本因坊周作</v>
      </c>
      <c r="K29" s="6" t="str">
        <f>IFERROR(__xludf.DUMMYFUNCTION("GOOGLETRANSLATE(D29, ""en"", ""zh"")"),"C）高清玄")</f>
        <v>C）高清玄</v>
      </c>
      <c r="L29" s="6" t="str">
        <f>IFERROR(__xludf.DUMMYFUNCTION("GOOGLETRANSLATE(E29, ""en"", ""zh"")"),"吴清源被认为是历史上最伟大的围棋棋手之一，尤其在中国和日本都具有影响力。")</f>
        <v>吴清源被认为是历史上最伟大的围棋棋手之一，尤其在中国和日本都具有影响力。</v>
      </c>
      <c r="M29" s="4"/>
      <c r="N29" s="26"/>
      <c r="O29" s="4"/>
      <c r="P29" s="28"/>
    </row>
    <row r="30">
      <c r="A30" s="5">
        <v>29.0</v>
      </c>
      <c r="B30" s="6" t="s">
        <v>1066</v>
      </c>
      <c r="C30" s="6" t="s">
        <v>1067</v>
      </c>
      <c r="D30" s="6" t="s">
        <v>1068</v>
      </c>
      <c r="E30" s="6" t="s">
        <v>1069</v>
      </c>
      <c r="F30" s="2"/>
      <c r="G30" s="2"/>
      <c r="H30" s="25"/>
      <c r="I30" s="6" t="str">
        <f>IFERROR(__xludf.DUMMYFUNCTION("GOOGLETRANSLATE(B30, ""en"", ""zh"")"),"第一届国际围棋比赛是在哪一年举行的？")</f>
        <v>第一届国际围棋比赛是在哪一年举行的？</v>
      </c>
      <c r="J30" s="6" t="str">
        <f>IFERROR(__xludf.DUMMYFUNCTION("GOOGLETRANSLATE(C30, ""en"", ""zh"")"),"A) 1924年，B) 1951年，C) 1980年，D) 1974年")</f>
        <v>A) 1924年，B) 1951年，C) 1980年，D) 1974年</v>
      </c>
      <c r="K30" s="6" t="str">
        <f>IFERROR(__xludf.DUMMYFUNCTION("GOOGLETRANSLATE(D30, ""en"", ""zh"")"),"B) 1951")</f>
        <v>B) 1951</v>
      </c>
      <c r="L30" s="6" t="str">
        <f>IFERROR(__xludf.DUMMYFUNCTION("GOOGLETRANSLATE(E30, ""en"", ""zh"")"),"1951年，首届国际围棋锦标赛举行，标志着全球围棋比赛的开始。")</f>
        <v>1951年，首届国际围棋锦标赛举行，标志着全球围棋比赛的开始。</v>
      </c>
      <c r="M30" s="4"/>
      <c r="N30" s="27"/>
      <c r="O30" s="4"/>
      <c r="P30" s="26"/>
    </row>
    <row r="31">
      <c r="A31" s="5">
        <v>30.0</v>
      </c>
      <c r="B31" s="6" t="s">
        <v>1070</v>
      </c>
      <c r="C31" s="6" t="s">
        <v>1071</v>
      </c>
      <c r="D31" s="6" t="s">
        <v>1072</v>
      </c>
      <c r="E31" s="6" t="s">
        <v>1073</v>
      </c>
      <c r="F31" s="2"/>
      <c r="G31" s="2"/>
      <c r="H31" s="25"/>
      <c r="I31" s="6" t="str">
        <f>IFERROR(__xludf.DUMMYFUNCTION("GOOGLETRANSLATE(B31, ""en"", ""zh"")"),"哪部电影是第一部获得国际认可的围棋题材电影？")</f>
        <v>哪部电影是第一部获得国际认可的围棋题材电影？</v>
      </c>
      <c r="J31" s="6" t="str">
        <f>IFERROR(__xludf.DUMMYFUNCTION("GOOGLETRANSLATE(C31, ""en"", ""zh"")"),"A) 围棋大师，B) 围棋选手，C) AlphaGo，D) 围棋游戏")</f>
        <v>A) 围棋大师，B) 围棋选手，C) AlphaGo，D) 围棋游戏</v>
      </c>
      <c r="K31" s="6" t="str">
        <f>IFERROR(__xludf.DUMMYFUNCTION("GOOGLETRANSLATE(D31, ""en"", ""zh"")"),"C) AlphaGo")</f>
        <v>C) AlphaGo</v>
      </c>
      <c r="L31" s="6" t="str">
        <f>IFERROR(__xludf.DUMMYFUNCTION("GOOGLETRANSLATE(E31, ""en"", ""zh"")"),"纪录片《AlphaGo》因展现了AlphaGo与李世石之间的历史性围棋比赛而享誉国际。")</f>
        <v>纪录片《AlphaGo》因展现了AlphaGo与李世石之间的历史性围棋比赛而享誉国际。</v>
      </c>
      <c r="M31" s="4"/>
      <c r="N31" s="27"/>
      <c r="O31" s="4"/>
      <c r="P31" s="26"/>
    </row>
    <row r="32">
      <c r="A32" s="5">
        <v>31.0</v>
      </c>
      <c r="B32" s="6" t="s">
        <v>1074</v>
      </c>
      <c r="C32" s="6" t="s">
        <v>1075</v>
      </c>
      <c r="D32" s="6" t="s">
        <v>1076</v>
      </c>
      <c r="E32" s="6" t="s">
        <v>1077</v>
      </c>
      <c r="F32" s="2"/>
      <c r="G32" s="2"/>
      <c r="H32" s="25"/>
      <c r="I32" s="6" t="str">
        <f>IFERROR(__xludf.DUMMYFUNCTION("GOOGLETRANSLATE(B32, ""en"", ""zh"")"),"谁是第一位在日本赢得大型围棋比赛的非日本籍棋手？")</f>
        <v>谁是第一位在日本赢得大型围棋比赛的非日本籍棋手？</v>
      </c>
      <c r="J32" s="6" t="str">
        <f>IFERROR(__xludf.DUMMYFUNCTION("GOOGLETRANSLATE(C32, ""en"", ""zh"")"),"A) 迈克尔·雷德蒙德，B) 李世石，C) 赵治坤，D) 高清源")</f>
        <v>A) 迈克尔·雷德蒙德，B) 李世石，C) 赵治坤，D) 高清源</v>
      </c>
      <c r="K32" s="6" t="str">
        <f>IFERROR(__xludf.DUMMYFUNCTION("GOOGLETRANSLATE(D32, ""en"", ""zh"")"),"A) 迈克尔·雷德蒙德")</f>
        <v>A) 迈克尔·雷德蒙德</v>
      </c>
      <c r="L32" s="6" t="str">
        <f>IFERROR(__xludf.DUMMYFUNCTION("GOOGLETRANSLATE(E32, ""en"", ""zh"")"),"迈克尔·雷德蒙德是第一位在日本赢得大型围棋比赛的非日本棋手，打破了外国棋手的壁垒。")</f>
        <v>迈克尔·雷德蒙德是第一位在日本赢得大型围棋比赛的非日本棋手，打破了外国棋手的壁垒。</v>
      </c>
      <c r="M32" s="4"/>
      <c r="N32" s="26"/>
      <c r="O32" s="4"/>
      <c r="P32" s="26"/>
    </row>
    <row r="33">
      <c r="A33" s="5">
        <v>32.0</v>
      </c>
      <c r="B33" s="6" t="s">
        <v>1078</v>
      </c>
      <c r="C33" s="6" t="s">
        <v>1079</v>
      </c>
      <c r="D33" s="6" t="s">
        <v>1080</v>
      </c>
      <c r="E33" s="6" t="s">
        <v>1081</v>
      </c>
      <c r="F33" s="2"/>
      <c r="G33" s="2"/>
      <c r="H33" s="25"/>
      <c r="I33" s="6" t="str">
        <f>IFERROR(__xludf.DUMMYFUNCTION("GOOGLETRANSLATE(B33, ""en"", ""zh"")"),"在中国哪个时期，围棋成为上流社会和文人雅士的消遣活动？")</f>
        <v>在中国哪个时期，围棋成为上流社会和文人雅士的消遣活动？</v>
      </c>
      <c r="J33" s="6" t="str">
        <f>IFERROR(__xludf.DUMMYFUNCTION("GOOGLETRANSLATE(C33, ""en"", ""zh"")"),"A) 秦朝，B) 唐朝，C) 汉朝，D) 宋朝")</f>
        <v>A) 秦朝，B) 唐朝，C) 汉朝，D) 宋朝</v>
      </c>
      <c r="K33" s="6" t="str">
        <f>IFERROR(__xludf.DUMMYFUNCTION("GOOGLETRANSLATE(D33, ""en"", ""zh"")"),"D) 宋朝")</f>
        <v>D) 宋朝</v>
      </c>
      <c r="L33" s="6" t="str">
        <f>IFERROR(__xludf.DUMMYFUNCTION("GOOGLETRANSLATE(E33, ""en"", ""zh"")"),"宋朝（公元960-1279年）时期，围棋成为中国上流社会和文人雅士喜爱的消遣活动。")</f>
        <v>宋朝（公元960-1279年）时期，围棋成为中国上流社会和文人雅士喜爱的消遣活动。</v>
      </c>
      <c r="M33" s="4"/>
      <c r="N33" s="26"/>
      <c r="O33" s="4"/>
      <c r="P33" s="26"/>
    </row>
    <row r="34">
      <c r="A34" s="5">
        <v>33.0</v>
      </c>
      <c r="B34" s="6" t="s">
        <v>1082</v>
      </c>
      <c r="C34" s="6" t="s">
        <v>1083</v>
      </c>
      <c r="D34" s="6" t="s">
        <v>1084</v>
      </c>
      <c r="E34" s="6" t="s">
        <v>1085</v>
      </c>
      <c r="F34" s="2"/>
      <c r="G34" s="2"/>
      <c r="H34" s="25"/>
      <c r="I34" s="6" t="str">
        <f>IFERROR(__xludf.DUMMYFUNCTION("GOOGLETRANSLATE(B34, ""en"", ""zh"")"),"第一个击败职业围棋选手的围棋电脑程序是哪个？")</f>
        <v>第一个击败职业围棋选手的围棋电脑程序是哪个？</v>
      </c>
      <c r="J34" s="6" t="str">
        <f>IFERROR(__xludf.DUMMYFUNCTION("GOOGLETRANSLATE(C34, ""en"", ""zh"")"),"A) AlphaGo，B) HandTalk，C) Go-Moku，D) GnuGo")</f>
        <v>A) AlphaGo，B) HandTalk，C) Go-Moku，D) GnuGo</v>
      </c>
      <c r="K34" s="6" t="str">
        <f>IFERROR(__xludf.DUMMYFUNCTION("GOOGLETRANSLATE(D34, ""en"", ""zh"")"),"A) AlphaGo")</f>
        <v>A) AlphaGo</v>
      </c>
      <c r="L34" s="6" t="str">
        <f>IFERROR(__xludf.DUMMYFUNCTION("GOOGLETRANSLATE(E34, ""en"", ""zh"")"),"由 DeepMind 开发的 AlphaGo 是第一个击败职业围棋选手的 AI 程序，它在 2016 年战胜了李世石。")</f>
        <v>由 DeepMind 开发的 AlphaGo 是第一个击败职业围棋选手的 AI 程序，它在 2016 年战胜了李世石。</v>
      </c>
      <c r="M34" s="4"/>
      <c r="N34" s="27"/>
      <c r="O34" s="4"/>
      <c r="P34" s="28"/>
    </row>
    <row r="35">
      <c r="A35" s="5">
        <v>34.0</v>
      </c>
      <c r="B35" s="6" t="s">
        <v>1086</v>
      </c>
      <c r="C35" s="6" t="s">
        <v>1087</v>
      </c>
      <c r="D35" s="6" t="s">
        <v>1088</v>
      </c>
      <c r="E35" s="6" t="s">
        <v>1089</v>
      </c>
      <c r="F35" s="2"/>
      <c r="G35" s="2"/>
      <c r="H35" s="25"/>
      <c r="I35" s="6" t="str">
        <f>IFERROR(__xludf.DUMMYFUNCTION("GOOGLETRANSLATE(B35, ""en"", ""zh"")"),"2016 年 AlphaGo 比赛中与人工智能对弈而闻名的著名围棋棋手是谁？")</f>
        <v>2016 年 AlphaGo 比赛中与人工智能对弈而闻名的著名围棋棋手是谁？</v>
      </c>
      <c r="J35" s="6" t="str">
        <f>IFERROR(__xludf.DUMMYFUNCTION("GOOGLETRANSLATE(C35, ""en"", ""zh"")"),"A) 马晓春，B) 曹植坤，C) 李世石，D) 柯洁")</f>
        <v>A) 马晓春，B) 曹植坤，C) 李世石，D) 柯洁</v>
      </c>
      <c r="K35" s="6" t="str">
        <f>IFERROR(__xludf.DUMMYFUNCTION("GOOGLETRANSLATE(D35, ""en"", ""zh"")"),"C) 李世石")</f>
        <v>C) 李世石</v>
      </c>
      <c r="L35" s="6" t="str">
        <f>IFERROR(__xludf.DUMMYFUNCTION("GOOGLETRANSLATE(E35, ""en"", ""zh"")"),"李世石是著名的围棋选手，他曾在 2016 年与 AlphaGo 的比赛中赢过一局。")</f>
        <v>李世石是著名的围棋选手，他曾在 2016 年与 AlphaGo 的比赛中赢过一局。</v>
      </c>
      <c r="M35" s="4"/>
      <c r="N35" s="27"/>
      <c r="O35" s="4"/>
      <c r="P35" s="26"/>
    </row>
    <row r="36">
      <c r="A36" s="5">
        <v>35.0</v>
      </c>
      <c r="B36" s="6" t="s">
        <v>1090</v>
      </c>
      <c r="C36" s="6" t="s">
        <v>1091</v>
      </c>
      <c r="D36" s="6" t="s">
        <v>1092</v>
      </c>
      <c r="E36" s="6" t="s">
        <v>1093</v>
      </c>
      <c r="F36" s="2"/>
      <c r="G36" s="2"/>
      <c r="H36" s="25"/>
      <c r="I36" s="6" t="str">
        <f>IFERROR(__xludf.DUMMYFUNCTION("GOOGLETRANSLATE(B36, ""en"", ""zh"")"),"哪位著名的围棋棋手被称为“围棋圣人”？")</f>
        <v>哪位著名的围棋棋手被称为“围棋圣人”？</v>
      </c>
      <c r="J36" s="6" t="str">
        <f>IFERROR(__xludf.DUMMYFUNCTION("GOOGLETRANSLATE(C36, ""en"", ""zh"")"),"A) 吴庆源、B) 刚清玄、C) 本因坊周作、D) 马晓春")</f>
        <v>A) 吴庆源、B) 刚清玄、C) 本因坊周作、D) 马晓春</v>
      </c>
      <c r="K36" s="6" t="str">
        <f>IFERROR(__xludf.DUMMYFUNCTION("GOOGLETRANSLATE(D36, ""en"", ""zh"")"),"B）高清玄")</f>
        <v>B）高清玄</v>
      </c>
      <c r="L36" s="6" t="str">
        <f>IFERROR(__xludf.DUMMYFUNCTION("GOOGLETRANSLATE(E36, ""en"", ""zh"")"),"吴清源是历史上最伟大的围棋棋手之一，因其精湛的棋艺和巨大的影响力，常被誉为“围棋圣人”。")</f>
        <v>吴清源是历史上最伟大的围棋棋手之一，因其精湛的棋艺和巨大的影响力，常被誉为“围棋圣人”。</v>
      </c>
      <c r="M36" s="4"/>
      <c r="N36" s="26"/>
      <c r="O36" s="4"/>
      <c r="P36" s="28"/>
    </row>
    <row r="37">
      <c r="A37" s="5">
        <v>36.0</v>
      </c>
      <c r="B37" s="6" t="s">
        <v>1094</v>
      </c>
      <c r="C37" s="6" t="s">
        <v>1095</v>
      </c>
      <c r="D37" s="6" t="s">
        <v>1096</v>
      </c>
      <c r="E37" s="6" t="s">
        <v>1097</v>
      </c>
      <c r="F37" s="2"/>
      <c r="G37" s="2"/>
      <c r="H37" s="25"/>
      <c r="I37" s="6" t="str">
        <f>IFERROR(__xludf.DUMMYFUNCTION("GOOGLETRANSLATE(B37, ""en"", ""zh"")"),"哪个国家举办享有盛誉的“LG杯”，这是世界上最重要的围棋赛事之一？")</f>
        <v>哪个国家举办享有盛誉的“LG杯”，这是世界上最重要的围棋赛事之一？</v>
      </c>
      <c r="J37" s="6" t="str">
        <f>IFERROR(__xludf.DUMMYFUNCTION("GOOGLETRANSLATE(C37, ""en"", ""zh"")"),"A) 韩国，B) 日本，C) 中国，D) 台湾")</f>
        <v>A) 韩国，B) 日本，C) 中国，D) 台湾</v>
      </c>
      <c r="K37" s="6" t="str">
        <f>IFERROR(__xludf.DUMMYFUNCTION("GOOGLETRANSLATE(D37, ""en"", ""zh"")"),"A) 韩国")</f>
        <v>A) 韩国</v>
      </c>
      <c r="L37" s="6" t="str">
        <f>IFERROR(__xludf.DUMMYFUNCTION("GOOGLETRANSLATE(E37, ""en"", ""zh"")"),"LG杯是韩国举办的一项享有盛誉的围棋赛事，吸引了来自世界各地的顶尖棋手参赛。")</f>
        <v>LG杯是韩国举办的一项享有盛誉的围棋赛事，吸引了来自世界各地的顶尖棋手参赛。</v>
      </c>
      <c r="M37" s="4"/>
      <c r="N37" s="27"/>
      <c r="O37" s="4"/>
      <c r="P37" s="26"/>
    </row>
    <row r="38">
      <c r="A38" s="5">
        <v>37.0</v>
      </c>
      <c r="B38" s="6" t="s">
        <v>1098</v>
      </c>
      <c r="C38" s="6" t="s">
        <v>1099</v>
      </c>
      <c r="D38" s="6" t="s">
        <v>1100</v>
      </c>
      <c r="E38" s="6" t="s">
        <v>1101</v>
      </c>
      <c r="F38" s="2"/>
      <c r="G38" s="2"/>
      <c r="H38" s="25"/>
      <c r="I38" s="6" t="str">
        <f>IFERROR(__xludf.DUMMYFUNCTION("GOOGLETRANSLATE(B38, ""en"", ""zh"")"),"20世纪70年代，哪位日本围棋选手因其在围棋人工智能方面的工作而闻名？")</f>
        <v>20世纪70年代，哪位日本围棋选手因其在围棋人工智能方面的工作而闻名？</v>
      </c>
      <c r="J38" s="6" t="str">
        <f>IFERROR(__xludf.DUMMYFUNCTION("GOOGLETRANSLATE(C38, ""en"", ""zh"")"),"A) 本因坊周作、B) 曹植君、C) 刚清玄、D) 藤泽秀幸")</f>
        <v>A) 本因坊周作、B) 曹植君、C) 刚清玄、D) 藤泽秀幸</v>
      </c>
      <c r="K38" s="6" t="str">
        <f>IFERROR(__xludf.DUMMYFUNCTION("GOOGLETRANSLATE(D38, ""en"", ""zh"")"),"D）藤泽秀幸")</f>
        <v>D）藤泽秀幸</v>
      </c>
      <c r="L38" s="6" t="str">
        <f>IFERROR(__xludf.DUMMYFUNCTION("GOOGLETRANSLATE(E38, ""en"", ""zh"")"),"藤泽秀幸是 20 世纪 70 年代的一位杰出人物，他因在围棋人工智能领域的工作以及对围棋发展的贡献而闻名。")</f>
        <v>藤泽秀幸是 20 世纪 70 年代的一位杰出人物，他因在围棋人工智能领域的工作以及对围棋发展的贡献而闻名。</v>
      </c>
      <c r="M38" s="4"/>
      <c r="N38" s="26"/>
      <c r="O38" s="4"/>
      <c r="P38" s="26"/>
    </row>
    <row r="39">
      <c r="A39" s="5">
        <v>38.0</v>
      </c>
      <c r="B39" s="6" t="s">
        <v>1102</v>
      </c>
      <c r="C39" s="6" t="s">
        <v>1103</v>
      </c>
      <c r="D39" s="6" t="s">
        <v>963</v>
      </c>
      <c r="E39" s="6" t="s">
        <v>1104</v>
      </c>
      <c r="F39" s="2"/>
      <c r="G39" s="2"/>
      <c r="H39" s="25"/>
      <c r="I39" s="6" t="str">
        <f>IFERROR(__xludf.DUMMYFUNCTION("GOOGLETRANSLATE(B39, ""en"", ""zh"")"),"在围棋现代史上，第一位被认为是“天才”的围棋棋手是谁？")</f>
        <v>在围棋现代史上，第一位被认为是“天才”的围棋棋手是谁？</v>
      </c>
      <c r="J39" s="6" t="str">
        <f>IFERROR(__xludf.DUMMYFUNCTION("GOOGLETRANSLATE(C39, ""en"", ""zh"")"),"A) 本因坊周作、B) 李世石、C) 豪清玄、D) 芝野虎丸")</f>
        <v>A) 本因坊周作、B) 李世石、C) 豪清玄、D) 芝野虎丸</v>
      </c>
      <c r="K39" s="6" t="str">
        <f>IFERROR(__xludf.DUMMYFUNCTION("GOOGLETRANSLATE(D39, ""en"", ""zh"")"),"A) 本因坊周作")</f>
        <v>A) 本因坊周作</v>
      </c>
      <c r="L39" s="6" t="str">
        <f>IFERROR(__xludf.DUMMYFUNCTION("GOOGLETRANSLATE(E39, ""en"", ""zh"")"),"19 世纪围棋棋手本因坊周作因其卓越的棋艺，常被认为是围棋史上第一位天才棋手。")</f>
        <v>19 世纪围棋棋手本因坊周作因其卓越的棋艺，常被认为是围棋史上第一位天才棋手。</v>
      </c>
      <c r="M39" s="4"/>
      <c r="N39" s="26"/>
      <c r="O39" s="4"/>
      <c r="P39" s="26"/>
    </row>
    <row r="40">
      <c r="A40" s="5">
        <v>39.0</v>
      </c>
      <c r="B40" s="6" t="s">
        <v>1105</v>
      </c>
      <c r="C40" s="6" t="s">
        <v>1106</v>
      </c>
      <c r="D40" s="6" t="s">
        <v>1107</v>
      </c>
      <c r="E40" s="6" t="s">
        <v>1108</v>
      </c>
      <c r="F40" s="2"/>
      <c r="G40" s="2"/>
      <c r="H40" s="25"/>
      <c r="I40" s="6" t="str">
        <f>IFERROR(__xludf.DUMMYFUNCTION("GOOGLETRANSLATE(B40, ""en"", ""zh"")"),"围棋是在哪个世纪从中国传入日本的？")</f>
        <v>围棋是在哪个世纪从中国传入日本的？</v>
      </c>
      <c r="J40" s="6" t="str">
        <f>IFERROR(__xludf.DUMMYFUNCTION("GOOGLETRANSLATE(C40, ""en"", ""zh"")"),"A) 8世纪，B) 12世纪，C) 10世纪，D) 15世纪")</f>
        <v>A) 8世纪，B) 12世纪，C) 10世纪，D) 15世纪</v>
      </c>
      <c r="K40" s="6" t="str">
        <f>IFERROR(__xludf.DUMMYFUNCTION("GOOGLETRANSLATE(D40, ""en"", ""zh"")"),"C) 10世纪")</f>
        <v>C) 10世纪</v>
      </c>
      <c r="L40" s="6" t="str">
        <f>IFERROR(__xludf.DUMMYFUNCTION("GOOGLETRANSLATE(E40, ""en"", ""zh"")"),"围棋在10世纪从中国传入日本，并在那里得到进一步发展和制度化。")</f>
        <v>围棋在10世纪从中国传入日本，并在那里得到进一步发展和制度化。</v>
      </c>
      <c r="M40" s="4"/>
      <c r="N40" s="27"/>
      <c r="O40" s="4"/>
      <c r="P40" s="26"/>
    </row>
    <row r="41">
      <c r="A41" s="5">
        <v>40.0</v>
      </c>
      <c r="B41" s="6" t="s">
        <v>1109</v>
      </c>
      <c r="C41" s="6" t="s">
        <v>1110</v>
      </c>
      <c r="D41" s="6" t="s">
        <v>1111</v>
      </c>
      <c r="E41" s="6" t="s">
        <v>1112</v>
      </c>
      <c r="F41" s="2"/>
      <c r="G41" s="2"/>
      <c r="H41" s="25"/>
      <c r="I41" s="6" t="str">
        <f>IFERROR(__xludf.DUMMYFUNCTION("GOOGLETRANSLATE(B41, ""en"", ""zh"")"),"除中国和日本之外，第一个举办大型围棋比赛的国家是哪个？")</f>
        <v>除中国和日本之外，第一个举办大型围棋比赛的国家是哪个？</v>
      </c>
      <c r="J41" s="6" t="str">
        <f>IFERROR(__xludf.DUMMYFUNCTION("GOOGLETRANSLATE(C41, ""en"", ""zh"")"),"A) 韩国，B) 台湾，C) 美国，D) 法国")</f>
        <v>A) 韩国，B) 台湾，C) 美国，D) 法国</v>
      </c>
      <c r="K41" s="6" t="str">
        <f>IFERROR(__xludf.DUMMYFUNCTION("GOOGLETRANSLATE(D41, ""en"", ""zh"")"),"C) 美国")</f>
        <v>C) 美国</v>
      </c>
      <c r="L41" s="6" t="str">
        <f>IFERROR(__xludf.DUMMYFUNCTION("GOOGLETRANSLATE(E41, ""en"", ""zh"")"),"美国是除中国和日本之外第一个举办大型围棋比赛的国家，进一步扩大了围棋的全球影响力。")</f>
        <v>美国是除中国和日本之外第一个举办大型围棋比赛的国家，进一步扩大了围棋的全球影响力。</v>
      </c>
      <c r="M41" s="4"/>
      <c r="N41" s="27"/>
      <c r="O41" s="4"/>
      <c r="P41" s="27"/>
    </row>
    <row r="42">
      <c r="A42" s="5">
        <v>41.0</v>
      </c>
      <c r="B42" s="6" t="s">
        <v>1113</v>
      </c>
      <c r="C42" s="6" t="s">
        <v>1114</v>
      </c>
      <c r="D42" s="6" t="s">
        <v>1115</v>
      </c>
      <c r="E42" s="6" t="s">
        <v>1116</v>
      </c>
      <c r="F42" s="2"/>
      <c r="G42" s="2"/>
      <c r="H42" s="25"/>
      <c r="I42" s="6" t="str">
        <f>IFERROR(__xludf.DUMMYFUNCTION("GOOGLETRANSLATE(B42, ""en"", ""zh"")"),"中国古代哪部文献提到过围棋的战略运用？")</f>
        <v>中国古代哪部文献提到过围棋的战略运用？</v>
      </c>
      <c r="J42" s="6" t="str">
        <f>IFERROR(__xludf.DUMMYFUNCTION("GOOGLETRANSLATE(C42, ""en"", ""zh"")"),"A)《道德经》 B)《孙子兵法》 C)《庄子》 D)《易经》")</f>
        <v>A)《道德经》 B)《孙子兵法》 C)《庄子》 D)《易经》</v>
      </c>
      <c r="K42" s="6" t="str">
        <f>IFERROR(__xludf.DUMMYFUNCTION("GOOGLETRANSLATE(D42, ""en"", ""zh"")"),"B）《孙子兵法》")</f>
        <v>B）《孙子兵法》</v>
      </c>
      <c r="L42" s="6" t="str">
        <f>IFERROR(__xludf.DUMMYFUNCTION("GOOGLETRANSLATE(E42, ""en"", ""zh"")"),"孙子的《孙子兵法》以围棋为喻，来阐述军事战略和决策。")</f>
        <v>孙子的《孙子兵法》以围棋为喻，来阐述军事战略和决策。</v>
      </c>
      <c r="M42" s="4"/>
      <c r="N42" s="27"/>
      <c r="O42" s="4"/>
      <c r="P42" s="26"/>
    </row>
    <row r="43">
      <c r="A43" s="5">
        <v>42.0</v>
      </c>
      <c r="B43" s="6" t="s">
        <v>1117</v>
      </c>
      <c r="C43" s="6" t="s">
        <v>1118</v>
      </c>
      <c r="D43" s="6" t="s">
        <v>1119</v>
      </c>
      <c r="E43" s="6" t="s">
        <v>1120</v>
      </c>
      <c r="F43" s="2"/>
      <c r="G43" s="2"/>
      <c r="H43" s="25"/>
      <c r="I43" s="6" t="str">
        <f>IFERROR(__xludf.DUMMYFUNCTION("GOOGLETRANSLATE(B43, ""en"", ""zh"")"),"中国古代围棋棋子是由什么材料制成的？")</f>
        <v>中国古代围棋棋子是由什么材料制成的？</v>
      </c>
      <c r="J43" s="6" t="str">
        <f>IFERROR(__xludf.DUMMYFUNCTION("GOOGLETRANSLATE(C43, ""en"", ""zh"")"),"A) 玉和骨，B) 石板和贝壳，C) 木头和陶土，D) 玻璃和大理石")</f>
        <v>A) 玉和骨，B) 石板和贝壳，C) 木头和陶土，D) 玻璃和大理石</v>
      </c>
      <c r="K43" s="6" t="str">
        <f>IFERROR(__xludf.DUMMYFUNCTION("GOOGLETRANSLATE(D43, ""en"", ""zh"")"),"B) 板岩和贝壳")</f>
        <v>B) 板岩和贝壳</v>
      </c>
      <c r="L43" s="6" t="str">
        <f>IFERROR(__xludf.DUMMYFUNCTION("GOOGLETRANSLATE(E43, ""en"", ""zh"")"),"在中国古代，围棋棋子传统上由石板（黑色）和贝壳（白色）制成。")</f>
        <v>在中国古代，围棋棋子传统上由石板（黑色）和贝壳（白色）制成。</v>
      </c>
      <c r="M43" s="4"/>
      <c r="N43" s="29"/>
      <c r="O43" s="4"/>
      <c r="P43" s="29"/>
    </row>
    <row r="44">
      <c r="A44" s="5">
        <v>43.0</v>
      </c>
      <c r="B44" s="6" t="s">
        <v>1121</v>
      </c>
      <c r="C44" s="6" t="s">
        <v>1122</v>
      </c>
      <c r="D44" s="6" t="s">
        <v>1123</v>
      </c>
      <c r="E44" s="6" t="s">
        <v>1124</v>
      </c>
      <c r="F44" s="2"/>
      <c r="G44" s="2"/>
      <c r="H44" s="25"/>
      <c r="I44" s="6" t="str">
        <f>IFERROR(__xludf.DUMMYFUNCTION("GOOGLETRANSLATE(B44, ""en"", ""zh"")"),"中国最早关于围棋的记载是什么时候？")</f>
        <v>中国最早关于围棋的记载是什么时候？</v>
      </c>
      <c r="J44" s="6" t="str">
        <f>IFERROR(__xludf.DUMMYFUNCTION("GOOGLETRANSLATE(C44, ""en"", ""zh"")"),"A) 汉朝，B) 周朝，C) 秦朝，D) 唐朝")</f>
        <v>A) 汉朝，B) 周朝，C) 秦朝，D) 唐朝</v>
      </c>
      <c r="K44" s="6" t="str">
        <f>IFERROR(__xludf.DUMMYFUNCTION("GOOGLETRANSLATE(D44, ""en"", ""zh"")"),"B）周朝")</f>
        <v>B）周朝</v>
      </c>
      <c r="L44" s="6" t="str">
        <f>IFERROR(__xludf.DUMMYFUNCTION("GOOGLETRANSLATE(E44, ""en"", ""zh"")"),"最早关于“Go”的记载可以追溯到周朝，距今约2500年。")</f>
        <v>最早关于“Go”的记载可以追溯到周朝，距今约2500年。</v>
      </c>
      <c r="M44" s="4"/>
      <c r="N44" s="27"/>
      <c r="O44" s="4"/>
      <c r="P44" s="27"/>
    </row>
    <row r="45">
      <c r="A45" s="5">
        <v>44.0</v>
      </c>
      <c r="B45" s="6" t="s">
        <v>1125</v>
      </c>
      <c r="C45" s="6" t="s">
        <v>1126</v>
      </c>
      <c r="D45" s="6" t="s">
        <v>1127</v>
      </c>
      <c r="E45" s="6" t="s">
        <v>1128</v>
      </c>
      <c r="F45" s="2"/>
      <c r="G45" s="2"/>
      <c r="H45" s="25"/>
      <c r="I45" s="6" t="str">
        <f>IFERROR(__xludf.DUMMYFUNCTION("GOOGLETRANSLATE(B45, ""en"", ""zh"")"),"“禁酒令”的历史意义是什么？")</f>
        <v>“禁酒令”的历史意义是什么？</v>
      </c>
      <c r="J45" s="6" t="str">
        <f>IFERROR(__xludf.DUMMYFUNCTION("GOOGLETRANSLATE(C45, ""en"", ""zh"")"),"A) 围棋棋盘，B) 围棋俱乐部，C) 围棋棋子，D) 围棋策略")</f>
        <v>A) 围棋棋盘，B) 围棋俱乐部，C) 围棋棋子，D) 围棋策略</v>
      </c>
      <c r="K45" s="6" t="str">
        <f>IFERROR(__xludf.DUMMYFUNCTION("GOOGLETRANSLATE(D45, ""en"", ""zh"")"),"A) 围棋棋盘")</f>
        <v>A) 围棋棋盘</v>
      </c>
      <c r="L45" s="6" t="str">
        <f>IFERROR(__xludf.DUMMYFUNCTION("GOOGLETRANSLATE(E45, ""en"", ""zh"")"),"“围棋”一词指的是围棋游戏中使用的棋盘，几个世纪以来，棋盘一直是围棋运动的核心。")</f>
        <v>“围棋”一词指的是围棋游戏中使用的棋盘，几个世纪以来，棋盘一直是围棋运动的核心。</v>
      </c>
      <c r="M45" s="4"/>
      <c r="N45" s="27"/>
      <c r="O45" s="4"/>
      <c r="P45" s="30"/>
    </row>
    <row r="46">
      <c r="A46" s="5">
        <v>45.0</v>
      </c>
      <c r="B46" s="6" t="s">
        <v>1129</v>
      </c>
      <c r="C46" s="6" t="s">
        <v>1130</v>
      </c>
      <c r="D46" s="6" t="s">
        <v>1131</v>
      </c>
      <c r="E46" s="6" t="s">
        <v>1132</v>
      </c>
      <c r="F46" s="2"/>
      <c r="G46" s="2"/>
      <c r="H46" s="25"/>
      <c r="I46" s="6" t="str">
        <f>IFERROR(__xludf.DUMMYFUNCTION("GOOGLETRANSLATE(B46, ""en"", ""zh"")"),"中国哪个朝代引入了职业围棋选手和围棋比赛？")</f>
        <v>中国哪个朝代引入了职业围棋选手和围棋比赛？</v>
      </c>
      <c r="J46" s="6" t="str">
        <f>IFERROR(__xludf.DUMMYFUNCTION("GOOGLETRANSLATE(C46, ""en"", ""zh"")"),"A) 唐朝，B) 宋朝，C) 元朝，D) 明朝")</f>
        <v>A) 唐朝，B) 宋朝，C) 元朝，D) 明朝</v>
      </c>
      <c r="K46" s="6" t="str">
        <f>IFERROR(__xludf.DUMMYFUNCTION("GOOGLETRANSLATE(D46, ""en"", ""zh"")"),"B）宋朝")</f>
        <v>B）宋朝</v>
      </c>
      <c r="L46" s="6" t="str">
        <f>IFERROR(__xludf.DUMMYFUNCTION("GOOGLETRANSLATE(E46, ""en"", ""zh"")"),"宋朝被认为是中国职业围棋选手和围棋比赛的发源地。")</f>
        <v>宋朝被认为是中国职业围棋选手和围棋比赛的发源地。</v>
      </c>
      <c r="M46" s="4"/>
      <c r="N46" s="26"/>
      <c r="O46" s="4"/>
      <c r="P46" s="26"/>
    </row>
    <row r="47">
      <c r="A47" s="5">
        <v>46.0</v>
      </c>
      <c r="B47" s="6" t="s">
        <v>1133</v>
      </c>
      <c r="C47" s="6" t="s">
        <v>1134</v>
      </c>
      <c r="D47" s="6" t="s">
        <v>1135</v>
      </c>
      <c r="E47" s="6" t="s">
        <v>1136</v>
      </c>
      <c r="F47" s="2"/>
      <c r="G47" s="2"/>
      <c r="H47" s="25"/>
      <c r="I47" s="6" t="str">
        <f>IFERROR(__xludf.DUMMYFUNCTION("GOOGLETRANSLATE(B47, ""en"", ""zh"")"),"围棋在中国古代社会政治生活中扮演着怎样的角色？")</f>
        <v>围棋在中国古代社会政治生活中扮演着怎样的角色？</v>
      </c>
      <c r="J47" s="6" t="str">
        <f>IFERROR(__xludf.DUMMYFUNCTION("GOOGLETRANSLATE(C47, ""en"", ""zh"")"),"A) 一种娱乐形式，B) 智慧的象征，C) 占卜工具，D) 一种军事策略")</f>
        <v>A) 一种娱乐形式，B) 智慧的象征，C) 占卜工具，D) 一种军事策略</v>
      </c>
      <c r="K47" s="6" t="str">
        <f>IFERROR(__xludf.DUMMYFUNCTION("GOOGLETRANSLATE(D47, ""en"", ""zh"")"),"B）智慧的象征")</f>
        <v>B）智慧的象征</v>
      </c>
      <c r="L47" s="6" t="str">
        <f>IFERROR(__xludf.DUMMYFUNCTION("GOOGLETRANSLATE(E47, ""en"", ""zh"")"),"在中国古代，围棋被视为智慧和知识渊博的象征，经常受到文人雅士和官员的喜爱。")</f>
        <v>在中国古代，围棋被视为智慧和知识渊博的象征，经常受到文人雅士和官员的喜爱。</v>
      </c>
      <c r="M47" s="4"/>
      <c r="N47" s="27"/>
      <c r="O47" s="4"/>
      <c r="P47" s="26"/>
    </row>
    <row r="48">
      <c r="A48" s="8">
        <v>47.0</v>
      </c>
      <c r="B48" s="6" t="s">
        <v>1137</v>
      </c>
      <c r="C48" s="6" t="s">
        <v>1138</v>
      </c>
      <c r="D48" s="6" t="s">
        <v>1139</v>
      </c>
      <c r="E48" s="6" t="s">
        <v>1140</v>
      </c>
      <c r="F48" s="2"/>
      <c r="G48" s="2"/>
      <c r="H48" s="31"/>
      <c r="I48" s="6" t="str">
        <f>IFERROR(__xludf.DUMMYFUNCTION("GOOGLETRANSLATE(B48, ""en"", ""zh"")"),"在围棋中，传统上是先走哪一颜色的棋子？")</f>
        <v>在围棋中，传统上是先走哪一颜色的棋子？</v>
      </c>
      <c r="J48" s="6" t="str">
        <f>IFERROR(__xludf.DUMMYFUNCTION("GOOGLETRANSLATE(C48, ""en"", ""zh"")"),"A) 白色，B) 黑色，C) 红色，D) 黄色")</f>
        <v>A) 白色，B) 黑色，C) 红色，D) 黄色</v>
      </c>
      <c r="K48" s="6" t="str">
        <f>IFERROR(__xludf.DUMMYFUNCTION("GOOGLETRANSLATE(D48, ""en"", ""zh"")"),"B) 黑色")</f>
        <v>B) 黑色</v>
      </c>
      <c r="L48" s="6" t="str">
        <f>IFERROR(__xludf.DUMMYFUNCTION("GOOGLETRANSLATE(E48, ""en"", ""zh"")"),"在围棋游戏中，传统上是执黑棋的一方先走。")</f>
        <v>在围棋游戏中，传统上是执黑棋的一方先走。</v>
      </c>
      <c r="M48" s="4"/>
      <c r="N48" s="27"/>
      <c r="O48" s="4"/>
      <c r="P48" s="26"/>
    </row>
    <row r="49">
      <c r="A49" s="7">
        <v>48.0</v>
      </c>
      <c r="B49" s="18" t="s">
        <v>1141</v>
      </c>
      <c r="C49" s="18" t="s">
        <v>774</v>
      </c>
      <c r="D49" s="18" t="s">
        <v>516</v>
      </c>
      <c r="I49" s="6" t="str">
        <f>IFERROR(__xludf.DUMMYFUNCTION("GOOGLETRANSLATE(B49, ""en"", ""zh"")"),"围棋起源于哪个国家？")</f>
        <v>围棋起源于哪个国家？</v>
      </c>
      <c r="J49" s="6" t="str">
        <f>IFERROR(__xludf.DUMMYFUNCTION("GOOGLETRANSLATE(C49, ""en"", ""zh"")"),"A) 日本 B) 中国 C) 韩国 D) 越南")</f>
        <v>A) 日本 B) 中国 C) 韩国 D) 越南</v>
      </c>
      <c r="K49" s="6" t="str">
        <f>IFERROR(__xludf.DUMMYFUNCTION("GOOGLETRANSLATE(D49, ""en"", ""zh"")"),"B) 中国")</f>
        <v>B) 中国</v>
      </c>
      <c r="L49" s="6" t="str">
        <f>IFERROR(__xludf.DUMMYFUNCTION("GOOGLETRANSLATE(E49, ""en"", ""zh"")"),"#VALUE!")</f>
        <v>#VALUE!</v>
      </c>
    </row>
    <row r="50">
      <c r="A50" s="22">
        <v>49.0</v>
      </c>
      <c r="B50" s="18" t="s">
        <v>1142</v>
      </c>
      <c r="C50" s="18" t="s">
        <v>1143</v>
      </c>
      <c r="D50" s="18" t="s">
        <v>1144</v>
      </c>
      <c r="I50" s="6" t="str">
        <f>IFERROR(__xludf.DUMMYFUNCTION("GOOGLETRANSLATE(B50, ""en"", ""zh"")"),"围棋的中文传统名称是什么？")</f>
        <v>围棋的中文传统名称是什么？</v>
      </c>
      <c r="J50" s="6" t="str">
        <f>IFERROR(__xludf.DUMMYFUNCTION("GOOGLETRANSLATE(C50, ""en"", ""zh"")"),"A) 象棋 B) 围棋 C) 麻将 D) 牌九")</f>
        <v>A) 象棋 B) 围棋 C) 麻将 D) 牌九</v>
      </c>
      <c r="K50" s="6" t="str">
        <f>IFERROR(__xludf.DUMMYFUNCTION("GOOGLETRANSLATE(D50, ""en"", ""zh"")"),"B) 围棋")</f>
        <v>B) 围棋</v>
      </c>
      <c r="L50" s="6" t="str">
        <f>IFERROR(__xludf.DUMMYFUNCTION("GOOGLETRANSLATE(E50, ""en"", ""zh"")"),"#VALUE!")</f>
        <v>#VALUE!</v>
      </c>
    </row>
    <row r="51">
      <c r="A51" s="22">
        <v>50.0</v>
      </c>
      <c r="B51" s="18" t="s">
        <v>1145</v>
      </c>
      <c r="C51" s="18" t="s">
        <v>1146</v>
      </c>
      <c r="D51" s="18" t="s">
        <v>1147</v>
      </c>
      <c r="I51" s="6" t="str">
        <f>IFERROR(__xludf.DUMMYFUNCTION("GOOGLETRANSLATE(B51, ""en"", ""zh"")"),"围棋在哪个朝代的朝廷中流行起来？")</f>
        <v>围棋在哪个朝代的朝廷中流行起来？</v>
      </c>
      <c r="J51" s="6" t="str">
        <f>IFERROR(__xludf.DUMMYFUNCTION("GOOGLETRANSLATE(C51, ""en"", ""zh"")"),"A) 汉 B) 唐 C) 宋 D) 元")</f>
        <v>A) 汉 B) 唐 C) 宋 D) 元</v>
      </c>
      <c r="K51" s="6" t="str">
        <f>IFERROR(__xludf.DUMMYFUNCTION("GOOGLETRANSLATE(D51, ""en"", ""zh"")"),"B) 唐")</f>
        <v>B) 唐</v>
      </c>
      <c r="L51" s="6" t="str">
        <f>IFERROR(__xludf.DUMMYFUNCTION("GOOGLETRANSLATE(E51, ""en"", ""zh"")"),"#VALUE!")</f>
        <v>#VALUE!</v>
      </c>
    </row>
    <row r="52">
      <c r="A52" s="22">
        <v>51.0</v>
      </c>
      <c r="B52" s="18" t="s">
        <v>1148</v>
      </c>
      <c r="C52" s="18" t="s">
        <v>1149</v>
      </c>
      <c r="D52" s="18" t="s">
        <v>1150</v>
      </c>
      <c r="I52" s="6" t="str">
        <f>IFERROR(__xludf.DUMMYFUNCTION("GOOGLETRANSLATE(B52, ""en"", ""zh"")"),"中国文献中最早提及围棋的记载出现在哪部作品中？")</f>
        <v>中国文献中最早提及围棋的记载出现在哪部作品中？</v>
      </c>
      <c r="J52" s="6" t="str">
        <f>IFERROR(__xludf.DUMMYFUNCTION("GOOGLETRANSLATE(C52, ""en"", ""zh"")"),"A) 《左传》 B) 《论语》 C) 《诗经》 D) 《史记》")</f>
        <v>A) 《左传》 B) 《论语》 C) 《诗经》 D) 《史记》</v>
      </c>
      <c r="K52" s="6" t="str">
        <f>IFERROR(__xludf.DUMMYFUNCTION("GOOGLETRANSLATE(D52, ""en"", ""zh"")"),"A) 左传")</f>
        <v>A) 左传</v>
      </c>
      <c r="L52" s="6" t="str">
        <f>IFERROR(__xludf.DUMMYFUNCTION("GOOGLETRANSLATE(E52, ""en"", ""zh"")"),"#VALUE!")</f>
        <v>#VALUE!</v>
      </c>
    </row>
    <row r="53">
      <c r="A53" s="22">
        <v>52.0</v>
      </c>
      <c r="B53" s="18" t="s">
        <v>1151</v>
      </c>
      <c r="C53" s="18" t="s">
        <v>1152</v>
      </c>
      <c r="D53" s="18" t="s">
        <v>1153</v>
      </c>
      <c r="I53" s="6" t="str">
        <f>IFERROR(__xludf.DUMMYFUNCTION("GOOGLETRANSLATE(B53, ""en"", ""zh"")"),"以下哪一项不属于与围棋并列的中国古代文艺四艺？")</f>
        <v>以下哪一项不属于与围棋并列的中国古代文艺四艺？</v>
      </c>
      <c r="J53" s="6" t="str">
        <f>IFERROR(__xludf.DUMMYFUNCTION("GOOGLETRANSLATE(C53, ""en"", ""zh"")"),"A) 书法 B) 绘画 C) 古琴 D) 武术")</f>
        <v>A) 书法 B) 绘画 C) 古琴 D) 武术</v>
      </c>
      <c r="K53" s="6" t="str">
        <f>IFERROR(__xludf.DUMMYFUNCTION("GOOGLETRANSLATE(D53, ""en"", ""zh"")"),"D) 武术")</f>
        <v>D) 武术</v>
      </c>
      <c r="L53" s="6" t="str">
        <f>IFERROR(__xludf.DUMMYFUNCTION("GOOGLETRANSLATE(E53, ""en"", ""zh"")"),"#VALUE!")</f>
        <v>#VALUE!</v>
      </c>
    </row>
    <row r="54">
      <c r="A54" s="22">
        <v>53.0</v>
      </c>
      <c r="B54" s="18" t="s">
        <v>1154</v>
      </c>
      <c r="C54" s="18" t="s">
        <v>1155</v>
      </c>
      <c r="D54" s="18" t="s">
        <v>1156</v>
      </c>
      <c r="I54" s="6" t="str">
        <f>IFERROR(__xludf.DUMMYFUNCTION("GOOGLETRANSLATE(B54, ""en"", ""zh"")"),"围棋有时被称为“什么游戏？”")</f>
        <v>围棋有时被称为“什么游戏？”</v>
      </c>
      <c r="J54" s="6" t="str">
        <f>IFERROR(__xludf.DUMMYFUNCTION("GOOGLETRANSLATE(C54, ""en"", ""zh"")"),"A) 生命 B) 战争 C) 智力 D) 战略")</f>
        <v>A) 生命 B) 战争 C) 智力 D) 战略</v>
      </c>
      <c r="K54" s="6" t="str">
        <f>IFERROR(__xludf.DUMMYFUNCTION("GOOGLETRANSLATE(D54, ""en"", ""zh"")"),"C) 智力")</f>
        <v>C) 智力</v>
      </c>
      <c r="L54" s="6" t="str">
        <f>IFERROR(__xludf.DUMMYFUNCTION("GOOGLETRANSLATE(E54, ""en"", ""zh"")"),"#VALUE!")</f>
        <v>#VALUE!</v>
      </c>
    </row>
    <row r="55">
      <c r="A55" s="22">
        <v>54.0</v>
      </c>
      <c r="B55" s="18" t="s">
        <v>1157</v>
      </c>
      <c r="C55" s="18" t="s">
        <v>1158</v>
      </c>
      <c r="D55" s="18" t="s">
        <v>1159</v>
      </c>
      <c r="I55" s="6" t="str">
        <f>IFERROR(__xludf.DUMMYFUNCTION("GOOGLETRANSLATE(B55, ""en"", ""zh"")"),"19×19棋盘在哪个朝代成为标准棋盘？")</f>
        <v>19×19棋盘在哪个朝代成为标准棋盘？</v>
      </c>
      <c r="J55" s="6" t="str">
        <f>IFERROR(__xludf.DUMMYFUNCTION("GOOGLETRANSLATE(C55, ""en"", ""zh"")"),"A) 韩 B) 唐 C) 宋 D) 明")</f>
        <v>A) 韩 B) 唐 C) 宋 D) 明</v>
      </c>
      <c r="K55" s="6" t="str">
        <f>IFERROR(__xludf.DUMMYFUNCTION("GOOGLETRANSLATE(D55, ""en"", ""zh"")"),"C) 歌曲")</f>
        <v>C) 歌曲</v>
      </c>
      <c r="L55" s="6" t="str">
        <f>IFERROR(__xludf.DUMMYFUNCTION("GOOGLETRANSLATE(E55, ""en"", ""zh"")"),"#VALUE!")</f>
        <v>#VALUE!</v>
      </c>
    </row>
    <row r="56">
      <c r="A56" s="22">
        <v>55.0</v>
      </c>
      <c r="B56" s="18" t="s">
        <v>1160</v>
      </c>
      <c r="C56" s="18" t="s">
        <v>1161</v>
      </c>
      <c r="D56" s="18" t="s">
        <v>1162</v>
      </c>
      <c r="I56" s="6" t="str">
        <f>IFERROR(__xludf.DUMMYFUNCTION("GOOGLETRANSLATE(B56, ""en"", ""zh"")"),"与围棋联系最紧密的哲学是什么？")</f>
        <v>与围棋联系最紧密的哲学是什么？</v>
      </c>
      <c r="J56" s="6" t="str">
        <f>IFERROR(__xludf.DUMMYFUNCTION("GOOGLETRANSLATE(C56, ""en"", ""zh"")"),"A) 儒家思想 B) 道家思想 C) 法家思想 D) 佛教")</f>
        <v>A) 儒家思想 B) 道家思想 C) 法家思想 D) 佛教</v>
      </c>
      <c r="K56" s="6" t="str">
        <f>IFERROR(__xludf.DUMMYFUNCTION("GOOGLETRANSLATE(D56, ""en"", ""zh"")"),"B）道教")</f>
        <v>B）道教</v>
      </c>
      <c r="L56" s="6" t="str">
        <f>IFERROR(__xludf.DUMMYFUNCTION("GOOGLETRANSLATE(E56, ""en"", ""zh"")"),"#VALUE!")</f>
        <v>#VALUE!</v>
      </c>
    </row>
    <row r="57">
      <c r="A57" s="22">
        <v>56.0</v>
      </c>
      <c r="B57" s="18" t="s">
        <v>1163</v>
      </c>
      <c r="C57" s="18" t="s">
        <v>1164</v>
      </c>
      <c r="D57" s="18" t="s">
        <v>1165</v>
      </c>
      <c r="I57" s="6" t="str">
        <f>IFERROR(__xludf.DUMMYFUNCTION("GOOGLETRANSLATE(B57, ""en"", ""zh"")"),"围棋中的黑白棋子分别代表什么？")</f>
        <v>围棋中的黑白棋子分别代表什么？</v>
      </c>
      <c r="J57" s="6" t="str">
        <f>IFERROR(__xludf.DUMMYFUNCTION("GOOGLETRANSLATE(C57, ""en"", ""zh"")"),"A) 阴阳 B) 日月 C) 火水 D) 天地")</f>
        <v>A) 阴阳 B) 日月 C) 火水 D) 天地</v>
      </c>
      <c r="K57" s="6" t="str">
        <f>IFERROR(__xludf.DUMMYFUNCTION("GOOGLETRANSLATE(D57, ""en"", ""zh"")"),"A) 阴阳")</f>
        <v>A) 阴阳</v>
      </c>
      <c r="L57" s="6" t="str">
        <f>IFERROR(__xludf.DUMMYFUNCTION("GOOGLETRANSLATE(E57, ""en"", ""zh"")"),"#VALUE!")</f>
        <v>#VALUE!</v>
      </c>
    </row>
    <row r="58">
      <c r="A58" s="22">
        <v>57.0</v>
      </c>
      <c r="B58" s="18" t="s">
        <v>1166</v>
      </c>
      <c r="C58" s="18" t="s">
        <v>1167</v>
      </c>
      <c r="D58" s="18" t="s">
        <v>1168</v>
      </c>
      <c r="I58" s="6" t="str">
        <f>IFERROR(__xludf.DUMMYFUNCTION("GOOGLETRANSLATE(B58, ""en"", ""zh"")"),"在韩国，围棋被称为什么？")</f>
        <v>在韩国，围棋被称为什么？</v>
      </c>
      <c r="J58" s="6" t="str">
        <f>IFERROR(__xludf.DUMMYFUNCTION("GOOGLETRANSLATE(C58, ""en"", ""zh"")"),"A) 围棋 B) 围棋 C) 围棋 D) 连珠")</f>
        <v>A) 围棋 B) 围棋 C) 围棋 D) 连珠</v>
      </c>
      <c r="K58" s="6" t="str">
        <f>IFERROR(__xludf.DUMMYFUNCTION("GOOGLETRANSLATE(D58, ""en"", ""zh"")"),"A) 围棋")</f>
        <v>A) 围棋</v>
      </c>
      <c r="L58" s="6" t="str">
        <f>IFERROR(__xludf.DUMMYFUNCTION("GOOGLETRANSLATE(E58, ""en"", ""zh"")"),"#VALUE!")</f>
        <v>#VALUE!</v>
      </c>
    </row>
    <row r="59">
      <c r="A59" s="22">
        <v>58.0</v>
      </c>
      <c r="B59" s="18" t="s">
        <v>1169</v>
      </c>
      <c r="C59" s="18" t="s">
        <v>1170</v>
      </c>
      <c r="D59" s="18" t="s">
        <v>1171</v>
      </c>
      <c r="I59" s="6" t="str">
        <f>IFERROR(__xludf.DUMMYFUNCTION("GOOGLETRANSLATE(B59, ""en"", ""zh"")"),"围棋是什么时候传入日本的？")</f>
        <v>围棋是什么时候传入日本的？</v>
      </c>
      <c r="J59" s="6" t="str">
        <f>IFERROR(__xludf.DUMMYFUNCTION("GOOGLETRANSLATE(C59, ""en"", ""zh"")"),"A) 5世纪 B) 7世纪 C) 9世纪 D) 11世纪")</f>
        <v>A) 5世纪 B) 7世纪 C) 9世纪 D) 11世纪</v>
      </c>
      <c r="K59" s="6" t="str">
        <f>IFERROR(__xludf.DUMMYFUNCTION("GOOGLETRANSLATE(D59, ""en"", ""zh"")"),"B) 7世纪")</f>
        <v>B) 7世纪</v>
      </c>
      <c r="L59" s="6" t="str">
        <f>IFERROR(__xludf.DUMMYFUNCTION("GOOGLETRANSLATE(E59, ""en"", ""zh"")"),"#VALUE!")</f>
        <v>#VALUE!</v>
      </c>
    </row>
    <row r="60">
      <c r="A60" s="22">
        <v>59.0</v>
      </c>
      <c r="B60" s="18" t="s">
        <v>1172</v>
      </c>
      <c r="C60" s="18" t="s">
        <v>1173</v>
      </c>
      <c r="D60" s="18" t="s">
        <v>1174</v>
      </c>
      <c r="I60" s="6" t="str">
        <f>IFERROR(__xludf.DUMMYFUNCTION("GOOGLETRANSLATE(B60, ""en"", ""zh"")"),"围棋是在日本哪个时期在朝廷中崭露头角的？")</f>
        <v>围棋是在日本哪个时期在朝廷中崭露头角的？</v>
      </c>
      <c r="J60" s="6" t="str">
        <f>IFERROR(__xludf.DUMMYFUNCTION("GOOGLETRANSLATE(C60, ""en"", ""zh"")"),"A) 奈良 B) 平安 C) 镰仓 D) 江户")</f>
        <v>A) 奈良 B) 平安 C) 镰仓 D) 江户</v>
      </c>
      <c r="K60" s="6" t="str">
        <f>IFERROR(__xludf.DUMMYFUNCTION("GOOGLETRANSLATE(D60, ""en"", ""zh"")"),"A) 奈良")</f>
        <v>A) 奈良</v>
      </c>
      <c r="L60" s="6" t="str">
        <f>IFERROR(__xludf.DUMMYFUNCTION("GOOGLETRANSLATE(E60, ""en"", ""zh"")"),"#VALUE!")</f>
        <v>#VALUE!</v>
      </c>
    </row>
    <row r="61">
      <c r="A61" s="22">
        <v>60.0</v>
      </c>
      <c r="B61" s="18" t="s">
        <v>1175</v>
      </c>
      <c r="C61" s="18" t="s">
        <v>1176</v>
      </c>
      <c r="D61" s="18" t="s">
        <v>1177</v>
      </c>
      <c r="I61" s="6" t="str">
        <f>IFERROR(__xludf.DUMMYFUNCTION("GOOGLETRANSLATE(B61, ""en"", ""zh"")"),"标准围棋棋盘上有多少条线相交？")</f>
        <v>标准围棋棋盘上有多少条线相交？</v>
      </c>
      <c r="J61" s="6" t="str">
        <f>IFERROR(__xludf.DUMMYFUNCTION("GOOGLETRANSLATE(C61, ""en"", ""zh"")"),"A) 361 B) 400 C) 324 D) 289")</f>
        <v>A) 361 B) 400 C) 324 D) 289</v>
      </c>
      <c r="K61" s="6" t="str">
        <f>IFERROR(__xludf.DUMMYFUNCTION("GOOGLETRANSLATE(D61, ""en"", ""zh"")"),"A) 361")</f>
        <v>A) 361</v>
      </c>
      <c r="L61" s="6" t="str">
        <f>IFERROR(__xludf.DUMMYFUNCTION("GOOGLETRANSLATE(E61, ""en"", ""zh"")"),"#VALUE!")</f>
        <v>#VALUE!</v>
      </c>
    </row>
    <row r="62">
      <c r="A62" s="22">
        <v>61.0</v>
      </c>
      <c r="B62" s="18" t="s">
        <v>1178</v>
      </c>
      <c r="C62" s="18" t="s">
        <v>1179</v>
      </c>
      <c r="D62" s="18" t="s">
        <v>1180</v>
      </c>
      <c r="I62" s="6" t="str">
        <f>IFERROR(__xludf.DUMMYFUNCTION("GOOGLETRANSLATE(B62, ""en"", ""zh"")"),"初学者常用的较小尺寸滑板是多大？")</f>
        <v>初学者常用的较小尺寸滑板是多大？</v>
      </c>
      <c r="J62" s="6" t="str">
        <f>IFERROR(__xludf.DUMMYFUNCTION("GOOGLETRANSLATE(C62, ""en"", ""zh"")"),"A) 9×9 B) 13×13 C) 15×15 D) 17×17")</f>
        <v>A) 9×9 B) 13×13 C) 15×15 D) 17×17</v>
      </c>
      <c r="K62" s="6" t="str">
        <f>IFERROR(__xludf.DUMMYFUNCTION("GOOGLETRANSLATE(D62, ""en"", ""zh"")"),"A) 9×9")</f>
        <v>A) 9×9</v>
      </c>
      <c r="L62" s="6" t="str">
        <f>IFERROR(__xludf.DUMMYFUNCTION("GOOGLETRANSLATE(E62, ""en"", ""zh"")"),"#VALUE!")</f>
        <v>#VALUE!</v>
      </c>
    </row>
    <row r="63">
      <c r="A63" s="22">
        <v>62.0</v>
      </c>
      <c r="B63" s="18" t="s">
        <v>1181</v>
      </c>
      <c r="C63" s="18" t="s">
        <v>1182</v>
      </c>
      <c r="D63" s="18" t="s">
        <v>1183</v>
      </c>
      <c r="I63" s="6" t="str">
        <f>IFERROR(__xludf.DUMMYFUNCTION("GOOGLETRANSLATE(B63, ""en"", ""zh"")"),"历史上围棋棋子使用的是什么材料？")</f>
        <v>历史上围棋棋子使用的是什么材料？</v>
      </c>
      <c r="J63" s="6" t="str">
        <f>IFERROR(__xludf.DUMMYFUNCTION("GOOGLETRANSLATE(C63, ""en"", ""zh"")"),"A) 塑料 B) 玻璃 C) 石板和贝壳 D) 木材")</f>
        <v>A) 塑料 B) 玻璃 C) 石板和贝壳 D) 木材</v>
      </c>
      <c r="K63" s="6" t="str">
        <f>IFERROR(__xludf.DUMMYFUNCTION("GOOGLETRANSLATE(D63, ""en"", ""zh"")"),"C) 板岩和贝壳")</f>
        <v>C) 板岩和贝壳</v>
      </c>
      <c r="L63" s="6" t="str">
        <f>IFERROR(__xludf.DUMMYFUNCTION("GOOGLETRANSLATE(E63, ""en"", ""zh"")"),"#VALUE!")</f>
        <v>#VALUE!</v>
      </c>
    </row>
    <row r="64">
      <c r="A64" s="22">
        <v>63.0</v>
      </c>
      <c r="B64" s="18" t="s">
        <v>1184</v>
      </c>
      <c r="C64" s="18" t="s">
        <v>348</v>
      </c>
      <c r="D64" s="18" t="s">
        <v>1185</v>
      </c>
      <c r="I64" s="6" t="str">
        <f>IFERROR(__xludf.DUMMYFUNCTION("GOOGLETRANSLATE(B64, ""en"", ""zh"")"),"哪个国家被认为是第一个正式创立围棋排名制度的国家？")</f>
        <v>哪个国家被认为是第一个正式创立围棋排名制度的国家？</v>
      </c>
      <c r="J64" s="6" t="str">
        <f>IFERROR(__xludf.DUMMYFUNCTION("GOOGLETRANSLATE(C64, ""en"", ""zh"")"),"A) 中国 B) 日本 C) 韩国 D) 越南")</f>
        <v>A) 中国 B) 日本 C) 韩国 D) 越南</v>
      </c>
      <c r="K64" s="6" t="str">
        <f>IFERROR(__xludf.DUMMYFUNCTION("GOOGLETRANSLATE(D64, ""en"", ""zh"")"),"B) 日本")</f>
        <v>B) 日本</v>
      </c>
      <c r="L64" s="6" t="str">
        <f>IFERROR(__xludf.DUMMYFUNCTION("GOOGLETRANSLATE(E64, ""en"", ""zh"")"),"#VALUE!")</f>
        <v>#VALUE!</v>
      </c>
    </row>
    <row r="65">
      <c r="A65" s="22">
        <v>64.0</v>
      </c>
      <c r="B65" s="18" t="s">
        <v>1186</v>
      </c>
      <c r="C65" s="18" t="s">
        <v>1187</v>
      </c>
      <c r="D65" s="18" t="s">
        <v>1188</v>
      </c>
      <c r="I65" s="6" t="str">
        <f>IFERROR(__xludf.DUMMYFUNCTION("GOOGLETRANSLATE(B65, ""en"", ""zh"")"),"以下哪位是中国历史上著名的围棋棋手？")</f>
        <v>以下哪位是中国历史上著名的围棋棋手？</v>
      </c>
      <c r="J65" s="6" t="str">
        <f>IFERROR(__xludf.DUMMYFUNCTION("GOOGLETRANSLATE(C65, ""en"", ""zh"")"),"A) 吴清源 B) 孙子 C) 孔子 D) 易 I")</f>
        <v>A) 吴清源 B) 孙子 C) 孔子 D) 易 I</v>
      </c>
      <c r="K65" s="6" t="str">
        <f>IFERROR(__xludf.DUMMYFUNCTION("GOOGLETRANSLATE(D65, ""en"", ""zh"")"),"A) 吴清源")</f>
        <v>A) 吴清源</v>
      </c>
      <c r="L65" s="6" t="str">
        <f>IFERROR(__xludf.DUMMYFUNCTION("GOOGLETRANSLATE(E65, ""en"", ""zh"")"),"#VALUE!")</f>
        <v>#VALUE!</v>
      </c>
    </row>
    <row r="66">
      <c r="A66" s="22">
        <v>65.0</v>
      </c>
      <c r="B66" s="18" t="s">
        <v>1189</v>
      </c>
      <c r="C66" s="18" t="s">
        <v>1190</v>
      </c>
      <c r="D66" s="18" t="s">
        <v>1191</v>
      </c>
      <c r="I66" s="6" t="str">
        <f>IFERROR(__xludf.DUMMYFUNCTION("GOOGLETRANSLATE(B66, ""en"", ""zh"")"),"围棋的主要目标是什么？")</f>
        <v>围棋的主要目标是什么？</v>
      </c>
      <c r="J66" s="6" t="str">
        <f>IFERROR(__xludf.DUMMYFUNCTION("GOOGLETRANSLATE(C66, ""en"", ""zh"")"),"A) 吃掉对方所有棋子 B) 包围更多区域 C) 组成五子线 D) 到达对方边缘")</f>
        <v>A) 吃掉对方所有棋子 B) 包围更多区域 C) 组成五子线 D) 到达对方边缘</v>
      </c>
      <c r="K66" s="6" t="str">
        <f>IFERROR(__xludf.DUMMYFUNCTION("GOOGLETRANSLATE(D66, ""en"", ""zh"")"),"B) 包围更多领土")</f>
        <v>B) 包围更多领土</v>
      </c>
      <c r="L66" s="6" t="str">
        <f>IFERROR(__xludf.DUMMYFUNCTION("GOOGLETRANSLATE(E66, ""en"", ""zh"")"),"#VALUE!")</f>
        <v>#VALUE!</v>
      </c>
    </row>
    <row r="67">
      <c r="A67" s="22">
        <v>66.0</v>
      </c>
      <c r="B67" s="18" t="s">
        <v>1192</v>
      </c>
      <c r="C67" s="18" t="s">
        <v>1193</v>
      </c>
      <c r="D67" s="18" t="s">
        <v>1194</v>
      </c>
      <c r="I67" s="6" t="str">
        <f>IFERROR(__xludf.DUMMYFUNCTION("GOOGLETRANSLATE(B67, ""en"", ""zh"")"),"在围棋中，黑方总是先走。为什么？")</f>
        <v>在围棋中，黑方总是先走。为什么？</v>
      </c>
      <c r="J67" s="6" t="str">
        <f>IFERROR(__xludf.DUMMYFUNCTION("GOOGLETRANSLATE(C67, ""en"", ""zh"")"),"A) 传统 B) 战略优势 C) 抛硬币 D) 随机选择")</f>
        <v>A) 传统 B) 战略优势 C) 抛硬币 D) 随机选择</v>
      </c>
      <c r="K67" s="6" t="str">
        <f>IFERROR(__xludf.DUMMYFUNCTION("GOOGLETRANSLATE(D67, ""en"", ""zh"")"),"B) 战略优势")</f>
        <v>B) 战略优势</v>
      </c>
      <c r="L67" s="6" t="str">
        <f>IFERROR(__xludf.DUMMYFUNCTION("GOOGLETRANSLATE(E67, ""en"", ""zh"")"),"#VALUE!")</f>
        <v>#VALUE!</v>
      </c>
    </row>
    <row r="68">
      <c r="A68" s="8">
        <v>67.0</v>
      </c>
      <c r="B68" s="18" t="s">
        <v>1195</v>
      </c>
      <c r="C68" s="18" t="s">
        <v>1196</v>
      </c>
      <c r="D68" s="18" t="s">
        <v>1197</v>
      </c>
      <c r="I68" s="6" t="str">
        <f>IFERROR(__xludf.DUMMYFUNCTION("GOOGLETRANSLATE(B68, ""en"", ""zh"")"),"传播到韩国、日本和其他国家，主要通过谁？")</f>
        <v>传播到韩国、日本和其他国家，主要通过谁？</v>
      </c>
      <c r="J68" s="6" t="str">
        <f>IFERROR(__xludf.DUMMYFUNCTION("GOOGLETRANSLATE(C68, ""en"", ""zh"")"),"A) 商人 B) 学者 C) 士兵 D) 外交官")</f>
        <v>A) 商人 B) 学者 C) 士兵 D) 外交官</v>
      </c>
      <c r="K68" s="6" t="str">
        <f>IFERROR(__xludf.DUMMYFUNCTION("GOOGLETRANSLATE(D68, ""en"", ""zh"")"),"B）学者")</f>
        <v>B）学者</v>
      </c>
      <c r="L68" s="6" t="str">
        <f>IFERROR(__xludf.DUMMYFUNCTION("GOOGLETRANSLATE(E68, ""en"", ""zh"")"),"#VALUE!")</f>
        <v>#VALUE!</v>
      </c>
    </row>
    <row r="69">
      <c r="A69" s="8">
        <v>68.0</v>
      </c>
      <c r="B69" s="18" t="s">
        <v>1198</v>
      </c>
      <c r="C69" s="18" t="s">
        <v>1199</v>
      </c>
      <c r="D69" s="18" t="s">
        <v>1200</v>
      </c>
      <c r="I69" s="6" t="str">
        <f>IFERROR(__xludf.DUMMYFUNCTION("GOOGLETRANSLATE(B69, ""en"", ""zh"")"),"哪种围棋等级分系统适合从初学者进阶到高级棋手的玩家？")</f>
        <v>哪种围棋等级分系统适合从初学者进阶到高级棋手的玩家？</v>
      </c>
      <c r="J69" s="6" t="str">
        <f>IFERROR(__xludf.DUMMYFUNCTION("GOOGLETRANSLATE(C69, ""en"", ""zh"")"),"A) 丹 B) 圭 C) 初丹 D) 老师")</f>
        <v>A) 丹 B) 圭 C) 初丹 D) 老师</v>
      </c>
      <c r="K69" s="6" t="str">
        <f>IFERROR(__xludf.DUMMYFUNCTION("GOOGLETRANSLATE(D69, ""en"", ""zh"")"),"B）圭")</f>
        <v>B）圭</v>
      </c>
      <c r="L69" s="6" t="str">
        <f>IFERROR(__xludf.DUMMYFUNCTION("GOOGLETRANSLATE(E69, ""en"", ""zh"")"),"#VALUE!")</f>
        <v>#VALUE!</v>
      </c>
    </row>
    <row r="70">
      <c r="A70" s="8">
        <v>69.0</v>
      </c>
      <c r="B70" s="18" t="s">
        <v>1201</v>
      </c>
      <c r="C70" s="18" t="s">
        <v>1202</v>
      </c>
      <c r="D70" s="18" t="s">
        <v>1203</v>
      </c>
      <c r="I70" s="6" t="str">
        <f>IFERROR(__xludf.DUMMYFUNCTION("GOOGLETRANSLATE(B70, ""en"", ""zh"")"),"德川幕府创立的是哪个围棋流派？")</f>
        <v>德川幕府创立的是哪个围棋流派？</v>
      </c>
      <c r="J70" s="6" t="str">
        <f>IFERROR(__xludf.DUMMYFUNCTION("GOOGLETRANSLATE(C70, ""en"", ""zh"")"),"A) 本因坊 B) 井上 C) 安井 D) 林")</f>
        <v>A) 本因坊 B) 井上 C) 安井 D) 林</v>
      </c>
      <c r="K70" s="6" t="str">
        <f>IFERROR(__xludf.DUMMYFUNCTION("GOOGLETRANSLATE(D70, ""en"", ""zh"")"),"A) 本因坊")</f>
        <v>A) 本因坊</v>
      </c>
      <c r="L70" s="6" t="str">
        <f>IFERROR(__xludf.DUMMYFUNCTION("GOOGLETRANSLATE(E70, ""en"", ""zh"")"),"#VALUE!")</f>
        <v>#VALUE!</v>
      </c>
    </row>
    <row r="71">
      <c r="A71" s="8">
        <v>70.0</v>
      </c>
      <c r="B71" s="18" t="s">
        <v>1204</v>
      </c>
      <c r="C71" s="18" t="s">
        <v>1205</v>
      </c>
      <c r="D71" s="18" t="s">
        <v>1206</v>
      </c>
      <c r="I71" s="6" t="str">
        <f>IFERROR(__xludf.DUMMYFUNCTION("GOOGLETRANSLATE(B71, ""en"", ""zh"")"),"第一届国际围棋比赛是在哪一年举办的？")</f>
        <v>第一届国际围棋比赛是在哪一年举办的？</v>
      </c>
      <c r="J71" s="6" t="str">
        <f>IFERROR(__xludf.DUMMYFUNCTION("GOOGLETRANSLATE(C71, ""en"", ""zh"")"),"A) 1920年 B) 1930年 C) 1940年 D) 1950年")</f>
        <v>A) 1920年 B) 1930年 C) 1940年 D) 1950年</v>
      </c>
      <c r="K71" s="6" t="str">
        <f>IFERROR(__xludf.DUMMYFUNCTION("GOOGLETRANSLATE(D71, ""en"", ""zh"")"),"B) 1930")</f>
        <v>B) 1930</v>
      </c>
      <c r="L71" s="6" t="str">
        <f>IFERROR(__xludf.DUMMYFUNCTION("GOOGLETRANSLATE(E71, ""en"", ""zh"")"),"#VALUE!")</f>
        <v>#VALUE!</v>
      </c>
    </row>
    <row r="72">
      <c r="A72" s="8">
        <v>71.0</v>
      </c>
      <c r="B72" s="18" t="s">
        <v>1207</v>
      </c>
      <c r="C72" s="18" t="s">
        <v>1208</v>
      </c>
      <c r="D72" s="18" t="s">
        <v>1209</v>
      </c>
      <c r="I72" s="6" t="str">
        <f>IFERROR(__xludf.DUMMYFUNCTION("GOOGLETRANSLATE(B72, ""en"", ""zh"")"),"国际围棋联合会成立于：")</f>
        <v>国际围棋联合会成立于：</v>
      </c>
      <c r="J72" s="6" t="str">
        <f>IFERROR(__xludf.DUMMYFUNCTION("GOOGLETRANSLATE(C72, ""en"", ""zh"")"),"A) 1950年 B) 1960年 C) 1970年 D) 1980年")</f>
        <v>A) 1950年 B) 1960年 C) 1970年 D) 1980年</v>
      </c>
      <c r="K72" s="6" t="str">
        <f>IFERROR(__xludf.DUMMYFUNCTION("GOOGLETRANSLATE(D72, ""en"", ""zh"")"),"A) 1950")</f>
        <v>A) 1950</v>
      </c>
      <c r="L72" s="6" t="str">
        <f>IFERROR(__xludf.DUMMYFUNCTION("GOOGLETRANSLATE(E72, ""en"", ""zh"")"),"#VALUE!")</f>
        <v>#VALUE!</v>
      </c>
    </row>
    <row r="73">
      <c r="A73" s="8">
        <v>72.0</v>
      </c>
      <c r="B73" s="18" t="s">
        <v>1210</v>
      </c>
      <c r="C73" s="18" t="s">
        <v>1211</v>
      </c>
      <c r="D73" s="18" t="s">
        <v>1111</v>
      </c>
      <c r="I73" s="6" t="str">
        <f>IFERROR(__xludf.DUMMYFUNCTION("GOOGLETRANSLATE(B73, ""en"", ""zh"")"),"亚洲以外哪个国家拥有历史最悠久的围棋俱乐部？")</f>
        <v>亚洲以外哪个国家拥有历史最悠久的围棋俱乐部？</v>
      </c>
      <c r="J73" s="6" t="str">
        <f>IFERROR(__xludf.DUMMYFUNCTION("GOOGLETRANSLATE(C73, ""en"", ""zh"")"),"A) 德国 B) 法国 C) 美国 D) 英国")</f>
        <v>A) 德国 B) 法国 C) 美国 D) 英国</v>
      </c>
      <c r="K73" s="6" t="str">
        <f>IFERROR(__xludf.DUMMYFUNCTION("GOOGLETRANSLATE(D73, ""en"", ""zh"")"),"C) 美国")</f>
        <v>C) 美国</v>
      </c>
      <c r="L73" s="6" t="str">
        <f>IFERROR(__xludf.DUMMYFUNCTION("GOOGLETRANSLATE(E73, ""en"", ""zh"")"),"#VALUE!")</f>
        <v>#VALUE!</v>
      </c>
    </row>
    <row r="74">
      <c r="A74" s="8">
        <v>73.0</v>
      </c>
      <c r="B74" s="18" t="s">
        <v>1212</v>
      </c>
      <c r="C74" s="18" t="s">
        <v>1213</v>
      </c>
      <c r="D74" s="18" t="s">
        <v>1214</v>
      </c>
      <c r="I74" s="6" t="str">
        <f>IFERROR(__xludf.DUMMYFUNCTION("GOOGLETRANSLATE(B74, ""en"", ""zh"")"),"中国最早的围棋战略手册之一是谁写的？")</f>
        <v>中国最早的围棋战略手册之一是谁写的？</v>
      </c>
      <c r="J74" s="6" t="str">
        <f>IFERROR(__xludf.DUMMYFUNCTION("GOOGLETRANSLATE(C74, ""en"", ""zh"")"),"A) 司马迁 B) 武帝 C) 孙子 D) 袁一刀")</f>
        <v>A) 司马迁 B) 武帝 C) 孙子 D) 袁一刀</v>
      </c>
      <c r="K74" s="6" t="str">
        <f>IFERROR(__xludf.DUMMYFUNCTION("GOOGLETRANSLATE(D74, ""en"", ""zh"")"),"D) 袁一刀")</f>
        <v>D) 袁一刀</v>
      </c>
      <c r="L74" s="6" t="str">
        <f>IFERROR(__xludf.DUMMYFUNCTION("GOOGLETRANSLATE(E74, ""en"", ""zh"")"),"#VALUE!")</f>
        <v>#VALUE!</v>
      </c>
    </row>
    <row r="75">
      <c r="A75" s="8">
        <v>74.0</v>
      </c>
      <c r="B75" s="18" t="s">
        <v>1215</v>
      </c>
      <c r="C75" s="18" t="s">
        <v>1216</v>
      </c>
      <c r="D75" s="18" t="s">
        <v>1217</v>
      </c>
      <c r="I75" s="6" t="str">
        <f>IFERROR(__xludf.DUMMYFUNCTION("GOOGLETRANSLATE(B75, ""en"", ""zh"")"),"在围棋中，什么是所谓的“永恒的初学者策略”？")</f>
        <v>在围棋中，什么是所谓的“永恒的初学者策略”？</v>
      </c>
      <c r="J75" s="6" t="str">
        <f>IFERROR(__xludf.DUMMYFUNCTION("GOOGLETRANSLATE(C75, ""en"", ""zh"")"),"A) 风石 B) 定式 C) 手筋 D) 天元")</f>
        <v>A) 风石 B) 定式 C) 手筋 D) 天元</v>
      </c>
      <c r="K75" s="6" t="str">
        <f>IFERROR(__xludf.DUMMYFUNCTION("GOOGLETRANSLATE(D75, ""en"", ""zh"")"),"B) 定式")</f>
        <v>B) 定式</v>
      </c>
      <c r="L75" s="6" t="str">
        <f>IFERROR(__xludf.DUMMYFUNCTION("GOOGLETRANSLATE(E75, ""en"", ""zh"")"),"#VALUE!")</f>
        <v>#VALUE!</v>
      </c>
    </row>
    <row r="76">
      <c r="A76" s="17">
        <v>75.0</v>
      </c>
      <c r="B76" s="18" t="s">
        <v>1218</v>
      </c>
      <c r="C76" s="18" t="s">
        <v>1219</v>
      </c>
      <c r="D76" s="18" t="s">
        <v>1220</v>
      </c>
      <c r="I76" s="6" t="str">
        <f>IFERROR(__xludf.DUMMYFUNCTION("GOOGLETRANSLATE(B76, ""en"", ""zh"")"),"围棋中哪种技巧需要在局部战斗中运用战术？")</f>
        <v>围棋中哪种技巧需要在局部战斗中运用战术？</v>
      </c>
      <c r="J76" s="6" t="str">
        <f>IFERROR(__xludf.DUMMYFUNCTION("GOOGLETRANSLATE(C76, ""en"", ""zh"")"),"A) Fuseki B) Joseki C) Tesuji D) Ko")</f>
        <v>A) Fuseki B) Joseki C) Tesuji D) Ko</v>
      </c>
      <c r="K76" s="6" t="str">
        <f>IFERROR(__xludf.DUMMYFUNCTION("GOOGLETRANSLATE(D76, ""en"", ""zh"")"),"C) 手筋")</f>
        <v>C) 手筋</v>
      </c>
      <c r="L76" s="6" t="str">
        <f>IFERROR(__xludf.DUMMYFUNCTION("GOOGLETRANSLATE(E76, ""en"", ""zh"")"),"#VALUE!")</f>
        <v>#VALUE!</v>
      </c>
    </row>
    <row r="77">
      <c r="A77" s="17">
        <v>76.0</v>
      </c>
      <c r="B77" s="18" t="s">
        <v>1221</v>
      </c>
      <c r="C77" s="18" t="s">
        <v>1222</v>
      </c>
      <c r="D77" s="18" t="s">
        <v>1223</v>
      </c>
      <c r="I77" s="6" t="str">
        <f>IFERROR(__xludf.DUMMYFUNCTION("GOOGLETRANSLATE(B77, ""en"", ""zh"")"),"围棋中采用哪种战术可以防止被对手立即吃掉？")</f>
        <v>围棋中采用哪种战术可以防止被对手立即吃掉？</v>
      </c>
      <c r="J77" s="6" t="str">
        <f>IFERROR(__xludf.DUMMYFUNCTION("GOOGLETRANSLATE(C77, ""en"", ""zh"")"),"A) Ko B) Atari C) Sente D) Gote")</f>
        <v>A) Ko B) Atari C) Sente D) Gote</v>
      </c>
      <c r="K77" s="6" t="str">
        <f>IFERROR(__xludf.DUMMYFUNCTION("GOOGLETRANSLATE(D77, ""en"", ""zh"")"),"B) 雅达利")</f>
        <v>B) 雅达利</v>
      </c>
      <c r="L77" s="6" t="str">
        <f>IFERROR(__xludf.DUMMYFUNCTION("GOOGLETRANSLATE(E77, ""en"", ""zh"")"),"#VALUE!")</f>
        <v>#VALUE!</v>
      </c>
    </row>
    <row r="78">
      <c r="A78" s="17">
        <v>77.0</v>
      </c>
      <c r="B78" s="18" t="s">
        <v>1224</v>
      </c>
      <c r="C78" s="18" t="s">
        <v>1225</v>
      </c>
      <c r="D78" s="18" t="s">
        <v>1226</v>
      </c>
      <c r="I78" s="6" t="str">
        <f>IFERROR(__xludf.DUMMYFUNCTION("GOOGLETRANSLATE(B78, ""en"", ""zh"")"),"职业围棋比赛中持续时间最长的一场大约持续了多长时间？")</f>
        <v>职业围棋比赛中持续时间最长的一场大约持续了多长时间？</v>
      </c>
      <c r="J78" s="6" t="str">
        <f>IFERROR(__xludf.DUMMYFUNCTION("GOOGLETRANSLATE(C78, ""en"", ""zh"")"),"A) 24小时 B) 2天 C) 6天 D) 10天")</f>
        <v>A) 24小时 B) 2天 C) 6天 D) 10天</v>
      </c>
      <c r="K78" s="6" t="str">
        <f>IFERROR(__xludf.DUMMYFUNCTION("GOOGLETRANSLATE(D78, ""en"", ""zh"")"),"C) 6天")</f>
        <v>C) 6天</v>
      </c>
      <c r="L78" s="6" t="str">
        <f>IFERROR(__xludf.DUMMYFUNCTION("GOOGLETRANSLATE(E78, ""en"", ""zh"")"),"#VALUE!")</f>
        <v>#VALUE!</v>
      </c>
    </row>
    <row r="79">
      <c r="A79" s="17">
        <v>78.0</v>
      </c>
      <c r="B79" s="18" t="s">
        <v>1227</v>
      </c>
      <c r="C79" s="18" t="s">
        <v>1228</v>
      </c>
      <c r="D79" s="18" t="s">
        <v>1229</v>
      </c>
      <c r="I79" s="6" t="str">
        <f>IFERROR(__xludf.DUMMYFUNCTION("GOOGLETRANSLATE(B79, ""en"", ""zh"")"),"唐代围棋棋盘通常由以下材料制成：")</f>
        <v>唐代围棋棋盘通常由以下材料制成：</v>
      </c>
      <c r="J79" s="6" t="str">
        <f>IFERROR(__xludf.DUMMYFUNCTION("GOOGLETRANSLATE(C79, ""en"", ""zh"")"),"A) 竹子 B) 木头 C) 象牙 D) 石头")</f>
        <v>A) 竹子 B) 木头 C) 象牙 D) 石头</v>
      </c>
      <c r="K79" s="6" t="str">
        <f>IFERROR(__xludf.DUMMYFUNCTION("GOOGLETRANSLATE(D79, ""en"", ""zh"")"),"B) 木材")</f>
        <v>B) 木材</v>
      </c>
      <c r="L79" s="6" t="str">
        <f>IFERROR(__xludf.DUMMYFUNCTION("GOOGLETRANSLATE(E79, ""en"", ""zh"")"),"#VALUE!")</f>
        <v>#VALUE!</v>
      </c>
    </row>
    <row r="80">
      <c r="A80" s="17">
        <v>79.0</v>
      </c>
      <c r="B80" s="18" t="s">
        <v>1230</v>
      </c>
      <c r="C80" s="18" t="s">
        <v>1231</v>
      </c>
      <c r="D80" s="18" t="s">
        <v>1232</v>
      </c>
      <c r="I80" s="6" t="str">
        <f>IFERROR(__xludf.DUMMYFUNCTION("GOOGLETRANSLATE(B80, ""en"", ""zh"")"),"唐代围棋棋子通常由以下材料制成：")</f>
        <v>唐代围棋棋子通常由以下材料制成：</v>
      </c>
      <c r="J80" s="6" t="str">
        <f>IFERROR(__xludf.DUMMYFUNCTION("GOOGLETRANSLATE(C80, ""en"", ""zh"")"),"A) 石板和贝壳 B) 木材 C) 玻璃 D) 粘土")</f>
        <v>A) 石板和贝壳 B) 木材 C) 玻璃 D) 粘土</v>
      </c>
      <c r="K80" s="6" t="str">
        <f>IFERROR(__xludf.DUMMYFUNCTION("GOOGLETRANSLATE(D80, ""en"", ""zh"")"),"A) 板岩和贝壳")</f>
        <v>A) 板岩和贝壳</v>
      </c>
      <c r="L80" s="6" t="str">
        <f>IFERROR(__xludf.DUMMYFUNCTION("GOOGLETRANSLATE(E80, ""en"", ""zh"")"),"#VALUE!")</f>
        <v>#VALUE!</v>
      </c>
    </row>
    <row r="81">
      <c r="A81" s="17">
        <v>80.0</v>
      </c>
      <c r="B81" s="18" t="s">
        <v>1233</v>
      </c>
      <c r="C81" s="18" t="s">
        <v>1202</v>
      </c>
      <c r="D81" s="18" t="s">
        <v>1203</v>
      </c>
      <c r="I81" s="6" t="str">
        <f>IFERROR(__xludf.DUMMYFUNCTION("GOOGLETRANSLATE(B81, ""en"", ""zh"")"),"江户时代，日本围棋哪个流派占据主导地位？")</f>
        <v>江户时代，日本围棋哪个流派占据主导地位？</v>
      </c>
      <c r="J81" s="6" t="str">
        <f>IFERROR(__xludf.DUMMYFUNCTION("GOOGLETRANSLATE(C81, ""en"", ""zh"")"),"A) 本因坊 B) 井上 C) 安井 D) 林")</f>
        <v>A) 本因坊 B) 井上 C) 安井 D) 林</v>
      </c>
      <c r="K81" s="6" t="str">
        <f>IFERROR(__xludf.DUMMYFUNCTION("GOOGLETRANSLATE(D81, ""en"", ""zh"")"),"A) 本因坊")</f>
        <v>A) 本因坊</v>
      </c>
      <c r="L81" s="6" t="str">
        <f>IFERROR(__xludf.DUMMYFUNCTION("GOOGLETRANSLATE(E81, ""en"", ""zh"")"),"#VALUE!")</f>
        <v>#VALUE!</v>
      </c>
    </row>
    <row r="82">
      <c r="A82" s="17">
        <v>81.0</v>
      </c>
      <c r="B82" s="18" t="s">
        <v>1234</v>
      </c>
      <c r="C82" s="18" t="s">
        <v>1235</v>
      </c>
      <c r="D82" s="18" t="s">
        <v>1236</v>
      </c>
      <c r="I82" s="6" t="str">
        <f>IFERROR(__xludf.DUMMYFUNCTION("GOOGLETRANSLATE(B82, ""en"", ""zh"")"),"围棋中的“天元”指的是：")</f>
        <v>围棋中的“天元”指的是：</v>
      </c>
      <c r="J82" s="6" t="str">
        <f>IFERROR(__xludf.DUMMYFUNCTION("GOOGLETRANSLATE(C82, ""en"", ""zh"")"),"A) 中心点 B) 边缘区域 C) 已占领的石子 D) 寇威胁")</f>
        <v>A) 中心点 B) 边缘区域 C) 已占领的石子 D) 寇威胁</v>
      </c>
      <c r="K82" s="6" t="str">
        <f>IFERROR(__xludf.DUMMYFUNCTION("GOOGLETRANSLATE(D82, ""en"", ""zh"")"),"A) 中心点")</f>
        <v>A) 中心点</v>
      </c>
      <c r="L82" s="6" t="str">
        <f>IFERROR(__xludf.DUMMYFUNCTION("GOOGLETRANSLATE(E82, ""en"", ""zh"")"),"#VALUE!")</f>
        <v>#VALUE!</v>
      </c>
    </row>
    <row r="83">
      <c r="A83" s="17">
        <v>82.0</v>
      </c>
      <c r="B83" s="18" t="s">
        <v>1237</v>
      </c>
      <c r="C83" s="18" t="s">
        <v>1238</v>
      </c>
      <c r="D83" s="18" t="s">
        <v>1239</v>
      </c>
      <c r="I83" s="6" t="str">
        <f>IFERROR(__xludf.DUMMYFUNCTION("GOOGLETRANSLATE(B83, ""en"", ""zh"")"),"围棋中哪条原则强调在本地交流中的主动性？")</f>
        <v>围棋中哪条原则强调在本地交流中的主动性？</v>
      </c>
      <c r="J83" s="6" t="str">
        <f>IFERROR(__xludf.DUMMYFUNCTION("GOOGLETRANSLATE(C83, ""en"", ""zh"")"),"A) Sente B) Gote C) Fuseki D) Ko")</f>
        <v>A) Sente B) Gote C) Fuseki D) Ko</v>
      </c>
      <c r="K83" s="6" t="str">
        <f>IFERROR(__xludf.DUMMYFUNCTION("GOOGLETRANSLATE(D83, ""en"", ""zh"")"),"A) Sente")</f>
        <v>A) Sente</v>
      </c>
      <c r="L83" s="6" t="str">
        <f>IFERROR(__xludf.DUMMYFUNCTION("GOOGLETRANSLATE(E83, ""en"", ""zh"")"),"#VALUE!")</f>
        <v>#VALUE!</v>
      </c>
    </row>
    <row r="84">
      <c r="A84" s="17">
        <v>83.0</v>
      </c>
      <c r="B84" s="18" t="s">
        <v>1240</v>
      </c>
      <c r="C84" s="18" t="s">
        <v>1241</v>
      </c>
      <c r="D84" s="18" t="s">
        <v>1242</v>
      </c>
      <c r="I84" s="6" t="str">
        <f>IFERROR(__xludf.DUMMYFUNCTION("GOOGLETRANSLATE(B84, ""en"", ""zh"")"),"围棋中哪条原则强调应对对手的走法？")</f>
        <v>围棋中哪条原则强调应对对手的走法？</v>
      </c>
      <c r="J84" s="6" t="str">
        <f>IFERROR(__xludf.DUMMYFUNCTION("GOOGLETRANSLATE(C84, ""en"", ""zh"")"),"A) 前手 B) 后手 C) 定式 D) 手筋")</f>
        <v>A) 前手 B) 后手 C) 定式 D) 手筋</v>
      </c>
      <c r="K84" s="6" t="str">
        <f>IFERROR(__xludf.DUMMYFUNCTION("GOOGLETRANSLATE(D84, ""en"", ""zh"")"),"B）后手")</f>
        <v>B）后手</v>
      </c>
      <c r="L84" s="6" t="str">
        <f>IFERROR(__xludf.DUMMYFUNCTION("GOOGLETRANSLATE(E84, ""en"", ""zh"")"),"#VALUE!")</f>
        <v>#VALUE!</v>
      </c>
    </row>
    <row r="85">
      <c r="A85" s="17">
        <v>84.0</v>
      </c>
      <c r="B85" s="18" t="s">
        <v>1243</v>
      </c>
      <c r="C85" s="18" t="s">
        <v>1244</v>
      </c>
      <c r="D85" s="18" t="s">
        <v>1245</v>
      </c>
      <c r="I85" s="6" t="str">
        <f>IFERROR(__xludf.DUMMYFUNCTION("GOOGLETRANSLATE(B85, ""en"", ""zh"")"),"围棋在哪个时期成为中国文人墨客喜爱的消遣活动？")</f>
        <v>围棋在哪个时期成为中国文人墨客喜爱的消遣活动？</v>
      </c>
      <c r="J85" s="6" t="str">
        <f>IFERROR(__xludf.DUMMYFUNCTION("GOOGLETRANSLATE(C85, ""en"", ""zh"")"),"A) 战国时期 B) 汉朝 C) 唐朝 D) 宋朝")</f>
        <v>A) 战国时期 B) 汉朝 C) 唐朝 D) 宋朝</v>
      </c>
      <c r="K85" s="6" t="str">
        <f>IFERROR(__xludf.DUMMYFUNCTION("GOOGLETRANSLATE(D85, ""en"", ""zh"")"),"A) 战国")</f>
        <v>A) 战国</v>
      </c>
      <c r="L85" s="6" t="str">
        <f>IFERROR(__xludf.DUMMYFUNCTION("GOOGLETRANSLATE(E85, ""en"", ""zh"")"),"#VALUE!")</f>
        <v>#VALUE!</v>
      </c>
    </row>
    <row r="86">
      <c r="A86" s="17">
        <v>85.0</v>
      </c>
      <c r="B86" s="18" t="s">
        <v>1246</v>
      </c>
      <c r="C86" s="18" t="s">
        <v>1247</v>
      </c>
      <c r="D86" s="18" t="s">
        <v>1248</v>
      </c>
      <c r="I86" s="6" t="str">
        <f>IFERROR(__xludf.DUMMYFUNCTION("GOOGLETRANSLATE(B86, ""en"", ""zh"")"),"中国有句名言“围棋讲究简洁”，强调：")</f>
        <v>中国有句名言“围棋讲究简洁”，强调：</v>
      </c>
      <c r="J86" s="6" t="str">
        <f>IFERROR(__xludf.DUMMYFUNCTION("GOOGLETRANSLATE(C86, ""en"", ""zh"")"),"A) 尽可能多地吃子 B) 避免过于复杂 C) 快速出子 D) 始终进攻")</f>
        <v>A) 尽可能多地吃子 B) 避免过于复杂 C) 快速出子 D) 始终进攻</v>
      </c>
      <c r="K86" s="6" t="str">
        <f>IFERROR(__xludf.DUMMYFUNCTION("GOOGLETRANSLATE(D86, ""en"", ""zh"")"),"B) 避免过度复杂化")</f>
        <v>B) 避免过度复杂化</v>
      </c>
      <c r="L86" s="6" t="str">
        <f>IFERROR(__xludf.DUMMYFUNCTION("GOOGLETRANSLATE(E86, ""en"", ""zh"")"),"#VALUE!")</f>
        <v>#VALUE!</v>
      </c>
    </row>
    <row r="87">
      <c r="A87" s="17">
        <v>86.0</v>
      </c>
      <c r="B87" s="18" t="s">
        <v>1249</v>
      </c>
      <c r="C87" s="18" t="s">
        <v>1250</v>
      </c>
      <c r="D87" s="18" t="s">
        <v>1251</v>
      </c>
      <c r="I87" s="6" t="str">
        <f>IFERROR(__xludf.DUMMYFUNCTION("GOOGLETRANSLATE(B87, ""en"", ""zh"")"),"日本第一个职业围棋选手称号是：")</f>
        <v>日本第一个职业围棋选手称号是：</v>
      </c>
      <c r="J87" s="6" t="str">
        <f>IFERROR(__xludf.DUMMYFUNCTION("GOOGLETRANSLATE(C87, ""en"", ""zh"")"),"A) 名人 B) 本因坊 C) 纪星 D) 天元")</f>
        <v>A) 名人 B) 本因坊 C) 纪星 D) 天元</v>
      </c>
      <c r="K87" s="6" t="str">
        <f>IFERROR(__xludf.DUMMYFUNCTION("GOOGLETRANSLATE(D87, ""en"", ""zh"")"),"A）美津")</f>
        <v>A）美津</v>
      </c>
      <c r="L87" s="6" t="str">
        <f>IFERROR(__xludf.DUMMYFUNCTION("GOOGLETRANSLATE(E87, ""en"", ""zh"")"),"#VALUE!")</f>
        <v>#VALUE!</v>
      </c>
    </row>
    <row r="88">
      <c r="A88" s="17">
        <v>87.0</v>
      </c>
      <c r="B88" s="18" t="s">
        <v>1252</v>
      </c>
      <c r="C88" s="18" t="s">
        <v>1253</v>
      </c>
      <c r="D88" s="18" t="s">
        <v>1254</v>
      </c>
      <c r="I88" s="6" t="str">
        <f>IFERROR(__xludf.DUMMYFUNCTION("GOOGLETRANSLATE(B88, ""en"", ""zh"")"),"围棋中哪个术语指的是游戏的开局阶段？")</f>
        <v>围棋中哪个术语指的是游戏的开局阶段？</v>
      </c>
      <c r="J88" s="6" t="str">
        <f>IFERROR(__xludf.DUMMYFUNCTION("GOOGLETRANSLATE(C88, ""en"", ""zh"")"),"A) Fuseki B) Joseki C) Tsumego D) Ko")</f>
        <v>A) Fuseki B) Joseki C) Tsumego D) Ko</v>
      </c>
      <c r="K88" s="6" t="str">
        <f>IFERROR(__xludf.DUMMYFUNCTION("GOOGLETRANSLATE(D88, ""en"", ""zh"")"),"A) 布塞基")</f>
        <v>A) 布塞基</v>
      </c>
      <c r="L88" s="6" t="str">
        <f>IFERROR(__xludf.DUMMYFUNCTION("GOOGLETRANSLATE(E88, ""en"", ""zh"")"),"#VALUE!")</f>
        <v>#VALUE!</v>
      </c>
    </row>
    <row r="89">
      <c r="A89" s="17">
        <v>88.0</v>
      </c>
      <c r="B89" s="18" t="s">
        <v>1255</v>
      </c>
      <c r="C89" s="18" t="s">
        <v>1253</v>
      </c>
      <c r="D89" s="18" t="s">
        <v>1217</v>
      </c>
      <c r="I89" s="6" t="str">
        <f>IFERROR(__xludf.DUMMYFUNCTION("GOOGLETRANSLATE(B89, ""en"", ""zh"")"),"围棋中哪个术语指的是角部和边部序列？")</f>
        <v>围棋中哪个术语指的是角部和边部序列？</v>
      </c>
      <c r="J89" s="6" t="str">
        <f>IFERROR(__xludf.DUMMYFUNCTION("GOOGLETRANSLATE(C89, ""en"", ""zh"")"),"A) Fuseki B) Joseki C) Tsumego D) Ko")</f>
        <v>A) Fuseki B) Joseki C) Tsumego D) Ko</v>
      </c>
      <c r="K89" s="6" t="str">
        <f>IFERROR(__xludf.DUMMYFUNCTION("GOOGLETRANSLATE(D89, ""en"", ""zh"")"),"B) 定式")</f>
        <v>B) 定式</v>
      </c>
      <c r="L89" s="6" t="str">
        <f>IFERROR(__xludf.DUMMYFUNCTION("GOOGLETRANSLATE(E89, ""en"", ""zh"")"),"#VALUE!")</f>
        <v>#VALUE!</v>
      </c>
    </row>
    <row r="90">
      <c r="A90" s="17">
        <v>89.0</v>
      </c>
      <c r="B90" s="18" t="s">
        <v>1256</v>
      </c>
      <c r="C90" s="18" t="s">
        <v>1257</v>
      </c>
      <c r="D90" s="18" t="s">
        <v>1258</v>
      </c>
      <c r="I90" s="6" t="str">
        <f>IFERROR(__xludf.DUMMYFUNCTION("GOOGLETRANSLATE(B90, ""en"", ""zh"")"),"围棋中哪种战术是指通过重复走法来获得优势？")</f>
        <v>围棋中哪种战术是指通过重复走法来获得优势？</v>
      </c>
      <c r="J90" s="6" t="str">
        <f>IFERROR(__xludf.DUMMYFUNCTION("GOOGLETRANSLATE(C90, ""en"", ""zh"")"),"A) Ko B) Atari C) Sente D) 手筋")</f>
        <v>A) Ko B) Atari C) Sente D) 手筋</v>
      </c>
      <c r="K90" s="6" t="str">
        <f>IFERROR(__xludf.DUMMYFUNCTION("GOOGLETRANSLATE(D90, ""en"", ""zh"")"),"A) Ko")</f>
        <v>A) Ko</v>
      </c>
      <c r="L90" s="6" t="str">
        <f>IFERROR(__xludf.DUMMYFUNCTION("GOOGLETRANSLATE(E90, ""en"", ""zh"")"),"#VALUE!")</f>
        <v>#VALUE!</v>
      </c>
    </row>
    <row r="91">
      <c r="A91" s="17">
        <v>90.0</v>
      </c>
      <c r="B91" s="18" t="s">
        <v>1259</v>
      </c>
      <c r="C91" s="18" t="s">
        <v>1260</v>
      </c>
      <c r="D91" s="18" t="s">
        <v>1261</v>
      </c>
      <c r="I91" s="6" t="str">
        <f>IFERROR(__xludf.DUMMYFUNCTION("GOOGLETRANSLATE(B91, ""en"", ""zh"")"),"围棋中哪种题型侧重于棋子的生死？")</f>
        <v>围棋中哪种题型侧重于棋子的生死？</v>
      </c>
      <c r="J91" s="6" t="str">
        <f>IFERROR(__xludf.DUMMYFUNCTION("GOOGLETRANSLATE(C91, ""en"", ""zh"")"),"A) 布塞基 B) 定例 C) 妻吾 D) 手筋")</f>
        <v>A) 布塞基 B) 定例 C) 妻吾 D) 手筋</v>
      </c>
      <c r="K91" s="6" t="str">
        <f>IFERROR(__xludf.DUMMYFUNCTION("GOOGLETRANSLATE(D91, ""en"", ""zh"")"),"C) 死神")</f>
        <v>C) 死神</v>
      </c>
      <c r="L91" s="6" t="str">
        <f>IFERROR(__xludf.DUMMYFUNCTION("GOOGLETRANSLATE(E91, ""en"", ""zh"")"),"#VALUE!")</f>
        <v>#VALUE!</v>
      </c>
    </row>
    <row r="92">
      <c r="A92" s="17">
        <v>91.0</v>
      </c>
      <c r="B92" s="18" t="s">
        <v>1262</v>
      </c>
      <c r="C92" s="18" t="s">
        <v>1263</v>
      </c>
      <c r="D92" s="18" t="s">
        <v>1264</v>
      </c>
      <c r="I92" s="6" t="str">
        <f>IFERROR(__xludf.DUMMYFUNCTION("GOOGLETRANSLATE(B92, ""en"", ""zh"")"),"现代围棋人工智能在哪一年首次击败职业棋手？")</f>
        <v>现代围棋人工智能在哪一年首次击败职业棋手？</v>
      </c>
      <c r="J92" s="6" t="str">
        <f>IFERROR(__xludf.DUMMYFUNCTION("GOOGLETRANSLATE(C92, ""en"", ""zh"")"),"A) 2014年 B) 2015年 C) 2016年 D) 2017年")</f>
        <v>A) 2014年 B) 2015年 C) 2016年 D) 2017年</v>
      </c>
      <c r="K92" s="6" t="str">
        <f>IFERROR(__xludf.DUMMYFUNCTION("GOOGLETRANSLATE(D92, ""en"", ""zh"")"),"C) 2016")</f>
        <v>C) 2016</v>
      </c>
      <c r="L92" s="6" t="str">
        <f>IFERROR(__xludf.DUMMYFUNCTION("GOOGLETRANSLATE(E92, ""en"", ""zh"")"),"#VALUE!")</f>
        <v>#VALUE!</v>
      </c>
    </row>
    <row r="93">
      <c r="A93" s="17">
        <v>92.0</v>
      </c>
      <c r="B93" s="18" t="s">
        <v>1265</v>
      </c>
      <c r="C93" s="18" t="s">
        <v>1266</v>
      </c>
      <c r="D93" s="18" t="s">
        <v>1267</v>
      </c>
      <c r="I93" s="6" t="str">
        <f>IFERROR(__xludf.DUMMYFUNCTION("GOOGLETRANSLATE(B93, ""en"", ""zh"")"),"AlphaGo在哪个城市击败了李世石？")</f>
        <v>AlphaGo在哪个城市击败了李世石？</v>
      </c>
      <c r="J93" s="6" t="str">
        <f>IFERROR(__xludf.DUMMYFUNCTION("GOOGLETRANSLATE(C93, ""en"", ""zh"")"),"A) 首尔 B) 北京 C) 首尔 D) 伦敦")</f>
        <v>A) 首尔 B) 北京 C) 首尔 D) 伦敦</v>
      </c>
      <c r="K93" s="6" t="str">
        <f>IFERROR(__xludf.DUMMYFUNCTION("GOOGLETRANSLATE(D93, ""en"", ""zh"")"),"B) 北京")</f>
        <v>B) 北京</v>
      </c>
      <c r="L93" s="6" t="str">
        <f>IFERROR(__xludf.DUMMYFUNCTION("GOOGLETRANSLATE(E93, ""en"", ""zh"")"),"#VALUE!")</f>
        <v>#VALUE!</v>
      </c>
    </row>
    <row r="94">
      <c r="A94" s="17">
        <v>93.0</v>
      </c>
      <c r="B94" s="18" t="s">
        <v>1268</v>
      </c>
      <c r="C94" s="18" t="s">
        <v>1269</v>
      </c>
      <c r="D94" s="18" t="s">
        <v>516</v>
      </c>
      <c r="I94" s="6" t="str">
        <f>IFERROR(__xludf.DUMMYFUNCTION("GOOGLETRANSLATE(B94, ""en"", ""zh"")"),"如今国际围棋界哪个国家占据主导地位？")</f>
        <v>如今国际围棋界哪个国家占据主导地位？</v>
      </c>
      <c r="J94" s="6" t="str">
        <f>IFERROR(__xludf.DUMMYFUNCTION("GOOGLETRANSLATE(C94, ""en"", ""zh"")"),"A) 日本 B) 中国 C) 韩国 D) 台湾")</f>
        <v>A) 日本 B) 中国 C) 韩国 D) 台湾</v>
      </c>
      <c r="K94" s="6" t="str">
        <f>IFERROR(__xludf.DUMMYFUNCTION("GOOGLETRANSLATE(D94, ""en"", ""zh"")"),"B) 中国")</f>
        <v>B) 中国</v>
      </c>
      <c r="L94" s="6" t="str">
        <f>IFERROR(__xludf.DUMMYFUNCTION("GOOGLETRANSLATE(E94, ""en"", ""zh"")"),"#VALUE!")</f>
        <v>#VALUE!</v>
      </c>
    </row>
    <row r="95">
      <c r="A95" s="17">
        <v>94.0</v>
      </c>
      <c r="B95" s="18" t="s">
        <v>1270</v>
      </c>
      <c r="C95" s="18" t="s">
        <v>1271</v>
      </c>
      <c r="D95" s="18" t="s">
        <v>1272</v>
      </c>
      <c r="I95" s="6" t="str">
        <f>IFERROR(__xludf.DUMMYFUNCTION("GOOGLETRANSLATE(B95, ""en"", ""zh"")"),"围棋以哪种类型的战略复杂性而闻名？")</f>
        <v>围棋以哪种类型的战略复杂性而闻名？</v>
      </c>
      <c r="J95" s="6" t="str">
        <f>IFERROR(__xludf.DUMMYFUNCTION("GOOGLETRANSLATE(C95, ""en"", ""zh"")"),"A) 有限可能性 B) 组合复杂度 C) 最小分支 D) 短博弈")</f>
        <v>A) 有限可能性 B) 组合复杂度 C) 最小分支 D) 短博弈</v>
      </c>
      <c r="K95" s="6" t="str">
        <f>IFERROR(__xludf.DUMMYFUNCTION("GOOGLETRANSLATE(D95, ""en"", ""zh"")"),"B) 组合复杂度")</f>
        <v>B) 组合复杂度</v>
      </c>
      <c r="L95" s="6" t="str">
        <f>IFERROR(__xludf.DUMMYFUNCTION("GOOGLETRANSLATE(E95, ""en"", ""zh"")"),"#VALUE!")</f>
        <v>#VALUE!</v>
      </c>
    </row>
    <row r="96">
      <c r="A96" s="17">
        <v>95.0</v>
      </c>
      <c r="B96" s="18" t="s">
        <v>1273</v>
      </c>
      <c r="C96" s="18" t="s">
        <v>1274</v>
      </c>
      <c r="D96" s="18" t="s">
        <v>1275</v>
      </c>
      <c r="I96" s="6" t="str">
        <f>IFERROR(__xludf.DUMMYFUNCTION("GOOGLETRANSLATE(B96, ""en"", ""zh"")"),"围棋中的“活群”指的是：")</f>
        <v>围棋中的“活群”指的是：</v>
      </c>
      <c r="J96" s="6" t="str">
        <f>IFERROR(__xludf.DUMMYFUNCTION("GOOGLETRANSLATE(C96, ""en"", ""zh"")"),"A) 无法被俘获的石头 B) 已占领的领地 C) 寇的威胁 D) 先手优势")</f>
        <v>A) 无法被俘获的石头 B) 已占领的领地 C) 寇的威胁 D) 先手优势</v>
      </c>
      <c r="K96" s="6" t="str">
        <f>IFERROR(__xludf.DUMMYFUNCTION("GOOGLETRANSLATE(D96, ""en"", ""zh"")"),"A) 无法捕获的石头")</f>
        <v>A) 无法捕获的石头</v>
      </c>
      <c r="L96" s="6" t="str">
        <f>IFERROR(__xludf.DUMMYFUNCTION("GOOGLETRANSLATE(E96, ""en"", ""zh"")"),"#VALUE!")</f>
        <v>#VALUE!</v>
      </c>
    </row>
    <row r="97">
      <c r="A97" s="17">
        <v>96.0</v>
      </c>
      <c r="B97" s="18" t="s">
        <v>1276</v>
      </c>
      <c r="C97" s="18" t="s">
        <v>1277</v>
      </c>
      <c r="D97" s="18" t="s">
        <v>1278</v>
      </c>
      <c r="I97" s="6" t="str">
        <f>IFERROR(__xludf.DUMMYFUNCTION("GOOGLETRANSLATE(B97, ""en"", ""zh"")"),"Go 语言中的“死组”指的是：")</f>
        <v>Go 语言中的“死组”指的是：</v>
      </c>
      <c r="J97" s="6" t="str">
        <f>IFERROR(__xludf.DUMMYFUNCTION("GOOGLETRANSLATE(C97, ""en"", ""zh"")"),"A) 可占领的石头 B) 控制的领地 C) 中心石头 D) 科威胁")</f>
        <v>A) 可占领的石头 B) 控制的领地 C) 中心石头 D) 科威胁</v>
      </c>
      <c r="K97" s="6" t="str">
        <f>IFERROR(__xludf.DUMMYFUNCTION("GOOGLETRANSLATE(D97, ""en"", ""zh"")"),"A) 可捕获的石头")</f>
        <v>A) 可捕获的石头</v>
      </c>
      <c r="L97" s="6" t="str">
        <f>IFERROR(__xludf.DUMMYFUNCTION("GOOGLETRANSLATE(E97, ""en"", ""zh"")"),"#VALUE!")</f>
        <v>#VALUE!</v>
      </c>
    </row>
    <row r="98">
      <c r="A98" s="17">
        <v>97.0</v>
      </c>
      <c r="B98" s="18" t="s">
        <v>1279</v>
      </c>
      <c r="C98" s="18" t="s">
        <v>1280</v>
      </c>
      <c r="D98" s="18" t="s">
        <v>1281</v>
      </c>
      <c r="I98" s="6" t="str">
        <f>IFERROR(__xludf.DUMMYFUNCTION("GOOGLETRANSLATE(B98, ""en"", ""zh"")"),"1924年，哪位日本围棋棋手创立了日本棋院？")</f>
        <v>1924年，哪位日本围棋棋手创立了日本棋院？</v>
      </c>
      <c r="J98" s="6" t="str">
        <f>IFERROR(__xludf.DUMMYFUNCTION("GOOGLETRANSLATE(C98, ""en"", ""zh"")"),"A) 本因坊秋斋 B) 清玄豪 C) 北谷稔 D) 藤泽秀行")</f>
        <v>A) 本因坊秋斋 B) 清玄豪 C) 北谷稔 D) 藤泽秀行</v>
      </c>
      <c r="K98" s="6" t="str">
        <f>IFERROR(__xludf.DUMMYFUNCTION("GOOGLETRANSLATE(D98, ""en"", ""zh"")"),"A) 本因坊酒祭")</f>
        <v>A) 本因坊酒祭</v>
      </c>
      <c r="L98" s="6" t="str">
        <f>IFERROR(__xludf.DUMMYFUNCTION("GOOGLETRANSLATE(E98, ""en"", ""zh"")"),"#VALUE!")</f>
        <v>#VALUE!</v>
      </c>
    </row>
    <row r="99">
      <c r="A99" s="17">
        <v>98.0</v>
      </c>
      <c r="B99" s="18" t="s">
        <v>1282</v>
      </c>
      <c r="C99" s="18" t="s">
        <v>1283</v>
      </c>
      <c r="D99" s="18" t="s">
        <v>1284</v>
      </c>
      <c r="I99" s="6" t="str">
        <f>IFERROR(__xludf.DUMMYFUNCTION("GOOGLETRANSLATE(B99, ""en"", ""zh"")"),"传统上，围棋棋盘是用哪种木材制成的？")</f>
        <v>传统上，围棋棋盘是用哪种木材制成的？</v>
      </c>
      <c r="J99" s="6" t="str">
        <f>IFERROR(__xludf.DUMMYFUNCTION("GOOGLETRANSLATE(C99, ""en"", ""zh"")"),"A) 卡亚木 B) 松木 C) 橡木 D) 竹子")</f>
        <v>A) 卡亚木 B) 松木 C) 橡木 D) 竹子</v>
      </c>
      <c r="K99" s="6" t="str">
        <f>IFERROR(__xludf.DUMMYFUNCTION("GOOGLETRANSLATE(D99, ""en"", ""zh"")"),"A) 卡雅")</f>
        <v>A) 卡雅</v>
      </c>
      <c r="L99" s="6" t="str">
        <f>IFERROR(__xludf.DUMMYFUNCTION("GOOGLETRANSLATE(E99, ""en"", ""zh"")"),"#VALUE!")</f>
        <v>#VALUE!</v>
      </c>
    </row>
    <row r="100">
      <c r="A100" s="17">
        <v>99.0</v>
      </c>
      <c r="B100" s="18" t="s">
        <v>1285</v>
      </c>
      <c r="C100" s="18" t="s">
        <v>1286</v>
      </c>
      <c r="D100" s="18" t="s">
        <v>1287</v>
      </c>
      <c r="I100" s="6" t="str">
        <f>IFERROR(__xludf.DUMMYFUNCTION("GOOGLETRANSLATE(B100, ""en"", ""zh"")"),"围棋中的“Hane”指的是：")</f>
        <v>围棋中的“Hane”指的是：</v>
      </c>
      <c r="J100" s="6" t="str">
        <f>IFERROR(__xludf.DUMMYFUNCTION("GOOGLETRANSLATE(C100, ""en"", ""zh"")"),"A) 延伸 B) 斜向移动 C) 捕获 D) 击倒战斗")</f>
        <v>A) 延伸 B) 斜向移动 C) 捕获 D) 击倒战斗</v>
      </c>
      <c r="K100" s="6" t="str">
        <f>IFERROR(__xludf.DUMMYFUNCTION("GOOGLETRANSLATE(D100, ""en"", ""zh"")"),"B) 斜向移动")</f>
        <v>B) 斜向移动</v>
      </c>
      <c r="L100" s="6" t="str">
        <f>IFERROR(__xludf.DUMMYFUNCTION("GOOGLETRANSLATE(E100, ""en"", ""zh"")"),"#VALUE!")</f>
        <v>#VALUE!</v>
      </c>
    </row>
    <row r="101">
      <c r="A101" s="17">
        <v>100.0</v>
      </c>
      <c r="B101" s="18" t="s">
        <v>1288</v>
      </c>
      <c r="C101" s="18" t="s">
        <v>1289</v>
      </c>
      <c r="D101" s="18" t="s">
        <v>1290</v>
      </c>
      <c r="I101" s="6" t="str">
        <f>IFERROR(__xludf.DUMMYFUNCTION("GOOGLETRANSLATE(B101, ""en"", ""zh"")"),"围棋中的“Atari”代表：")</f>
        <v>围棋中的“Atari”代表：</v>
      </c>
      <c r="J101" s="6" t="str">
        <f>IFERROR(__xludf.DUMMYFUNCTION("GOOGLETRANSLATE(C101, ""en"", ""zh"")"),"A) 被俘获的棋子 B) 处于危险中的棋子 C) 中路控制 D) 关关威胁")</f>
        <v>A) 被俘获的棋子 B) 处于危险中的棋子 C) 中路控制 D) 关关威胁</v>
      </c>
      <c r="K101" s="6" t="str">
        <f>IFERROR(__xludf.DUMMYFUNCTION("GOOGLETRANSLATE(D101, ""en"", ""zh"")"),"B) 一块处于直接危险中的石头")</f>
        <v>B) 一块处于直接危险中的石头</v>
      </c>
      <c r="L101" s="6" t="str">
        <f>IFERROR(__xludf.DUMMYFUNCTION("GOOGLETRANSLATE(E101, ""en"", ""zh"")"),"#VALUE!")</f>
        <v>#VALUE!</v>
      </c>
    </row>
    <row r="102">
      <c r="A102" s="17">
        <v>101.0</v>
      </c>
      <c r="B102" s="18" t="s">
        <v>1291</v>
      </c>
      <c r="C102" s="18" t="s">
        <v>1292</v>
      </c>
      <c r="D102" s="18" t="s">
        <v>1293</v>
      </c>
      <c r="I102" s="6" t="str">
        <f>IFERROR(__xludf.DUMMYFUNCTION("GOOGLETRANSLATE(B102, ""en"", ""zh"")"),"围棋谚语“丢子取地”生动地说明了这一点：")</f>
        <v>围棋谚语“丢子取地”生动地说明了这一点：</v>
      </c>
      <c r="J102" s="6" t="str">
        <f>IFERROR(__xludf.DUMMYFUNCTION("GOOGLETRANSLATE(C102, ""en"", ""zh"")"),"A) 牺牲策略 B) 进攻型打法 C) 防守技巧 D) 简单战术")</f>
        <v>A) 牺牲策略 B) 进攻型打法 C) 防守技巧 D) 简单战术</v>
      </c>
      <c r="K102" s="6" t="str">
        <f>IFERROR(__xludf.DUMMYFUNCTION("GOOGLETRANSLATE(D102, ""en"", ""zh"")"),"A）牺牲策略")</f>
        <v>A）牺牲策略</v>
      </c>
      <c r="L102" s="6" t="str">
        <f>IFERROR(__xludf.DUMMYFUNCTION("GOOGLETRANSLATE(E102, ""en"", ""zh"")"),"#VALUE!")</f>
        <v>#VALUE!</v>
      </c>
    </row>
    <row r="103">
      <c r="A103" s="17">
        <v>102.0</v>
      </c>
      <c r="B103" s="18" t="s">
        <v>1294</v>
      </c>
      <c r="C103" s="18" t="s">
        <v>1295</v>
      </c>
      <c r="D103" s="18" t="s">
        <v>1296</v>
      </c>
      <c r="I103" s="6" t="str">
        <f>IFERROR(__xludf.DUMMYFUNCTION("GOOGLETRANSLATE(B103, ""en"", ""zh"")"),"Go强调的是哪种类型的平衡？")</f>
        <v>Go强调的是哪种类型的平衡？</v>
      </c>
      <c r="J103" s="6" t="str">
        <f>IFERROR(__xludf.DUMMYFUNCTION("GOOGLETRANSLATE(C103, ""en"", ""zh"")"),"A) 地盘与棋子 B) 进攻与防守 C) 时间与步数 D) A 和 B")</f>
        <v>A) 地盘与棋子 B) 进攻与防守 C) 时间与步数 D) A 和 B</v>
      </c>
      <c r="K103" s="6" t="str">
        <f>IFERROR(__xludf.DUMMYFUNCTION("GOOGLETRANSLATE(D103, ""en"", ""zh"")"),"D) A 和 B")</f>
        <v>D) A 和 B</v>
      </c>
      <c r="L103" s="6" t="str">
        <f>IFERROR(__xludf.DUMMYFUNCTION("GOOGLETRANSLATE(E103, ""en"", ""zh"")"),"#VALUE!")</f>
        <v>#VALUE!</v>
      </c>
    </row>
    <row r="104">
      <c r="A104" s="17">
        <v>103.0</v>
      </c>
      <c r="B104" s="18" t="s">
        <v>1297</v>
      </c>
      <c r="C104" s="18" t="s">
        <v>1298</v>
      </c>
      <c r="D104" s="18" t="s">
        <v>1299</v>
      </c>
      <c r="I104" s="6" t="str">
        <f>IFERROR(__xludf.DUMMYFUNCTION("GOOGLETRANSLATE(B104, ""en"", ""zh"")"),"围棋策略影响了哪些领域？")</f>
        <v>围棋策略影响了哪些领域？</v>
      </c>
      <c r="J104" s="6" t="str">
        <f>IFERROR(__xludf.DUMMYFUNCTION("GOOGLETRANSLATE(C104, ""en"", ""zh"")"),"A) 数学 B) 人工智能 C) 军事战略 D) 以上全部")</f>
        <v>A) 数学 B) 人工智能 C) 军事战略 D) 以上全部</v>
      </c>
      <c r="K104" s="6" t="str">
        <f>IFERROR(__xludf.DUMMYFUNCTION("GOOGLETRANSLATE(D104, ""en"", ""zh"")"),"D) 以上所有选项")</f>
        <v>D) 以上所有选项</v>
      </c>
      <c r="L104" s="6" t="str">
        <f>IFERROR(__xludf.DUMMYFUNCTION("GOOGLETRANSLATE(E104, ""en"", ""zh"")"),"#VALUE!")</f>
        <v>#VALUE!</v>
      </c>
    </row>
    <row r="105">
      <c r="A105" s="17">
        <v>104.0</v>
      </c>
      <c r="B105" s="18" t="s">
        <v>1300</v>
      </c>
      <c r="C105" s="18" t="s">
        <v>1301</v>
      </c>
      <c r="D105" s="18" t="s">
        <v>1302</v>
      </c>
      <c r="I105" s="6" t="str">
        <f>IFERROR(__xludf.DUMMYFUNCTION("GOOGLETRANSLATE(B105, ""en"", ""zh"")"),"“让分石”系统用于 Go to：")</f>
        <v>“让分石”系统用于 Go to：</v>
      </c>
      <c r="J105" s="6" t="str">
        <f>IFERROR(__xludf.DUMMYFUNCTION("GOOGLETRANSLATE(C105, ""en"", ""zh"")"),"A) 给予新手优势 B) 加快游戏速度 C) 更快结束游戏 D) 限制吃子")</f>
        <v>A) 给予新手优势 B) 加快游戏速度 C) 更快结束游戏 D) 限制吃子</v>
      </c>
      <c r="K105" s="6" t="str">
        <f>IFERROR(__xludf.DUMMYFUNCTION("GOOGLETRANSLATE(D105, ""en"", ""zh"")"),"A) 给予初学者优势")</f>
        <v>A) 给予初学者优势</v>
      </c>
      <c r="L105" s="6" t="str">
        <f>IFERROR(__xludf.DUMMYFUNCTION("GOOGLETRANSLATE(E105, ""en"", ""zh"")"),"#VALUE!")</f>
        <v>#VALUE!</v>
      </c>
    </row>
    <row r="106">
      <c r="A106" s="17">
        <v>105.0</v>
      </c>
      <c r="B106" s="18" t="s">
        <v>1303</v>
      </c>
      <c r="C106" s="18" t="s">
        <v>1304</v>
      </c>
      <c r="D106" s="18" t="s">
        <v>1305</v>
      </c>
      <c r="I106" s="6" t="str">
        <f>IFERROR(__xludf.DUMMYFUNCTION("GOOGLETRANSLATE(B106, ""en"", ""zh"")"),"围棋中哪条原则建议“先占据角位”？")</f>
        <v>围棋中哪条原则建议“先占据角位”？</v>
      </c>
      <c r="J106" s="6" t="str">
        <f>IFERROR(__xludf.DUMMYFUNCTION("GOOGLETRANSLATE(C106, ""en"", ""zh"")"),"A) 固定 B) 定式 C) 角先原则 D) 先手")</f>
        <v>A) 固定 B) 定式 C) 角先原则 D) 先手</v>
      </c>
      <c r="K106" s="6" t="str">
        <f>IFERROR(__xludf.DUMMYFUNCTION("GOOGLETRANSLATE(D106, ""en"", ""zh"")"),"C) 角先原则")</f>
        <v>C) 角先原则</v>
      </c>
      <c r="L106" s="6" t="str">
        <f>IFERROR(__xludf.DUMMYFUNCTION("GOOGLETRANSLATE(E106, ""en"", ""zh"")"),"#VALUE!")</f>
        <v>#VALUE!</v>
      </c>
    </row>
    <row r="107">
      <c r="A107" s="17">
        <v>106.0</v>
      </c>
      <c r="B107" s="18" t="s">
        <v>1306</v>
      </c>
      <c r="C107" s="18" t="s">
        <v>1307</v>
      </c>
      <c r="D107" s="18" t="s">
        <v>1308</v>
      </c>
      <c r="I107" s="6" t="str">
        <f>IFERROR(__xludf.DUMMYFUNCTION("GOOGLETRANSLATE(B107, ""en"", ""zh"")"),"历史上围棋比赛经常会打满：")</f>
        <v>历史上围棋比赛经常会打满：</v>
      </c>
      <c r="J107" s="6" t="str">
        <f>IFERROR(__xludf.DUMMYFUNCTION("GOOGLETRANSLATE(C107, ""en"", ""zh"")"),"A) 分钟 B) 小时 C) 天 D) 周")</f>
        <v>A) 分钟 B) 小时 C) 天 D) 周</v>
      </c>
      <c r="K107" s="6" t="str">
        <f>IFERROR(__xludf.DUMMYFUNCTION("GOOGLETRANSLATE(D107, ""en"", ""zh"")"),"C）天数")</f>
        <v>C）天数</v>
      </c>
      <c r="L107" s="6" t="str">
        <f>IFERROR(__xludf.DUMMYFUNCTION("GOOGLETRANSLATE(E107, ""en"", ""zh"")"),"#VALUE!")</f>
        <v>#VALUE!</v>
      </c>
    </row>
    <row r="108">
      <c r="A108" s="17">
        <v>107.0</v>
      </c>
      <c r="B108" s="18" t="s">
        <v>1309</v>
      </c>
      <c r="C108" s="18" t="s">
        <v>1310</v>
      </c>
      <c r="D108" s="18" t="s">
        <v>1311</v>
      </c>
      <c r="I108" s="6" t="str">
        <f>IFERROR(__xludf.DUMMYFUNCTION("GOOGLETRANSLATE(B108, ""en"", ""zh"")"),"哪道围棋题只需要一步战术就能吃子？")</f>
        <v>哪道围棋题只需要一步战术就能吃子？</v>
      </c>
      <c r="J108" s="6" t="str">
        <f>IFERROR(__xludf.DUMMYFUNCTION("GOOGLETRANSLATE(C108, ""en"", ""zh"")"),"A) 布石 B) 妻子 C) 定子 D) 手筋")</f>
        <v>A) 布石 B) 妻子 C) 定子 D) 手筋</v>
      </c>
      <c r="K108" s="6" t="str">
        <f>IFERROR(__xludf.DUMMYFUNCTION("GOOGLETRANSLATE(D108, ""en"", ""zh"")"),"B) 妻吾")</f>
        <v>B) 妻吾</v>
      </c>
      <c r="L108" s="6" t="str">
        <f>IFERROR(__xludf.DUMMYFUNCTION("GOOGLETRANSLATE(E108, ""en"", ""zh"")"),"#VALUE!")</f>
        <v>#VALUE!</v>
      </c>
    </row>
    <row r="109">
      <c r="A109" s="17">
        <v>108.0</v>
      </c>
      <c r="B109" s="18" t="s">
        <v>1312</v>
      </c>
      <c r="C109" s="18" t="s">
        <v>1313</v>
      </c>
      <c r="D109" s="18" t="s">
        <v>1314</v>
      </c>
      <c r="I109" s="6" t="str">
        <f>IFERROR(__xludf.DUMMYFUNCTION("GOOGLETRANSLATE(B109, ""en"", ""zh"")"),"围棋文献包括古代被称为以下的注释：")</f>
        <v>围棋文献包括古代被称为以下的注释：</v>
      </c>
      <c r="J109" s="6" t="str">
        <f>IFERROR(__xludf.DUMMYFUNCTION("GOOGLETRANSLATE(C109, ""en"", ""zh"")"),"A) Kifu B) Tsumego C) Joseki D) Sente")</f>
        <v>A) Kifu B) Tsumego C) Joseki D) Sente</v>
      </c>
      <c r="K109" s="6" t="str">
        <f>IFERROR(__xludf.DUMMYFUNCTION("GOOGLETRANSLATE(D109, ""en"", ""zh"")"),"A) 奇富")</f>
        <v>A) 奇富</v>
      </c>
      <c r="L109" s="6" t="str">
        <f>IFERROR(__xludf.DUMMYFUNCTION("GOOGLETRANSLATE(E109, ""en"", ""zh"")"),"#VALUE!")</f>
        <v>#VALUE!</v>
      </c>
    </row>
    <row r="110">
      <c r="A110" s="17">
        <v>109.0</v>
      </c>
      <c r="B110" s="18" t="s">
        <v>1315</v>
      </c>
      <c r="C110" s="18" t="s">
        <v>1316</v>
      </c>
      <c r="D110" s="18" t="s">
        <v>1317</v>
      </c>
      <c r="I110" s="6" t="str">
        <f>IFERROR(__xludf.DUMMYFUNCTION("GOOGLETRANSLATE(B110, ""en"", ""zh"")"),"围棋对哪些著名的AI研究项目产生了影响？")</f>
        <v>围棋对哪些著名的AI研究项目产生了影响？</v>
      </c>
      <c r="J110" s="6" t="str">
        <f>IFERROR(__xludf.DUMMYFUNCTION("GOOGLETRANSLATE(C110, ""en"", ""zh"")"),"A) 深蓝 B) AlphaGo C) 沃森 D) GPT")</f>
        <v>A) 深蓝 B) AlphaGo C) 沃森 D) GPT</v>
      </c>
      <c r="K110" s="6" t="str">
        <f>IFERROR(__xludf.DUMMYFUNCTION("GOOGLETRANSLATE(D110, ""en"", ""zh"")"),"B) AlphaGo")</f>
        <v>B) AlphaGo</v>
      </c>
      <c r="L110" s="6" t="str">
        <f>IFERROR(__xludf.DUMMYFUNCTION("GOOGLETRANSLATE(E110, ""en"", ""zh"")"),"#VALUE!")</f>
        <v>#VALUE!</v>
      </c>
    </row>
    <row r="111">
      <c r="A111" s="17">
        <v>110.0</v>
      </c>
      <c r="B111" s="18" t="s">
        <v>1318</v>
      </c>
      <c r="C111" s="18" t="s">
        <v>1319</v>
      </c>
      <c r="D111" s="18" t="s">
        <v>1320</v>
      </c>
      <c r="I111" s="6" t="str">
        <f>IFERROR(__xludf.DUMMYFUNCTION("GOOGLETRANSLATE(B111, ""en"", ""zh"")"),"哪个国家举办了亚洲以外的首届职业围棋比赛？")</f>
        <v>哪个国家举办了亚洲以外的首届职业围棋比赛？</v>
      </c>
      <c r="J111" s="6" t="str">
        <f>IFERROR(__xludf.DUMMYFUNCTION("GOOGLETRANSLATE(C111, ""en"", ""zh"")"),"A) 德国 B) 美国 C) 英国 D) 法国")</f>
        <v>A) 德国 B) 美国 C) 英国 D) 法国</v>
      </c>
      <c r="K111" s="6" t="str">
        <f>IFERROR(__xludf.DUMMYFUNCTION("GOOGLETRANSLATE(D111, ""en"", ""zh"")"),"B) 美国")</f>
        <v>B) 美国</v>
      </c>
      <c r="L111" s="6" t="str">
        <f>IFERROR(__xludf.DUMMYFUNCTION("GOOGLETRANSLATE(E111, ""en"", ""zh"")"),"#VALUE!")</f>
        <v>#VALUE!</v>
      </c>
    </row>
    <row r="112">
      <c r="A112" s="17">
        <v>111.0</v>
      </c>
      <c r="B112" s="18" t="s">
        <v>1321</v>
      </c>
      <c r="C112" s="18" t="s">
        <v>1322</v>
      </c>
      <c r="D112" s="18" t="s">
        <v>1092</v>
      </c>
      <c r="I112" s="6" t="str">
        <f>IFERROR(__xludf.DUMMYFUNCTION("GOOGLETRANSLATE(B112, ""en"", ""zh"")"),"哪位日本围棋棋手被认为是现代史上最伟大的棋手之一？")</f>
        <v>哪位日本围棋棋手被认为是现代史上最伟大的棋手之一？</v>
      </c>
      <c r="J112" s="6" t="str">
        <f>IFERROR(__xludf.DUMMYFUNCTION("GOOGLETRANSLATE(C112, ""en"", ""zh"")"),"A) 本因坊周斋 B) 清玄刚 C) 藤泽秀行 D) 北谷稔")</f>
        <v>A) 本因坊周斋 B) 清玄刚 C) 藤泽秀行 D) 北谷稔</v>
      </c>
      <c r="K112" s="6" t="str">
        <f>IFERROR(__xludf.DUMMYFUNCTION("GOOGLETRANSLATE(D112, ""en"", ""zh"")"),"B）高清玄")</f>
        <v>B）高清玄</v>
      </c>
      <c r="L112" s="6" t="str">
        <f>IFERROR(__xludf.DUMMYFUNCTION("GOOGLETRANSLATE(E112, ""en"", ""zh"")"),"#VALUE!")</f>
        <v>#VALUE!</v>
      </c>
    </row>
    <row r="113">
      <c r="A113" s="17">
        <v>112.0</v>
      </c>
      <c r="B113" s="18" t="s">
        <v>1323</v>
      </c>
      <c r="C113" s="18" t="s">
        <v>1324</v>
      </c>
      <c r="D113" s="18" t="s">
        <v>1325</v>
      </c>
      <c r="I113" s="6" t="str">
        <f>IFERROR(__xludf.DUMMYFUNCTION("GOOGLETRANSLATE(B113, ""en"", ""zh"")"),"围棋有多少种可能的棋盘布局？")</f>
        <v>围棋有多少种可能的棋盘布局？</v>
      </c>
      <c r="J113" s="6" t="str">
        <f>IFERROR(__xludf.DUMMYFUNCTION("GOOGLETRANSLATE(C113, ""en"", ""zh"")"),"A) 10^76 B) 10^100 C) 10^50 D) 10^200")</f>
        <v>A) 10^76 B) 10^100 C) 10^50 D) 10^200</v>
      </c>
      <c r="K113" s="6" t="str">
        <f>IFERROR(__xludf.DUMMYFUNCTION("GOOGLETRANSLATE(D113, ""en"", ""zh"")"),"A) 10^76")</f>
        <v>A) 10^76</v>
      </c>
      <c r="L113" s="6" t="str">
        <f>IFERROR(__xludf.DUMMYFUNCTION("GOOGLETRANSLATE(E113, ""en"", ""zh"")"),"#VALUE!")</f>
        <v>#VALUE!</v>
      </c>
    </row>
    <row r="114">
      <c r="A114" s="17">
        <v>113.0</v>
      </c>
      <c r="B114" s="18" t="s">
        <v>1326</v>
      </c>
      <c r="C114" s="18" t="s">
        <v>1327</v>
      </c>
      <c r="D114" s="18" t="s">
        <v>1328</v>
      </c>
      <c r="I114" s="6" t="str">
        <f>IFERROR(__xludf.DUMMYFUNCTION("GOOGLETRANSLATE(B114, ""en"", ""zh"")"),"哪种围棋策略优先考虑中心控制？")</f>
        <v>哪种围棋策略优先考虑中心控制？</v>
      </c>
      <c r="J114" s="6" t="str">
        <f>IFERROR(__xludf.DUMMYFUNCTION("GOOGLETRANSLATE(C114, ""en"", ""zh"")"),"A) Fuseki B) Joseki C) 天元 D) Ko")</f>
        <v>A) Fuseki B) Joseki C) 天元 D) Ko</v>
      </c>
      <c r="K114" s="6" t="str">
        <f>IFERROR(__xludf.DUMMYFUNCTION("GOOGLETRANSLATE(D114, ""en"", ""zh"")"),"C) 天元")</f>
        <v>C) 天元</v>
      </c>
      <c r="L114" s="6" t="str">
        <f>IFERROR(__xludf.DUMMYFUNCTION("GOOGLETRANSLATE(E114, ""en"", ""zh"")"),"#VALUE!")</f>
        <v>#VALUE!</v>
      </c>
    </row>
    <row r="115">
      <c r="A115" s="17">
        <v>114.0</v>
      </c>
      <c r="B115" s="18" t="s">
        <v>1329</v>
      </c>
      <c r="C115" s="18" t="s">
        <v>1330</v>
      </c>
      <c r="D115" s="18" t="s">
        <v>1331</v>
      </c>
      <c r="I115" s="6" t="str">
        <f>IFERROR(__xludf.DUMMYFUNCTION("GOOGLETRANSLATE(B115, ""en"", ""zh"")"),"围棋中哪种策略需要预判多步棋的顺序？")</f>
        <v>围棋中哪种策略需要预判多步棋的顺序？</v>
      </c>
      <c r="J115" s="6" t="str">
        <f>IFERROR(__xludf.DUMMYFUNCTION("GOOGLETRANSLATE(C115, ""en"", ""zh"")"),"A) 手筋 B) 生死 C) 寄势 D) 阅读")</f>
        <v>A) 手筋 B) 生死 C) 寄势 D) 阅读</v>
      </c>
      <c r="K115" s="6" t="str">
        <f>IFERROR(__xludf.DUMMYFUNCTION("GOOGLETRANSLATE(D115, ""en"", ""zh"")"),"D) 阅读")</f>
        <v>D) 阅读</v>
      </c>
      <c r="L115" s="6" t="str">
        <f>IFERROR(__xludf.DUMMYFUNCTION("GOOGLETRANSLATE(E115, ""en"", ""zh"")"),"#VALUE!")</f>
        <v>#VALUE!</v>
      </c>
    </row>
    <row r="116">
      <c r="A116" s="17">
        <v>115.0</v>
      </c>
      <c r="B116" s="18" t="s">
        <v>1332</v>
      </c>
      <c r="C116" s="18" t="s">
        <v>1333</v>
      </c>
      <c r="D116" s="18" t="s">
        <v>1299</v>
      </c>
      <c r="I116" s="6" t="str">
        <f>IFERROR(__xludf.DUMMYFUNCTION("GOOGLETRANSLATE(B116, ""en"", ""zh"")"),"围棋比赛采用哪些赛制？")</f>
        <v>围棋比赛采用哪些赛制？</v>
      </c>
      <c r="J116" s="6" t="str">
        <f>IFERROR(__xludf.DUMMYFUNCTION("GOOGLETRANSLATE(C116, ""en"", ""zh"")"),"A) 日本规则 B) 中国规则 C) 韩国规则 D) 以上全部")</f>
        <v>A) 日本规则 B) 中国规则 C) 韩国规则 D) 以上全部</v>
      </c>
      <c r="K116" s="6" t="str">
        <f>IFERROR(__xludf.DUMMYFUNCTION("GOOGLETRANSLATE(D116, ""en"", ""zh"")"),"D) 以上所有选项")</f>
        <v>D) 以上所有选项</v>
      </c>
      <c r="L116" s="6" t="str">
        <f>IFERROR(__xludf.DUMMYFUNCTION("GOOGLETRANSLATE(E116, ""en"", ""zh"")"),"#VALUE!")</f>
        <v>#VALUE!</v>
      </c>
    </row>
    <row r="117">
      <c r="A117" s="17">
        <v>116.0</v>
      </c>
      <c r="B117" s="18" t="s">
        <v>1334</v>
      </c>
      <c r="C117" s="18" t="s">
        <v>1335</v>
      </c>
      <c r="D117" s="18" t="s">
        <v>1336</v>
      </c>
      <c r="I117" s="6" t="str">
        <f>IFERROR(__xludf.DUMMYFUNCTION("GOOGLETRANSLATE(B117, ""en"", ""zh"")"),"围棋历史上哪个时期特别注重用谚语教孩子？")</f>
        <v>围棋历史上哪个时期特别注重用谚语教孩子？</v>
      </c>
      <c r="J117" s="6" t="str">
        <f>IFERROR(__xludf.DUMMYFUNCTION("GOOGLETRANSLATE(C117, ""en"", ""zh"")"),"A) 唐 B) 宋 C) 明 D) 江户")</f>
        <v>A) 唐 B) 宋 C) 明 D) 江户</v>
      </c>
      <c r="K117" s="6" t="str">
        <f>IFERROR(__xludf.DUMMYFUNCTION("GOOGLETRANSLATE(D117, ""en"", ""zh"")"),"B)歌曲")</f>
        <v>B)歌曲</v>
      </c>
      <c r="L117" s="6" t="str">
        <f>IFERROR(__xludf.DUMMYFUNCTION("GOOGLETRANSLATE(E117, ""en"", ""zh"")"),"#VALUE!")</f>
        <v>#VALUE!</v>
      </c>
    </row>
    <row r="118">
      <c r="A118" s="17">
        <v>117.0</v>
      </c>
      <c r="B118" s="18" t="s">
        <v>1337</v>
      </c>
      <c r="C118" s="18" t="s">
        <v>1338</v>
      </c>
      <c r="D118" s="18" t="s">
        <v>1339</v>
      </c>
      <c r="I118" s="6" t="str">
        <f>IFERROR(__xludf.DUMMYFUNCTION("GOOGLETRANSLATE(B118, ""en"", ""zh"")"),"围棋中的“关”指的是：")</f>
        <v>围棋中的“关”指的是：</v>
      </c>
      <c r="J118" s="6" t="str">
        <f>IFERROR(__xludf.DUMMYFUNCTION("GOOGLETRANSLATE(C118, ""en"", ""zh"")"),"A) 互惠生活 B) 击倒比赛 C) 让分 D) 中心区域")</f>
        <v>A) 互惠生活 B) 击倒比赛 C) 让分 D) 中心区域</v>
      </c>
      <c r="K118" s="6" t="str">
        <f>IFERROR(__xludf.DUMMYFUNCTION("GOOGLETRANSLATE(D118, ""en"", ""zh"")"),"A) 共同生活")</f>
        <v>A) 共同生活</v>
      </c>
      <c r="L118" s="6" t="str">
        <f>IFERROR(__xludf.DUMMYFUNCTION("GOOGLETRANSLATE(E118, ""en"", ""zh"")"),"#VALUE!")</f>
        <v>#VALUE!</v>
      </c>
    </row>
    <row r="119">
      <c r="A119" s="17">
        <v>118.0</v>
      </c>
      <c r="B119" s="18" t="s">
        <v>1340</v>
      </c>
      <c r="C119" s="18" t="s">
        <v>1341</v>
      </c>
      <c r="D119" s="18" t="s">
        <v>1342</v>
      </c>
      <c r="I119" s="6" t="str">
        <f>IFERROR(__xludf.DUMMYFUNCTION("GOOGLETRANSLATE(B119, ""en"", ""zh"")"),"日本的“御手合”制度用于：")</f>
        <v>日本的“御手合”制度用于：</v>
      </c>
      <c r="J119" s="6" t="str">
        <f>IFERROR(__xludf.DUMMYFUNCTION("GOOGLETRANSLATE(C119, ""en"", ""zh"")"),"A) 对选手进行排名 B) 记录比赛 C) 解决问题 D) 组织比赛")</f>
        <v>A) 对选手进行排名 B) 记录比赛 C) 解决问题 D) 组织比赛</v>
      </c>
      <c r="K119" s="6" t="str">
        <f>IFERROR(__xludf.DUMMYFUNCTION("GOOGLETRANSLATE(D119, ""en"", ""zh"")"),"A) 排名玩家")</f>
        <v>A) 排名玩家</v>
      </c>
      <c r="L119" s="6" t="str">
        <f>IFERROR(__xludf.DUMMYFUNCTION("GOOGLETRANSLATE(E119, ""en"", ""zh"")"),"#VALUE!")</f>
        <v>#VALUE!</v>
      </c>
    </row>
    <row r="120">
      <c r="A120" s="17">
        <v>119.0</v>
      </c>
      <c r="B120" s="18" t="s">
        <v>1343</v>
      </c>
      <c r="C120" s="18" t="s">
        <v>1344</v>
      </c>
      <c r="D120" s="18" t="s">
        <v>1299</v>
      </c>
      <c r="I120" s="6" t="str">
        <f>IFERROR(__xludf.DUMMYFUNCTION("GOOGLETRANSLATE(B120, ""en"", ""zh"")"),"职业围棋头衔包括：")</f>
        <v>职业围棋头衔包括：</v>
      </c>
      <c r="J120" s="6" t="str">
        <f>IFERROR(__xludf.DUMMYFUNCTION("GOOGLETRANSLATE(C120, ""en"", ""zh"")"),"A) 名人 B) 本因坊 C) 喜世 D) 以上全部")</f>
        <v>A) 名人 B) 本因坊 C) 喜世 D) 以上全部</v>
      </c>
      <c r="K120" s="6" t="str">
        <f>IFERROR(__xludf.DUMMYFUNCTION("GOOGLETRANSLATE(D120, ""en"", ""zh"")"),"D) 以上所有选项")</f>
        <v>D) 以上所有选项</v>
      </c>
      <c r="L120" s="6" t="str">
        <f>IFERROR(__xludf.DUMMYFUNCTION("GOOGLETRANSLATE(E120, ""en"", ""zh"")"),"#VALUE!")</f>
        <v>#VALUE!</v>
      </c>
    </row>
    <row r="121">
      <c r="A121" s="17">
        <v>120.0</v>
      </c>
      <c r="B121" s="18" t="s">
        <v>1345</v>
      </c>
      <c r="C121" s="18" t="s">
        <v>1346</v>
      </c>
      <c r="D121" s="18" t="s">
        <v>1347</v>
      </c>
      <c r="I121" s="6" t="str">
        <f>IFERROR(__xludf.DUMMYFUNCTION("GOOGLETRANSLATE(B121, ""en"", ""zh"")"),"Go 既强调本地化也强调全球化：")</f>
        <v>Go 既强调本地化也强调全球化：</v>
      </c>
      <c r="J121" s="6" t="str">
        <f>IFERROR(__xludf.DUMMYFUNCTION("GOOGLETRANSLATE(C121, ""en"", ""zh"")"),"A) 战略 B) 战术 C) A 和 B 都是 D) 两者都不是")</f>
        <v>A) 战略 B) 战术 C) A 和 B 都是 D) 两者都不是</v>
      </c>
      <c r="K121" s="6" t="str">
        <f>IFERROR(__xludf.DUMMYFUNCTION("GOOGLETRANSLATE(D121, ""en"", ""zh"")"),"C) A 和 B 都对")</f>
        <v>C) A 和 B 都对</v>
      </c>
      <c r="L121" s="6" t="str">
        <f>IFERROR(__xludf.DUMMYFUNCTION("GOOGLETRANSLATE(E121, ""en"", ""zh"")"),"#VALUE!")</f>
        <v>#VALUE!</v>
      </c>
    </row>
    <row r="122">
      <c r="A122" s="17">
        <v>121.0</v>
      </c>
      <c r="B122" s="18" t="s">
        <v>1348</v>
      </c>
      <c r="C122" s="18" t="s">
        <v>1349</v>
      </c>
      <c r="D122" s="18" t="s">
        <v>1350</v>
      </c>
      <c r="I122" s="6" t="str">
        <f>IFERROR(__xludf.DUMMYFUNCTION("GOOGLETRANSLATE(B122, ""en"", ""zh"")"),"围棋棋子传统上放置在：")</f>
        <v>围棋棋子传统上放置在：</v>
      </c>
      <c r="J122" s="6" t="str">
        <f>IFERROR(__xludf.DUMMYFUNCTION("GOOGLETRANSLATE(C122, ""en"", ""zh"")"),"A) 交点 B) 正方形 C) 角 D) 边")</f>
        <v>A) 交点 B) 正方形 C) 角 D) 边</v>
      </c>
      <c r="K122" s="6" t="str">
        <f>IFERROR(__xludf.DUMMYFUNCTION("GOOGLETRANSLATE(D122, ""en"", ""zh"")"),"A) 交叉路口")</f>
        <v>A) 交叉路口</v>
      </c>
      <c r="L122" s="6" t="str">
        <f>IFERROR(__xludf.DUMMYFUNCTION("GOOGLETRANSLATE(E122, ""en"", ""zh"")"),"#VALUE!")</f>
        <v>#VALUE!</v>
      </c>
    </row>
    <row r="123">
      <c r="A123" s="17">
        <v>122.0</v>
      </c>
      <c r="B123" s="18" t="s">
        <v>1351</v>
      </c>
      <c r="C123" s="18" t="s">
        <v>1352</v>
      </c>
      <c r="D123" s="18" t="s">
        <v>1353</v>
      </c>
      <c r="I123" s="6" t="str">
        <f>IFERROR(__xludf.DUMMYFUNCTION("GOOGLETRANSLATE(B123, ""en"", ""zh"")"),"围棋中哪个术语指的是为了在其他方面获得优势而做出的战略牺牲？")</f>
        <v>围棋中哪个术语指的是为了在其他方面获得优势而做出的战略牺牲？</v>
      </c>
      <c r="J123" s="6" t="str">
        <f>IFERROR(__xludf.DUMMYFUNCTION("GOOGLETRANSLATE(C123, ""en"", ""zh"")"),"A) Sente B) Gote C) Sabaki D) Ko")</f>
        <v>A) Sente B) Gote C) Sabaki D) Ko</v>
      </c>
      <c r="K123" s="6" t="str">
        <f>IFERROR(__xludf.DUMMYFUNCTION("GOOGLETRANSLATE(D123, ""en"", ""zh"")"),"C) 佐渕")</f>
        <v>C) 佐渕</v>
      </c>
      <c r="L123" s="6" t="str">
        <f>IFERROR(__xludf.DUMMYFUNCTION("GOOGLETRANSLATE(E123, ""en"", ""zh"")"),"#VALUE!")</f>
        <v>#VALUE!</v>
      </c>
    </row>
    <row r="124">
      <c r="A124" s="17">
        <v>123.0</v>
      </c>
      <c r="B124" s="18" t="s">
        <v>1354</v>
      </c>
      <c r="C124" s="18" t="s">
        <v>1355</v>
      </c>
      <c r="D124" s="18" t="s">
        <v>1311</v>
      </c>
      <c r="I124" s="6" t="str">
        <f>IFERROR(__xludf.DUMMYFUNCTION("GOOGLETRANSLATE(B124, ""en"", ""zh"")"),"职业围棋棋手每天通常学习哪类题目？")</f>
        <v>职业围棋棋手每天通常学习哪类题目？</v>
      </c>
      <c r="J124" s="6" t="str">
        <f>IFERROR(__xludf.DUMMYFUNCTION("GOOGLETRANSLATE(C124, ""en"", ""zh"")"),"A) 布石 B) 妻子 C) 手筋 D) 寄濑")</f>
        <v>A) 布石 B) 妻子 C) 手筋 D) 寄濑</v>
      </c>
      <c r="K124" s="6" t="str">
        <f>IFERROR(__xludf.DUMMYFUNCTION("GOOGLETRANSLATE(D124, ""en"", ""zh"")"),"B) 妻吾")</f>
        <v>B) 妻吾</v>
      </c>
      <c r="L124" s="6" t="str">
        <f>IFERROR(__xludf.DUMMYFUNCTION("GOOGLETRANSLATE(E124, ""en"", ""zh"")"),"#VALUE!")</f>
        <v>#VALUE!</v>
      </c>
    </row>
    <row r="125">
      <c r="A125" s="17">
        <v>124.0</v>
      </c>
      <c r="B125" s="18" t="s">
        <v>1356</v>
      </c>
      <c r="C125" s="18" t="s">
        <v>1357</v>
      </c>
      <c r="D125" s="18" t="s">
        <v>1358</v>
      </c>
      <c r="I125" s="6" t="str">
        <f>IFERROR(__xludf.DUMMYFUNCTION("GOOGLETRANSLATE(B125, ""en"", ""zh"")"),"戈恩谚语“厚实即力量”强调：")</f>
        <v>戈恩谚语“厚实即力量”强调：</v>
      </c>
      <c r="J125" s="6" t="str">
        <f>IFERROR(__xludf.DUMMYFUNCTION("GOOGLETRANSLATE(C125, ""en"", ""zh"")"),"A) 密集阵型 B) 占领 C) 击倒战 D) 边缘战术")</f>
        <v>A) 密集阵型 B) 占领 C) 击倒战 D) 边缘战术</v>
      </c>
      <c r="K125" s="6" t="str">
        <f>IFERROR(__xludf.DUMMYFUNCTION("GOOGLETRANSLATE(D125, ""en"", ""zh"")"),"A) 密集位置")</f>
        <v>A) 密集位置</v>
      </c>
      <c r="L125" s="6" t="str">
        <f>IFERROR(__xludf.DUMMYFUNCTION("GOOGLETRANSLATE(E125, ""en"", ""zh"")"),"#VALUE!")</f>
        <v>#VALUE!</v>
      </c>
    </row>
    <row r="126">
      <c r="A126" s="23"/>
    </row>
    <row r="127">
      <c r="A127" s="23"/>
    </row>
    <row r="128">
      <c r="A128" s="23"/>
    </row>
    <row r="129">
      <c r="A129" s="23"/>
    </row>
    <row r="130">
      <c r="A130" s="23"/>
    </row>
    <row r="131">
      <c r="A131" s="23"/>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2.75"/>
    <col customWidth="1" min="5" max="5" width="12.75"/>
    <col customWidth="1" min="9" max="9" width="12.75"/>
  </cols>
  <sheetData>
    <row r="1">
      <c r="A1" s="21" t="s">
        <v>0</v>
      </c>
      <c r="B1" s="21" t="s">
        <v>1</v>
      </c>
      <c r="C1" s="21" t="s">
        <v>2</v>
      </c>
      <c r="D1" s="21" t="s">
        <v>3</v>
      </c>
      <c r="E1" s="21" t="s">
        <v>4</v>
      </c>
      <c r="F1" s="10"/>
      <c r="G1" s="10"/>
      <c r="H1" s="21" t="s">
        <v>5</v>
      </c>
      <c r="I1" s="21" t="s">
        <v>6</v>
      </c>
      <c r="J1" s="1" t="s">
        <v>7</v>
      </c>
      <c r="K1" s="21" t="s">
        <v>4</v>
      </c>
      <c r="L1" s="4"/>
      <c r="M1" s="11"/>
      <c r="N1" s="4"/>
      <c r="O1" s="11"/>
      <c r="P1" s="4"/>
      <c r="Q1" s="10"/>
      <c r="R1" s="10"/>
      <c r="S1" s="10"/>
      <c r="T1" s="10"/>
      <c r="U1" s="10"/>
      <c r="V1" s="10"/>
      <c r="W1" s="10"/>
      <c r="X1" s="10"/>
      <c r="Y1" s="10"/>
      <c r="Z1" s="10"/>
      <c r="AA1" s="10"/>
      <c r="AB1" s="10"/>
    </row>
    <row r="2">
      <c r="A2" s="7">
        <v>1.0</v>
      </c>
      <c r="B2" s="9" t="s">
        <v>1359</v>
      </c>
      <c r="C2" s="9" t="s">
        <v>1360</v>
      </c>
      <c r="D2" s="9" t="s">
        <v>1361</v>
      </c>
      <c r="E2" s="9" t="s">
        <v>1362</v>
      </c>
      <c r="F2" s="10"/>
      <c r="G2" s="10"/>
      <c r="H2" s="7" t="str">
        <f>IFERROR(__xludf.DUMMYFUNCTION("GOOGLETRANSLATE(B2, ""en"", ""zh"")"),"溏子是中国一项传统运动，它使用以下哪种器材进行比赛？")</f>
        <v>溏子是中国一项传统运动，它使用以下哪种器材进行比赛？</v>
      </c>
      <c r="I2" s="7" t="str">
        <f>IFERROR(__xludf.DUMMYFUNCTION("GOOGLETRANSLATE(C2, ""en"", ""zh"")"),"A) 球，B) 羽毛球，C) 篮筐，D) 棍子")</f>
        <v>A) 球，B) 羽毛球，C) 篮筐，D) 棍子</v>
      </c>
      <c r="J2" s="7" t="str">
        <f>IFERROR(__xludf.DUMMYFUNCTION("GOOGLETRANSLATE(D2, ""en"", ""zh"")"),"B）羽毛球")</f>
        <v>B）羽毛球</v>
      </c>
      <c r="K2" s="7" t="str">
        <f>IFERROR(__xludf.DUMMYFUNCTION("GOOGLETRANSLATE(E2, ""en"", ""zh"")"),"毽子是通过踢踹一个带重物的毽子来玩的。")</f>
        <v>毽子是通过踢踹一个带重物的毽子来玩的。</v>
      </c>
      <c r="L2" s="10"/>
      <c r="M2" s="11"/>
      <c r="N2" s="10"/>
      <c r="O2" s="11"/>
      <c r="P2" s="11"/>
      <c r="Q2" s="10"/>
      <c r="R2" s="10"/>
      <c r="S2" s="10"/>
      <c r="T2" s="10"/>
      <c r="U2" s="10"/>
      <c r="V2" s="10"/>
      <c r="W2" s="10"/>
      <c r="X2" s="10"/>
      <c r="Y2" s="10"/>
      <c r="Z2" s="10"/>
      <c r="AA2" s="10"/>
      <c r="AB2" s="10"/>
    </row>
    <row r="3">
      <c r="A3" s="7">
        <v>2.0</v>
      </c>
      <c r="B3" s="9" t="s">
        <v>1363</v>
      </c>
      <c r="C3" s="9" t="s">
        <v>1364</v>
      </c>
      <c r="D3" s="9" t="s">
        <v>1365</v>
      </c>
      <c r="E3" s="9" t="s">
        <v>1366</v>
      </c>
      <c r="F3" s="10"/>
      <c r="G3" s="10"/>
      <c r="H3" s="7" t="str">
        <f>IFERROR(__xludf.DUMMYFUNCTION("GOOGLETRANSLATE(B3, ""en"", ""zh"")"),"毽子作为一项传统体育运动，最早在中国出现是什么时候？")</f>
        <v>毽子作为一项传统体育运动，最早在中国出现是什么时候？</v>
      </c>
      <c r="I3" s="7" t="str">
        <f>IFERROR(__xludf.DUMMYFUNCTION("GOOGLETRANSLATE(C3, ""en"", ""zh"")"),"A) 公元前5世纪，B) 公元前1世纪，C) 10世纪，D) 18世纪")</f>
        <v>A) 公元前5世纪，B) 公元前1世纪，C) 10世纪，D) 18世纪</v>
      </c>
      <c r="J3" s="7" t="str">
        <f>IFERROR(__xludf.DUMMYFUNCTION("GOOGLETRANSLATE(D3, ""en"", ""zh"")"),"A) 公元前5世纪")</f>
        <v>A) 公元前5世纪</v>
      </c>
      <c r="K3" s="7" t="str">
        <f>IFERROR(__xludf.DUMMYFUNCTION("GOOGLETRANSLATE(E3, ""en"", ""zh"")"),"剑子的历史可以追溯到战国时期（公元前5世纪）。")</f>
        <v>剑子的历史可以追溯到战国时期（公元前5世纪）。</v>
      </c>
      <c r="L3" s="11"/>
      <c r="M3" s="11"/>
      <c r="N3" s="11"/>
      <c r="O3" s="11"/>
      <c r="P3" s="11"/>
      <c r="Q3" s="10"/>
      <c r="R3" s="10"/>
      <c r="S3" s="10"/>
      <c r="T3" s="10"/>
      <c r="U3" s="10"/>
      <c r="V3" s="10"/>
      <c r="W3" s="10"/>
      <c r="X3" s="10"/>
      <c r="Y3" s="10"/>
      <c r="Z3" s="10"/>
      <c r="AA3" s="10"/>
      <c r="AB3" s="10"/>
    </row>
    <row r="4">
      <c r="A4" s="7">
        <v>3.0</v>
      </c>
      <c r="B4" s="9" t="s">
        <v>1367</v>
      </c>
      <c r="C4" s="9" t="s">
        <v>1368</v>
      </c>
      <c r="D4" s="9" t="s">
        <v>1131</v>
      </c>
      <c r="E4" s="9" t="s">
        <v>1369</v>
      </c>
      <c r="F4" s="10"/>
      <c r="G4" s="10"/>
      <c r="H4" s="7" t="str">
        <f>IFERROR(__xludf.DUMMYFUNCTION("GOOGLETRANSLATE(B4, ""en"", ""zh"")"),"在中国古代，哪个朝代将尖子推广到平民百姓中？")</f>
        <v>在中国古代，哪个朝代将尖子推广到平民百姓中？</v>
      </c>
      <c r="I4" s="7" t="str">
        <f>IFERROR(__xludf.DUMMYFUNCTION("GOOGLETRANSLATE(C4, ""en"", ""zh"")"),"A) 唐朝，B) 宋朝，C) 清朝，D) 明朝")</f>
        <v>A) 唐朝，B) 宋朝，C) 清朝，D) 明朝</v>
      </c>
      <c r="J4" s="7" t="str">
        <f>IFERROR(__xludf.DUMMYFUNCTION("GOOGLETRANSLATE(D4, ""en"", ""zh"")"),"B）宋朝")</f>
        <v>B）宋朝</v>
      </c>
      <c r="K4" s="7" t="str">
        <f>IFERROR(__xludf.DUMMYFUNCTION("GOOGLETRANSLATE(E4, ""en"", ""zh"")"),"宋代，练琴成为民间广受欢迎的消遣活动。")</f>
        <v>宋代，练琴成为民间广受欢迎的消遣活动。</v>
      </c>
      <c r="L4" s="10"/>
      <c r="M4" s="11"/>
      <c r="N4" s="11"/>
      <c r="O4" s="11"/>
      <c r="P4" s="11"/>
      <c r="Q4" s="10"/>
      <c r="R4" s="10"/>
      <c r="S4" s="10"/>
      <c r="T4" s="10"/>
      <c r="U4" s="10"/>
      <c r="V4" s="10"/>
      <c r="W4" s="10"/>
      <c r="X4" s="10"/>
      <c r="Y4" s="10"/>
      <c r="Z4" s="10"/>
      <c r="AA4" s="10"/>
      <c r="AB4" s="10"/>
    </row>
    <row r="5">
      <c r="A5" s="7">
        <v>4.0</v>
      </c>
      <c r="B5" s="9" t="s">
        <v>1370</v>
      </c>
      <c r="C5" s="9" t="s">
        <v>1371</v>
      </c>
      <c r="D5" s="9" t="s">
        <v>1372</v>
      </c>
      <c r="E5" s="9" t="s">
        <v>1373</v>
      </c>
      <c r="F5" s="10"/>
      <c r="G5" s="10"/>
      <c r="H5" s="7" t="str">
        <f>IFERROR(__xludf.DUMMYFUNCTION("GOOGLETRANSLATE(B5, ""en"", ""zh"")"),"据信哪位中国皇帝曾演奏过琴子？")</f>
        <v>据信哪位中国皇帝曾演奏过琴子？</v>
      </c>
      <c r="I5" s="7" t="str">
        <f>IFERROR(__xludf.DUMMYFUNCTION("GOOGLETRANSLATE(C5, ""en"", ""zh"")"),"A) 秦始皇，B) 唐太宗，C) 永乐皇帝，D) 康熙皇帝")</f>
        <v>A) 秦始皇，B) 唐太宗，C) 永乐皇帝，D) 康熙皇帝</v>
      </c>
      <c r="J5" s="7" t="str">
        <f>IFERROR(__xludf.DUMMYFUNCTION("GOOGLETRANSLATE(D5, ""en"", ""zh"")"),"B）唐太宗")</f>
        <v>B）唐太宗</v>
      </c>
      <c r="K5" s="7" t="str">
        <f>IFERROR(__xludf.DUMMYFUNCTION("GOOGLETRANSLATE(E5, ""en"", ""zh"")"),"唐太宗皇帝喜爱玩琴子。")</f>
        <v>唐太宗皇帝喜爱玩琴子。</v>
      </c>
      <c r="L5" s="10"/>
      <c r="M5" s="11"/>
      <c r="N5" s="10"/>
      <c r="O5" s="11"/>
      <c r="P5" s="10"/>
      <c r="Q5" s="10"/>
      <c r="R5" s="10"/>
      <c r="S5" s="10"/>
      <c r="T5" s="10"/>
      <c r="U5" s="10"/>
      <c r="V5" s="10"/>
      <c r="W5" s="10"/>
      <c r="X5" s="10"/>
      <c r="Y5" s="10"/>
      <c r="Z5" s="10"/>
      <c r="AA5" s="10"/>
      <c r="AB5" s="10"/>
    </row>
    <row r="6">
      <c r="A6" s="7">
        <v>5.0</v>
      </c>
      <c r="B6" s="9" t="s">
        <v>1374</v>
      </c>
      <c r="C6" s="9" t="s">
        <v>1375</v>
      </c>
      <c r="D6" s="9" t="s">
        <v>1376</v>
      </c>
      <c r="E6" s="9" t="s">
        <v>1377</v>
      </c>
      <c r="F6" s="10"/>
      <c r="G6" s="10"/>
      <c r="H6" s="7" t="str">
        <f>IFERROR(__xludf.DUMMYFUNCTION("GOOGLETRANSLATE(B6, ""en"", ""zh"")"),"在中国，煎子通常是在哪种类型的活动中表演的？")</f>
        <v>在中国，煎子通常是在哪种类型的活动中表演的？</v>
      </c>
      <c r="I6" s="7" t="str">
        <f>IFERROR(__xludf.DUMMYFUNCTION("GOOGLETRANSLATE(C6, ""en"", ""zh"")"),"A) 传统节日，B) 军事训练，C) 宗教仪式，D) 宫廷娱乐")</f>
        <v>A) 传统节日，B) 军事训练，C) 宗教仪式，D) 宫廷娱乐</v>
      </c>
      <c r="J6" s="7" t="str">
        <f>IFERROR(__xludf.DUMMYFUNCTION("GOOGLETRANSLATE(D6, ""en"", ""zh"")"),"A) 传统节日")</f>
        <v>A) 传统节日</v>
      </c>
      <c r="K6" s="7" t="str">
        <f>IFERROR(__xludf.DUMMYFUNCTION("GOOGLETRANSLATE(E6, ""en"", ""zh"")"),"琴子常在传统节日和文化活动中演奏。")</f>
        <v>琴子常在传统节日和文化活动中演奏。</v>
      </c>
      <c r="L6" s="10"/>
      <c r="M6" s="11"/>
      <c r="N6" s="11"/>
      <c r="O6" s="11"/>
      <c r="P6" s="10"/>
      <c r="Q6" s="10"/>
      <c r="R6" s="10"/>
      <c r="S6" s="10"/>
      <c r="T6" s="10"/>
      <c r="U6" s="10"/>
      <c r="V6" s="10"/>
      <c r="W6" s="10"/>
      <c r="X6" s="10"/>
      <c r="Y6" s="10"/>
      <c r="Z6" s="10"/>
      <c r="AA6" s="10"/>
      <c r="AB6" s="10"/>
    </row>
    <row r="7">
      <c r="A7" s="7">
        <v>6.0</v>
      </c>
      <c r="B7" s="9" t="s">
        <v>1378</v>
      </c>
      <c r="C7" s="9" t="s">
        <v>1379</v>
      </c>
      <c r="D7" s="9" t="s">
        <v>1380</v>
      </c>
      <c r="E7" s="9" t="s">
        <v>1381</v>
      </c>
      <c r="F7" s="10"/>
      <c r="G7" s="10"/>
      <c r="H7" s="7" t="str">
        <f>IFERROR(__xludf.DUMMYFUNCTION("GOOGLETRANSLATE(B7, ""en"", ""zh"")"),"尖子的发源地被认为是中国的哪个地区？")</f>
        <v>尖子的发源地被认为是中国的哪个地区？</v>
      </c>
      <c r="I7" s="7" t="str">
        <f>IFERROR(__xludf.DUMMYFUNCTION("GOOGLETRANSLATE(C7, ""en"", ""zh"")"),"A）北京，B）浙江，C）山西，D）陕西")</f>
        <v>A）北京，B）浙江，C）山西，D）陕西</v>
      </c>
      <c r="J7" s="7" t="str">
        <f>IFERROR(__xludf.DUMMYFUNCTION("GOOGLETRANSLATE(D7, ""en"", ""zh"")"),"A) 北京")</f>
        <v>A) 北京</v>
      </c>
      <c r="K7" s="7" t="str">
        <f>IFERROR(__xludf.DUMMYFUNCTION("GOOGLETRANSLATE(E7, ""en"", ""zh"")"),"煎子据信起源于北京，并传播到中国各地。")</f>
        <v>煎子据信起源于北京，并传播到中国各地。</v>
      </c>
      <c r="L7" s="10"/>
      <c r="M7" s="11"/>
      <c r="N7" s="10"/>
      <c r="O7" s="11"/>
      <c r="P7" s="11"/>
      <c r="Q7" s="10"/>
      <c r="R7" s="10"/>
      <c r="S7" s="10"/>
      <c r="T7" s="10"/>
      <c r="U7" s="10"/>
      <c r="V7" s="10"/>
      <c r="W7" s="10"/>
      <c r="X7" s="10"/>
      <c r="Y7" s="10"/>
      <c r="Z7" s="10"/>
      <c r="AA7" s="10"/>
      <c r="AB7" s="10"/>
    </row>
    <row r="8">
      <c r="A8" s="7">
        <v>7.0</v>
      </c>
      <c r="B8" s="9" t="s">
        <v>1382</v>
      </c>
      <c r="C8" s="9" t="s">
        <v>1383</v>
      </c>
      <c r="D8" s="9" t="s">
        <v>1384</v>
      </c>
      <c r="E8" s="9" t="s">
        <v>1385</v>
      </c>
      <c r="F8" s="10"/>
      <c r="G8" s="10"/>
      <c r="H8" s="7" t="str">
        <f>IFERROR(__xludf.DUMMYFUNCTION("GOOGLETRANSLATE(B8, ""en"", ""zh"")"),"现代体育赛事中哪些融入了毽子的元素？")</f>
        <v>现代体育赛事中哪些融入了毽子的元素？</v>
      </c>
      <c r="I8" s="7" t="str">
        <f>IFERROR(__xludf.DUMMYFUNCTION("GOOGLETRANSLATE(C8, ""en"", ""zh"")"),"A) 亚运会，B) 奥运会，C) 世界杯，D) 英联邦运动会")</f>
        <v>A) 亚运会，B) 奥运会，C) 世界杯，D) 英联邦运动会</v>
      </c>
      <c r="J8" s="7" t="str">
        <f>IFERROR(__xludf.DUMMYFUNCTION("GOOGLETRANSLATE(D8, ""en"", ""zh"")"),"A) 亚运会")</f>
        <v>A) 亚运会</v>
      </c>
      <c r="K8" s="7" t="str">
        <f>IFERROR(__xludf.DUMMYFUNCTION("GOOGLETRANSLATE(E8, ""en"", ""zh"")"),"溏心舞曾作为表演项目参加亚运会。")</f>
        <v>溏心舞曾作为表演项目参加亚运会。</v>
      </c>
      <c r="L8" s="10"/>
      <c r="M8" s="11"/>
      <c r="N8" s="10"/>
      <c r="O8" s="11"/>
      <c r="P8" s="11"/>
      <c r="Q8" s="10"/>
      <c r="R8" s="10"/>
      <c r="S8" s="10"/>
      <c r="T8" s="10"/>
      <c r="U8" s="10"/>
      <c r="V8" s="10"/>
      <c r="W8" s="10"/>
      <c r="X8" s="10"/>
      <c r="Y8" s="10"/>
      <c r="Z8" s="10"/>
      <c r="AA8" s="10"/>
      <c r="AB8" s="10"/>
    </row>
    <row r="9">
      <c r="A9" s="7">
        <v>8.0</v>
      </c>
      <c r="B9" s="9" t="s">
        <v>1386</v>
      </c>
      <c r="C9" s="9" t="s">
        <v>1387</v>
      </c>
      <c r="D9" s="9" t="s">
        <v>1388</v>
      </c>
      <c r="E9" s="9" t="s">
        <v>1389</v>
      </c>
      <c r="F9" s="10"/>
      <c r="G9" s="10"/>
      <c r="H9" s="7" t="str">
        <f>IFERROR(__xludf.DUMMYFUNCTION("GOOGLETRANSLATE(B9, ""en"", ""zh"")"),"当今专业溏子表演的共同特点是什么？")</f>
        <v>当今专业溏子表演的共同特点是什么？</v>
      </c>
      <c r="I9" s="7" t="str">
        <f>IFERROR(__xludf.DUMMYFUNCTION("GOOGLETRANSLATE(C9, ""en"", ""zh"")"),"A) 个人表演，B) 团体表演，C) 比赛，D) 公开展览")</f>
        <v>A) 个人表演，B) 团体表演，C) 比赛，D) 公开展览</v>
      </c>
      <c r="J9" s="7" t="str">
        <f>IFERROR(__xludf.DUMMYFUNCTION("GOOGLETRANSLATE(D9, ""en"", ""zh"")"),"C) 比赛")</f>
        <v>C) 比赛</v>
      </c>
      <c r="K9" s="7" t="str">
        <f>IFERROR(__xludf.DUMMYFUNCTION("GOOGLETRANSLATE(E9, ""en"", ""zh"")"),"专业毽子表演经常在考验技巧和耐力的比赛中进行。")</f>
        <v>专业毽子表演经常在考验技巧和耐力的比赛中进行。</v>
      </c>
      <c r="L9" s="10"/>
      <c r="M9" s="11"/>
      <c r="N9" s="10"/>
      <c r="O9" s="11"/>
      <c r="P9" s="11"/>
      <c r="Q9" s="10"/>
      <c r="R9" s="10"/>
      <c r="S9" s="10"/>
      <c r="T9" s="10"/>
      <c r="U9" s="10"/>
      <c r="V9" s="10"/>
      <c r="W9" s="10"/>
      <c r="X9" s="10"/>
      <c r="Y9" s="10"/>
      <c r="Z9" s="10"/>
      <c r="AA9" s="10"/>
      <c r="AB9" s="10"/>
    </row>
    <row r="10">
      <c r="A10" s="7">
        <v>9.0</v>
      </c>
      <c r="B10" s="9" t="s">
        <v>1390</v>
      </c>
      <c r="C10" s="9" t="s">
        <v>1391</v>
      </c>
      <c r="D10" s="9" t="s">
        <v>1267</v>
      </c>
      <c r="E10" s="9" t="s">
        <v>1392</v>
      </c>
      <c r="F10" s="10"/>
      <c r="G10" s="10"/>
      <c r="H10" s="7" t="str">
        <f>IFERROR(__xludf.DUMMYFUNCTION("GOOGLETRANSLATE(B10, ""en"", ""zh"")"),"中国哪个城市每年举办世界煎子大赛？")</f>
        <v>中国哪个城市每年举办世界煎子大赛？</v>
      </c>
      <c r="I10" s="7" t="str">
        <f>IFERROR(__xludf.DUMMYFUNCTION("GOOGLETRANSLATE(C10, ""en"", ""zh"")"),"A) 上海，B) 北京，C) 香港，D) 广州")</f>
        <v>A) 上海，B) 北京，C) 香港，D) 广州</v>
      </c>
      <c r="J10" s="7" t="str">
        <f>IFERROR(__xludf.DUMMYFUNCTION("GOOGLETRANSLATE(D10, ""en"", ""zh"")"),"B) 北京")</f>
        <v>B) 北京</v>
      </c>
      <c r="K10" s="7" t="str">
        <f>IFERROR(__xludf.DUMMYFUNCTION("GOOGLETRANSLATE(E10, ""en"", ""zh"")"),"北京每年举办世界琴子大赛，吸引着来自世界各地的顶尖琴手参赛。")</f>
        <v>北京每年举办世界琴子大赛，吸引着来自世界各地的顶尖琴手参赛。</v>
      </c>
      <c r="L10" s="10"/>
      <c r="M10" s="11"/>
      <c r="N10" s="10"/>
      <c r="O10" s="11"/>
      <c r="P10" s="10"/>
      <c r="Q10" s="10"/>
      <c r="R10" s="10"/>
      <c r="S10" s="10"/>
      <c r="T10" s="10"/>
      <c r="U10" s="10"/>
      <c r="V10" s="10"/>
      <c r="W10" s="10"/>
      <c r="X10" s="10"/>
      <c r="Y10" s="10"/>
      <c r="Z10" s="10"/>
      <c r="AA10" s="10"/>
      <c r="AB10" s="10"/>
    </row>
    <row r="11">
      <c r="A11" s="7">
        <v>10.0</v>
      </c>
      <c r="B11" s="9" t="s">
        <v>1393</v>
      </c>
      <c r="C11" s="9" t="s">
        <v>1394</v>
      </c>
      <c r="D11" s="9" t="s">
        <v>1395</v>
      </c>
      <c r="E11" s="9" t="s">
        <v>1396</v>
      </c>
      <c r="F11" s="10"/>
      <c r="G11" s="10"/>
      <c r="H11" s="7" t="str">
        <f>IFERROR(__xludf.DUMMYFUNCTION("GOOGLETRANSLATE(B11, ""en"", ""zh"")"),"戬子最初是一种用羽毛状物体进行的游戏，目的是训练哪种类型的战士？")</f>
        <v>戬子最初是一种用羽毛状物体进行的游戏，目的是训练哪种类型的战士？</v>
      </c>
      <c r="I11" s="7" t="str">
        <f>IFERROR(__xludf.DUMMYFUNCTION("GOOGLETRANSLATE(C11, ""en"", ""zh"")"),"A) 弓箭手，B) 骑兵，C) 步兵，D) 水手")</f>
        <v>A) 弓箭手，B) 骑兵，C) 步兵，D) 水手</v>
      </c>
      <c r="J11" s="7" t="str">
        <f>IFERROR(__xludf.DUMMYFUNCTION("GOOGLETRANSLATE(D11, ""en"", ""zh"")"),"C) 步兵")</f>
        <v>C) 步兵</v>
      </c>
      <c r="K11" s="7" t="str">
        <f>IFERROR(__xludf.DUMMYFUNCTION("GOOGLETRANSLATE(E11, ""en"", ""zh"")"),"剑子最初是作为步兵训练工具而开发的，目的是提高士兵的敏捷性。")</f>
        <v>剑子最初是作为步兵训练工具而开发的，目的是提高士兵的敏捷性。</v>
      </c>
      <c r="L11" s="10"/>
      <c r="M11" s="11"/>
      <c r="N11" s="10"/>
      <c r="O11" s="11"/>
      <c r="P11" s="10"/>
      <c r="Q11" s="10"/>
      <c r="R11" s="10"/>
      <c r="S11" s="10"/>
      <c r="T11" s="10"/>
      <c r="U11" s="10"/>
      <c r="V11" s="10"/>
      <c r="W11" s="10"/>
      <c r="X11" s="10"/>
      <c r="Y11" s="10"/>
      <c r="Z11" s="10"/>
      <c r="AA11" s="10"/>
      <c r="AB11" s="10"/>
    </row>
    <row r="12">
      <c r="A12" s="7">
        <v>11.0</v>
      </c>
      <c r="B12" s="9" t="s">
        <v>1397</v>
      </c>
      <c r="C12" s="9" t="s">
        <v>1398</v>
      </c>
      <c r="D12" s="9" t="s">
        <v>1399</v>
      </c>
      <c r="E12" s="9" t="s">
        <v>1400</v>
      </c>
      <c r="F12" s="10"/>
      <c r="G12" s="10"/>
      <c r="H12" s="7" t="str">
        <f>IFERROR(__xludf.DUMMYFUNCTION("GOOGLETRANSLATE(B12, ""en"", ""zh"")"),"在步法方面，以下哪项现代运动受剑子的影响最大？")</f>
        <v>在步法方面，以下哪项现代运动受剑子的影响最大？</v>
      </c>
      <c r="I12" s="7" t="str">
        <f>IFERROR(__xludf.DUMMYFUNCTION("GOOGLETRANSLATE(C12, ""en"", ""zh"")"),"A) 足球，B) 羽毛球，C) 排球，D) 篮球")</f>
        <v>A) 足球，B) 羽毛球，C) 排球，D) 篮球</v>
      </c>
      <c r="J12" s="7" t="str">
        <f>IFERROR(__xludf.DUMMYFUNCTION("GOOGLETRANSLATE(D12, ""en"", ""zh"")"),"B) 羽毛球")</f>
        <v>B) 羽毛球</v>
      </c>
      <c r="K12" s="7" t="str">
        <f>IFERROR(__xludf.DUMMYFUNCTION("GOOGLETRANSLATE(E12, ""en"", ""zh"")"),"羽毛球的步法和敏捷性很大程度上受到毽子技术的影响。")</f>
        <v>羽毛球的步法和敏捷性很大程度上受到毽子技术的影响。</v>
      </c>
      <c r="L12" s="11"/>
      <c r="M12" s="11"/>
      <c r="N12" s="10"/>
      <c r="O12" s="11"/>
      <c r="P12" s="11"/>
      <c r="Q12" s="10"/>
      <c r="R12" s="10"/>
      <c r="S12" s="10"/>
      <c r="T12" s="10"/>
      <c r="U12" s="10"/>
      <c r="V12" s="10"/>
      <c r="W12" s="10"/>
      <c r="X12" s="10"/>
      <c r="Y12" s="10"/>
      <c r="Z12" s="10"/>
      <c r="AA12" s="10"/>
      <c r="AB12" s="10"/>
    </row>
    <row r="13">
      <c r="A13" s="7">
        <v>12.0</v>
      </c>
      <c r="B13" s="9" t="s">
        <v>1401</v>
      </c>
      <c r="C13" s="9" t="s">
        <v>1402</v>
      </c>
      <c r="D13" s="9" t="s">
        <v>1403</v>
      </c>
      <c r="E13" s="9" t="s">
        <v>1404</v>
      </c>
      <c r="F13" s="10"/>
      <c r="G13" s="10"/>
      <c r="H13" s="7" t="str">
        <f>IFERROR(__xludf.DUMMYFUNCTION("GOOGLETRANSLATE(B13, ""en"", ""zh"")"),"唐代人常吃煎子的是什么？")</f>
        <v>唐代人常吃煎子的是什么？</v>
      </c>
      <c r="I13" s="7" t="str">
        <f>IFERROR(__xludf.DUMMYFUNCTION("GOOGLETRANSLATE(C13, ""en"", ""zh"")"),"A) 单独玩耍，B) 组队玩耍，C) 表演特技，D) 在街头集体玩耍")</f>
        <v>A) 单独玩耍，B) 组队玩耍，C) 表演特技，D) 在街头集体玩耍</v>
      </c>
      <c r="J13" s="7" t="str">
        <f>IFERROR(__xludf.DUMMYFUNCTION("GOOGLETRANSLATE(D13, ""en"", ""zh"")"),"D）在街头结伴玩耍")</f>
        <v>D）在街头结伴玩耍</v>
      </c>
      <c r="K13" s="7" t="str">
        <f>IFERROR(__xludf.DUMMYFUNCTION("GOOGLETRANSLATE(E13, ""en"", ""zh"")"),"唐朝时期，人们经常聚集在街头巷尾，成群结队地玩琴子。")</f>
        <v>唐朝时期，人们经常聚集在街头巷尾，成群结队地玩琴子。</v>
      </c>
      <c r="L13" s="11"/>
      <c r="M13" s="11"/>
      <c r="N13" s="11"/>
      <c r="O13" s="11"/>
      <c r="P13" s="11"/>
      <c r="Q13" s="10"/>
      <c r="R13" s="10"/>
      <c r="S13" s="10"/>
      <c r="T13" s="10"/>
      <c r="U13" s="10"/>
      <c r="V13" s="10"/>
      <c r="W13" s="10"/>
      <c r="X13" s="10"/>
      <c r="Y13" s="10"/>
      <c r="Z13" s="10"/>
      <c r="AA13" s="10"/>
      <c r="AB13" s="10"/>
    </row>
    <row r="14">
      <c r="A14" s="7">
        <v>13.0</v>
      </c>
      <c r="B14" s="9" t="s">
        <v>1405</v>
      </c>
      <c r="C14" s="9" t="s">
        <v>1406</v>
      </c>
      <c r="D14" s="9" t="s">
        <v>1407</v>
      </c>
      <c r="E14" s="9" t="s">
        <v>1408</v>
      </c>
      <c r="F14" s="10"/>
      <c r="G14" s="10"/>
      <c r="H14" s="7" t="str">
        <f>IFERROR(__xludf.DUMMYFUNCTION("GOOGLETRANSLATE(B14, ""en"", ""zh"")"),"毽子作为一种体育锻炼和娱乐方式，在哪个世纪开始流行？")</f>
        <v>毽子作为一种体育锻炼和娱乐方式，在哪个世纪开始流行？</v>
      </c>
      <c r="I14" s="7" t="str">
        <f>IFERROR(__xludf.DUMMYFUNCTION("GOOGLETRANSLATE(C14, ""en"", ""zh"")"),"A) 公元前5世纪，B) 10世纪，C) 18世纪，D) 20世纪")</f>
        <v>A) 公元前5世纪，B) 10世纪，C) 18世纪，D) 20世纪</v>
      </c>
      <c r="J14" s="7" t="str">
        <f>IFERROR(__xludf.DUMMYFUNCTION("GOOGLETRANSLATE(D14, ""en"", ""zh"")"),"D) 20世纪")</f>
        <v>D) 20世纪</v>
      </c>
      <c r="K14" s="7" t="str">
        <f>IFERROR(__xludf.DUMMYFUNCTION("GOOGLETRANSLATE(E14, ""en"", ""zh"")"),"20世纪，练琴在中国成为一项流行的休闲和运动活动。")</f>
        <v>20世纪，练琴在中国成为一项流行的休闲和运动活动。</v>
      </c>
      <c r="L14" s="11"/>
      <c r="M14" s="11"/>
      <c r="N14" s="10"/>
      <c r="O14" s="11"/>
      <c r="P14" s="10"/>
      <c r="Q14" s="10"/>
      <c r="R14" s="10"/>
      <c r="S14" s="10"/>
      <c r="T14" s="10"/>
      <c r="U14" s="10"/>
      <c r="V14" s="10"/>
      <c r="W14" s="10"/>
      <c r="X14" s="10"/>
      <c r="Y14" s="10"/>
      <c r="Z14" s="10"/>
      <c r="AA14" s="10"/>
      <c r="AB14" s="10"/>
    </row>
    <row r="15">
      <c r="A15" s="7">
        <v>14.0</v>
      </c>
      <c r="B15" s="9" t="s">
        <v>1409</v>
      </c>
      <c r="C15" s="9" t="s">
        <v>1410</v>
      </c>
      <c r="D15" s="9" t="s">
        <v>1411</v>
      </c>
      <c r="E15" s="9" t="s">
        <v>1412</v>
      </c>
      <c r="F15" s="10"/>
      <c r="G15" s="10"/>
      <c r="H15" s="7" t="str">
        <f>IFERROR(__xludf.DUMMYFUNCTION("GOOGLETRANSLATE(B15, ""en"", ""zh"")"),"传统毽子所用的毽子通常有多大？")</f>
        <v>传统毽子所用的毽子通常有多大？</v>
      </c>
      <c r="I15" s="7" t="str">
        <f>IFERROR(__xludf.DUMMYFUNCTION("GOOGLETRANSLATE(C15, ""en"", ""zh"")"),"A) 5 厘米，B) 10 厘米，C) 20 厘米，D) 30 厘米")</f>
        <v>A) 5 厘米，B) 10 厘米，C) 20 厘米，D) 30 厘米</v>
      </c>
      <c r="J15" s="7" t="str">
        <f>IFERROR(__xludf.DUMMYFUNCTION("GOOGLETRANSLATE(D15, ""en"", ""zh"")"),"C) 20 厘米")</f>
        <v>C) 20 厘米</v>
      </c>
      <c r="K15" s="7" t="str">
        <f>IFERROR(__xludf.DUMMYFUNCTION("GOOGLETRANSLATE(E15, ""en"", ""zh"")"),"传统的毽子直径通常在20厘米左右。")</f>
        <v>传统的毽子直径通常在20厘米左右。</v>
      </c>
      <c r="L15" s="10"/>
      <c r="M15" s="11"/>
      <c r="N15" s="11"/>
      <c r="O15" s="11"/>
      <c r="P15" s="11"/>
      <c r="Q15" s="10"/>
      <c r="R15" s="10"/>
      <c r="S15" s="10"/>
      <c r="T15" s="10"/>
      <c r="U15" s="10"/>
      <c r="V15" s="10"/>
      <c r="W15" s="10"/>
      <c r="X15" s="10"/>
      <c r="Y15" s="10"/>
      <c r="Z15" s="10"/>
      <c r="AA15" s="10"/>
      <c r="AB15" s="10"/>
    </row>
    <row r="16">
      <c r="A16" s="7">
        <v>15.0</v>
      </c>
      <c r="B16" s="9" t="s">
        <v>1413</v>
      </c>
      <c r="C16" s="9" t="s">
        <v>1414</v>
      </c>
      <c r="D16" s="9" t="s">
        <v>1415</v>
      </c>
      <c r="E16" s="9" t="s">
        <v>1416</v>
      </c>
      <c r="F16" s="10"/>
      <c r="G16" s="10"/>
      <c r="H16" s="7" t="str">
        <f>IFERROR(__xludf.DUMMYFUNCTION("GOOGLETRANSLATE(B16, ""en"", ""zh"")"),"历史上，毽子底部通常使用以下哪种材料制作？")</f>
        <v>历史上，毽子底部通常使用以下哪种材料制作？</v>
      </c>
      <c r="I16" s="7" t="str">
        <f>IFERROR(__xludf.DUMMYFUNCTION("GOOGLETRANSLATE(C16, ""en"", ""zh"")"),"A) 木材，B) 竹子，C) 金属，D) 塑料")</f>
        <v>A) 木材，B) 竹子，C) 金属，D) 塑料</v>
      </c>
      <c r="J16" s="7" t="str">
        <f>IFERROR(__xludf.DUMMYFUNCTION("GOOGLETRANSLATE(D16, ""en"", ""zh"")"),"B）竹子")</f>
        <v>B）竹子</v>
      </c>
      <c r="K16" s="7" t="str">
        <f>IFERROR(__xludf.DUMMYFUNCTION("GOOGLETRANSLATE(E16, ""en"", ""zh"")"),"毽子的底部传统上是用竹子或其他轻质材料制成的。")</f>
        <v>毽子的底部传统上是用竹子或其他轻质材料制成的。</v>
      </c>
      <c r="L16" s="10"/>
      <c r="M16" s="11"/>
      <c r="N16" s="10"/>
      <c r="O16" s="11"/>
      <c r="P16" s="11"/>
      <c r="Q16" s="10"/>
      <c r="R16" s="10"/>
      <c r="S16" s="10"/>
      <c r="T16" s="10"/>
      <c r="U16" s="10"/>
      <c r="V16" s="10"/>
      <c r="W16" s="10"/>
      <c r="X16" s="10"/>
      <c r="Y16" s="10"/>
      <c r="Z16" s="10"/>
      <c r="AA16" s="10"/>
      <c r="AB16" s="10"/>
    </row>
    <row r="17">
      <c r="A17" s="7">
        <v>16.0</v>
      </c>
      <c r="B17" s="9" t="s">
        <v>1417</v>
      </c>
      <c r="C17" s="9" t="s">
        <v>1418</v>
      </c>
      <c r="D17" s="9" t="s">
        <v>135</v>
      </c>
      <c r="E17" s="9" t="s">
        <v>1419</v>
      </c>
      <c r="F17" s="10"/>
      <c r="G17" s="10"/>
      <c r="H17" s="7" t="str">
        <f>IFERROR(__xludf.DUMMYFUNCTION("GOOGLETRANSLATE(B17, ""en"", ""zh"")"),"毽子是在哪个时期被广泛认可为中国传统体育运动的一种形式？")</f>
        <v>毽子是在哪个时期被广泛认可为中国传统体育运动的一种形式？</v>
      </c>
      <c r="I17" s="7" t="str">
        <f>IFERROR(__xludf.DUMMYFUNCTION("GOOGLETRANSLATE(C17, ""en"", ""zh"")"),"A) 汉朝，B) 唐朝，C) 清朝，D) 中华民国")</f>
        <v>A) 汉朝，B) 唐朝，C) 清朝，D) 中华民国</v>
      </c>
      <c r="J17" s="7" t="str">
        <f>IFERROR(__xludf.DUMMYFUNCTION("GOOGLETRANSLATE(D17, ""en"", ""zh"")"),"B）唐朝")</f>
        <v>B）唐朝</v>
      </c>
      <c r="K17" s="7" t="str">
        <f>IFERROR(__xludf.DUMMYFUNCTION("GOOGLETRANSLATE(E17, ""en"", ""zh"")"),"唐朝时期，刺子在中国兴起，成为一项广受欢迎的运动。")</f>
        <v>唐朝时期，刺子在中国兴起，成为一项广受欢迎的运动。</v>
      </c>
      <c r="L17" s="10"/>
      <c r="M17" s="11"/>
      <c r="N17" s="10"/>
      <c r="O17" s="11"/>
      <c r="P17" s="10"/>
      <c r="Q17" s="10"/>
      <c r="R17" s="10"/>
      <c r="S17" s="10"/>
      <c r="T17" s="10"/>
      <c r="U17" s="10"/>
      <c r="V17" s="10"/>
      <c r="W17" s="10"/>
      <c r="X17" s="10"/>
      <c r="Y17" s="10"/>
      <c r="Z17" s="10"/>
      <c r="AA17" s="10"/>
      <c r="AB17" s="10"/>
    </row>
    <row r="18">
      <c r="A18" s="7">
        <v>17.0</v>
      </c>
      <c r="B18" s="9" t="s">
        <v>1420</v>
      </c>
      <c r="C18" s="9" t="s">
        <v>1421</v>
      </c>
      <c r="D18" s="9" t="s">
        <v>1422</v>
      </c>
      <c r="E18" s="9" t="s">
        <v>1423</v>
      </c>
      <c r="F18" s="10"/>
      <c r="G18" s="10"/>
      <c r="H18" s="7" t="str">
        <f>IFERROR(__xludf.DUMMYFUNCTION("GOOGLETRANSLATE(B18, ""en"", ""zh"")"),"哪位中国皇帝制定了溏子比赛的规则？")</f>
        <v>哪位中国皇帝制定了溏子比赛的规则？</v>
      </c>
      <c r="I18" s="7" t="str">
        <f>IFERROR(__xludf.DUMMYFUNCTION("GOOGLETRANSLATE(C18, ""en"", ""zh"")"),"A) 汉武帝，B) 唐太宗，C) 康熙皇帝，D) 永乐皇帝")</f>
        <v>A) 汉武帝，B) 唐太宗，C) 康熙皇帝，D) 永乐皇帝</v>
      </c>
      <c r="J18" s="7" t="str">
        <f>IFERROR(__xludf.DUMMYFUNCTION("GOOGLETRANSLATE(D18, ""en"", ""zh"")"),"A) 武帝")</f>
        <v>A) 武帝</v>
      </c>
      <c r="K18" s="7" t="str">
        <f>IFERROR(__xludf.DUMMYFUNCTION("GOOGLETRANSLATE(E18, ""en"", ""zh"")"),"汉武帝制定了剑术比赛的规则，并因此而闻名。")</f>
        <v>汉武帝制定了剑术比赛的规则，并因此而闻名。</v>
      </c>
      <c r="L18" s="11"/>
      <c r="M18" s="11"/>
      <c r="N18" s="10"/>
      <c r="O18" s="11"/>
      <c r="P18" s="10"/>
      <c r="Q18" s="10"/>
      <c r="R18" s="10"/>
      <c r="S18" s="10"/>
      <c r="T18" s="10"/>
      <c r="U18" s="10"/>
      <c r="V18" s="10"/>
      <c r="W18" s="10"/>
      <c r="X18" s="10"/>
      <c r="Y18" s="10"/>
      <c r="Z18" s="10"/>
      <c r="AA18" s="10"/>
      <c r="AB18" s="10"/>
    </row>
    <row r="19">
      <c r="A19" s="7">
        <v>18.0</v>
      </c>
      <c r="B19" s="9" t="s">
        <v>1424</v>
      </c>
      <c r="C19" s="9" t="s">
        <v>1425</v>
      </c>
      <c r="D19" s="9" t="s">
        <v>1426</v>
      </c>
      <c r="E19" s="9" t="s">
        <v>1427</v>
      </c>
      <c r="F19" s="10"/>
      <c r="G19" s="10"/>
      <c r="H19" s="7" t="str">
        <f>IFERROR(__xludf.DUMMYFUNCTION("GOOGLETRANSLATE(B19, ""en"", ""zh"")"),"在中国，如今人们通常把殺子与哪种类型的事件联系起来？")</f>
        <v>在中国，如今人们通常把殺子与哪种类型的事件联系起来？</v>
      </c>
      <c r="I19" s="7" t="str">
        <f>IFERROR(__xludf.DUMMYFUNCTION("GOOGLETRANSLATE(C19, ""en"", ""zh"")"),"A) 国定假日，B) 传统节日，C) 阅兵式，D) 政治集会")</f>
        <v>A) 国定假日，B) 传统节日，C) 阅兵式，D) 政治集会</v>
      </c>
      <c r="J19" s="7" t="str">
        <f>IFERROR(__xludf.DUMMYFUNCTION("GOOGLETRANSLATE(D19, ""en"", ""zh"")"),"B) 传统节日")</f>
        <v>B) 传统节日</v>
      </c>
      <c r="K19" s="7" t="str">
        <f>IFERROR(__xludf.DUMMYFUNCTION("GOOGLETRANSLATE(E19, ""en"", ""zh"")"),"煎子经常出现在中国各地的文化节庆活动中，尤其是在农历新年期间。")</f>
        <v>煎子经常出现在中国各地的文化节庆活动中，尤其是在农历新年期间。</v>
      </c>
      <c r="L19" s="10"/>
      <c r="M19" s="11"/>
      <c r="N19" s="10"/>
      <c r="O19" s="11"/>
      <c r="P19" s="11"/>
      <c r="Q19" s="10"/>
      <c r="R19" s="10"/>
      <c r="S19" s="10"/>
      <c r="T19" s="10"/>
      <c r="U19" s="10"/>
      <c r="V19" s="10"/>
      <c r="W19" s="10"/>
      <c r="X19" s="10"/>
      <c r="Y19" s="10"/>
      <c r="Z19" s="10"/>
      <c r="AA19" s="10"/>
      <c r="AB19" s="10"/>
    </row>
    <row r="20">
      <c r="A20" s="7">
        <v>19.0</v>
      </c>
      <c r="B20" s="9" t="s">
        <v>1428</v>
      </c>
      <c r="C20" s="9" t="s">
        <v>1429</v>
      </c>
      <c r="D20" s="9" t="s">
        <v>1430</v>
      </c>
      <c r="E20" s="9" t="s">
        <v>1431</v>
      </c>
      <c r="F20" s="10"/>
      <c r="G20" s="10"/>
      <c r="H20" s="7" t="str">
        <f>IFERROR(__xludf.DUMMYFUNCTION("GOOGLETRANSLATE(B20, ""en"", ""zh"")"),"剑子作为一项体育运动的发展始于哪个历史时期？")</f>
        <v>剑子作为一项体育运动的发展始于哪个历史时期？</v>
      </c>
      <c r="I20" s="7" t="str">
        <f>IFERROR(__xludf.DUMMYFUNCTION("GOOGLETRANSLATE(C20, ""en"", ""zh"")"),"A) 周朝，B) 汉朝，C) 唐朝，D) 清朝")</f>
        <v>A) 周朝，B) 汉朝，C) 唐朝，D) 清朝</v>
      </c>
      <c r="J20" s="7" t="str">
        <f>IFERROR(__xludf.DUMMYFUNCTION("GOOGLETRANSLATE(D20, ""en"", ""zh"")"),"A) 周朝")</f>
        <v>A) 周朝</v>
      </c>
      <c r="K20" s="7" t="str">
        <f>IFERROR(__xludf.DUMMYFUNCTION("GOOGLETRANSLATE(E20, ""en"", ""zh"")"),"剑子起源于周朝（公元前1046-256年），最初是一种军事训练活动。")</f>
        <v>剑子起源于周朝（公元前1046-256年），最初是一种军事训练活动。</v>
      </c>
      <c r="L20" s="10"/>
      <c r="M20" s="11"/>
      <c r="N20" s="10"/>
      <c r="O20" s="11"/>
      <c r="P20" s="11"/>
      <c r="Q20" s="10"/>
      <c r="R20" s="10"/>
      <c r="S20" s="10"/>
      <c r="T20" s="10"/>
      <c r="U20" s="10"/>
      <c r="V20" s="10"/>
      <c r="W20" s="10"/>
      <c r="X20" s="10"/>
      <c r="Y20" s="10"/>
      <c r="Z20" s="10"/>
      <c r="AA20" s="10"/>
      <c r="AB20" s="10"/>
    </row>
    <row r="21">
      <c r="A21" s="7">
        <v>20.0</v>
      </c>
      <c r="B21" s="9" t="s">
        <v>1432</v>
      </c>
      <c r="C21" s="9" t="s">
        <v>1433</v>
      </c>
      <c r="D21" s="9" t="s">
        <v>1434</v>
      </c>
      <c r="E21" s="9" t="s">
        <v>1435</v>
      </c>
      <c r="F21" s="10"/>
      <c r="G21" s="10"/>
      <c r="H21" s="7" t="str">
        <f>IFERROR(__xludf.DUMMYFUNCTION("GOOGLETRANSLATE(B21, ""en"", ""zh"")"),"毽子所用的羽毛球的传统名称是什么？")</f>
        <v>毽子所用的羽毛球的传统名称是什么？</v>
      </c>
      <c r="I21" s="7" t="str">
        <f>IFERROR(__xludf.DUMMYFUNCTION("GOOGLETRANSLATE(C21, ""en"", ""zh"")"),"A) 体健，B) 飞直，C) 剪子，D) 评图")</f>
        <v>A) 体健，B) 飞直，C) 剪子，D) 评图</v>
      </c>
      <c r="J21" s="7" t="str">
        <f>IFERROR(__xludf.DUMMYFUNCTION("GOOGLETRANSLATE(D21, ""en"", ""zh"")"),"C) 剪子")</f>
        <v>C) 剪子</v>
      </c>
      <c r="K21" s="7" t="str">
        <f>IFERROR(__xludf.DUMMYFUNCTION("GOOGLETRANSLATE(E21, ""en"", ""zh"")"),"毽子所用的羽毛球也叫“毽子”，与这项运动本身的名称相同。")</f>
        <v>毽子所用的羽毛球也叫“毽子”，与这项运动本身的名称相同。</v>
      </c>
      <c r="L21" s="11"/>
      <c r="M21" s="11"/>
      <c r="N21" s="11"/>
      <c r="O21" s="11"/>
      <c r="P21" s="11"/>
      <c r="Q21" s="10"/>
      <c r="R21" s="10"/>
      <c r="S21" s="10"/>
      <c r="T21" s="10"/>
      <c r="U21" s="10"/>
      <c r="V21" s="10"/>
      <c r="W21" s="10"/>
      <c r="X21" s="10"/>
      <c r="Y21" s="10"/>
      <c r="Z21" s="10"/>
      <c r="AA21" s="10"/>
      <c r="AB21" s="10"/>
    </row>
    <row r="22">
      <c r="A22" s="7">
        <v>21.0</v>
      </c>
      <c r="B22" s="9" t="s">
        <v>1436</v>
      </c>
      <c r="C22" s="9" t="s">
        <v>1437</v>
      </c>
      <c r="D22" s="9" t="s">
        <v>105</v>
      </c>
      <c r="E22" s="9" t="s">
        <v>1438</v>
      </c>
      <c r="F22" s="10"/>
      <c r="G22" s="10"/>
      <c r="H22" s="7" t="str">
        <f>IFERROR(__xludf.DUMMYFUNCTION("GOOGLETRANSLATE(B22, ""en"", ""zh"")"),"哪个朝代首次有文字记载提及建子？")</f>
        <v>哪个朝代首次有文字记载提及建子？</v>
      </c>
      <c r="I22" s="7" t="str">
        <f>IFERROR(__xludf.DUMMYFUNCTION("GOOGLETRANSLATE(C22, ""en"", ""zh"")"),"A) 秦朝，B) 汉朝，C) 唐朝，D) 宋朝")</f>
        <v>A) 秦朝，B) 汉朝，C) 唐朝，D) 宋朝</v>
      </c>
      <c r="J22" s="7" t="str">
        <f>IFERROR(__xludf.DUMMYFUNCTION("GOOGLETRANSLATE(D22, ""en"", ""zh"")"),"B）汉朝")</f>
        <v>B）汉朝</v>
      </c>
      <c r="K22" s="7" t="str">
        <f>IFERROR(__xludf.DUMMYFUNCTION("GOOGLETRANSLATE(E22, ""en"", ""zh"")"),"剑子最早的文字记载出现在汉代（公元前206年-公元220年）。")</f>
        <v>剑子最早的文字记载出现在汉代（公元前206年-公元220年）。</v>
      </c>
      <c r="L22" s="10"/>
      <c r="M22" s="11"/>
      <c r="N22" s="10"/>
      <c r="O22" s="11"/>
      <c r="P22" s="11"/>
      <c r="Q22" s="10"/>
      <c r="R22" s="10"/>
      <c r="S22" s="10"/>
      <c r="T22" s="10"/>
      <c r="U22" s="10"/>
      <c r="V22" s="10"/>
      <c r="W22" s="10"/>
      <c r="X22" s="10"/>
      <c r="Y22" s="10"/>
      <c r="Z22" s="10"/>
      <c r="AA22" s="10"/>
      <c r="AB22" s="10"/>
    </row>
    <row r="23">
      <c r="A23" s="7">
        <v>22.0</v>
      </c>
      <c r="B23" s="9" t="s">
        <v>1439</v>
      </c>
      <c r="C23" s="9" t="s">
        <v>1130</v>
      </c>
      <c r="D23" s="9" t="s">
        <v>983</v>
      </c>
      <c r="E23" s="9" t="s">
        <v>1440</v>
      </c>
      <c r="F23" s="10"/>
      <c r="G23" s="10"/>
      <c r="H23" s="7" t="str">
        <f>IFERROR(__xludf.DUMMYFUNCTION("GOOGLETRANSLATE(B23, ""en"", ""zh"")"),"剑子是在中国皇室中流行起来的吗？")</f>
        <v>剑子是在中国皇室中流行起来的吗？</v>
      </c>
      <c r="I23" s="7" t="str">
        <f>IFERROR(__xludf.DUMMYFUNCTION("GOOGLETRANSLATE(C23, ""en"", ""zh"")"),"A) 唐朝，B) 宋朝，C) 元朝，D) 明朝")</f>
        <v>A) 唐朝，B) 宋朝，C) 元朝，D) 明朝</v>
      </c>
      <c r="J23" s="7" t="str">
        <f>IFERROR(__xludf.DUMMYFUNCTION("GOOGLETRANSLATE(D23, ""en"", ""zh"")"),"A) 唐朝")</f>
        <v>A) 唐朝</v>
      </c>
      <c r="K23" s="7" t="str">
        <f>IFERROR(__xludf.DUMMYFUNCTION("GOOGLETRANSLATE(E23, ""en"", ""zh"")"),"唐朝时期，刺子成为中国皇室宫廷喜爱的消遣活动。")</f>
        <v>唐朝时期，刺子成为中国皇室宫廷喜爱的消遣活动。</v>
      </c>
      <c r="L23" s="10"/>
      <c r="M23" s="11"/>
      <c r="N23" s="10"/>
      <c r="O23" s="11"/>
      <c r="P23" s="11"/>
      <c r="Q23" s="10"/>
      <c r="R23" s="10"/>
      <c r="S23" s="10"/>
      <c r="T23" s="10"/>
      <c r="U23" s="10"/>
      <c r="V23" s="10"/>
      <c r="W23" s="10"/>
      <c r="X23" s="10"/>
      <c r="Y23" s="10"/>
      <c r="Z23" s="10"/>
      <c r="AA23" s="10"/>
      <c r="AB23" s="10"/>
    </row>
    <row r="24">
      <c r="A24" s="7">
        <v>23.0</v>
      </c>
      <c r="B24" s="9" t="s">
        <v>1441</v>
      </c>
      <c r="C24" s="9" t="s">
        <v>1442</v>
      </c>
      <c r="D24" s="9" t="s">
        <v>1443</v>
      </c>
      <c r="E24" s="9" t="s">
        <v>1444</v>
      </c>
      <c r="F24" s="10"/>
      <c r="G24" s="10"/>
      <c r="H24" s="7" t="str">
        <f>IFERROR(__xludf.DUMMYFUNCTION("GOOGLETRANSLATE(B24, ""en"", ""zh"")"),"哪位皇帝酷爱演奏琴子？")</f>
        <v>哪位皇帝酷爱演奏琴子？</v>
      </c>
      <c r="I24" s="7" t="str">
        <f>IFERROR(__xludf.DUMMYFUNCTION("GOOGLETRANSLATE(C24, ""en"", ""zh"")"),"A) 汉武帝，B) 唐太宗，C) 清康熙帝，D) 明永乐帝")</f>
        <v>A) 汉武帝，B) 唐太宗，C) 清康熙帝，D) 明永乐帝</v>
      </c>
      <c r="J24" s="7" t="str">
        <f>IFERROR(__xludf.DUMMYFUNCTION("GOOGLETRANSLATE(D24, ""en"", ""zh"")"),"B) 唐太宗")</f>
        <v>B) 唐太宗</v>
      </c>
      <c r="K24" s="7" t="str">
        <f>IFERROR(__xludf.DUMMYFUNCTION("GOOGLETRANSLATE(E24, ""en"", ""zh"")"),"唐太宗以喜爱煎子而闻名。")</f>
        <v>唐太宗以喜爱煎子而闻名。</v>
      </c>
      <c r="L24" s="11"/>
      <c r="M24" s="11"/>
      <c r="N24" s="10"/>
      <c r="O24" s="11"/>
      <c r="P24" s="11"/>
      <c r="Q24" s="10"/>
      <c r="R24" s="10"/>
      <c r="S24" s="10"/>
      <c r="T24" s="10"/>
      <c r="U24" s="10"/>
      <c r="V24" s="10"/>
      <c r="W24" s="10"/>
      <c r="X24" s="10"/>
      <c r="Y24" s="10"/>
      <c r="Z24" s="10"/>
      <c r="AA24" s="10"/>
      <c r="AB24" s="10"/>
    </row>
    <row r="25">
      <c r="A25" s="7">
        <v>24.0</v>
      </c>
      <c r="B25" s="9" t="s">
        <v>1445</v>
      </c>
      <c r="C25" s="9" t="s">
        <v>1446</v>
      </c>
      <c r="D25" s="9" t="s">
        <v>303</v>
      </c>
      <c r="E25" s="9" t="s">
        <v>1447</v>
      </c>
      <c r="F25" s="10"/>
      <c r="G25" s="10"/>
      <c r="H25" s="7" t="str">
        <f>IFERROR(__xludf.DUMMYFUNCTION("GOOGLETRANSLATE(B25, ""en"", ""zh"")"),"古代中国演奏尖子的初衷是什么？")</f>
        <v>古代中国演奏尖子的初衷是什么？</v>
      </c>
      <c r="I25" s="7" t="str">
        <f>IFERROR(__xludf.DUMMYFUNCTION("GOOGLETRANSLATE(C25, ""en"", ""zh"")"),"A) 军事训练，B) 宗教用途，C) 仪式庆典，D) 精英娱乐")</f>
        <v>A) 军事训练，B) 宗教用途，C) 仪式庆典，D) 精英娱乐</v>
      </c>
      <c r="J25" s="7" t="str">
        <f>IFERROR(__xludf.DUMMYFUNCTION("GOOGLETRANSLATE(D25, ""en"", ""zh"")"),"A) 军事训练")</f>
        <v>A) 军事训练</v>
      </c>
      <c r="K25" s="7" t="str">
        <f>IFERROR(__xludf.DUMMYFUNCTION("GOOGLETRANSLATE(E25, ""en"", ""zh"")"),"剑子最初是士兵在军事训练中用来提高步法和协调能力的乐器。")</f>
        <v>剑子最初是士兵在军事训练中用来提高步法和协调能力的乐器。</v>
      </c>
      <c r="L25" s="11"/>
      <c r="M25" s="11"/>
      <c r="N25" s="11"/>
      <c r="O25" s="11"/>
      <c r="P25" s="11"/>
      <c r="Q25" s="10"/>
      <c r="R25" s="10"/>
      <c r="S25" s="10"/>
      <c r="T25" s="10"/>
      <c r="U25" s="10"/>
      <c r="V25" s="10"/>
      <c r="W25" s="10"/>
      <c r="X25" s="10"/>
      <c r="Y25" s="10"/>
      <c r="Z25" s="10"/>
      <c r="AA25" s="10"/>
      <c r="AB25" s="10"/>
    </row>
    <row r="26">
      <c r="A26" s="7">
        <v>25.0</v>
      </c>
      <c r="B26" s="9" t="s">
        <v>1448</v>
      </c>
      <c r="C26" s="9" t="s">
        <v>1449</v>
      </c>
      <c r="D26" s="9" t="s">
        <v>1450</v>
      </c>
      <c r="E26" s="9" t="s">
        <v>1451</v>
      </c>
      <c r="F26" s="10"/>
      <c r="G26" s="10"/>
      <c r="H26" s="7" t="str">
        <f>IFERROR(__xludf.DUMMYFUNCTION("GOOGLETRANSLATE(B26, ""en"", ""zh"")"),"在现代中国，与建子最常联系在一起的事件类型有哪些？")</f>
        <v>在现代中国，与建子最常联系在一起的事件类型有哪些？</v>
      </c>
      <c r="I26" s="7" t="str">
        <f>IFERROR(__xludf.DUMMYFUNCTION("GOOGLETRANSLATE(C26, ""en"", ""zh"")"),"A) 国家假日，B) 国际体育赛事，C) 文化节，D) 政治集会")</f>
        <v>A) 国家假日，B) 国际体育赛事，C) 文化节，D) 政治集会</v>
      </c>
      <c r="J26" s="7" t="str">
        <f>IFERROR(__xludf.DUMMYFUNCTION("GOOGLETRANSLATE(D26, ""en"", ""zh"")"),"C) 文化节庆活动")</f>
        <v>C) 文化节庆活动</v>
      </c>
      <c r="K26" s="7" t="str">
        <f>IFERROR(__xludf.DUMMYFUNCTION("GOOGLETRANSLATE(E26, ""en"", ""zh"")"),"煎子是中国传统文化节庆期间一项很受欢迎的活动。")</f>
        <v>煎子是中国传统文化节庆期间一项很受欢迎的活动。</v>
      </c>
      <c r="L26" s="10"/>
      <c r="M26" s="11"/>
      <c r="N26" s="10"/>
      <c r="O26" s="11"/>
      <c r="P26" s="11"/>
      <c r="Q26" s="10"/>
      <c r="R26" s="10"/>
      <c r="S26" s="10"/>
      <c r="T26" s="10"/>
      <c r="U26" s="10"/>
      <c r="V26" s="10"/>
      <c r="W26" s="10"/>
      <c r="X26" s="10"/>
      <c r="Y26" s="10"/>
      <c r="Z26" s="10"/>
      <c r="AA26" s="10"/>
      <c r="AB26" s="10"/>
    </row>
    <row r="27">
      <c r="A27" s="7">
        <v>26.0</v>
      </c>
      <c r="B27" s="9" t="s">
        <v>1452</v>
      </c>
      <c r="C27" s="9" t="s">
        <v>1453</v>
      </c>
      <c r="D27" s="9" t="s">
        <v>1454</v>
      </c>
      <c r="E27" s="9" t="s">
        <v>1455</v>
      </c>
      <c r="F27" s="10"/>
      <c r="G27" s="10"/>
      <c r="H27" s="7" t="str">
        <f>IFERROR(__xludf.DUMMYFUNCTION("GOOGLETRANSLATE(B27, ""en"", ""zh"")"),"现代体育运动中哪一项被认为是毽子的演变？")</f>
        <v>现代体育运动中哪一项被认为是毽子的演变？</v>
      </c>
      <c r="I27" s="7" t="str">
        <f>IFERROR(__xludf.DUMMYFUNCTION("GOOGLETRANSLATE(C27, ""en"", ""zh"")"),"A) 羽毛球，B) 足球，C) 排球，D) 网球")</f>
        <v>A) 羽毛球，B) 足球，C) 排球，D) 网球</v>
      </c>
      <c r="J27" s="7" t="str">
        <f>IFERROR(__xludf.DUMMYFUNCTION("GOOGLETRANSLATE(D27, ""en"", ""zh"")"),"A) 羽毛球")</f>
        <v>A) 羽毛球</v>
      </c>
      <c r="K27" s="7" t="str">
        <f>IFERROR(__xludf.DUMMYFUNCTION("GOOGLETRANSLATE(E27, ""en"", ""zh"")"),"羽毛球与剑子在动作和技巧上有很多相似之处，尤其是在使用羽毛球方面。")</f>
        <v>羽毛球与剑子在动作和技巧上有很多相似之处，尤其是在使用羽毛球方面。</v>
      </c>
      <c r="L27" s="11"/>
      <c r="M27" s="11"/>
      <c r="N27" s="10"/>
      <c r="O27" s="11"/>
      <c r="P27" s="11"/>
      <c r="Q27" s="10"/>
      <c r="R27" s="10"/>
      <c r="S27" s="10"/>
      <c r="T27" s="10"/>
      <c r="U27" s="10"/>
      <c r="V27" s="10"/>
      <c r="W27" s="10"/>
      <c r="X27" s="10"/>
      <c r="Y27" s="10"/>
      <c r="Z27" s="10"/>
      <c r="AA27" s="10"/>
      <c r="AB27" s="10"/>
    </row>
    <row r="28">
      <c r="A28" s="7">
        <v>27.0</v>
      </c>
      <c r="B28" s="9" t="s">
        <v>1456</v>
      </c>
      <c r="C28" s="9" t="s">
        <v>1457</v>
      </c>
      <c r="D28" s="9" t="s">
        <v>1415</v>
      </c>
      <c r="E28" s="9" t="s">
        <v>1458</v>
      </c>
      <c r="F28" s="10"/>
      <c r="G28" s="10"/>
      <c r="H28" s="7" t="str">
        <f>IFERROR(__xludf.DUMMYFUNCTION("GOOGLETRANSLATE(B28, ""en"", ""zh"")"),"毽子底部传统上使用什么材料？")</f>
        <v>毽子底部传统上使用什么材料？</v>
      </c>
      <c r="I28" s="7" t="str">
        <f>IFERROR(__xludf.DUMMYFUNCTION("GOOGLETRANSLATE(C28, ""en"", ""zh"")"),"A) 金属，B) 竹子，C) 塑料，D) 木材")</f>
        <v>A) 金属，B) 竹子，C) 塑料，D) 木材</v>
      </c>
      <c r="J28" s="7" t="str">
        <f>IFERROR(__xludf.DUMMYFUNCTION("GOOGLETRANSLATE(D28, ""en"", ""zh"")"),"B）竹子")</f>
        <v>B）竹子</v>
      </c>
      <c r="K28" s="7" t="str">
        <f>IFERROR(__xludf.DUMMYFUNCTION("GOOGLETRANSLATE(E28, ""en"", ""zh"")"),"传统毽子的底部通常由竹子制成。")</f>
        <v>传统毽子的底部通常由竹子制成。</v>
      </c>
      <c r="L28" s="10"/>
      <c r="M28" s="11"/>
      <c r="N28" s="10"/>
      <c r="O28" s="11"/>
      <c r="P28" s="10"/>
      <c r="Q28" s="10"/>
      <c r="R28" s="10"/>
      <c r="S28" s="10"/>
      <c r="T28" s="10"/>
      <c r="U28" s="10"/>
      <c r="V28" s="10"/>
      <c r="W28" s="10"/>
      <c r="X28" s="10"/>
      <c r="Y28" s="10"/>
      <c r="Z28" s="10"/>
      <c r="AA28" s="10"/>
      <c r="AB28" s="10"/>
    </row>
    <row r="29">
      <c r="A29" s="7">
        <v>28.0</v>
      </c>
      <c r="B29" s="9" t="s">
        <v>1459</v>
      </c>
      <c r="C29" s="9" t="s">
        <v>1460</v>
      </c>
      <c r="D29" s="9" t="s">
        <v>1461</v>
      </c>
      <c r="E29" s="9" t="s">
        <v>1462</v>
      </c>
      <c r="F29" s="10"/>
      <c r="G29" s="10"/>
      <c r="H29" s="7" t="str">
        <f>IFERROR(__xludf.DUMMYFUNCTION("GOOGLETRANSLATE(B29, ""en"", ""zh"")"),"除了脚以外，刺子中还常用到哪些身体部位？")</f>
        <v>除了脚以外，刺子中还常用到哪些身体部位？</v>
      </c>
      <c r="I29" s="7" t="str">
        <f>IFERROR(__xludf.DUMMYFUNCTION("GOOGLETRANSLATE(C29, ""en"", ""zh"")"),"A) 肘部，B) 膝盖，C) 手部，D) 肩膀")</f>
        <v>A) 肘部，B) 膝盖，C) 手部，D) 肩膀</v>
      </c>
      <c r="J29" s="7" t="str">
        <f>IFERROR(__xludf.DUMMYFUNCTION("GOOGLETRANSLATE(D29, ""en"", ""zh"")"),"B）膝盖")</f>
        <v>B）膝盖</v>
      </c>
      <c r="K29" s="7" t="str">
        <f>IFERROR(__xludf.DUMMYFUNCTION("GOOGLETRANSLATE(E29, ""en"", ""zh"")"),"毽子比赛中，球员们用脚、膝盖甚至头部来控制毽子。")</f>
        <v>毽子比赛中，球员们用脚、膝盖甚至头部来控制毽子。</v>
      </c>
      <c r="L29" s="10"/>
      <c r="M29" s="11"/>
      <c r="N29" s="10"/>
      <c r="O29" s="11"/>
      <c r="P29" s="10"/>
      <c r="Q29" s="10"/>
      <c r="R29" s="10"/>
      <c r="S29" s="10"/>
      <c r="T29" s="10"/>
      <c r="U29" s="10"/>
      <c r="V29" s="10"/>
      <c r="W29" s="10"/>
      <c r="X29" s="10"/>
      <c r="Y29" s="10"/>
      <c r="Z29" s="10"/>
      <c r="AA29" s="10"/>
      <c r="AB29" s="10"/>
    </row>
    <row r="30">
      <c r="A30" s="7">
        <v>29.0</v>
      </c>
      <c r="B30" s="9" t="s">
        <v>1463</v>
      </c>
      <c r="C30" s="9" t="s">
        <v>1464</v>
      </c>
      <c r="D30" s="9" t="s">
        <v>611</v>
      </c>
      <c r="E30" s="9" t="s">
        <v>1465</v>
      </c>
      <c r="F30" s="10"/>
      <c r="G30" s="10"/>
      <c r="H30" s="7" t="str">
        <f>IFERROR(__xludf.DUMMYFUNCTION("GOOGLETRANSLATE(B30, ""en"", ""zh"")"),"煎子曾是哪项国际赛事的比赛项目？")</f>
        <v>煎子曾是哪项国际赛事的比赛项目？</v>
      </c>
      <c r="I30" s="7" t="str">
        <f>IFERROR(__xludf.DUMMYFUNCTION("GOOGLETRANSLATE(C30, ""en"", ""zh"")"),"A) 夏季奥运会，B) 亚运会，C) 英联邦运动会，D) 世界杯")</f>
        <v>A) 夏季奥运会，B) 亚运会，C) 英联邦运动会，D) 世界杯</v>
      </c>
      <c r="J30" s="7" t="str">
        <f>IFERROR(__xludf.DUMMYFUNCTION("GOOGLETRANSLATE(D30, ""en"", ""zh"")"),"B) 亚运会")</f>
        <v>B) 亚运会</v>
      </c>
      <c r="K30" s="7" t="str">
        <f>IFERROR(__xludf.DUMMYFUNCTION("GOOGLETRANSLATE(E30, ""en"", ""zh"")"),"毽子曾作为表演项目参加亚运会。")</f>
        <v>毽子曾作为表演项目参加亚运会。</v>
      </c>
      <c r="L30" s="10"/>
      <c r="M30" s="11"/>
      <c r="N30" s="10"/>
      <c r="O30" s="11"/>
      <c r="P30" s="11"/>
      <c r="Q30" s="10"/>
      <c r="R30" s="10"/>
      <c r="S30" s="10"/>
      <c r="T30" s="10"/>
      <c r="U30" s="10"/>
      <c r="V30" s="10"/>
      <c r="W30" s="10"/>
      <c r="X30" s="10"/>
      <c r="Y30" s="10"/>
      <c r="Z30" s="10"/>
      <c r="AA30" s="10"/>
      <c r="AB30" s="10"/>
    </row>
    <row r="31">
      <c r="A31" s="7">
        <v>30.0</v>
      </c>
      <c r="B31" s="9" t="s">
        <v>1466</v>
      </c>
      <c r="C31" s="9" t="s">
        <v>1467</v>
      </c>
      <c r="D31" s="9" t="s">
        <v>1407</v>
      </c>
      <c r="E31" s="9" t="s">
        <v>1468</v>
      </c>
      <c r="F31" s="10"/>
      <c r="G31" s="10"/>
      <c r="H31" s="7" t="str">
        <f>IFERROR(__xludf.DUMMYFUNCTION("GOOGLETRANSLATE(B31, ""en"", ""zh"")"),"在中国，毽子运动在哪个世纪成为大众休闲运动？")</f>
        <v>在中国，毽子运动在哪个世纪成为大众休闲运动？</v>
      </c>
      <c r="I31" s="7" t="str">
        <f>IFERROR(__xludf.DUMMYFUNCTION("GOOGLETRANSLATE(C31, ""en"", ""zh"")"),"A) 15世纪，B) 16世纪，C) 18世纪，D) 20世纪")</f>
        <v>A) 15世纪，B) 16世纪，C) 18世纪，D) 20世纪</v>
      </c>
      <c r="J31" s="7" t="str">
        <f>IFERROR(__xludf.DUMMYFUNCTION("GOOGLETRANSLATE(D31, ""en"", ""zh"")"),"D) 20世纪")</f>
        <v>D) 20世纪</v>
      </c>
      <c r="K31" s="7" t="str">
        <f>IFERROR(__xludf.DUMMYFUNCTION("GOOGLETRANSLATE(E31, ""en"", ""zh"")"),"20世纪，挖子成为各个年龄段人群喜爱的一项休闲活动。")</f>
        <v>20世纪，挖子成为各个年龄段人群喜爱的一项休闲活动。</v>
      </c>
      <c r="L31" s="10"/>
      <c r="M31" s="11"/>
      <c r="N31" s="10"/>
      <c r="O31" s="11"/>
      <c r="P31" s="10"/>
      <c r="Q31" s="10"/>
      <c r="R31" s="10"/>
      <c r="S31" s="10"/>
      <c r="T31" s="10"/>
      <c r="U31" s="10"/>
      <c r="V31" s="10"/>
      <c r="W31" s="10"/>
      <c r="X31" s="10"/>
      <c r="Y31" s="10"/>
      <c r="Z31" s="10"/>
      <c r="AA31" s="10"/>
      <c r="AB31" s="10"/>
    </row>
    <row r="32">
      <c r="A32" s="7">
        <v>31.0</v>
      </c>
      <c r="B32" s="9" t="s">
        <v>1469</v>
      </c>
      <c r="C32" s="9" t="s">
        <v>1470</v>
      </c>
      <c r="D32" s="9" t="s">
        <v>1471</v>
      </c>
      <c r="E32" s="9" t="s">
        <v>1472</v>
      </c>
      <c r="F32" s="10"/>
      <c r="G32" s="10"/>
      <c r="H32" s="7" t="str">
        <f>IFERROR(__xludf.DUMMYFUNCTION("GOOGLETRANSLATE(B32, ""en"", ""zh"")"),"中国哪个地区以传统的溏心比赛而闻名？")</f>
        <v>中国哪个地区以传统的溏心比赛而闻名？</v>
      </c>
      <c r="I32" s="7" t="str">
        <f>IFERROR(__xludf.DUMMYFUNCTION("GOOGLETRANSLATE(C32, ""en"", ""zh"")"),"A) 浙江、B) 广东、C) 北京、D) 上海")</f>
        <v>A) 浙江、B) 广东、C) 北京、D) 上海</v>
      </c>
      <c r="J32" s="7" t="str">
        <f>IFERROR(__xludf.DUMMYFUNCTION("GOOGLETRANSLATE(D32, ""en"", ""zh"")"),"C) 北京")</f>
        <v>C) 北京</v>
      </c>
      <c r="K32" s="7" t="str">
        <f>IFERROR(__xludf.DUMMYFUNCTION("GOOGLETRANSLATE(E32, ""en"", ""zh"")"),"北京以悠久的煎子历史和一年一度的煎子比赛而闻名。")</f>
        <v>北京以悠久的煎子历史和一年一度的煎子比赛而闻名。</v>
      </c>
      <c r="L32" s="10"/>
      <c r="M32" s="11"/>
      <c r="N32" s="10"/>
      <c r="O32" s="11"/>
      <c r="P32" s="11"/>
      <c r="Q32" s="10"/>
      <c r="R32" s="10"/>
      <c r="S32" s="10"/>
      <c r="T32" s="10"/>
      <c r="U32" s="10"/>
      <c r="V32" s="10"/>
      <c r="W32" s="10"/>
      <c r="X32" s="10"/>
      <c r="Y32" s="10"/>
      <c r="Z32" s="10"/>
      <c r="AA32" s="10"/>
      <c r="AB32" s="10"/>
    </row>
    <row r="33">
      <c r="A33" s="7">
        <v>32.0</v>
      </c>
      <c r="B33" s="9" t="s">
        <v>1473</v>
      </c>
      <c r="C33" s="9" t="s">
        <v>1474</v>
      </c>
      <c r="D33" s="9" t="s">
        <v>1475</v>
      </c>
      <c r="E33" s="9" t="s">
        <v>1476</v>
      </c>
      <c r="F33" s="10"/>
      <c r="G33" s="10"/>
      <c r="H33" s="7" t="str">
        <f>IFERROR(__xludf.DUMMYFUNCTION("GOOGLETRANSLATE(B33, ""en"", ""zh"")"),"栀子在中国社会中具有怎样的文化意义？")</f>
        <v>栀子在中国社会中具有怎样的文化意义？</v>
      </c>
      <c r="I33" s="7" t="str">
        <f>IFERROR(__xludf.DUMMYFUNCTION("GOOGLETRANSLATE(C33, ""en"", ""zh"")"),"A) 它是力量的象征，B) 它促进团队合作，C) 它是一种艺术表达形式，D) 它代表敏捷和健康")</f>
        <v>A) 它是力量的象征，B) 它促进团队合作，C) 它是一种艺术表达形式，D) 它代表敏捷和健康</v>
      </c>
      <c r="J33" s="7" t="str">
        <f>IFERROR(__xludf.DUMMYFUNCTION("GOOGLETRANSLATE(D33, ""en"", ""zh"")"),"D) 它代表敏捷性和健康")</f>
        <v>D) 它代表敏捷性和健康</v>
      </c>
      <c r="K33" s="7" t="str">
        <f>IFERROR(__xludf.DUMMYFUNCTION("GOOGLETRANSLATE(E33, ""en"", ""zh"")"),"在中国文化中，戬子象征着敏捷、健康和身体健康的重要性。")</f>
        <v>在中国文化中，戬子象征着敏捷、健康和身体健康的重要性。</v>
      </c>
      <c r="L33" s="11"/>
      <c r="M33" s="11"/>
      <c r="N33" s="11"/>
      <c r="O33" s="11"/>
      <c r="P33" s="11"/>
      <c r="Q33" s="10"/>
      <c r="R33" s="10"/>
      <c r="S33" s="10"/>
      <c r="T33" s="10"/>
      <c r="U33" s="10"/>
      <c r="V33" s="10"/>
      <c r="W33" s="10"/>
      <c r="X33" s="10"/>
      <c r="Y33" s="10"/>
      <c r="Z33" s="10"/>
      <c r="AA33" s="10"/>
      <c r="AB33" s="10"/>
    </row>
    <row r="34">
      <c r="A34" s="7">
        <v>33.0</v>
      </c>
      <c r="B34" s="9" t="s">
        <v>1477</v>
      </c>
      <c r="C34" s="9" t="s">
        <v>1478</v>
      </c>
      <c r="D34" s="9" t="s">
        <v>1479</v>
      </c>
      <c r="E34" s="9" t="s">
        <v>1480</v>
      </c>
      <c r="F34" s="10"/>
      <c r="G34" s="10"/>
      <c r="H34" s="7" t="str">
        <f>IFERROR(__xludf.DUMMYFUNCTION("GOOGLETRANSLATE(B34, ""en"", ""zh"")"),"在中国当代社会，人们通常是如何享用煎子的？")</f>
        <v>在中国当代社会，人们通常是如何享用煎子的？</v>
      </c>
      <c r="I34" s="7" t="str">
        <f>IFERROR(__xludf.DUMMYFUNCTION("GOOGLETRANSLATE(C34, ""en"", ""zh"")"),"A) 作为正规体育联赛的一部分，B) 作为日常休闲活动，C) 仅限职业比赛，D) 作为一种冥想形式")</f>
        <v>A) 作为正规体育联赛的一部分，B) 作为日常休闲活动，C) 仅限职业比赛，D) 作为一种冥想形式</v>
      </c>
      <c r="J34" s="7" t="str">
        <f>IFERROR(__xludf.DUMMYFUNCTION("GOOGLETRANSLATE(D34, ""en"", ""zh"")"),"B) 作为一项日常休闲活动")</f>
        <v>B) 作为一项日常休闲活动</v>
      </c>
      <c r="K34" s="7" t="str">
        <f>IFERROR(__xludf.DUMMYFUNCTION("GOOGLETRANSLATE(E34, ""en"", ""zh"")"),"在中国现代社会，煎子常被人们当作一种休闲娱乐和锻炼方式来享用。")</f>
        <v>在中国现代社会，煎子常被人们当作一种休闲娱乐和锻炼方式来享用。</v>
      </c>
      <c r="L34" s="11"/>
      <c r="M34" s="11"/>
      <c r="N34" s="11"/>
      <c r="O34" s="11"/>
      <c r="P34" s="10"/>
      <c r="Q34" s="10"/>
      <c r="R34" s="10"/>
      <c r="S34" s="10"/>
      <c r="T34" s="10"/>
      <c r="U34" s="10"/>
      <c r="V34" s="10"/>
      <c r="W34" s="10"/>
      <c r="X34" s="10"/>
      <c r="Y34" s="10"/>
      <c r="Z34" s="10"/>
      <c r="AA34" s="10"/>
      <c r="AB34" s="10"/>
    </row>
    <row r="35">
      <c r="A35" s="7">
        <v>34.0</v>
      </c>
      <c r="B35" s="9" t="s">
        <v>1481</v>
      </c>
      <c r="C35" s="9" t="s">
        <v>1482</v>
      </c>
      <c r="D35" s="9" t="s">
        <v>77</v>
      </c>
      <c r="E35" s="9" t="s">
        <v>1483</v>
      </c>
      <c r="F35" s="10"/>
      <c r="G35" s="10"/>
      <c r="H35" s="7" t="str">
        <f>IFERROR(__xludf.DUMMYFUNCTION("GOOGLETRANSLATE(B35, ""en"", ""zh"")"),"哪个朝代对尖子棋规则的规范化做出了贡献？")</f>
        <v>哪个朝代对尖子棋规则的规范化做出了贡献？</v>
      </c>
      <c r="I35" s="7" t="str">
        <f>IFERROR(__xludf.DUMMYFUNCTION("GOOGLETRANSLATE(C35, ""en"", ""zh"")"),"A) 元朝，B) 宋朝，C) 唐朝，D) 明朝")</f>
        <v>A) 元朝，B) 宋朝，C) 唐朝，D) 明朝</v>
      </c>
      <c r="J35" s="7" t="str">
        <f>IFERROR(__xludf.DUMMYFUNCTION("GOOGLETRANSLATE(D35, ""en"", ""zh"")"),"C) 唐朝")</f>
        <v>C) 唐朝</v>
      </c>
      <c r="K35" s="7" t="str">
        <f>IFERROR(__xludf.DUMMYFUNCTION("GOOGLETRANSLATE(E35, ""en"", ""zh"")"),"唐朝时期，剑子的规则被正式确立，成为当时皇室流行的消遣活动。")</f>
        <v>唐朝时期，剑子的规则被正式确立，成为当时皇室流行的消遣活动。</v>
      </c>
      <c r="L35" s="10"/>
      <c r="M35" s="11"/>
      <c r="N35" s="10"/>
      <c r="O35" s="11"/>
      <c r="P35" s="11"/>
      <c r="Q35" s="10"/>
      <c r="R35" s="10"/>
      <c r="S35" s="10"/>
      <c r="T35" s="10"/>
      <c r="U35" s="10"/>
      <c r="V35" s="10"/>
      <c r="W35" s="10"/>
      <c r="X35" s="10"/>
      <c r="Y35" s="10"/>
      <c r="Z35" s="10"/>
      <c r="AA35" s="10"/>
      <c r="AB35" s="10"/>
    </row>
    <row r="36">
      <c r="A36" s="7">
        <v>35.0</v>
      </c>
      <c r="B36" s="9" t="s">
        <v>1484</v>
      </c>
      <c r="C36" s="9" t="s">
        <v>1485</v>
      </c>
      <c r="D36" s="9" t="s">
        <v>1486</v>
      </c>
      <c r="E36" s="9" t="s">
        <v>1487</v>
      </c>
      <c r="F36" s="10"/>
      <c r="G36" s="10"/>
      <c r="H36" s="7" t="str">
        <f>IFERROR(__xludf.DUMMYFUNCTION("GOOGLETRANSLATE(B36, ""en"", ""zh"")"),"哪件历史事件极大地促进了栀子在世界范围内的传播？")</f>
        <v>哪件历史事件极大地促进了栀子在世界范围内的传播？</v>
      </c>
      <c r="I36" s="7" t="str">
        <f>IFERROR(__xludf.DUMMYFUNCTION("GOOGLETRANSLATE(C36, ""en"", ""zh"")"),"A) 丝绸之路贸易，B) 中国革命，C) 鸦片战争，D) 义和团运动")</f>
        <v>A) 丝绸之路贸易，B) 中国革命，C) 鸦片战争，D) 义和团运动</v>
      </c>
      <c r="J36" s="7" t="str">
        <f>IFERROR(__xludf.DUMMYFUNCTION("GOOGLETRANSLATE(D36, ""en"", ""zh"")"),"A) 丝绸之路贸易")</f>
        <v>A) 丝绸之路贸易</v>
      </c>
      <c r="K36" s="7" t="str">
        <f>IFERROR(__xludf.DUMMYFUNCTION("GOOGLETRANSLATE(E36, ""en"", ""zh"")"),"剑子通过丝绸之路，经由中国与其他地区之间的文化交流而传播到世界各地。")</f>
        <v>剑子通过丝绸之路，经由中国与其他地区之间的文化交流而传播到世界各地。</v>
      </c>
      <c r="L36" s="11"/>
      <c r="M36" s="11"/>
      <c r="N36" s="11"/>
      <c r="O36" s="11"/>
      <c r="P36" s="11"/>
      <c r="Q36" s="10"/>
      <c r="R36" s="10"/>
      <c r="S36" s="10"/>
      <c r="T36" s="10"/>
      <c r="U36" s="10"/>
      <c r="V36" s="10"/>
      <c r="W36" s="10"/>
      <c r="X36" s="10"/>
      <c r="Y36" s="10"/>
      <c r="Z36" s="10"/>
      <c r="AA36" s="10"/>
      <c r="AB36" s="10"/>
    </row>
    <row r="37">
      <c r="A37" s="7">
        <v>36.0</v>
      </c>
      <c r="B37" s="9" t="s">
        <v>1488</v>
      </c>
      <c r="C37" s="9" t="s">
        <v>1489</v>
      </c>
      <c r="D37" s="9" t="s">
        <v>1490</v>
      </c>
      <c r="E37" s="9" t="s">
        <v>1491</v>
      </c>
      <c r="F37" s="10"/>
      <c r="G37" s="10"/>
      <c r="H37" s="7" t="str">
        <f>IFERROR(__xludf.DUMMYFUNCTION("GOOGLETRANSLATE(B37, ""en"", ""zh"")"),"毽子的传统制作方法是什么？")</f>
        <v>毽子的传统制作方法是什么？</v>
      </c>
      <c r="I37" s="7" t="str">
        <f>IFERROR(__xludf.DUMMYFUNCTION("GOOGLETRANSLATE(C37, ""en"", ""zh"")"),"A) 使用羽毛和橡胶底座，B) 使用竹子和丝绸，C) 使用纸和金属，D) 使用布和木材")</f>
        <v>A) 使用羽毛和橡胶底座，B) 使用竹子和丝绸，C) 使用纸和金属，D) 使用布和木材</v>
      </c>
      <c r="J37" s="7" t="str">
        <f>IFERROR(__xludf.DUMMYFUNCTION("GOOGLETRANSLATE(D37, ""en"", ""zh"")"),"B) 使用竹子和丝绸")</f>
        <v>B) 使用竹子和丝绸</v>
      </c>
      <c r="K37" s="7" t="str">
        <f>IFERROR(__xludf.DUMMYFUNCTION("GOOGLETRANSLATE(E37, ""en"", ""zh"")"),"传统的毽子由竹子和丝绸制成，羽毛则起到平衡和耐用的作用。")</f>
        <v>传统的毽子由竹子和丝绸制成，羽毛则起到平衡和耐用的作用。</v>
      </c>
      <c r="L37" s="10"/>
      <c r="M37" s="11"/>
      <c r="N37" s="10"/>
      <c r="O37" s="11"/>
      <c r="P37" s="11"/>
      <c r="Q37" s="10"/>
      <c r="R37" s="10"/>
      <c r="S37" s="10"/>
      <c r="T37" s="10"/>
      <c r="U37" s="10"/>
      <c r="V37" s="10"/>
      <c r="W37" s="10"/>
      <c r="X37" s="10"/>
      <c r="Y37" s="10"/>
      <c r="Z37" s="10"/>
      <c r="AA37" s="10"/>
      <c r="AB37" s="10"/>
    </row>
    <row r="38">
      <c r="A38" s="7">
        <v>37.0</v>
      </c>
      <c r="B38" s="9" t="s">
        <v>1492</v>
      </c>
      <c r="C38" s="9" t="s">
        <v>1493</v>
      </c>
      <c r="D38" s="9" t="s">
        <v>1494</v>
      </c>
      <c r="E38" s="9" t="s">
        <v>1495</v>
      </c>
      <c r="F38" s="10"/>
      <c r="G38" s="10"/>
      <c r="H38" s="7" t="str">
        <f>IFERROR(__xludf.DUMMYFUNCTION("GOOGLETRANSLATE(B38, ""en"", ""zh"")"),"如今在中国，煎子最常出现在哪些类型的活动中？")</f>
        <v>如今在中国，煎子最常出现在哪些类型的活动中？</v>
      </c>
      <c r="I38" s="7" t="str">
        <f>IFERROR(__xludf.DUMMYFUNCTION("GOOGLETRANSLATE(C38, ""en"", ""zh"")"),"A) 传统文化节庆活动，B) 国家级体育赛事，C) 国际比赛，D) 奥运会")</f>
        <v>A) 传统文化节庆活动，B) 国家级体育赛事，C) 国际比赛，D) 奥运会</v>
      </c>
      <c r="J38" s="7" t="str">
        <f>IFERROR(__xludf.DUMMYFUNCTION("GOOGLETRANSLATE(D38, ""en"", ""zh"")"),"A) 传统文化节庆")</f>
        <v>A) 传统文化节庆</v>
      </c>
      <c r="K38" s="7" t="str">
        <f>IFERROR(__xludf.DUMMYFUNCTION("GOOGLETRANSLATE(E38, ""en"", ""zh"")"),"煎子主要出现在中国传统文化节日中，尤其是在农历新年期间。")</f>
        <v>煎子主要出现在中国传统文化节日中，尤其是在农历新年期间。</v>
      </c>
      <c r="L38" s="11"/>
      <c r="M38" s="11"/>
      <c r="N38" s="11"/>
      <c r="O38" s="11"/>
      <c r="P38" s="11"/>
      <c r="Q38" s="10"/>
      <c r="R38" s="10"/>
      <c r="S38" s="10"/>
      <c r="T38" s="10"/>
      <c r="U38" s="10"/>
      <c r="V38" s="10"/>
      <c r="W38" s="10"/>
      <c r="X38" s="10"/>
      <c r="Y38" s="10"/>
      <c r="Z38" s="10"/>
      <c r="AA38" s="10"/>
      <c r="AB38" s="10"/>
    </row>
    <row r="39">
      <c r="A39" s="7">
        <v>38.0</v>
      </c>
      <c r="B39" s="9" t="s">
        <v>1496</v>
      </c>
      <c r="C39" s="9" t="s">
        <v>1497</v>
      </c>
      <c r="D39" s="9" t="s">
        <v>1123</v>
      </c>
      <c r="E39" s="9" t="s">
        <v>1498</v>
      </c>
      <c r="F39" s="10"/>
      <c r="G39" s="10"/>
      <c r="H39" s="7" t="str">
        <f>IFERROR(__xludf.DUMMYFUNCTION("GOOGLETRANSLATE(B39, ""en"", ""zh"")"),"人们认为中国早期哪个朝代对剑子的普及做出了贡献？")</f>
        <v>人们认为中国早期哪个朝代对剑子的普及做出了贡献？</v>
      </c>
      <c r="I39" s="7" t="str">
        <f>IFERROR(__xludf.DUMMYFUNCTION("GOOGLETRANSLATE(C39, ""en"", ""zh"")"),"A) 商朝，B) 周朝，C) 汉朝，D) 唐朝")</f>
        <v>A) 商朝，B) 周朝，C) 汉朝，D) 唐朝</v>
      </c>
      <c r="J39" s="7" t="str">
        <f>IFERROR(__xludf.DUMMYFUNCTION("GOOGLETRANSLATE(D39, ""en"", ""zh"")"),"B）周朝")</f>
        <v>B）周朝</v>
      </c>
      <c r="K39" s="7" t="str">
        <f>IFERROR(__xludf.DUMMYFUNCTION("GOOGLETRANSLATE(E39, ""en"", ""zh"")"),"周朝（公元前1046-256年）被认为是剑术的起源，最初由军人练习。")</f>
        <v>周朝（公元前1046-256年）被认为是剑术的起源，最初由军人练习。</v>
      </c>
      <c r="L39" s="10"/>
      <c r="M39" s="11"/>
      <c r="N39" s="10"/>
      <c r="O39" s="11"/>
      <c r="P39" s="11"/>
      <c r="Q39" s="10"/>
      <c r="R39" s="10"/>
      <c r="S39" s="10"/>
      <c r="T39" s="10"/>
      <c r="U39" s="10"/>
      <c r="V39" s="10"/>
      <c r="W39" s="10"/>
      <c r="X39" s="10"/>
      <c r="Y39" s="10"/>
      <c r="Z39" s="10"/>
      <c r="AA39" s="10"/>
      <c r="AB39" s="10"/>
    </row>
    <row r="40">
      <c r="A40" s="7">
        <v>39.0</v>
      </c>
      <c r="B40" s="9" t="s">
        <v>1499</v>
      </c>
      <c r="C40" s="9" t="s">
        <v>1500</v>
      </c>
      <c r="D40" s="9" t="s">
        <v>1501</v>
      </c>
      <c r="E40" s="9" t="s">
        <v>1502</v>
      </c>
      <c r="F40" s="10"/>
      <c r="G40" s="10"/>
      <c r="H40" s="7" t="str">
        <f>IFERROR(__xludf.DUMMYFUNCTION("GOOGLETRANSLATE(B40, ""en"", ""zh"")"),"毽子羽毛的传统材质是什么？")</f>
        <v>毽子羽毛的传统材质是什么？</v>
      </c>
      <c r="I40" s="7" t="str">
        <f>IFERROR(__xludf.DUMMYFUNCTION("GOOGLETRANSLATE(C40, ""en"", ""zh"")"),"A) 鹅毛，B) 鸭毛，C) 鸡毛，D) 老鹰毛")</f>
        <v>A) 鹅毛，B) 鸭毛，C) 鸡毛，D) 老鹰毛</v>
      </c>
      <c r="J40" s="7" t="str">
        <f>IFERROR(__xludf.DUMMYFUNCTION("GOOGLETRANSLATE(D40, ""en"", ""zh"")"),"B) 鸭毛")</f>
        <v>B) 鸭毛</v>
      </c>
      <c r="K40" s="7" t="str">
        <f>IFERROR(__xludf.DUMMYFUNCTION("GOOGLETRANSLATE(E40, ""en"", ""zh"")"),"鸭毛因其耐用性，历来被用于制作毽子。")</f>
        <v>鸭毛因其耐用性，历来被用于制作毽子。</v>
      </c>
      <c r="L40" s="10"/>
      <c r="M40" s="11"/>
      <c r="N40" s="10"/>
      <c r="O40" s="11"/>
      <c r="P40" s="11"/>
      <c r="Q40" s="10"/>
      <c r="R40" s="10"/>
      <c r="S40" s="10"/>
      <c r="T40" s="10"/>
      <c r="U40" s="10"/>
      <c r="V40" s="10"/>
      <c r="W40" s="10"/>
      <c r="X40" s="10"/>
      <c r="Y40" s="10"/>
      <c r="Z40" s="10"/>
      <c r="AA40" s="10"/>
      <c r="AB40" s="10"/>
    </row>
    <row r="41">
      <c r="A41" s="7">
        <v>40.0</v>
      </c>
      <c r="B41" s="9" t="s">
        <v>1503</v>
      </c>
      <c r="C41" s="9" t="s">
        <v>1504</v>
      </c>
      <c r="D41" s="9" t="s">
        <v>1505</v>
      </c>
      <c r="E41" s="9" t="s">
        <v>1506</v>
      </c>
      <c r="F41" s="10"/>
      <c r="G41" s="10"/>
      <c r="H41" s="7" t="str">
        <f>IFERROR(__xludf.DUMMYFUNCTION("GOOGLETRANSLATE(B41, ""en"", ""zh"")"),"剑子在中国古代军事训练中扮演什么角色？")</f>
        <v>剑子在中国古代军事训练中扮演什么角色？</v>
      </c>
      <c r="I41" s="7" t="str">
        <f>IFERROR(__xludf.DUMMYFUNCTION("GOOGLETRANSLATE(C41, ""en"", ""zh"")"),"A) 增强手部力量，B) 提高步法和敏捷性，C) 增强耐力，D) 教授武器操作")</f>
        <v>A) 增强手部力量，B) 提高步法和敏捷性，C) 增强耐力，D) 教授武器操作</v>
      </c>
      <c r="J41" s="7" t="str">
        <f>IFERROR(__xludf.DUMMYFUNCTION("GOOGLETRANSLATE(D41, ""en"", ""zh"")"),"B）提高步法和敏捷性")</f>
        <v>B）提高步法和敏捷性</v>
      </c>
      <c r="K41" s="7" t="str">
        <f>IFERROR(__xludf.DUMMYFUNCTION("GOOGLETRANSLATE(E41, ""en"", ""zh"")"),"剑子曾被用于军事训练，以提高士兵的步法和协调能力。")</f>
        <v>剑子曾被用于军事训练，以提高士兵的步法和协调能力。</v>
      </c>
      <c r="L41" s="11"/>
      <c r="M41" s="11"/>
      <c r="N41" s="11"/>
      <c r="O41" s="11"/>
      <c r="P41" s="10"/>
      <c r="Q41" s="10"/>
      <c r="R41" s="10"/>
      <c r="S41" s="10"/>
      <c r="T41" s="10"/>
      <c r="U41" s="10"/>
      <c r="V41" s="10"/>
      <c r="W41" s="10"/>
      <c r="X41" s="10"/>
      <c r="Y41" s="10"/>
      <c r="Z41" s="10"/>
      <c r="AA41" s="10"/>
      <c r="AB41" s="10"/>
    </row>
    <row r="42">
      <c r="A42" s="7">
        <v>41.0</v>
      </c>
      <c r="B42" s="9" t="s">
        <v>1507</v>
      </c>
      <c r="C42" s="9" t="s">
        <v>1508</v>
      </c>
      <c r="D42" s="9" t="s">
        <v>135</v>
      </c>
      <c r="E42" s="9" t="s">
        <v>1509</v>
      </c>
      <c r="F42" s="10"/>
      <c r="G42" s="10"/>
      <c r="H42" s="7" t="str">
        <f>IFERROR(__xludf.DUMMYFUNCTION("GOOGLETRANSLATE(B42, ""en"", ""zh"")"),"戌子是在哪个朝代成为上流社会流行的娱乐形式？")</f>
        <v>戌子是在哪个朝代成为上流社会流行的娱乐形式？</v>
      </c>
      <c r="I42" s="7" t="str">
        <f>IFERROR(__xludf.DUMMYFUNCTION("GOOGLETRANSLATE(C42, ""en"", ""zh"")"),"A) 宋朝，B) 唐朝，C) 明朝，D) 清朝")</f>
        <v>A) 宋朝，B) 唐朝，C) 明朝，D) 清朝</v>
      </c>
      <c r="J42" s="7" t="str">
        <f>IFERROR(__xludf.DUMMYFUNCTION("GOOGLETRANSLATE(D42, ""en"", ""zh"")"),"B）唐朝")</f>
        <v>B）唐朝</v>
      </c>
      <c r="K42" s="7" t="str">
        <f>IFERROR(__xludf.DUMMYFUNCTION("GOOGLETRANSLATE(E42, ""en"", ""zh"")"),"唐朝（公元618-907年）时期，刺子成为中国皇室和上流社会的一种时尚消遣。")</f>
        <v>唐朝（公元618-907年）时期，刺子成为中国皇室和上流社会的一种时尚消遣。</v>
      </c>
      <c r="L42" s="10"/>
      <c r="M42" s="11"/>
      <c r="N42" s="10"/>
      <c r="O42" s="11"/>
      <c r="P42" s="11"/>
      <c r="Q42" s="10"/>
      <c r="R42" s="10"/>
      <c r="S42" s="10"/>
      <c r="T42" s="10"/>
      <c r="U42" s="10"/>
      <c r="V42" s="10"/>
      <c r="W42" s="10"/>
      <c r="X42" s="10"/>
      <c r="Y42" s="10"/>
      <c r="Z42" s="10"/>
      <c r="AA42" s="10"/>
      <c r="AB42" s="10"/>
    </row>
    <row r="43">
      <c r="A43" s="22">
        <v>42.0</v>
      </c>
      <c r="B43" s="9" t="s">
        <v>1510</v>
      </c>
      <c r="C43" s="9" t="s">
        <v>1511</v>
      </c>
      <c r="D43" s="9" t="s">
        <v>105</v>
      </c>
      <c r="E43" s="9" t="s">
        <v>1512</v>
      </c>
      <c r="F43" s="10"/>
      <c r="G43" s="10"/>
      <c r="H43" s="7" t="str">
        <f>IFERROR(__xludf.DUMMYFUNCTION("GOOGLETRANSLATE(B43, ""en"", ""zh"")"),"哪个朝代的历史文献中首次正式记载了《建子》？")</f>
        <v>哪个朝代的历史文献中首次正式记载了《建子》？</v>
      </c>
      <c r="I43" s="7" t="str">
        <f>IFERROR(__xludf.DUMMYFUNCTION("GOOGLETRANSLATE(C43, ""en"", ""zh"")"),"A) 秦朝，B) 汉朝，C) 元朝，D) 唐朝")</f>
        <v>A) 秦朝，B) 汉朝，C) 元朝，D) 唐朝</v>
      </c>
      <c r="J43" s="7" t="str">
        <f>IFERROR(__xludf.DUMMYFUNCTION("GOOGLETRANSLATE(D43, ""en"", ""zh"")"),"B）汉朝")</f>
        <v>B）汉朝</v>
      </c>
      <c r="K43" s="7" t="str">
        <f>IFERROR(__xludf.DUMMYFUNCTION("GOOGLETRANSLATE(E43, ""en"", ""zh"")"),"简子最早有正式记载是在汉代（公元前206年-公元220年）。")</f>
        <v>简子最早有正式记载是在汉代（公元前206年-公元220年）。</v>
      </c>
      <c r="L43" s="10"/>
      <c r="M43" s="11"/>
      <c r="N43" s="10"/>
      <c r="O43" s="11"/>
      <c r="P43" s="11"/>
      <c r="Q43" s="10"/>
      <c r="R43" s="10"/>
      <c r="S43" s="10"/>
      <c r="T43" s="10"/>
      <c r="U43" s="10"/>
      <c r="V43" s="10"/>
      <c r="W43" s="10"/>
      <c r="X43" s="10"/>
      <c r="Y43" s="10"/>
      <c r="Z43" s="10"/>
      <c r="AA43" s="10"/>
      <c r="AB43" s="10"/>
    </row>
    <row r="44">
      <c r="A44" s="22">
        <v>43.0</v>
      </c>
      <c r="B44" s="9" t="s">
        <v>1513</v>
      </c>
      <c r="C44" s="9" t="s">
        <v>1514</v>
      </c>
      <c r="D44" s="9" t="s">
        <v>1515</v>
      </c>
      <c r="E44" s="9" t="s">
        <v>1516</v>
      </c>
      <c r="F44" s="10"/>
      <c r="G44" s="10"/>
      <c r="H44" s="7" t="str">
        <f>IFERROR(__xludf.DUMMYFUNCTION("GOOGLETRANSLATE(B44, ""en"", ""zh"")"),"毽子中，最常用身体的哪个部位击球？")</f>
        <v>毽子中，最常用身体的哪个部位击球？</v>
      </c>
      <c r="I44" s="7" t="str">
        <f>IFERROR(__xludf.DUMMYFUNCTION("GOOGLETRANSLATE(C44, ""en"", ""zh"")"),"A) 手，B) 脚，C) 肘，D) 膝盖")</f>
        <v>A) 手，B) 脚，C) 肘，D) 膝盖</v>
      </c>
      <c r="J44" s="7" t="str">
        <f>IFERROR(__xludf.DUMMYFUNCTION("GOOGLETRANSLATE(D44, ""en"", ""zh"")"),"B）脚")</f>
        <v>B）脚</v>
      </c>
      <c r="K44" s="7" t="str">
        <f>IFERROR(__xludf.DUMMYFUNCTION("GOOGLETRANSLATE(E44, ""en"", ""zh"")"),"球员主要用脚来控制羽毛球在空中飞行。")</f>
        <v>球员主要用脚来控制羽毛球在空中飞行。</v>
      </c>
      <c r="L44" s="10"/>
      <c r="M44" s="11"/>
      <c r="N44" s="10"/>
      <c r="O44" s="11"/>
      <c r="P44" s="10"/>
      <c r="Q44" s="10"/>
      <c r="R44" s="10"/>
      <c r="S44" s="10"/>
      <c r="T44" s="10"/>
      <c r="U44" s="10"/>
      <c r="V44" s="10"/>
      <c r="W44" s="10"/>
      <c r="X44" s="10"/>
      <c r="Y44" s="10"/>
      <c r="Z44" s="10"/>
      <c r="AA44" s="10"/>
      <c r="AB44" s="10"/>
    </row>
    <row r="45">
      <c r="A45" s="22">
        <v>44.0</v>
      </c>
      <c r="B45" s="9" t="s">
        <v>1517</v>
      </c>
      <c r="C45" s="9" t="s">
        <v>1518</v>
      </c>
      <c r="D45" s="9" t="s">
        <v>1519</v>
      </c>
      <c r="E45" s="9" t="s">
        <v>1520</v>
      </c>
      <c r="F45" s="10"/>
      <c r="G45" s="10"/>
      <c r="H45" s="7" t="str">
        <f>IFERROR(__xludf.DUMMYFUNCTION("GOOGLETRANSLATE(B45, ""en"", ""zh"")"),"毽子通常用什么材料制成？")</f>
        <v>毽子通常用什么材料制成？</v>
      </c>
      <c r="I45" s="7" t="str">
        <f>IFERROR(__xludf.DUMMYFUNCTION("GOOGLETRANSLATE(C45, ""en"", ""zh"")"),"A) 木头，B) 塑料，C) 羽毛，D) 橡胶")</f>
        <v>A) 木头，B) 塑料，C) 羽毛，D) 橡胶</v>
      </c>
      <c r="J45" s="7" t="str">
        <f>IFERROR(__xludf.DUMMYFUNCTION("GOOGLETRANSLATE(D45, ""en"", ""zh"")"),"C）羽毛")</f>
        <v>C）羽毛</v>
      </c>
      <c r="K45" s="7" t="str">
        <f>IFERROR(__xludf.DUMMYFUNCTION("GOOGLETRANSLATE(E45, ""en"", ""zh"")"),"传统的毽子由羽毛和金属或塑料底座制成。")</f>
        <v>传统的毽子由羽毛和金属或塑料底座制成。</v>
      </c>
      <c r="L45" s="10"/>
      <c r="M45" s="11"/>
      <c r="N45" s="10"/>
      <c r="O45" s="11"/>
      <c r="P45" s="10"/>
      <c r="Q45" s="10"/>
      <c r="R45" s="10"/>
      <c r="S45" s="10"/>
      <c r="T45" s="10"/>
      <c r="U45" s="10"/>
      <c r="V45" s="10"/>
      <c r="W45" s="10"/>
      <c r="X45" s="10"/>
      <c r="Y45" s="10"/>
      <c r="Z45" s="10"/>
      <c r="AA45" s="10"/>
      <c r="AB45" s="10"/>
    </row>
    <row r="46">
      <c r="A46" s="22">
        <v>45.0</v>
      </c>
      <c r="B46" s="9" t="s">
        <v>1521</v>
      </c>
      <c r="C46" s="9" t="s">
        <v>1522</v>
      </c>
      <c r="D46" s="9" t="s">
        <v>1523</v>
      </c>
      <c r="E46" s="9" t="s">
        <v>1524</v>
      </c>
      <c r="F46" s="10"/>
      <c r="G46" s="10"/>
      <c r="H46" s="7" t="str">
        <f>IFERROR(__xludf.DUMMYFUNCTION("GOOGLETRANSLATE(B46, ""en"", ""zh"")"),"哪种运动在技巧和技术方面与毽子最相似？")</f>
        <v>哪种运动在技巧和技术方面与毽子最相似？</v>
      </c>
      <c r="I46" s="7" t="str">
        <f>IFERROR(__xludf.DUMMYFUNCTION("GOOGLETRANSLATE(C46, ""en"", ""zh"")"),"A) 足球，B) 排球，C) 羽毛球，D) 足球")</f>
        <v>A) 足球，B) 排球，C) 羽毛球，D) 足球</v>
      </c>
      <c r="J46" s="7" t="str">
        <f>IFERROR(__xludf.DUMMYFUNCTION("GOOGLETRANSLATE(D46, ""en"", ""zh"")"),"C) 羽毛球")</f>
        <v>C) 羽毛球</v>
      </c>
      <c r="K46" s="7" t="str">
        <f>IFERROR(__xludf.DUMMYFUNCTION("GOOGLETRANSLATE(E46, ""en"", ""zh"")"),"剑子与羽毛球的步法技巧相似，尤其是在踢球和控制羽毛球方面。")</f>
        <v>剑子与羽毛球的步法技巧相似，尤其是在踢球和控制羽毛球方面。</v>
      </c>
      <c r="L46" s="11"/>
      <c r="M46" s="11"/>
      <c r="N46" s="10"/>
      <c r="O46" s="11"/>
      <c r="P46" s="11"/>
      <c r="Q46" s="10"/>
      <c r="R46" s="10"/>
      <c r="S46" s="10"/>
      <c r="T46" s="10"/>
      <c r="U46" s="10"/>
      <c r="V46" s="10"/>
      <c r="W46" s="10"/>
      <c r="X46" s="10"/>
      <c r="Y46" s="10"/>
      <c r="Z46" s="10"/>
      <c r="AA46" s="10"/>
      <c r="AB46" s="10"/>
    </row>
    <row r="47">
      <c r="A47" s="22">
        <v>46.0</v>
      </c>
      <c r="B47" s="9" t="s">
        <v>1525</v>
      </c>
      <c r="C47" s="9" t="s">
        <v>1526</v>
      </c>
      <c r="D47" s="9" t="s">
        <v>1527</v>
      </c>
      <c r="E47" s="9" t="s">
        <v>1528</v>
      </c>
      <c r="F47" s="10"/>
      <c r="G47" s="10"/>
      <c r="H47" s="7" t="str">
        <f>IFERROR(__xludf.DUMMYFUNCTION("GOOGLETRANSLATE(B47, ""en"", ""zh"")"),"剑子中常用的步法技术叫什么名字？")</f>
        <v>剑子中常用的步法技术叫什么名字？</v>
      </c>
      <c r="I47" s="7" t="str">
        <f>IFERROR(__xludf.DUMMYFUNCTION("GOOGLETRANSLATE(C47, ""en"", ""zh"")"),"A) 脚下运球，B) 折返踢球，C) 颠球，D) 后空翻踢球")</f>
        <v>A) 脚下运球，B) 折返踢球，C) 颠球，D) 后空翻踢球</v>
      </c>
      <c r="J47" s="7" t="str">
        <f>IFERROR(__xludf.DUMMYFUNCTION("GOOGLETRANSLATE(D47, ""en"", ""zh"")"),"C) 杂耍")</f>
        <v>C) 杂耍</v>
      </c>
      <c r="K47" s="7" t="str">
        <f>IFERROR(__xludf.DUMMYFUNCTION("GOOGLETRANSLATE(E47, ""en"", ""zh"")"),"毽子的步法常被称为杂耍，球员用脚来控制毽子。")</f>
        <v>毽子的步法常被称为杂耍，球员用脚来控制毽子。</v>
      </c>
      <c r="L47" s="11"/>
      <c r="M47" s="11"/>
      <c r="N47" s="11"/>
      <c r="O47" s="11"/>
      <c r="P47" s="10"/>
      <c r="Q47" s="10"/>
      <c r="R47" s="10"/>
      <c r="S47" s="10"/>
      <c r="T47" s="10"/>
      <c r="U47" s="10"/>
      <c r="V47" s="10"/>
      <c r="W47" s="10"/>
      <c r="X47" s="10"/>
      <c r="Y47" s="10"/>
      <c r="Z47" s="10"/>
      <c r="AA47" s="10"/>
      <c r="AB47" s="10"/>
    </row>
    <row r="48">
      <c r="A48" s="22">
        <v>47.0</v>
      </c>
      <c r="B48" s="9" t="s">
        <v>1529</v>
      </c>
      <c r="C48" s="9" t="s">
        <v>1530</v>
      </c>
      <c r="D48" s="9" t="s">
        <v>1531</v>
      </c>
      <c r="E48" s="9" t="s">
        <v>1532</v>
      </c>
      <c r="F48" s="10"/>
      <c r="G48" s="10"/>
      <c r="H48" s="7" t="str">
        <f>IFERROR(__xludf.DUMMYFUNCTION("GOOGLETRANSLATE(B48, ""en"", ""zh"")"),"现代剑子通常是如何演奏的？")</f>
        <v>现代剑子通常是如何演奏的？</v>
      </c>
      <c r="I48" s="7" t="str">
        <f>IFERROR(__xludf.DUMMYFUNCTION("GOOGLETRANSLATE(C48, ""en"", ""zh"")"),"A) 作为一项个人运动，B) 作为一项团体运动，C) 作为一项健身活动，D) 作为一项竞技赛事")</f>
        <v>A) 作为一项个人运动，B) 作为一项团体运动，C) 作为一项健身活动，D) 作为一项竞技赛事</v>
      </c>
      <c r="J48" s="7" t="str">
        <f>IFERROR(__xludf.DUMMYFUNCTION("GOOGLETRANSLATE(D48, ""en"", ""zh"")"),"B）作为一项团队运动")</f>
        <v>B）作为一项团队运动</v>
      </c>
      <c r="K48" s="7" t="str">
        <f>IFERROR(__xludf.DUMMYFUNCTION("GOOGLETRANSLATE(E48, ""en"", ""zh"")"),"现代毽子通常以团队形式进行，队员轮流踢毽子。")</f>
        <v>现代毽子通常以团队形式进行，队员轮流踢毽子。</v>
      </c>
      <c r="L48" s="11"/>
      <c r="M48" s="11"/>
      <c r="N48" s="11"/>
      <c r="O48" s="11"/>
      <c r="P48" s="10"/>
      <c r="Q48" s="10"/>
      <c r="R48" s="10"/>
      <c r="S48" s="10"/>
      <c r="T48" s="10"/>
      <c r="U48" s="10"/>
      <c r="V48" s="10"/>
      <c r="W48" s="10"/>
      <c r="X48" s="10"/>
      <c r="Y48" s="10"/>
      <c r="Z48" s="10"/>
      <c r="AA48" s="10"/>
      <c r="AB48" s="10"/>
    </row>
    <row r="49">
      <c r="A49" s="22">
        <v>48.0</v>
      </c>
      <c r="B49" s="9" t="s">
        <v>1533</v>
      </c>
      <c r="C49" s="9" t="s">
        <v>1534</v>
      </c>
      <c r="D49" s="9" t="s">
        <v>1535</v>
      </c>
      <c r="E49" s="9" t="s">
        <v>1536</v>
      </c>
      <c r="F49" s="10"/>
      <c r="G49" s="10"/>
      <c r="H49" s="7" t="str">
        <f>IFERROR(__xludf.DUMMYFUNCTION("GOOGLETRANSLATE(B49, ""en"", ""zh"")"),"如今在尖子中常见的比赛类型有哪些？")</f>
        <v>如今在尖子中常见的比赛类型有哪些？</v>
      </c>
      <c r="I49" s="7" t="str">
        <f>IFERROR(__xludf.DUMMYFUNCTION("GOOGLETRANSLATE(C49, ""en"", ""zh"")"),"A) 个人表演，B) 杂耍比赛，C) 团队接力赛，D) 踢球精准度比赛")</f>
        <v>A) 个人表演，B) 杂耍比赛，C) 团队接力赛，D) 踢球精准度比赛</v>
      </c>
      <c r="J49" s="7" t="str">
        <f>IFERROR(__xludf.DUMMYFUNCTION("GOOGLETRANSLATE(D49, ""en"", ""zh"")"),"D) 踢球精准度比赛")</f>
        <v>D) 踢球精准度比赛</v>
      </c>
      <c r="K49" s="7" t="str">
        <f>IFERROR(__xludf.DUMMYFUNCTION("GOOGLETRANSLATE(E49, ""en"", ""zh"")"),"现代剑式比赛往往注重踢腿的准确性和风格。")</f>
        <v>现代剑式比赛往往注重踢腿的准确性和风格。</v>
      </c>
      <c r="L49" s="10"/>
      <c r="M49" s="11"/>
      <c r="N49" s="11"/>
      <c r="O49" s="11"/>
      <c r="P49" s="11"/>
      <c r="Q49" s="10"/>
      <c r="R49" s="10"/>
      <c r="S49" s="10"/>
      <c r="T49" s="10"/>
      <c r="U49" s="10"/>
      <c r="V49" s="10"/>
      <c r="W49" s="10"/>
      <c r="X49" s="10"/>
      <c r="Y49" s="10"/>
      <c r="Z49" s="10"/>
      <c r="AA49" s="10"/>
      <c r="AB49" s="10"/>
    </row>
    <row r="50">
      <c r="A50" s="22">
        <v>49.0</v>
      </c>
      <c r="B50" s="9" t="s">
        <v>1537</v>
      </c>
      <c r="C50" s="9" t="s">
        <v>1538</v>
      </c>
      <c r="D50" s="9" t="s">
        <v>1539</v>
      </c>
      <c r="E50" s="9" t="s">
        <v>1540</v>
      </c>
      <c r="F50" s="10"/>
      <c r="G50" s="10"/>
      <c r="H50" s="7" t="str">
        <f>IFERROR(__xludf.DUMMYFUNCTION("GOOGLETRANSLATE(B50, ""en"", ""zh"")"),"建子的主要目标是什么？")</f>
        <v>建子的主要目标是什么？</v>
      </c>
      <c r="I50" s="7" t="str">
        <f>IFERROR(__xludf.DUMMYFUNCTION("GOOGLETRANSLATE(C50, ""en"", ""zh"")"),"A) 进球得分，B) 将羽毛球踢得最远，C) 让羽毛球保持在空中，D) 将羽毛球传给其他人")</f>
        <v>A) 进球得分，B) 将羽毛球踢得最远，C) 让羽毛球保持在空中，D) 将羽毛球传给其他人</v>
      </c>
      <c r="J50" s="7" t="str">
        <f>IFERROR(__xludf.DUMMYFUNCTION("GOOGLETRANSLATE(D50, ""en"", ""zh"")"),"C) 使羽毛球保持在空中")</f>
        <v>C) 使羽毛球保持在空中</v>
      </c>
      <c r="K50" s="7" t="str">
        <f>IFERROR(__xludf.DUMMYFUNCTION("GOOGLETRANSLATE(E50, ""en"", ""zh"")"),"毽子的主要目标是防止毽子触地。")</f>
        <v>毽子的主要目标是防止毽子触地。</v>
      </c>
      <c r="L50" s="10"/>
      <c r="M50" s="11"/>
      <c r="N50" s="11"/>
      <c r="O50" s="11"/>
      <c r="P50" s="11"/>
      <c r="Q50" s="10"/>
      <c r="R50" s="10"/>
      <c r="S50" s="10"/>
      <c r="T50" s="10"/>
      <c r="U50" s="10"/>
      <c r="V50" s="10"/>
      <c r="W50" s="10"/>
      <c r="X50" s="10"/>
      <c r="Y50" s="10"/>
      <c r="Z50" s="10"/>
      <c r="AA50" s="10"/>
      <c r="AB50" s="10"/>
    </row>
    <row r="51">
      <c r="A51" s="22">
        <v>50.0</v>
      </c>
      <c r="B51" s="9" t="s">
        <v>1541</v>
      </c>
      <c r="C51" s="9" t="s">
        <v>1542</v>
      </c>
      <c r="D51" s="9" t="s">
        <v>1543</v>
      </c>
      <c r="E51" s="9" t="s">
        <v>1544</v>
      </c>
      <c r="F51" s="10"/>
      <c r="G51" s="10"/>
      <c r="H51" s="7" t="str">
        <f>IFERROR(__xludf.DUMMYFUNCTION("GOOGLETRANSLATE(B51, ""en"", ""zh"")"),"演奏琴子时，身体哪个部位用得最少？")</f>
        <v>演奏琴子时，身体哪个部位用得最少？</v>
      </c>
      <c r="I51" s="7" t="str">
        <f>IFERROR(__xludf.DUMMYFUNCTION("GOOGLETRANSLATE(C51, ""en"", ""zh"")"),"A) 脚，B) 头，C) 手，D) 膝盖")</f>
        <v>A) 脚，B) 头，C) 手，D) 膝盖</v>
      </c>
      <c r="J51" s="7" t="str">
        <f>IFERROR(__xludf.DUMMYFUNCTION("GOOGLETRANSLATE(D51, ""en"", ""zh"")"),"C）手")</f>
        <v>C）手</v>
      </c>
      <c r="K51" s="7" t="str">
        <f>IFERROR(__xludf.DUMMYFUNCTION("GOOGLETRANSLATE(E51, ""en"", ""zh"")"),"毽子比赛中，球员通常不用手，而是用脚、头甚至膝盖来控制毽子。")</f>
        <v>毽子比赛中，球员通常不用手，而是用脚、头甚至膝盖来控制毽子。</v>
      </c>
      <c r="L51" s="10"/>
      <c r="M51" s="11"/>
      <c r="N51" s="10"/>
      <c r="O51" s="11"/>
      <c r="P51" s="10"/>
      <c r="Q51" s="10"/>
      <c r="R51" s="10"/>
      <c r="S51" s="10"/>
      <c r="T51" s="10"/>
      <c r="U51" s="10"/>
      <c r="V51" s="10"/>
      <c r="W51" s="10"/>
      <c r="X51" s="10"/>
      <c r="Y51" s="10"/>
      <c r="Z51" s="10"/>
      <c r="AA51" s="10"/>
      <c r="AB51" s="10"/>
    </row>
    <row r="52">
      <c r="A52" s="22">
        <v>51.0</v>
      </c>
      <c r="B52" s="9" t="s">
        <v>1545</v>
      </c>
      <c r="C52" s="9" t="s">
        <v>1546</v>
      </c>
      <c r="D52" s="9" t="s">
        <v>1547</v>
      </c>
      <c r="E52" s="9" t="s">
        <v>1548</v>
      </c>
      <c r="F52" s="10"/>
      <c r="G52" s="10"/>
      <c r="H52" s="7" t="str">
        <f>IFERROR(__xludf.DUMMYFUNCTION("GOOGLETRANSLATE(B52, ""en"", ""zh"")"),"演奏剑子时，步法的哪个方面最为重要？")</f>
        <v>演奏剑子时，步法的哪个方面最为重要？</v>
      </c>
      <c r="I52" s="7" t="str">
        <f>IFERROR(__xludf.DUMMYFUNCTION("GOOGLETRANSLATE(C52, ""en"", ""zh"")"),"A) 敏捷性，B) 速度，C) 爆发力，D) 力量")</f>
        <v>A) 敏捷性，B) 速度，C) 爆发力，D) 力量</v>
      </c>
      <c r="J52" s="7" t="str">
        <f>IFERROR(__xludf.DUMMYFUNCTION("GOOGLETRANSLATE(D52, ""en"", ""zh"")"),"A) 敏捷性")</f>
        <v>A) 敏捷性</v>
      </c>
      <c r="K52" s="7" t="str">
        <f>IFERROR(__xludf.DUMMYFUNCTION("GOOGLETRANSLATE(E52, ""en"", ""zh"")"),"毽子运动注重敏捷性，因为球员必须快速而精准地移动才能控制毽子。")</f>
        <v>毽子运动注重敏捷性，因为球员必须快速而精准地移动才能控制毽子。</v>
      </c>
      <c r="L52" s="11"/>
      <c r="M52" s="11"/>
      <c r="N52" s="10"/>
      <c r="O52" s="11"/>
      <c r="P52" s="10"/>
      <c r="Q52" s="10"/>
      <c r="R52" s="10"/>
      <c r="S52" s="10"/>
      <c r="T52" s="10"/>
      <c r="U52" s="10"/>
      <c r="V52" s="10"/>
      <c r="W52" s="10"/>
      <c r="X52" s="10"/>
      <c r="Y52" s="10"/>
      <c r="Z52" s="10"/>
      <c r="AA52" s="10"/>
      <c r="AB52" s="10"/>
    </row>
    <row r="53">
      <c r="A53" s="22">
        <v>52.0</v>
      </c>
      <c r="B53" s="9" t="s">
        <v>1549</v>
      </c>
      <c r="C53" s="9" t="s">
        <v>1550</v>
      </c>
      <c r="D53" s="9" t="s">
        <v>1551</v>
      </c>
      <c r="E53" s="9" t="s">
        <v>1552</v>
      </c>
      <c r="F53" s="10"/>
      <c r="G53" s="10"/>
      <c r="H53" s="7" t="str">
        <f>IFERROR(__xludf.DUMMYFUNCTION("GOOGLETRANSLATE(B53, ""en"", ""zh"")"),"现代毽子比赛中最常见的比赛形式是什么？")</f>
        <v>现代毽子比赛中最常见的比赛形式是什么？</v>
      </c>
      <c r="I53" s="7" t="str">
        <f>IFERROR(__xludf.DUMMYFUNCTION("GOOGLETRANSLATE(C53, ""en"", ""zh"")"),"A) 个人表演，B) 团体比赛，C) 接力赛，D) 踢球精准度比赛")</f>
        <v>A) 个人表演，B) 团体比赛，C) 接力赛，D) 踢球精准度比赛</v>
      </c>
      <c r="J53" s="7" t="str">
        <f>IFERROR(__xludf.DUMMYFUNCTION("GOOGLETRANSLATE(D53, ""en"", ""zh"")"),"B）团体比赛")</f>
        <v>B）团体比赛</v>
      </c>
      <c r="K53" s="7" t="str">
        <f>IFERROR(__xludf.DUMMYFUNCTION("GOOGLETRANSLATE(E53, ""en"", ""zh"")"),"现代毽子比赛通常以小组形式进行，球员轮流击打毽子，使其保持在空中。")</f>
        <v>现代毽子比赛通常以小组形式进行，球员轮流击打毽子，使其保持在空中。</v>
      </c>
      <c r="L53" s="11"/>
      <c r="M53" s="11"/>
      <c r="N53" s="11"/>
      <c r="O53" s="11"/>
      <c r="P53" s="10"/>
      <c r="Q53" s="10"/>
      <c r="R53" s="10"/>
      <c r="S53" s="10"/>
      <c r="T53" s="10"/>
      <c r="U53" s="10"/>
      <c r="V53" s="10"/>
      <c r="W53" s="10"/>
      <c r="X53" s="10"/>
      <c r="Y53" s="10"/>
      <c r="Z53" s="10"/>
      <c r="AA53" s="10"/>
      <c r="AB53" s="10"/>
    </row>
    <row r="54">
      <c r="A54" s="22">
        <v>53.0</v>
      </c>
      <c r="B54" s="9" t="s">
        <v>1553</v>
      </c>
      <c r="C54" s="9" t="s">
        <v>1554</v>
      </c>
      <c r="D54" s="9" t="s">
        <v>411</v>
      </c>
      <c r="E54" s="9" t="s">
        <v>1555</v>
      </c>
      <c r="F54" s="10"/>
      <c r="G54" s="10"/>
      <c r="H54" s="7" t="str">
        <f>IFERROR(__xludf.DUMMYFUNCTION("GOOGLETRANSLATE(B54, ""en"", ""zh"")"),"下剑时通常穿什么类型的鞋子？")</f>
        <v>下剑时通常穿什么类型的鞋子？</v>
      </c>
      <c r="I54" s="7" t="str">
        <f>IFERROR(__xludf.DUMMYFUNCTION("GOOGLETRANSLATE(C54, ""en"", ""zh"")"),"A) 赤脚，B) 运动鞋，C) 凉鞋，D) 靴子")</f>
        <v>A) 赤脚，B) 运动鞋，C) 凉鞋，D) 靴子</v>
      </c>
      <c r="J54" s="7" t="str">
        <f>IFERROR(__xludf.DUMMYFUNCTION("GOOGLETRANSLATE(D54, ""en"", ""zh"")"),"A）赤脚")</f>
        <v>A）赤脚</v>
      </c>
      <c r="K54" s="7" t="str">
        <f>IFERROR(__xludf.DUMMYFUNCTION("GOOGLETRANSLATE(E54, ""en"", ""zh"")"),"球员们经常赤脚打戌子，以提高脚步移动和敏捷性。")</f>
        <v>球员们经常赤脚打戌子，以提高脚步移动和敏捷性。</v>
      </c>
      <c r="L54" s="10"/>
      <c r="M54" s="11"/>
      <c r="N54" s="10"/>
      <c r="O54" s="11"/>
      <c r="P54" s="11"/>
      <c r="Q54" s="10"/>
      <c r="R54" s="10"/>
      <c r="S54" s="10"/>
      <c r="T54" s="10"/>
      <c r="U54" s="10"/>
      <c r="V54" s="10"/>
      <c r="W54" s="10"/>
      <c r="X54" s="10"/>
      <c r="Y54" s="10"/>
      <c r="Z54" s="10"/>
      <c r="AA54" s="10"/>
      <c r="AB54" s="10"/>
    </row>
    <row r="55">
      <c r="A55" s="22">
        <v>54.0</v>
      </c>
      <c r="B55" s="9" t="s">
        <v>1556</v>
      </c>
      <c r="C55" s="9" t="s">
        <v>1557</v>
      </c>
      <c r="D55" s="9" t="s">
        <v>1558</v>
      </c>
      <c r="E55" s="9" t="s">
        <v>1559</v>
      </c>
      <c r="F55" s="10"/>
      <c r="G55" s="10"/>
      <c r="H55" s="7" t="str">
        <f>IFERROR(__xludf.DUMMYFUNCTION("GOOGLETRANSLATE(B55, ""en"", ""zh"")"),"剑术中用来描述踢腿技术的常用术语是什么？")</f>
        <v>剑术中用来描述踢腿技术的常用术语是什么？</v>
      </c>
      <c r="I55" s="7" t="str">
        <f>IFERROR(__xludf.DUMMYFUNCTION("GOOGLETRANSLATE(C55, ""en"", ""zh"")"),"A) 颠球，B) 运球，C) 弹球，D) 扣球")</f>
        <v>A) 颠球，B) 运球，C) 弹球，D) 扣球</v>
      </c>
      <c r="J55" s="7" t="str">
        <f>IFERROR(__xludf.DUMMYFUNCTION("GOOGLETRANSLATE(D55, ""en"", ""zh"")"),"A) 杂耍")</f>
        <v>A) 杂耍</v>
      </c>
      <c r="K55" s="7" t="str">
        <f>IFERROR(__xludf.DUMMYFUNCTION("GOOGLETRANSLATE(E55, ""en"", ""zh"")"),"毽子中的踢球技巧常被称为颠球，因为球员要不断地让毽子保持在空中。")</f>
        <v>毽子中的踢球技巧常被称为颠球，因为球员要不断地让毽子保持在空中。</v>
      </c>
      <c r="L55" s="11"/>
      <c r="M55" s="11"/>
      <c r="N55" s="11"/>
      <c r="O55" s="11"/>
      <c r="P55" s="11"/>
      <c r="Q55" s="10"/>
      <c r="R55" s="10"/>
      <c r="S55" s="10"/>
      <c r="T55" s="10"/>
      <c r="U55" s="10"/>
      <c r="V55" s="10"/>
      <c r="W55" s="10"/>
      <c r="X55" s="10"/>
      <c r="Y55" s="10"/>
      <c r="Z55" s="10"/>
      <c r="AA55" s="10"/>
      <c r="AB55" s="10"/>
    </row>
    <row r="56">
      <c r="A56" s="22">
        <v>55.0</v>
      </c>
      <c r="B56" s="9" t="s">
        <v>1560</v>
      </c>
      <c r="C56" s="9" t="s">
        <v>1561</v>
      </c>
      <c r="D56" s="9" t="s">
        <v>1562</v>
      </c>
      <c r="E56" s="9" t="s">
        <v>1563</v>
      </c>
      <c r="F56" s="10"/>
      <c r="G56" s="10"/>
      <c r="H56" s="7" t="str">
        <f>IFERROR(__xludf.DUMMYFUNCTION("GOOGLETRANSLATE(B56, ""en"", ""zh"")"),"哪种毽子比赛要求选手表演复杂的技巧和特技？")</f>
        <v>哪种毽子比赛要求选手表演复杂的技巧和特技？</v>
      </c>
      <c r="I56" s="7" t="str">
        <f>IFERROR(__xludf.DUMMYFUNCTION("GOOGLETRANSLATE(C56, ""en"", ""zh"")"),"A) 自由式比赛，B) 踢球精准度，C) 接力赛，D) 速度比赛")</f>
        <v>A) 自由式比赛，B) 踢球精准度，C) 接力赛，D) 速度比赛</v>
      </c>
      <c r="J56" s="7" t="str">
        <f>IFERROR(__xludf.DUMMYFUNCTION("GOOGLETRANSLATE(D56, ""en"", ""zh"")"),"A) 自由式比赛")</f>
        <v>A) 自由式比赛</v>
      </c>
      <c r="K56" s="7" t="str">
        <f>IFERROR(__xludf.DUMMYFUNCTION("GOOGLETRANSLATE(E56, ""en"", ""zh"")"),"自由式毽子比赛注重选手用毽子表演复杂的技巧和特技。")</f>
        <v>自由式毽子比赛注重选手用毽子表演复杂的技巧和特技。</v>
      </c>
      <c r="L56" s="11"/>
      <c r="M56" s="11"/>
      <c r="N56" s="10"/>
      <c r="O56" s="11"/>
      <c r="P56" s="10"/>
      <c r="Q56" s="10"/>
      <c r="R56" s="10"/>
      <c r="S56" s="10"/>
      <c r="T56" s="10"/>
      <c r="U56" s="10"/>
      <c r="V56" s="10"/>
      <c r="W56" s="10"/>
      <c r="X56" s="10"/>
      <c r="Y56" s="10"/>
      <c r="Z56" s="10"/>
      <c r="AA56" s="10"/>
      <c r="AB56" s="10"/>
    </row>
    <row r="57">
      <c r="A57" s="22">
        <v>56.0</v>
      </c>
      <c r="B57" s="9" t="s">
        <v>1564</v>
      </c>
      <c r="C57" s="9" t="s">
        <v>1565</v>
      </c>
      <c r="D57" s="9" t="s">
        <v>1566</v>
      </c>
      <c r="E57" s="9" t="s">
        <v>1567</v>
      </c>
      <c r="F57" s="10"/>
      <c r="G57" s="10"/>
      <c r="H57" s="7" t="str">
        <f>IFERROR(__xludf.DUMMYFUNCTION("GOOGLETRANSLATE(B57, ""en"", ""zh"")"),"与其他羽毛球运动（如羽毛球）相比，毽子有何独特之处？")</f>
        <v>与其他羽毛球运动（如羽毛球）相比，毽子有何独特之处？</v>
      </c>
      <c r="I57" s="7" t="str">
        <f>IFERROR(__xludf.DUMMYFUNCTION("GOOGLETRANSLATE(C57, ""en"", ""zh"")"),"A) 在户外进行，B) 球员用头和脚，C) 使用球网，D) 使用较大的羽毛球")</f>
        <v>A) 在户外进行，B) 球员用头和脚，C) 使用球网，D) 使用较大的羽毛球</v>
      </c>
      <c r="J57" s="7" t="str">
        <f>IFERROR(__xludf.DUMMYFUNCTION("GOOGLETRANSLATE(D57, ""en"", ""zh"")"),"B) 球员运用头部和脚部")</f>
        <v>B) 球员运用头部和脚部</v>
      </c>
      <c r="K57" s="7" t="str">
        <f>IFERROR(__xludf.DUMMYFUNCTION("GOOGLETRANSLATE(E57, ""en"", ""zh"")"),"毽子的独特之处在于，球员可以用脚、膝盖甚至头部来控制毽子。")</f>
        <v>毽子的独特之处在于，球员可以用脚、膝盖甚至头部来控制毽子。</v>
      </c>
      <c r="L57" s="11"/>
      <c r="M57" s="11"/>
      <c r="N57" s="11"/>
      <c r="O57" s="11"/>
      <c r="P57" s="10"/>
      <c r="Q57" s="10"/>
      <c r="R57" s="10"/>
      <c r="S57" s="10"/>
      <c r="T57" s="10"/>
      <c r="U57" s="10"/>
      <c r="V57" s="10"/>
      <c r="W57" s="10"/>
      <c r="X57" s="10"/>
      <c r="Y57" s="10"/>
      <c r="Z57" s="10"/>
      <c r="AA57" s="10"/>
      <c r="AB57" s="10"/>
    </row>
    <row r="58">
      <c r="A58" s="22">
        <v>57.0</v>
      </c>
      <c r="B58" s="9" t="s">
        <v>1568</v>
      </c>
      <c r="C58" s="9" t="s">
        <v>1569</v>
      </c>
      <c r="D58" s="9" t="s">
        <v>1570</v>
      </c>
      <c r="E58" s="9" t="s">
        <v>1571</v>
      </c>
      <c r="F58" s="10"/>
      <c r="G58" s="10"/>
      <c r="H58" s="7" t="str">
        <f>IFERROR(__xludf.DUMMYFUNCTION("GOOGLETRANSLATE(B58, ""en"", ""zh"")"),"建子起源于哪个朝代？")</f>
        <v>建子起源于哪个朝代？</v>
      </c>
      <c r="I58" s="7" t="str">
        <f>IFERROR(__xludf.DUMMYFUNCTION("GOOGLETRANSLATE(C58, ""en"", ""zh"")"),"A) 唐，B) 韩，C) 宋，D) 明")</f>
        <v>A) 唐，B) 韩，C) 宋，D) 明</v>
      </c>
      <c r="J58" s="7" t="str">
        <f>IFERROR(__xludf.DUMMYFUNCTION("GOOGLETRANSLATE(D58, ""en"", ""zh"")"),"B) 韩")</f>
        <v>B) 韩</v>
      </c>
      <c r="K58" s="7" t="str">
        <f>IFERROR(__xludf.DUMMYFUNCTION("GOOGLETRANSLATE(E58, ""en"", ""zh"")"),"煎子据信起源于中国汉代。")</f>
        <v>煎子据信起源于中国汉代。</v>
      </c>
      <c r="L58" s="10"/>
      <c r="M58" s="11"/>
      <c r="N58" s="11"/>
      <c r="O58" s="11"/>
      <c r="P58" s="10"/>
      <c r="Q58" s="10"/>
      <c r="R58" s="10"/>
      <c r="S58" s="10"/>
      <c r="T58" s="10"/>
      <c r="U58" s="10"/>
      <c r="V58" s="10"/>
      <c r="W58" s="10"/>
      <c r="X58" s="10"/>
      <c r="Y58" s="10"/>
      <c r="Z58" s="10"/>
      <c r="AA58" s="10"/>
      <c r="AB58" s="10"/>
    </row>
    <row r="59">
      <c r="A59" s="22">
        <v>58.0</v>
      </c>
      <c r="B59" s="9" t="s">
        <v>1572</v>
      </c>
      <c r="C59" s="9" t="s">
        <v>1573</v>
      </c>
      <c r="D59" s="9" t="s">
        <v>223</v>
      </c>
      <c r="E59" s="9" t="s">
        <v>1574</v>
      </c>
      <c r="F59" s="10"/>
      <c r="G59" s="10"/>
      <c r="H59" s="7" t="str">
        <f>IFERROR(__xludf.DUMMYFUNCTION("GOOGLETRANSLATE(B59, ""en"", ""zh"")"),"栉子据信起源于哪个国家？")</f>
        <v>栉子据信起源于哪个国家？</v>
      </c>
      <c r="I59" s="7" t="str">
        <f>IFERROR(__xludf.DUMMYFUNCTION("GOOGLETRANSLATE(C59, ""en"", ""zh"")"),"A) 日本，B) 韩国，C) 中国，D) 泰国")</f>
        <v>A) 日本，B) 韩国，C) 中国，D) 泰国</v>
      </c>
      <c r="J59" s="7" t="str">
        <f>IFERROR(__xludf.DUMMYFUNCTION("GOOGLETRANSLATE(D59, ""en"", ""zh"")"),"C) 中国")</f>
        <v>C) 中国</v>
      </c>
      <c r="K59" s="7" t="str">
        <f>IFERROR(__xludf.DUMMYFUNCTION("GOOGLETRANSLATE(E59, ""en"", ""zh"")"),"毽子是一项起源于中国、拥有2000多年历史的传统运动。")</f>
        <v>毽子是一项起源于中国、拥有2000多年历史的传统运动。</v>
      </c>
      <c r="L59" s="10"/>
      <c r="M59" s="11"/>
      <c r="N59" s="11"/>
      <c r="O59" s="11"/>
      <c r="P59" s="10"/>
      <c r="Q59" s="10"/>
      <c r="R59" s="10"/>
      <c r="S59" s="10"/>
      <c r="T59" s="10"/>
      <c r="U59" s="10"/>
      <c r="V59" s="10"/>
      <c r="W59" s="10"/>
      <c r="X59" s="10"/>
      <c r="Y59" s="10"/>
      <c r="Z59" s="10"/>
      <c r="AA59" s="10"/>
      <c r="AB59" s="10"/>
    </row>
    <row r="60">
      <c r="A60" s="22">
        <v>59.0</v>
      </c>
      <c r="B60" s="9" t="s">
        <v>1575</v>
      </c>
      <c r="C60" s="9" t="s">
        <v>1576</v>
      </c>
      <c r="D60" s="9" t="s">
        <v>1577</v>
      </c>
      <c r="E60" s="9" t="s">
        <v>1578</v>
      </c>
      <c r="F60" s="10"/>
      <c r="G60" s="10"/>
      <c r="H60" s="7" t="str">
        <f>IFERROR(__xludf.DUMMYFUNCTION("GOOGLETRANSLATE(B60, ""en"", ""zh"")"),"中国传统活动中，涮子通常作为一项娱乐活动吗？")</f>
        <v>中国传统活动中，涮子通常作为一项娱乐活动吗？</v>
      </c>
      <c r="I60" s="7" t="str">
        <f>IFERROR(__xludf.DUMMYFUNCTION("GOOGLETRANSLATE(C60, ""en"", ""zh"")"),"A) 端午节，B) 农历新年，C) 中秋节，D) 元旦")</f>
        <v>A) 端午节，B) 农历新年，C) 中秋节，D) 元旦</v>
      </c>
      <c r="J60" s="7" t="str">
        <f>IFERROR(__xludf.DUMMYFUNCTION("GOOGLETRANSLATE(D60, ""en"", ""zh"")"),"B) 农历新年")</f>
        <v>B) 农历新年</v>
      </c>
      <c r="K60" s="7" t="str">
        <f>IFERROR(__xludf.DUMMYFUNCTION("GOOGLETRANSLATE(E60, ""en"", ""zh"")"),"在中国，人们通常会在农历新年庆祝活动中演奏琴子。")</f>
        <v>在中国，人们通常会在农历新年庆祝活动中演奏琴子。</v>
      </c>
      <c r="L60" s="11"/>
      <c r="M60" s="11"/>
      <c r="N60" s="10"/>
      <c r="O60" s="11"/>
      <c r="P60" s="11"/>
      <c r="Q60" s="10"/>
      <c r="R60" s="10"/>
      <c r="S60" s="10"/>
      <c r="T60" s="10"/>
      <c r="U60" s="10"/>
      <c r="V60" s="10"/>
      <c r="W60" s="10"/>
      <c r="X60" s="10"/>
      <c r="Y60" s="10"/>
      <c r="Z60" s="10"/>
      <c r="AA60" s="10"/>
      <c r="AB60" s="10"/>
    </row>
    <row r="61">
      <c r="A61" s="22">
        <v>60.0</v>
      </c>
      <c r="B61" s="9" t="s">
        <v>1579</v>
      </c>
      <c r="C61" s="9" t="s">
        <v>1580</v>
      </c>
      <c r="D61" s="9" t="s">
        <v>1581</v>
      </c>
      <c r="E61" s="9" t="s">
        <v>1582</v>
      </c>
      <c r="F61" s="10"/>
      <c r="G61" s="10"/>
      <c r="H61" s="7" t="str">
        <f>IFERROR(__xludf.DUMMYFUNCTION("GOOGLETRANSLATE(B61, ""en"", ""zh"")"),"毽子中，毽子通常有多少根羽毛？")</f>
        <v>毽子中，毽子通常有多少根羽毛？</v>
      </c>
      <c r="I61" s="7" t="str">
        <f>IFERROR(__xludf.DUMMYFUNCTION("GOOGLETRANSLATE(C61, ""en"", ""zh"")"),"A) 3，B) 4，C) 5，D) 6")</f>
        <v>A) 3，B) 4，C) 5，D) 6</v>
      </c>
      <c r="J61" s="7" t="str">
        <f>IFERROR(__xludf.DUMMYFUNCTION("GOOGLETRANSLATE(D61, ""en"", ""zh"")"),"C) 5")</f>
        <v>C) 5</v>
      </c>
      <c r="K61" s="7" t="str">
        <f>IFERROR(__xludf.DUMMYFUNCTION("GOOGLETRANSLATE(E61, ""en"", ""zh"")"),"毽子一般有五根羽毛以增加稳定性。")</f>
        <v>毽子一般有五根羽毛以增加稳定性。</v>
      </c>
      <c r="L61" s="10"/>
      <c r="M61" s="11"/>
      <c r="N61" s="11"/>
      <c r="O61" s="11"/>
      <c r="P61" s="11"/>
      <c r="Q61" s="10"/>
      <c r="R61" s="10"/>
      <c r="S61" s="10"/>
      <c r="T61" s="10"/>
      <c r="U61" s="10"/>
      <c r="V61" s="10"/>
      <c r="W61" s="10"/>
      <c r="X61" s="10"/>
      <c r="Y61" s="10"/>
      <c r="Z61" s="10"/>
      <c r="AA61" s="10"/>
      <c r="AB61" s="10"/>
    </row>
    <row r="62">
      <c r="A62" s="22">
        <v>61.0</v>
      </c>
      <c r="B62" s="9" t="s">
        <v>1583</v>
      </c>
      <c r="C62" s="9" t="s">
        <v>1584</v>
      </c>
      <c r="D62" s="9" t="s">
        <v>1585</v>
      </c>
      <c r="E62" s="9" t="s">
        <v>1586</v>
      </c>
      <c r="F62" s="10"/>
      <c r="G62" s="10"/>
      <c r="H62" s="7" t="str">
        <f>IFERROR(__xludf.DUMMYFUNCTION("GOOGLETRANSLATE(B62, ""en"", ""zh"")"),"剑术是什么时候在中国被正式认定为竞技体育项目的？")</f>
        <v>剑术是什么时候在中国被正式认定为竞技体育项目的？</v>
      </c>
      <c r="I62" s="7" t="str">
        <f>IFERROR(__xludf.DUMMYFUNCTION("GOOGLETRANSLATE(C62, ""en"", ""zh"")"),"A) 1960年，B) 1970年，C) 1980年，D) 1990年")</f>
        <v>A) 1960年，B) 1970年，C) 1980年，D) 1990年</v>
      </c>
      <c r="J62" s="7" t="str">
        <f>IFERROR(__xludf.DUMMYFUNCTION("GOOGLETRANSLATE(D62, ""en"", ""zh"")"),"C) 1980")</f>
        <v>C) 1980</v>
      </c>
      <c r="K62" s="7" t="str">
        <f>IFERROR(__xludf.DUMMYFUNCTION("GOOGLETRANSLATE(E62, ""en"", ""zh"")"),"剑子于 1980 年被正式认定为竞技体育项目。")</f>
        <v>剑子于 1980 年被正式认定为竞技体育项目。</v>
      </c>
      <c r="L62" s="10"/>
      <c r="M62" s="11"/>
      <c r="N62" s="10"/>
      <c r="O62" s="11"/>
      <c r="P62" s="10"/>
      <c r="Q62" s="10"/>
      <c r="R62" s="10"/>
      <c r="S62" s="10"/>
      <c r="T62" s="10"/>
      <c r="U62" s="10"/>
      <c r="V62" s="10"/>
      <c r="W62" s="10"/>
      <c r="X62" s="10"/>
      <c r="Y62" s="10"/>
      <c r="Z62" s="10"/>
      <c r="AA62" s="10"/>
      <c r="AB62" s="10"/>
    </row>
    <row r="63">
      <c r="A63" s="22">
        <v>62.0</v>
      </c>
      <c r="B63" s="9" t="s">
        <v>1587</v>
      </c>
      <c r="C63" s="9" t="s">
        <v>1588</v>
      </c>
      <c r="D63" s="9" t="s">
        <v>1589</v>
      </c>
      <c r="E63" s="9" t="s">
        <v>1590</v>
      </c>
      <c r="F63" s="10"/>
      <c r="G63" s="10"/>
      <c r="H63" s="7" t="str">
        <f>IFERROR(__xludf.DUMMYFUNCTION("GOOGLETRANSLATE(B63, ""en"", ""zh"")"),"毽子羽毛传统上使用什么材料？")</f>
        <v>毽子羽毛传统上使用什么材料？</v>
      </c>
      <c r="I63" s="7" t="str">
        <f>IFERROR(__xludf.DUMMYFUNCTION("GOOGLETRANSLATE(C63, ""en"", ""zh"")"),"A) 鹅毛，B) 合成纤维，C) 塑料，D) 棉花")</f>
        <v>A) 鹅毛，B) 合成纤维，C) 塑料，D) 棉花</v>
      </c>
      <c r="J63" s="7" t="str">
        <f>IFERROR(__xludf.DUMMYFUNCTION("GOOGLETRANSLATE(D63, ""en"", ""zh"")"),"A) 鹅毛")</f>
        <v>A) 鹅毛</v>
      </c>
      <c r="K63" s="7" t="str">
        <f>IFERROR(__xludf.DUMMYFUNCTION("GOOGLETRANSLATE(E63, ""en"", ""zh"")"),"鹅毛历来是制作毽子羽毛的材料。")</f>
        <v>鹅毛历来是制作毽子羽毛的材料。</v>
      </c>
      <c r="L63" s="10"/>
      <c r="M63" s="11"/>
      <c r="N63" s="10"/>
      <c r="O63" s="11"/>
      <c r="P63" s="10"/>
      <c r="Q63" s="10"/>
      <c r="R63" s="10"/>
      <c r="S63" s="10"/>
      <c r="T63" s="10"/>
      <c r="U63" s="10"/>
      <c r="V63" s="10"/>
      <c r="W63" s="10"/>
      <c r="X63" s="10"/>
      <c r="Y63" s="10"/>
      <c r="Z63" s="10"/>
      <c r="AA63" s="10"/>
      <c r="AB63" s="10"/>
    </row>
    <row r="64">
      <c r="A64" s="22">
        <v>63.0</v>
      </c>
      <c r="B64" s="9" t="s">
        <v>1591</v>
      </c>
      <c r="C64" s="9" t="s">
        <v>1592</v>
      </c>
      <c r="D64" s="9" t="s">
        <v>238</v>
      </c>
      <c r="E64" s="9" t="s">
        <v>1593</v>
      </c>
      <c r="F64" s="10"/>
      <c r="G64" s="10"/>
      <c r="H64" s="7" t="str">
        <f>IFERROR(__xludf.DUMMYFUNCTION("GOOGLETRANSLATE(B64, ""en"", ""zh"")"),"毽子的传统比赛场地是什么样的？")</f>
        <v>毽子的传统比赛场地是什么样的？</v>
      </c>
      <c r="I64" s="7" t="str">
        <f>IFERROR(__xludf.DUMMYFUNCTION("GOOGLETRANSLATE(C64, ""en"", ""zh"")"),"A) 草地，B) 硬地，C) 沙地，D) 泥地")</f>
        <v>A) 草地，B) 硬地，C) 沙地，D) 泥地</v>
      </c>
      <c r="J64" s="7" t="str">
        <f>IFERROR(__xludf.DUMMYFUNCTION("GOOGLETRANSLATE(D64, ""en"", ""zh"")"),"A) 草")</f>
        <v>A) 草</v>
      </c>
      <c r="K64" s="7" t="str">
        <f>IFERROR(__xludf.DUMMYFUNCTION("GOOGLETRANSLATE(E64, ""en"", ""zh"")"),"剑子传统上是在草地上进行的。")</f>
        <v>剑子传统上是在草地上进行的。</v>
      </c>
      <c r="L64" s="10"/>
      <c r="M64" s="11"/>
      <c r="N64" s="11"/>
      <c r="O64" s="11"/>
      <c r="P64" s="10"/>
      <c r="Q64" s="10"/>
      <c r="R64" s="10"/>
      <c r="S64" s="10"/>
      <c r="T64" s="10"/>
      <c r="U64" s="10"/>
      <c r="V64" s="10"/>
      <c r="W64" s="10"/>
      <c r="X64" s="10"/>
      <c r="Y64" s="10"/>
      <c r="Z64" s="10"/>
      <c r="AA64" s="10"/>
      <c r="AB64" s="10"/>
    </row>
    <row r="65">
      <c r="A65" s="22">
        <v>64.0</v>
      </c>
      <c r="B65" s="18" t="s">
        <v>1594</v>
      </c>
      <c r="C65" s="18" t="s">
        <v>1595</v>
      </c>
      <c r="D65" s="18" t="s">
        <v>1596</v>
      </c>
      <c r="H65" s="7" t="str">
        <f>IFERROR(__xludf.DUMMYFUNCTION("GOOGLETRANSLATE(B65, ""en"", ""zh"")"),"煎子还有什么别名？")</f>
        <v>煎子还有什么别名？</v>
      </c>
      <c r="I65" s="7" t="str">
        <f>IFERROR(__xludf.DUMMYFUNCTION("GOOGLETRANSLATE(C65, ""en"", ""zh"")"),"A) 羽毛球 B) 毽子 C) 踢毽子 D) 风筝")</f>
        <v>A) 羽毛球 B) 毽子 C) 踢毽子 D) 风筝</v>
      </c>
      <c r="J65" s="7" t="str">
        <f>IFERROR(__xludf.DUMMYFUNCTION("GOOGLETRANSLATE(D65, ""en"", ""zh"")"),"A) 羽毛球")</f>
        <v>A) 羽毛球</v>
      </c>
      <c r="K65" s="7" t="str">
        <f>IFERROR(__xludf.DUMMYFUNCTION("GOOGLETRANSLATE(E65, ""en"", ""zh"")"),"#VALUE!")</f>
        <v>#VALUE!</v>
      </c>
    </row>
    <row r="66">
      <c r="A66" s="22">
        <v>65.0</v>
      </c>
      <c r="B66" s="18" t="s">
        <v>1597</v>
      </c>
      <c r="C66" s="18" t="s">
        <v>1598</v>
      </c>
      <c r="D66" s="18" t="s">
        <v>516</v>
      </c>
      <c r="H66" s="7" t="str">
        <f>IFERROR(__xludf.DUMMYFUNCTION("GOOGLETRANSLATE(B66, ""en"", ""zh"")"),"栀子起源于哪个国家？")</f>
        <v>栀子起源于哪个国家？</v>
      </c>
      <c r="I66" s="7" t="str">
        <f>IFERROR(__xludf.DUMMYFUNCTION("GOOGLETRANSLATE(C66, ""en"", ""zh"")"),"A) 日本 B) 中国 C) 韩国 D) 泰国")</f>
        <v>A) 日本 B) 中国 C) 韩国 D) 泰国</v>
      </c>
      <c r="J66" s="7" t="str">
        <f>IFERROR(__xludf.DUMMYFUNCTION("GOOGLETRANSLATE(D66, ""en"", ""zh"")"),"B) 中国")</f>
        <v>B) 中国</v>
      </c>
      <c r="K66" s="7" t="str">
        <f>IFERROR(__xludf.DUMMYFUNCTION("GOOGLETRANSLATE(E66, ""en"", ""zh"")"),"#VALUE!")</f>
        <v>#VALUE!</v>
      </c>
    </row>
    <row r="67">
      <c r="A67" s="22">
        <v>66.0</v>
      </c>
      <c r="B67" s="18" t="s">
        <v>1599</v>
      </c>
      <c r="C67" s="18" t="s">
        <v>1158</v>
      </c>
      <c r="D67" s="18" t="s">
        <v>1600</v>
      </c>
      <c r="H67" s="7" t="str">
        <f>IFERROR(__xludf.DUMMYFUNCTION("GOOGLETRANSLATE(B67, ""en"", ""zh"")"),"建子最早有文字记载是在哪一朝？")</f>
        <v>建子最早有文字记载是在哪一朝？</v>
      </c>
      <c r="I67" s="7" t="str">
        <f>IFERROR(__xludf.DUMMYFUNCTION("GOOGLETRANSLATE(C67, ""en"", ""zh"")"),"A) 韩 B) 唐 C) 宋 D) 明")</f>
        <v>A) 韩 B) 唐 C) 宋 D) 明</v>
      </c>
      <c r="J67" s="7" t="str">
        <f>IFERROR(__xludf.DUMMYFUNCTION("GOOGLETRANSLATE(D67, ""en"", ""zh"")"),"A) 韩")</f>
        <v>A) 韩</v>
      </c>
      <c r="K67" s="7" t="str">
        <f>IFERROR(__xludf.DUMMYFUNCTION("GOOGLETRANSLATE(E67, ""en"", ""zh"")"),"#VALUE!")</f>
        <v>#VALUE!</v>
      </c>
    </row>
    <row r="68">
      <c r="A68" s="8">
        <v>67.0</v>
      </c>
      <c r="B68" s="18" t="s">
        <v>1601</v>
      </c>
      <c r="C68" s="18" t="s">
        <v>1602</v>
      </c>
      <c r="D68" s="18" t="s">
        <v>1603</v>
      </c>
      <c r="H68" s="7" t="str">
        <f>IFERROR(__xludf.DUMMYFUNCTION("GOOGLETRANSLATE(B68, ""en"", ""zh"")"),"栀子最初是用什么材料制成的？")</f>
        <v>栀子最初是用什么材料制成的？</v>
      </c>
      <c r="I68" s="7" t="str">
        <f>IFERROR(__xludf.DUMMYFUNCTION("GOOGLETRANSLATE(C68, ""en"", ""zh"")"),"A) 金属 B) 木头和羽毛 C) 塑料 D) 皮革")</f>
        <v>A) 金属 B) 木头和羽毛 C) 塑料 D) 皮革</v>
      </c>
      <c r="J68" s="7" t="str">
        <f>IFERROR(__xludf.DUMMYFUNCTION("GOOGLETRANSLATE(D68, ""en"", ""zh"")"),"B) 木头和羽毛")</f>
        <v>B) 木头和羽毛</v>
      </c>
      <c r="K68" s="7" t="str">
        <f>IFERROR(__xludf.DUMMYFUNCTION("GOOGLETRANSLATE(E68, ""en"", ""zh"")"),"#VALUE!")</f>
        <v>#VALUE!</v>
      </c>
    </row>
    <row r="69">
      <c r="A69" s="8">
        <v>68.0</v>
      </c>
      <c r="B69" s="18" t="s">
        <v>1604</v>
      </c>
      <c r="C69" s="18" t="s">
        <v>1605</v>
      </c>
      <c r="D69" s="18" t="s">
        <v>1606</v>
      </c>
      <c r="H69" s="7" t="str">
        <f>IFERROR(__xludf.DUMMYFUNCTION("GOOGLETRANSLATE(B69, ""en"", ""zh"")"),"尖子传统上是用来训练哪种技能的？")</f>
        <v>尖子传统上是用来训练哪种技能的？</v>
      </c>
      <c r="I69" s="7" t="str">
        <f>IFERROR(__xludf.DUMMYFUNCTION("GOOGLETRANSLATE(C69, ""en"", ""zh"")"),"A) 射箭 B) 步法和敏捷性 C) 骑马 D) 剑术")</f>
        <v>A) 射箭 B) 步法和敏捷性 C) 骑马 D) 剑术</v>
      </c>
      <c r="J69" s="7" t="str">
        <f>IFERROR(__xludf.DUMMYFUNCTION("GOOGLETRANSLATE(D69, ""en"", ""zh"")"),"B) 步法和敏捷性")</f>
        <v>B) 步法和敏捷性</v>
      </c>
      <c r="K69" s="7" t="str">
        <f>IFERROR(__xludf.DUMMYFUNCTION("GOOGLETRANSLATE(E69, ""en"", ""zh"")"),"#VALUE!")</f>
        <v>#VALUE!</v>
      </c>
    </row>
    <row r="70">
      <c r="A70" s="8">
        <v>69.0</v>
      </c>
      <c r="B70" s="18" t="s">
        <v>1607</v>
      </c>
      <c r="C70" s="18" t="s">
        <v>1608</v>
      </c>
      <c r="D70" s="18" t="s">
        <v>1609</v>
      </c>
      <c r="H70" s="7" t="str">
        <f>IFERROR(__xludf.DUMMYFUNCTION("GOOGLETRANSLATE(B70, ""en"", ""zh"")"),"最早提及“剑子”的文献出现在与以下事物相关的文献中：")</f>
        <v>最早提及“剑子”的文献出现在与以下事物相关的文献中：</v>
      </c>
      <c r="I70" s="7" t="str">
        <f>IFERROR(__xludf.DUMMYFUNCTION("GOOGLETRANSLATE(C70, ""en"", ""zh"")"),"A) 武术 B) 诗歌 C) 教育 D) 节日")</f>
        <v>A) 武术 B) 诗歌 C) 教育 D) 节日</v>
      </c>
      <c r="J70" s="7" t="str">
        <f>IFERROR(__xludf.DUMMYFUNCTION("GOOGLETRANSLATE(D70, ""en"", ""zh"")"),"A) 武术")</f>
        <v>A) 武术</v>
      </c>
      <c r="K70" s="7" t="str">
        <f>IFERROR(__xludf.DUMMYFUNCTION("GOOGLETRANSLATE(E70, ""en"", ""zh"")"),"#VALUE!")</f>
        <v>#VALUE!</v>
      </c>
    </row>
    <row r="71">
      <c r="A71" s="8">
        <v>70.0</v>
      </c>
      <c r="B71" s="18" t="s">
        <v>1610</v>
      </c>
      <c r="C71" s="18" t="s">
        <v>1611</v>
      </c>
      <c r="D71" s="18" t="s">
        <v>1612</v>
      </c>
      <c r="H71" s="7" t="str">
        <f>IFERROR(__xludf.DUMMYFUNCTION("GOOGLETRANSLATE(B71, ""en"", ""zh"")"),"古代中国哪个群体流行进行溏心比赛？")</f>
        <v>古代中国哪个群体流行进行溏心比赛？</v>
      </c>
      <c r="I71" s="7" t="str">
        <f>IFERROR(__xludf.DUMMYFUNCTION("GOOGLETRANSLATE(C71, ""en"", ""zh"")"),"A) 农民 B) 学者 C) 士兵 D) 商人")</f>
        <v>A) 农民 B) 学者 C) 士兵 D) 商人</v>
      </c>
      <c r="J71" s="7" t="str">
        <f>IFERROR(__xludf.DUMMYFUNCTION("GOOGLETRANSLATE(D71, ""en"", ""zh"")"),"C）士兵")</f>
        <v>C）士兵</v>
      </c>
      <c r="K71" s="7" t="str">
        <f>IFERROR(__xludf.DUMMYFUNCTION("GOOGLETRANSLATE(E71, ""en"", ""zh"")"),"#VALUE!")</f>
        <v>#VALUE!</v>
      </c>
    </row>
    <row r="72">
      <c r="A72" s="8">
        <v>71.0</v>
      </c>
      <c r="B72" s="18" t="s">
        <v>1613</v>
      </c>
      <c r="C72" s="18" t="s">
        <v>1614</v>
      </c>
      <c r="D72" s="18" t="s">
        <v>1615</v>
      </c>
      <c r="H72" s="7" t="str">
        <f>IFERROR(__xludf.DUMMYFUNCTION("GOOGLETRANSLATE(B72, ""en"", ""zh"")"),"毽子游戏通过以下途径传入韩国和越南：")</f>
        <v>毽子游戏通过以下途径传入韩国和越南：</v>
      </c>
      <c r="I72" s="7" t="str">
        <f>IFERROR(__xludf.DUMMYFUNCTION("GOOGLETRANSLATE(C72, ""en"", ""zh"")"),"A) 商人 B) 学者 C) 军事交流 D) 外交官")</f>
        <v>A) 商人 B) 学者 C) 军事交流 D) 外交官</v>
      </c>
      <c r="J72" s="7" t="str">
        <f>IFERROR(__xludf.DUMMYFUNCTION("GOOGLETRANSLATE(D72, ""en"", ""zh"")"),"C) 军事交流")</f>
        <v>C) 军事交流</v>
      </c>
      <c r="K72" s="7" t="str">
        <f>IFERROR(__xludf.DUMMYFUNCTION("GOOGLETRANSLATE(E72, ""en"", ""zh"")"),"#VALUE!")</f>
        <v>#VALUE!</v>
      </c>
    </row>
    <row r="73">
      <c r="A73" s="8">
        <v>72.0</v>
      </c>
      <c r="B73" s="18" t="s">
        <v>1616</v>
      </c>
      <c r="C73" s="18" t="s">
        <v>1617</v>
      </c>
      <c r="D73" s="18" t="s">
        <v>1618</v>
      </c>
      <c r="H73" s="7" t="str">
        <f>IFERROR(__xludf.DUMMYFUNCTION("GOOGLETRANSLATE(B73, ""en"", ""zh"")"),"“剑子”一词的字面意思是：")</f>
        <v>“剑子”一词的字面意思是：</v>
      </c>
      <c r="I73" s="7" t="str">
        <f>IFERROR(__xludf.DUMMYFUNCTION("GOOGLETRANSLATE(C73, ""en"", ""zh"")"),"A) 羽毛球 B) 足球 C) 踢球游戏 D) 平衡棒")</f>
        <v>A) 羽毛球 B) 足球 C) 踢球游戏 D) 平衡棒</v>
      </c>
      <c r="J73" s="7" t="str">
        <f>IFERROR(__xludf.DUMMYFUNCTION("GOOGLETRANSLATE(D73, ""en"", ""zh"")"),"A) 羽毛梭")</f>
        <v>A) 羽毛梭</v>
      </c>
      <c r="K73" s="7" t="str">
        <f>IFERROR(__xludf.DUMMYFUNCTION("GOOGLETRANSLATE(E73, ""en"", ""zh"")"),"#VALUE!")</f>
        <v>#VALUE!</v>
      </c>
    </row>
    <row r="74">
      <c r="A74" s="8">
        <v>73.0</v>
      </c>
      <c r="B74" s="18" t="s">
        <v>1619</v>
      </c>
      <c r="C74" s="18" t="s">
        <v>1620</v>
      </c>
      <c r="D74" s="18" t="s">
        <v>1621</v>
      </c>
      <c r="H74" s="7" t="str">
        <f>IFERROR(__xludf.DUMMYFUNCTION("GOOGLETRANSLATE(B74, ""en"", ""zh"")"),"建子的主要目标是什么？")</f>
        <v>建子的主要目标是什么？</v>
      </c>
      <c r="I74" s="7" t="str">
        <f>IFERROR(__xludf.DUMMYFUNCTION("GOOGLETRANSLATE(C74, ""en"", ""zh"")"),"A) 让羽毛球保持在空中 B) 将球传进球门 C) 将球踢过球网 D) 将球落在圆圈内")</f>
        <v>A) 让羽毛球保持在空中 B) 将球传进球门 C) 将球踢过球网 D) 将球落在圆圈内</v>
      </c>
      <c r="J74" s="7" t="str">
        <f>IFERROR(__xludf.DUMMYFUNCTION("GOOGLETRANSLATE(D74, ""en"", ""zh"")"),"A）保持羽毛球在空中")</f>
        <v>A）保持羽毛球在空中</v>
      </c>
      <c r="K74" s="7" t="str">
        <f>IFERROR(__xludf.DUMMYFUNCTION("GOOGLETRANSLATE(E74, ""en"", ""zh"")"),"#VALUE!")</f>
        <v>#VALUE!</v>
      </c>
    </row>
    <row r="75">
      <c r="A75" s="8">
        <v>74.0</v>
      </c>
      <c r="B75" s="18" t="s">
        <v>1622</v>
      </c>
      <c r="C75" s="18" t="s">
        <v>1623</v>
      </c>
      <c r="D75" s="18" t="s">
        <v>1624</v>
      </c>
      <c r="H75" s="7" t="str">
        <f>IFERROR(__xludf.DUMMYFUNCTION("GOOGLETRANSLATE(B75, ""en"", ""zh"")"),"毽子可以单独演奏，也可以多人演奏。对还是错？")</f>
        <v>毽子可以单独演奏，也可以多人演奏。对还是错？</v>
      </c>
      <c r="I75" s="7" t="str">
        <f>IFERROR(__xludf.DUMMYFUNCTION("GOOGLETRANSLATE(C75, ""en"", ""zh"")"),"A) 正确 B) 错误 C) 仅限个人 D) 仅限团队")</f>
        <v>A) 正确 B) 错误 C) 仅限个人 D) 仅限团队</v>
      </c>
      <c r="J75" s="7" t="str">
        <f>IFERROR(__xludf.DUMMYFUNCTION("GOOGLETRANSLATE(D75, ""en"", ""zh"")"),"A) 正确")</f>
        <v>A) 正确</v>
      </c>
      <c r="K75" s="7" t="str">
        <f>IFERROR(__xludf.DUMMYFUNCTION("GOOGLETRANSLATE(E75, ""en"", ""zh"")"),"#VALUE!")</f>
        <v>#VALUE!</v>
      </c>
    </row>
    <row r="76">
      <c r="A76" s="17">
        <v>75.0</v>
      </c>
      <c r="B76" s="18" t="s">
        <v>1625</v>
      </c>
      <c r="C76" s="18" t="s">
        <v>1158</v>
      </c>
      <c r="D76" s="18" t="s">
        <v>1147</v>
      </c>
      <c r="H76" s="7" t="str">
        <f>IFERROR(__xludf.DUMMYFUNCTION("GOOGLETRANSLATE(B76, ""en"", ""zh"")"),"哪个朝代出现了正式的剑子比赛？")</f>
        <v>哪个朝代出现了正式的剑子比赛？</v>
      </c>
      <c r="I76" s="7" t="str">
        <f>IFERROR(__xludf.DUMMYFUNCTION("GOOGLETRANSLATE(C76, ""en"", ""zh"")"),"A) 韩 B) 唐 C) 宋 D) 明")</f>
        <v>A) 韩 B) 唐 C) 宋 D) 明</v>
      </c>
      <c r="J76" s="7" t="str">
        <f>IFERROR(__xludf.DUMMYFUNCTION("GOOGLETRANSLATE(D76, ""en"", ""zh"")"),"B) 唐")</f>
        <v>B) 唐</v>
      </c>
      <c r="K76" s="7" t="str">
        <f>IFERROR(__xludf.DUMMYFUNCTION("GOOGLETRANSLATE(E76, ""en"", ""zh"")"),"#VALUE!")</f>
        <v>#VALUE!</v>
      </c>
    </row>
    <row r="77">
      <c r="A77" s="17">
        <v>76.0</v>
      </c>
      <c r="B77" s="18" t="s">
        <v>1626</v>
      </c>
      <c r="C77" s="18" t="s">
        <v>1627</v>
      </c>
      <c r="D77" s="18" t="s">
        <v>1147</v>
      </c>
      <c r="H77" s="7" t="str">
        <f>IFERROR(__xludf.DUMMYFUNCTION("GOOGLETRANSLATE(B77, ""en"", ""zh"")"),"戬子是在哪个时期成为节庆活动中常见的消遣活动？")</f>
        <v>戬子是在哪个时期成为节庆活动中常见的消遣活动？</v>
      </c>
      <c r="I77" s="7" t="str">
        <f>IFERROR(__xludf.DUMMYFUNCTION("GOOGLETRANSLATE(C77, ""en"", ""zh"")"),"A) 汉 B) 唐 C) 明 D) 清")</f>
        <v>A) 汉 B) 唐 C) 明 D) 清</v>
      </c>
      <c r="J77" s="7" t="str">
        <f>IFERROR(__xludf.DUMMYFUNCTION("GOOGLETRANSLATE(D77, ""en"", ""zh"")"),"B) 唐")</f>
        <v>B) 唐</v>
      </c>
      <c r="K77" s="7" t="str">
        <f>IFERROR(__xludf.DUMMYFUNCTION("GOOGLETRANSLATE(E77, ""en"", ""zh"")"),"#VALUE!")</f>
        <v>#VALUE!</v>
      </c>
    </row>
    <row r="78">
      <c r="A78" s="17">
        <v>77.0</v>
      </c>
      <c r="B78" s="18" t="s">
        <v>1628</v>
      </c>
      <c r="C78" s="18" t="s">
        <v>1629</v>
      </c>
      <c r="D78" s="18" t="s">
        <v>1630</v>
      </c>
      <c r="H78" s="7" t="str">
        <f>IFERROR(__xludf.DUMMYFUNCTION("GOOGLETRANSLATE(B78, ""en"", ""zh"")"),"剑子考试主要考察的技能是：")</f>
        <v>剑子考试主要考察的技能是：</v>
      </c>
      <c r="I78" s="7" t="str">
        <f>IFERROR(__xludf.DUMMYFUNCTION("GOOGLETRANSLATE(C78, ""en"", ""zh"")"),"A) 力量 B) 敏捷性和控制力 C) 速度 D) 策略")</f>
        <v>A) 力量 B) 敏捷性和控制力 C) 速度 D) 策略</v>
      </c>
      <c r="J78" s="7" t="str">
        <f>IFERROR(__xludf.DUMMYFUNCTION("GOOGLETRANSLATE(D78, ""en"", ""zh"")"),"B) 敏捷性和控制力")</f>
        <v>B) 敏捷性和控制力</v>
      </c>
      <c r="K78" s="7" t="str">
        <f>IFERROR(__xludf.DUMMYFUNCTION("GOOGLETRANSLATE(E78, ""en"", ""zh"")"),"#VALUE!")</f>
        <v>#VALUE!</v>
      </c>
    </row>
    <row r="79">
      <c r="A79" s="17">
        <v>78.0</v>
      </c>
      <c r="B79" s="18" t="s">
        <v>1631</v>
      </c>
      <c r="C79" s="18" t="s">
        <v>1632</v>
      </c>
      <c r="D79" s="18" t="s">
        <v>1633</v>
      </c>
      <c r="H79" s="7" t="str">
        <f>IFERROR(__xludf.DUMMYFUNCTION("GOOGLETRANSLATE(B79, ""en"", ""zh"")"),"传统毽子有多少根羽毛？")</f>
        <v>传统毽子有多少根羽毛？</v>
      </c>
      <c r="I79" s="7" t="str">
        <f>IFERROR(__xludf.DUMMYFUNCTION("GOOGLETRANSLATE(C79, ""en"", ""zh"")"),"A) 2-3 B) 4-6 C) 7-9 D) 10-12")</f>
        <v>A) 2-3 B) 4-6 C) 7-9 D) 10-12</v>
      </c>
      <c r="J79" s="7" t="str">
        <f>IFERROR(__xludf.DUMMYFUNCTION("GOOGLETRANSLATE(D79, ""en"", ""zh"")"),"B) 4-6")</f>
        <v>B) 4-6</v>
      </c>
      <c r="K79" s="7" t="str">
        <f>IFERROR(__xludf.DUMMYFUNCTION("GOOGLETRANSLATE(E79, ""en"", ""zh"")"),"#VALUE!")</f>
        <v>#VALUE!</v>
      </c>
    </row>
    <row r="80">
      <c r="A80" s="17">
        <v>79.0</v>
      </c>
      <c r="B80" s="18" t="s">
        <v>1634</v>
      </c>
      <c r="C80" s="18" t="s">
        <v>1635</v>
      </c>
      <c r="D80" s="18" t="s">
        <v>1636</v>
      </c>
      <c r="H80" s="7" t="str">
        <f>IFERROR(__xludf.DUMMYFUNCTION("GOOGLETRANSLATE(B80, ""en"", ""zh"")"),"在越南，煎子被称为：")</f>
        <v>在越南，煎子被称为：</v>
      </c>
      <c r="I80" s="7" t="str">
        <f>IFERROR(__xludf.DUMMYFUNCTION("GOOGLETRANSLATE(C80, ""en"", ""zh"")"),"A) 藤球 B) 大球 C) 踢梭 D) 蹴鞠")</f>
        <v>A) 藤球 B) 大球 C) 踢梭 D) 蹴鞠</v>
      </c>
      <c r="J80" s="7" t="str">
        <f>IFERROR(__xludf.DUMMYFUNCTION("GOOGLETRANSLATE(D80, ""en"", ""zh"")"),"B) Da Cau")</f>
        <v>B) Da Cau</v>
      </c>
      <c r="K80" s="7" t="str">
        <f>IFERROR(__xludf.DUMMYFUNCTION("GOOGLETRANSLATE(E80, ""en"", ""zh"")"),"#VALUE!")</f>
        <v>#VALUE!</v>
      </c>
    </row>
    <row r="81">
      <c r="A81" s="17">
        <v>80.0</v>
      </c>
      <c r="B81" s="18" t="s">
        <v>1637</v>
      </c>
      <c r="C81" s="18" t="s">
        <v>1638</v>
      </c>
      <c r="D81" s="18" t="s">
        <v>1639</v>
      </c>
      <c r="H81" s="7" t="str">
        <f>IFERROR(__xludf.DUMMYFUNCTION("GOOGLETRANSLATE(B81, ""en"", ""zh"")"),"在韩国，煎子被称为：")</f>
        <v>在韩国，煎子被称为：</v>
      </c>
      <c r="I81" s="7" t="str">
        <f>IFERROR(__xludf.DUMMYFUNCTION("GOOGLETRANSLATE(C81, ""en"", ""zh"")"),"A) Jegichagi B) 藤球 C) Tuho D) Gonu")</f>
        <v>A) Jegichagi B) 藤球 C) Tuho D) Gonu</v>
      </c>
      <c r="J81" s="7" t="str">
        <f>IFERROR(__xludf.DUMMYFUNCTION("GOOGLETRANSLATE(D81, ""en"", ""zh"")"),"A) Jegichagi")</f>
        <v>A) Jegichagi</v>
      </c>
      <c r="K81" s="7" t="str">
        <f>IFERROR(__xludf.DUMMYFUNCTION("GOOGLETRANSLATE(E81, ""en"", ""zh"")"),"#VALUE!")</f>
        <v>#VALUE!</v>
      </c>
    </row>
    <row r="82">
      <c r="A82" s="17">
        <v>81.0</v>
      </c>
      <c r="B82" s="18" t="s">
        <v>1640</v>
      </c>
      <c r="C82" s="18" t="s">
        <v>1641</v>
      </c>
      <c r="D82" s="18" t="s">
        <v>1642</v>
      </c>
      <c r="H82" s="7" t="str">
        <f>IFERROR(__xludf.DUMMYFUNCTION("GOOGLETRANSLATE(B82, ""en"", ""zh"")"),"现代戬子的标准材质是什么？")</f>
        <v>现代戬子的标准材质是什么？</v>
      </c>
      <c r="I82" s="7" t="str">
        <f>IFERROR(__xludf.DUMMYFUNCTION("GOOGLETRANSLATE(C82, ""en"", ""zh"")"),"A) 金属 B) 塑料和橡胶 C) 皮革 D) 羽毛和木材")</f>
        <v>A) 金属 B) 塑料和橡胶 C) 皮革 D) 羽毛和木材</v>
      </c>
      <c r="J82" s="7" t="str">
        <f>IFERROR(__xludf.DUMMYFUNCTION("GOOGLETRANSLATE(D82, ""en"", ""zh"")"),"B) 塑料和橡胶")</f>
        <v>B) 塑料和橡胶</v>
      </c>
      <c r="K82" s="7" t="str">
        <f>IFERROR(__xludf.DUMMYFUNCTION("GOOGLETRANSLATE(E82, ""en"", ""zh"")"),"#VALUE!")</f>
        <v>#VALUE!</v>
      </c>
    </row>
    <row r="83">
      <c r="A83" s="17">
        <v>82.0</v>
      </c>
      <c r="B83" s="18" t="s">
        <v>1643</v>
      </c>
      <c r="C83" s="18" t="s">
        <v>1644</v>
      </c>
      <c r="D83" s="18" t="s">
        <v>1645</v>
      </c>
      <c r="H83" s="7" t="str">
        <f>IFERROR(__xludf.DUMMYFUNCTION("GOOGLETRANSLATE(B83, ""en"", ""zh"")"),"当今的煎子比赛遵循哪种规则？")</f>
        <v>当今的煎子比赛遵循哪种规则？</v>
      </c>
      <c r="I83" s="7" t="str">
        <f>IFERROR(__xludf.DUMMYFUNCTION("GOOGLETRANSLATE(C83, ""en"", ""zh"")"),"A) 仅限传统规则 B) 采用现代化计分方式 C) 无规则 D) 各地规则不一")</f>
        <v>A) 仅限传统规则 B) 采用现代化计分方式 C) 无规则 D) 各地规则不一</v>
      </c>
      <c r="J83" s="7" t="str">
        <f>IFERROR(__xludf.DUMMYFUNCTION("GOOGLETRANSLATE(D83, ""en"", ""zh"")"),"B) 现代化评分")</f>
        <v>B) 现代化评分</v>
      </c>
      <c r="K83" s="7" t="str">
        <f>IFERROR(__xludf.DUMMYFUNCTION("GOOGLETRANSLATE(E83, ""en"", ""zh"")"),"#VALUE!")</f>
        <v>#VALUE!</v>
      </c>
    </row>
    <row r="84">
      <c r="A84" s="17">
        <v>83.0</v>
      </c>
      <c r="B84" s="18" t="s">
        <v>1646</v>
      </c>
      <c r="C84" s="18" t="s">
        <v>1647</v>
      </c>
      <c r="D84" s="18" t="s">
        <v>1299</v>
      </c>
      <c r="H84" s="7" t="str">
        <f>IFERROR(__xludf.DUMMYFUNCTION("GOOGLETRANSLATE(B84, ""en"", ""zh"")"),"毽子常被用作哪项运动的训练方法？")</f>
        <v>毽子常被用作哪项运动的训练方法？</v>
      </c>
      <c r="I84" s="7" t="str">
        <f>IFERROR(__xludf.DUMMYFUNCTION("GOOGLETRANSLATE(C84, ""en"", ""zh"")"),"A) 足球 B) 篮球 C) 武术 D) 以上全部")</f>
        <v>A) 足球 B) 篮球 C) 武术 D) 以上全部</v>
      </c>
      <c r="J84" s="7" t="str">
        <f>IFERROR(__xludf.DUMMYFUNCTION("GOOGLETRANSLATE(D84, ""en"", ""zh"")"),"D) 以上所有选项")</f>
        <v>D) 以上所有选项</v>
      </c>
      <c r="K84" s="7" t="str">
        <f>IFERROR(__xludf.DUMMYFUNCTION("GOOGLETRANSLATE(E84, ""en"", ""zh"")"),"#VALUE!")</f>
        <v>#VALUE!</v>
      </c>
    </row>
    <row r="85">
      <c r="A85" s="17">
        <v>84.0</v>
      </c>
      <c r="B85" s="18" t="s">
        <v>1648</v>
      </c>
      <c r="C85" s="18" t="s">
        <v>1649</v>
      </c>
      <c r="D85" s="18" t="s">
        <v>564</v>
      </c>
      <c r="H85" s="7" t="str">
        <f>IFERROR(__xludf.DUMMYFUNCTION("GOOGLETRANSLATE(B85, ""en"", ""zh"")"),"有记载的第一次国际溏心大赛是在哪个年代举办的？")</f>
        <v>有记载的第一次国际溏心大赛是在哪个年代举办的？</v>
      </c>
      <c r="I85" s="7" t="str">
        <f>IFERROR(__xludf.DUMMYFUNCTION("GOOGLETRANSLATE(C85, ""en"", ""zh"")"),"A) 20世纪50年代 B) 20世纪60年代 C) 20世纪70年代 D) 20世纪80年代")</f>
        <v>A) 20世纪50年代 B) 20世纪60年代 C) 20世纪70年代 D) 20世纪80年代</v>
      </c>
      <c r="J85" s="7" t="str">
        <f>IFERROR(__xludf.DUMMYFUNCTION("GOOGLETRANSLATE(D85, ""en"", ""zh"")"),"C) 20世纪70年代")</f>
        <v>C) 20世纪70年代</v>
      </c>
      <c r="K85" s="7" t="str">
        <f>IFERROR(__xludf.DUMMYFUNCTION("GOOGLETRANSLATE(E85, ""en"", ""zh"")"),"#VALUE!")</f>
        <v>#VALUE!</v>
      </c>
    </row>
    <row r="86">
      <c r="A86" s="17">
        <v>85.0</v>
      </c>
      <c r="B86" s="18" t="s">
        <v>1650</v>
      </c>
      <c r="C86" s="18" t="s">
        <v>1651</v>
      </c>
      <c r="D86" s="18" t="s">
        <v>1652</v>
      </c>
      <c r="H86" s="7" t="str">
        <f>IFERROR(__xludf.DUMMYFUNCTION("GOOGLETRANSLATE(B86, ""en"", ""zh"")"),"自以下年份起，剑子被纳入中国的体育教育课程：")</f>
        <v>自以下年份起，剑子被纳入中国的体育教育课程：</v>
      </c>
      <c r="I86" s="7" t="str">
        <f>IFERROR(__xludf.DUMMYFUNCTION("GOOGLETRANSLATE(C86, ""en"", ""zh"")"),"A) 20世纪20年代 B) 20世纪30年代 C) 20世纪40年代 D) 20世纪50年代")</f>
        <v>A) 20世纪20年代 B) 20世纪30年代 C) 20世纪40年代 D) 20世纪50年代</v>
      </c>
      <c r="J86" s="7" t="str">
        <f>IFERROR(__xludf.DUMMYFUNCTION("GOOGLETRANSLATE(D86, ""en"", ""zh"")"),"D) 20世纪50年代")</f>
        <v>D) 20世纪50年代</v>
      </c>
      <c r="K86" s="7" t="str">
        <f>IFERROR(__xludf.DUMMYFUNCTION("GOOGLETRANSLATE(E86, ""en"", ""zh"")"),"#VALUE!")</f>
        <v>#VALUE!</v>
      </c>
    </row>
    <row r="87">
      <c r="A87" s="17">
        <v>86.0</v>
      </c>
      <c r="B87" s="18" t="s">
        <v>1653</v>
      </c>
      <c r="C87" s="18" t="s">
        <v>1654</v>
      </c>
      <c r="D87" s="18" t="s">
        <v>1299</v>
      </c>
      <c r="H87" s="7" t="str">
        <f>IFERROR(__xludf.DUMMYFUNCTION("GOOGLETRANSLATE(B87, ""en"", ""zh"")"),"在中国传统文化中，人们认为煎子可以改善：")</f>
        <v>在中国传统文化中，人们认为煎子可以改善：</v>
      </c>
      <c r="I87" s="7" t="str">
        <f>IFERROR(__xludf.DUMMYFUNCTION("GOOGLETRANSLATE(C87, ""en"", ""zh"")"),"A) 精神集中 B) 脚步协调性 C) 团队合作 D) 以上全部")</f>
        <v>A) 精神集中 B) 脚步协调性 C) 团队合作 D) 以上全部</v>
      </c>
      <c r="J87" s="7" t="str">
        <f>IFERROR(__xludf.DUMMYFUNCTION("GOOGLETRANSLATE(D87, ""en"", ""zh"")"),"D) 以上所有选项")</f>
        <v>D) 以上所有选项</v>
      </c>
      <c r="K87" s="7" t="str">
        <f>IFERROR(__xludf.DUMMYFUNCTION("GOOGLETRANSLATE(E87, ""en"", ""zh"")"),"#VALUE!")</f>
        <v>#VALUE!</v>
      </c>
    </row>
    <row r="88">
      <c r="A88" s="17">
        <v>87.0</v>
      </c>
      <c r="B88" s="18" t="s">
        <v>1655</v>
      </c>
      <c r="C88" s="18" t="s">
        <v>1656</v>
      </c>
      <c r="D88" s="18" t="s">
        <v>116</v>
      </c>
      <c r="H88" s="7" t="str">
        <f>IFERROR(__xludf.DUMMYFUNCTION("GOOGLETRANSLATE(B88, ""en"", ""zh"")"),"尖子在中国哪个地区被认为是其历史发源地？")</f>
        <v>尖子在中国哪个地区被认为是其历史发源地？</v>
      </c>
      <c r="I88" s="7" t="str">
        <f>IFERROR(__xludf.DUMMYFUNCTION("GOOGLETRANSLATE(C88, ""en"", ""zh"")"),"A) 中国北方 B) 中国南方 C) 中国东部 D) 中国西部")</f>
        <v>A) 中国北方 B) 中国南方 C) 中国东部 D) 中国西部</v>
      </c>
      <c r="J88" s="7" t="str">
        <f>IFERROR(__xludf.DUMMYFUNCTION("GOOGLETRANSLATE(D88, ""en"", ""zh"")"),"A) 华北")</f>
        <v>A) 华北</v>
      </c>
      <c r="K88" s="7" t="str">
        <f>IFERROR(__xludf.DUMMYFUNCTION("GOOGLETRANSLATE(E88, ""en"", ""zh"")"),"#VALUE!")</f>
        <v>#VALUE!</v>
      </c>
    </row>
    <row r="89">
      <c r="A89" s="17">
        <v>88.0</v>
      </c>
      <c r="B89" s="18" t="s">
        <v>1657</v>
      </c>
      <c r="C89" s="18" t="s">
        <v>1658</v>
      </c>
      <c r="D89" s="18" t="s">
        <v>1299</v>
      </c>
      <c r="H89" s="7" t="str">
        <f>IFERROR(__xludf.DUMMYFUNCTION("GOOGLETRANSLATE(B89, ""en"", ""zh"")"),"剑子有时在军事训练中用于：")</f>
        <v>剑子有时在军事训练中用于：</v>
      </c>
      <c r="I89" s="7" t="str">
        <f>IFERROR(__xludf.DUMMYFUNCTION("GOOGLETRANSLATE(C89, ""en"", ""zh"")"),"A) 提高精准度 B) 提高步速 C) 增强耐力 D) 以上全部")</f>
        <v>A) 提高精准度 B) 提高步速 C) 增强耐力 D) 以上全部</v>
      </c>
      <c r="J89" s="7" t="str">
        <f>IFERROR(__xludf.DUMMYFUNCTION("GOOGLETRANSLATE(D89, ""en"", ""zh"")"),"D) 以上所有选项")</f>
        <v>D) 以上所有选项</v>
      </c>
      <c r="K89" s="7" t="str">
        <f>IFERROR(__xludf.DUMMYFUNCTION("GOOGLETRANSLATE(E89, ""en"", ""zh"")"),"#VALUE!")</f>
        <v>#VALUE!</v>
      </c>
    </row>
    <row r="90">
      <c r="A90" s="17">
        <v>89.0</v>
      </c>
      <c r="B90" s="18" t="s">
        <v>1659</v>
      </c>
      <c r="C90" s="18" t="s">
        <v>1158</v>
      </c>
      <c r="D90" s="18" t="s">
        <v>1159</v>
      </c>
      <c r="H90" s="7" t="str">
        <f>IFERROR(__xludf.DUMMYFUNCTION("GOOGLETRANSLATE(B90, ""en"", ""zh"")"),"建子文字记载最早出现在哪个朝代？")</f>
        <v>建子文字记载最早出现在哪个朝代？</v>
      </c>
      <c r="I90" s="7" t="str">
        <f>IFERROR(__xludf.DUMMYFUNCTION("GOOGLETRANSLATE(C90, ""en"", ""zh"")"),"A) 韩 B) 唐 C) 宋 D) 明")</f>
        <v>A) 韩 B) 唐 C) 宋 D) 明</v>
      </c>
      <c r="J90" s="7" t="str">
        <f>IFERROR(__xludf.DUMMYFUNCTION("GOOGLETRANSLATE(D90, ""en"", ""zh"")"),"C) 歌曲")</f>
        <v>C) 歌曲</v>
      </c>
      <c r="K90" s="7" t="str">
        <f>IFERROR(__xludf.DUMMYFUNCTION("GOOGLETRANSLATE(E90, ""en"", ""zh"")"),"#VALUE!")</f>
        <v>#VALUE!</v>
      </c>
    </row>
    <row r="91">
      <c r="A91" s="17">
        <v>90.0</v>
      </c>
      <c r="B91" s="18" t="s">
        <v>1660</v>
      </c>
      <c r="C91" s="18" t="s">
        <v>1661</v>
      </c>
      <c r="D91" s="18" t="s">
        <v>1515</v>
      </c>
      <c r="H91" s="7" t="str">
        <f>IFERROR(__xludf.DUMMYFUNCTION("GOOGLETRANSLATE(B91, ""en"", ""zh"")"),"琴子传统上是用身体的哪个部位演奏的？")</f>
        <v>琴子传统上是用身体的哪个部位演奏的？</v>
      </c>
      <c r="I91" s="7" t="str">
        <f>IFERROR(__xludf.DUMMYFUNCTION("GOOGLETRANSLATE(C91, ""en"", ""zh"")"),"A) 手 B) 脚 C) 头 D) 肩膀")</f>
        <v>A) 手 B) 脚 C) 头 D) 肩膀</v>
      </c>
      <c r="J91" s="7" t="str">
        <f>IFERROR(__xludf.DUMMYFUNCTION("GOOGLETRANSLATE(D91, ""en"", ""zh"")"),"B）脚")</f>
        <v>B）脚</v>
      </c>
      <c r="K91" s="7" t="str">
        <f>IFERROR(__xludf.DUMMYFUNCTION("GOOGLETRANSLATE(E91, ""en"", ""zh"")"),"#VALUE!")</f>
        <v>#VALUE!</v>
      </c>
    </row>
    <row r="92">
      <c r="A92" s="17">
        <v>91.0</v>
      </c>
      <c r="B92" s="18" t="s">
        <v>1662</v>
      </c>
      <c r="C92" s="18" t="s">
        <v>1663</v>
      </c>
      <c r="D92" s="18" t="s">
        <v>1664</v>
      </c>
      <c r="H92" s="7" t="str">
        <f>IFERROR(__xludf.DUMMYFUNCTION("GOOGLETRANSLATE(B92, ""en"", ""zh"")"),"传统毽子的形状是：")</f>
        <v>传统毽子的形状是：</v>
      </c>
      <c r="I92" s="7" t="str">
        <f>IFERROR(__xludf.DUMMYFUNCTION("GOOGLETRANSLATE(C92, ""en"", ""zh"")"),"A) 圆形 B) 圆锥形 C) 方形 D) 星形")</f>
        <v>A) 圆形 B) 圆锥形 C) 方形 D) 星形</v>
      </c>
      <c r="J92" s="7" t="str">
        <f>IFERROR(__xludf.DUMMYFUNCTION("GOOGLETRANSLATE(D92, ""en"", ""zh"")"),"B）锥形")</f>
        <v>B）锥形</v>
      </c>
      <c r="K92" s="7" t="str">
        <f>IFERROR(__xludf.DUMMYFUNCTION("GOOGLETRANSLATE(E92, ""en"", ""zh"")"),"#VALUE!")</f>
        <v>#VALUE!</v>
      </c>
    </row>
    <row r="93">
      <c r="A93" s="17">
        <v>92.0</v>
      </c>
      <c r="B93" s="18" t="s">
        <v>1665</v>
      </c>
      <c r="C93" s="18" t="s">
        <v>1666</v>
      </c>
      <c r="D93" s="18" t="s">
        <v>1667</v>
      </c>
      <c r="H93" s="7" t="str">
        <f>IFERROR(__xludf.DUMMYFUNCTION("GOOGLETRANSLATE(B93, ""en"", ""zh"")"),"典型的毽子游戏包括：")</f>
        <v>典型的毽子游戏包括：</v>
      </c>
      <c r="I93" s="7" t="str">
        <f>IFERROR(__xludf.DUMMYFUNCTION("GOOGLETRANSLATE(C93, ""en"", ""zh"")"),"A) 尽可能长时间地让球在空中飞行 B) 踢球入网 C) 击球过网 D) 投篮入篮")</f>
        <v>A) 尽可能长时间地让球在空中飞行 B) 踢球入网 C) 击球过网 D) 投篮入篮</v>
      </c>
      <c r="J93" s="7" t="str">
        <f>IFERROR(__xludf.DUMMYFUNCTION("GOOGLETRANSLATE(D93, ""en"", ""zh"")"),"A) 尽可能长时间地让它保持在空中")</f>
        <v>A) 尽可能长时间地让它保持在空中</v>
      </c>
      <c r="K93" s="7" t="str">
        <f>IFERROR(__xludf.DUMMYFUNCTION("GOOGLETRANSLATE(E93, ""en"", ""zh"")"),"#VALUE!")</f>
        <v>#VALUE!</v>
      </c>
    </row>
    <row r="94">
      <c r="A94" s="17">
        <v>93.0</v>
      </c>
      <c r="B94" s="18" t="s">
        <v>1668</v>
      </c>
      <c r="C94" s="18" t="s">
        <v>1669</v>
      </c>
      <c r="D94" s="18" t="s">
        <v>1670</v>
      </c>
      <c r="H94" s="7" t="str">
        <f>IFERROR(__xludf.DUMMYFUNCTION("GOOGLETRANSLATE(B94, ""en"", ""zh"")"),"剑术这项运动影响了东南亚的哪种游戏？")</f>
        <v>剑术这项运动影响了东南亚的哪种游戏？</v>
      </c>
      <c r="I94" s="7" t="str">
        <f>IFERROR(__xludf.DUMMYFUNCTION("GOOGLETRANSLATE(C94, ""en"", ""zh"")"),"A) 藤球 B) 羽毛球 C) 足球袋 D) 排球")</f>
        <v>A) 藤球 B) 羽毛球 C) 足球袋 D) 排球</v>
      </c>
      <c r="J94" s="7" t="str">
        <f>IFERROR(__xludf.DUMMYFUNCTION("GOOGLETRANSLATE(D94, ""en"", ""zh"")"),"A) 藤球")</f>
        <v>A) 藤球</v>
      </c>
      <c r="K94" s="7" t="str">
        <f>IFERROR(__xludf.DUMMYFUNCTION("GOOGLETRANSLATE(E94, ""en"", ""zh"")"),"#VALUE!")</f>
        <v>#VALUE!</v>
      </c>
    </row>
    <row r="95">
      <c r="A95" s="17">
        <v>94.0</v>
      </c>
      <c r="B95" s="18" t="s">
        <v>1671</v>
      </c>
      <c r="C95" s="18" t="s">
        <v>1672</v>
      </c>
      <c r="D95" s="18" t="s">
        <v>1673</v>
      </c>
      <c r="H95" s="7" t="str">
        <f>IFERROR(__xludf.DUMMYFUNCTION("GOOGLETRANSLATE(B95, ""en"", ""zh"")"),"在中国哪个世纪，钩子开始在学校里流行起来？")</f>
        <v>在中国哪个世纪，钩子开始在学校里流行起来？</v>
      </c>
      <c r="I95" s="7" t="str">
        <f>IFERROR(__xludf.DUMMYFUNCTION("GOOGLETRANSLATE(C95, ""en"", ""zh"")"),"A) 第19届 B) 第20届 C) 第18届 D) 第17届")</f>
        <v>A) 第19届 B) 第20届 C) 第18届 D) 第17届</v>
      </c>
      <c r="J95" s="7" t="str">
        <f>IFERROR(__xludf.DUMMYFUNCTION("GOOGLETRANSLATE(D95, ""en"", ""zh"")"),"B) 20")</f>
        <v>B) 20</v>
      </c>
      <c r="K95" s="7" t="str">
        <f>IFERROR(__xludf.DUMMYFUNCTION("GOOGLETRANSLATE(E95, ""en"", ""zh"")"),"#VALUE!")</f>
        <v>#VALUE!</v>
      </c>
    </row>
    <row r="96">
      <c r="A96" s="17">
        <v>95.0</v>
      </c>
      <c r="B96" s="18" t="s">
        <v>1674</v>
      </c>
      <c r="C96" s="18" t="s">
        <v>1627</v>
      </c>
      <c r="D96" s="18" t="s">
        <v>1147</v>
      </c>
      <c r="H96" s="7" t="str">
        <f>IFERROR(__xludf.DUMMYFUNCTION("GOOGLETRANSLATE(B96, ""en"", ""zh"")"),"哪个朝代提倡在节庆期间进行掂子活动？")</f>
        <v>哪个朝代提倡在节庆期间进行掂子活动？</v>
      </c>
      <c r="I96" s="7" t="str">
        <f>IFERROR(__xludf.DUMMYFUNCTION("GOOGLETRANSLATE(C96, ""en"", ""zh"")"),"A) 汉 B) 唐 C) 明 D) 清")</f>
        <v>A) 汉 B) 唐 C) 明 D) 清</v>
      </c>
      <c r="J96" s="7" t="str">
        <f>IFERROR(__xludf.DUMMYFUNCTION("GOOGLETRANSLATE(D96, ""en"", ""zh"")"),"B) 唐")</f>
        <v>B) 唐</v>
      </c>
      <c r="K96" s="7" t="str">
        <f>IFERROR(__xludf.DUMMYFUNCTION("GOOGLETRANSLATE(E96, ""en"", ""zh"")"),"#VALUE!")</f>
        <v>#VALUE!</v>
      </c>
    </row>
    <row r="97">
      <c r="A97" s="17">
        <v>96.0</v>
      </c>
      <c r="B97" s="18" t="s">
        <v>1675</v>
      </c>
      <c r="C97" s="18" t="s">
        <v>1676</v>
      </c>
      <c r="D97" s="18" t="s">
        <v>1677</v>
      </c>
      <c r="H97" s="7" t="str">
        <f>IFERROR(__xludf.DUMMYFUNCTION("GOOGLETRANSLATE(B97, ""en"", ""zh"")"),"简子比赛的评分通常依据以下几点：")</f>
        <v>简子比赛的评分通常依据以下几点：</v>
      </c>
      <c r="I97" s="7" t="str">
        <f>IFERROR(__xludf.DUMMYFUNCTION("GOOGLETRANSLATE(C97, ""en"", ""zh"")"),"A) 踢球次数 B) 距离 C) 准确度 D) 风格分")</f>
        <v>A) 踢球次数 B) 距离 C) 准确度 D) 风格分</v>
      </c>
      <c r="J97" s="7" t="str">
        <f>IFERROR(__xludf.DUMMYFUNCTION("GOOGLETRANSLATE(D97, ""en"", ""zh"")"),"A) 踢球次数")</f>
        <v>A) 踢球次数</v>
      </c>
      <c r="K97" s="7" t="str">
        <f>IFERROR(__xludf.DUMMYFUNCTION("GOOGLETRANSLATE(E97, ""en"", ""zh"")"),"#VALUE!")</f>
        <v>#VALUE!</v>
      </c>
    </row>
    <row r="98">
      <c r="A98" s="17">
        <v>97.0</v>
      </c>
      <c r="B98" s="18" t="s">
        <v>1678</v>
      </c>
      <c r="C98" s="18" t="s">
        <v>1679</v>
      </c>
      <c r="D98" s="18" t="s">
        <v>1680</v>
      </c>
      <c r="H98" s="7" t="str">
        <f>IFERROR(__xludf.DUMMYFUNCTION("GOOGLETRANSLATE(B98, ""en"", ""zh"")"),"以下哪位是历史上著名的剑子演奏家？")</f>
        <v>以下哪位是历史上著名的剑子演奏家？</v>
      </c>
      <c r="I98" s="7" t="str">
        <f>IFERROR(__xludf.DUMMYFUNCTION("GOOGLETRANSLATE(C98, ""en"", ""zh"")"),"A) 没有个人记录 B) 武则天 C) 孔子 D) 李白")</f>
        <v>A) 没有个人记录 B) 武则天 C) 孔子 D) 李白</v>
      </c>
      <c r="J98" s="7" t="str">
        <f>IFERROR(__xludf.DUMMYFUNCTION("GOOGLETRANSLATE(D98, ""en"", ""zh"")"),"A) 未记录个人信息")</f>
        <v>A) 未记录个人信息</v>
      </c>
      <c r="K98" s="7" t="str">
        <f>IFERROR(__xludf.DUMMYFUNCTION("GOOGLETRANSLATE(E98, ""en"", ""zh"")"),"#VALUE!")</f>
        <v>#VALUE!</v>
      </c>
    </row>
    <row r="99">
      <c r="A99" s="17">
        <v>98.0</v>
      </c>
      <c r="B99" s="18" t="s">
        <v>1681</v>
      </c>
      <c r="C99" s="18" t="s">
        <v>1682</v>
      </c>
      <c r="D99" s="18" t="s">
        <v>1683</v>
      </c>
      <c r="H99" s="7" t="str">
        <f>IFERROR(__xludf.DUMMYFUNCTION("GOOGLETRANSLATE(B99, ""en"", ""zh"")"),"中国哪个城市以举办现代溏子比赛而闻名？")</f>
        <v>中国哪个城市以举办现代溏子比赛而闻名？</v>
      </c>
      <c r="I99" s="7" t="str">
        <f>IFERROR(__xludf.DUMMYFUNCTION("GOOGLETRANSLATE(C99, ""en"", ""zh"")"),"A) 北京 B) 上海 C) 广州 D) 武汉")</f>
        <v>A) 北京 B) 上海 C) 广州 D) 武汉</v>
      </c>
      <c r="J99" s="7" t="str">
        <f>IFERROR(__xludf.DUMMYFUNCTION("GOOGLETRANSLATE(D99, ""en"", ""zh"")"),"B) 上海")</f>
        <v>B) 上海</v>
      </c>
      <c r="K99" s="7" t="str">
        <f>IFERROR(__xludf.DUMMYFUNCTION("GOOGLETRANSLATE(E99, ""en"", ""zh"")"),"#VALUE!")</f>
        <v>#VALUE!</v>
      </c>
    </row>
    <row r="100">
      <c r="A100" s="17">
        <v>99.0</v>
      </c>
      <c r="B100" s="18" t="s">
        <v>1684</v>
      </c>
      <c r="C100" s="18" t="s">
        <v>1685</v>
      </c>
      <c r="D100" s="18" t="s">
        <v>1686</v>
      </c>
      <c r="H100" s="7" t="str">
        <f>IFERROR(__xludf.DUMMYFUNCTION("GOOGLETRANSLATE(B100, ""en"", ""zh"")"),"传统煎子和现代煎子的主要区别是什么？")</f>
        <v>传统煎子和现代煎子的主要区别是什么？</v>
      </c>
      <c r="I100" s="7" t="str">
        <f>IFERROR(__xludf.DUMMYFUNCTION("GOOGLETRANSLATE(C100, ""en"", ""zh"")"),"A) 羽毛球尺寸 B) 羽毛球材质 C) 球员人数 D) 比赛场地")</f>
        <v>A) 羽毛球尺寸 B) 羽毛球材质 C) 球员人数 D) 比赛场地</v>
      </c>
      <c r="J100" s="7" t="str">
        <f>IFERROR(__xludf.DUMMYFUNCTION("GOOGLETRANSLATE(D100, ""en"", ""zh"")"),"B) 梭子材料")</f>
        <v>B) 梭子材料</v>
      </c>
      <c r="K100" s="7" t="str">
        <f>IFERROR(__xludf.DUMMYFUNCTION("GOOGLETRANSLATE(E100, ""en"", ""zh"")"),"#VALUE!")</f>
        <v>#VALUE!</v>
      </c>
    </row>
    <row r="101">
      <c r="A101" s="17">
        <v>100.0</v>
      </c>
      <c r="B101" s="18" t="s">
        <v>1687</v>
      </c>
      <c r="C101" s="18" t="s">
        <v>1688</v>
      </c>
      <c r="D101" s="18" t="s">
        <v>1689</v>
      </c>
      <c r="H101" s="7" t="str">
        <f>IFERROR(__xludf.DUMMYFUNCTION("GOOGLETRANSLATE(B101, ""en"", ""zh"")"),"溏心主要需要哪项身体技能？")</f>
        <v>溏心主要需要哪项身体技能？</v>
      </c>
      <c r="I101" s="7" t="str">
        <f>IFERROR(__xludf.DUMMYFUNCTION("GOOGLETRANSLATE(C101, ""en"", ""zh"")"),"A) 力量 B) 柔韧性 C) 平衡性 D) 耐力")</f>
        <v>A) 力量 B) 柔韧性 C) 平衡性 D) 耐力</v>
      </c>
      <c r="J101" s="7" t="str">
        <f>IFERROR(__xludf.DUMMYFUNCTION("GOOGLETRANSLATE(D101, ""en"", ""zh"")"),"C) 平衡")</f>
        <v>C) 平衡</v>
      </c>
      <c r="K101" s="7" t="str">
        <f>IFERROR(__xludf.DUMMYFUNCTION("GOOGLETRANSLATE(E101, ""en"", ""zh"")"),"#VALUE!")</f>
        <v>#VALUE!</v>
      </c>
    </row>
    <row r="102">
      <c r="A102" s="17">
        <v>101.0</v>
      </c>
      <c r="B102" s="18" t="s">
        <v>1690</v>
      </c>
      <c r="C102" s="18" t="s">
        <v>1691</v>
      </c>
      <c r="D102" s="18" t="s">
        <v>1299</v>
      </c>
      <c r="H102" s="7" t="str">
        <f>IFERROR(__xludf.DUMMYFUNCTION("GOOGLETRANSLATE(B102, ""en"", ""zh"")"),"在中国，传统上哪个年龄段的人玩尖子游戏？")</f>
        <v>在中国，传统上哪个年龄段的人玩尖子游戏？</v>
      </c>
      <c r="I102" s="7" t="str">
        <f>IFERROR(__xludf.DUMMYFUNCTION("GOOGLETRANSLATE(C102, ""en"", ""zh"")"),"A) 儿童 B) 成人 C) 士兵 D) 以上所有")</f>
        <v>A) 儿童 B) 成人 C) 士兵 D) 以上所有</v>
      </c>
      <c r="J102" s="7" t="str">
        <f>IFERROR(__xludf.DUMMYFUNCTION("GOOGLETRANSLATE(D102, ""en"", ""zh"")"),"D) 以上所有选项")</f>
        <v>D) 以上所有选项</v>
      </c>
      <c r="K102" s="7" t="str">
        <f>IFERROR(__xludf.DUMMYFUNCTION("GOOGLETRANSLATE(E102, ""en"", ""zh"")"),"#VALUE!")</f>
        <v>#VALUE!</v>
      </c>
    </row>
    <row r="103">
      <c r="A103" s="17">
        <v>102.0</v>
      </c>
      <c r="B103" s="18" t="s">
        <v>1692</v>
      </c>
      <c r="C103" s="18" t="s">
        <v>1693</v>
      </c>
      <c r="D103" s="18" t="s">
        <v>1694</v>
      </c>
      <c r="H103" s="7" t="str">
        <f>IFERROR(__xludf.DUMMYFUNCTION("GOOGLETRANSLATE(B103, ""en"", ""zh"")"),"历史上，以下哪些国家没有采用过建字？")</f>
        <v>历史上，以下哪些国家没有采用过建字？</v>
      </c>
      <c r="I103" s="7" t="str">
        <f>IFERROR(__xludf.DUMMYFUNCTION("GOOGLETRANSLATE(C103, ""en"", ""zh"")"),"A) 韩国 B) 越南 C) 泰国 D) 日本")</f>
        <v>A) 韩国 B) 越南 C) 泰国 D) 日本</v>
      </c>
      <c r="J103" s="7" t="str">
        <f>IFERROR(__xludf.DUMMYFUNCTION("GOOGLETRANSLATE(D103, ""en"", ""zh"")"),"D) 日本")</f>
        <v>D) 日本</v>
      </c>
      <c r="K103" s="7" t="str">
        <f>IFERROR(__xludf.DUMMYFUNCTION("GOOGLETRANSLATE(E103, ""en"", ""zh"")"),"#VALUE!")</f>
        <v>#VALUE!</v>
      </c>
    </row>
    <row r="104">
      <c r="A104" s="17">
        <v>103.0</v>
      </c>
      <c r="B104" s="18" t="s">
        <v>1695</v>
      </c>
      <c r="C104" s="18" t="s">
        <v>1696</v>
      </c>
      <c r="D104" s="18" t="s">
        <v>1697</v>
      </c>
      <c r="H104" s="7" t="str">
        <f>IFERROR(__xludf.DUMMYFUNCTION("GOOGLETRANSLATE(B104, ""en"", ""zh"")"),"溏心比赛通常需要：")</f>
        <v>溏心比赛通常需要：</v>
      </c>
      <c r="I104" s="7" t="str">
        <f>IFERROR(__xludf.DUMMYFUNCTION("GOOGLETRANSLATE(C104, ""en"", ""zh"")"),"A) 仅个人技能 B) 团队协作 C) 仅速度 D) 仅耐力")</f>
        <v>A) 仅个人技能 B) 团队协作 C) 仅速度 D) 仅耐力</v>
      </c>
      <c r="J104" s="7" t="str">
        <f>IFERROR(__xludf.DUMMYFUNCTION("GOOGLETRANSLATE(D104, ""en"", ""zh"")"),"B) 团队协调")</f>
        <v>B) 团队协调</v>
      </c>
      <c r="K104" s="7" t="str">
        <f>IFERROR(__xludf.DUMMYFUNCTION("GOOGLETRANSLATE(E104, ""en"", ""zh"")"),"#VALUE!")</f>
        <v>#VALUE!</v>
      </c>
    </row>
    <row r="105">
      <c r="A105" s="17">
        <v>104.0</v>
      </c>
      <c r="B105" s="18" t="s">
        <v>1698</v>
      </c>
      <c r="C105" s="18" t="s">
        <v>1699</v>
      </c>
      <c r="D105" s="18" t="s">
        <v>1299</v>
      </c>
      <c r="H105" s="7" t="str">
        <f>IFERROR(__xludf.DUMMYFUNCTION("GOOGLETRANSLATE(B105, ""en"", ""zh"")"),"现代刺子比赛通常包括：")</f>
        <v>现代刺子比赛通常包括：</v>
      </c>
      <c r="I105" s="7" t="str">
        <f>IFERROR(__xludf.DUMMYFUNCTION("GOOGLETRANSLATE(C105, ""en"", ""zh"")"),"A) 自由式 B) 双打 C) 团体赛 D) 以上全部")</f>
        <v>A) 自由式 B) 双打 C) 团体赛 D) 以上全部</v>
      </c>
      <c r="J105" s="7" t="str">
        <f>IFERROR(__xludf.DUMMYFUNCTION("GOOGLETRANSLATE(D105, ""en"", ""zh"")"),"D) 以上所有选项")</f>
        <v>D) 以上所有选项</v>
      </c>
      <c r="K105" s="7" t="str">
        <f>IFERROR(__xludf.DUMMYFUNCTION("GOOGLETRANSLATE(E105, ""en"", ""zh"")"),"#VALUE!")</f>
        <v>#VALUE!</v>
      </c>
    </row>
    <row r="106">
      <c r="A106" s="17">
        <v>105.0</v>
      </c>
      <c r="B106" s="18" t="s">
        <v>1700</v>
      </c>
      <c r="C106" s="18" t="s">
        <v>1701</v>
      </c>
      <c r="D106" s="18" t="s">
        <v>1702</v>
      </c>
      <c r="H106" s="7" t="str">
        <f>IFERROR(__xludf.DUMMYFUNCTION("GOOGLETRANSLATE(B106, ""en"", ""zh"")"),"在竞技性毽子游戏中，主要目标是什么？")</f>
        <v>在竞技性毽子游戏中，主要目标是什么？</v>
      </c>
      <c r="I106" s="7" t="str">
        <f>IFERROR(__xludf.DUMMYFUNCTION("GOOGLETRANSLATE(C106, ""en"", ""zh"")"),"A) 最长回合 B) 进球 C) 俘虏对手 D) 击中目标")</f>
        <v>A) 最长回合 B) 进球 C) 俘虏对手 D) 击中目标</v>
      </c>
      <c r="J106" s="7" t="str">
        <f>IFERROR(__xludf.DUMMYFUNCTION("GOOGLETRANSLATE(D106, ""en"", ""zh"")"),"A) 最长反弹")</f>
        <v>A) 最长反弹</v>
      </c>
      <c r="K106" s="7" t="str">
        <f>IFERROR(__xludf.DUMMYFUNCTION("GOOGLETRANSLATE(E106, ""en"", ""zh"")"),"#VALUE!")</f>
        <v>#VALUE!</v>
      </c>
    </row>
    <row r="107">
      <c r="A107" s="17">
        <v>106.0</v>
      </c>
      <c r="B107" s="18" t="s">
        <v>1703</v>
      </c>
      <c r="C107" s="18" t="s">
        <v>1704</v>
      </c>
      <c r="D107" s="18" t="s">
        <v>1705</v>
      </c>
      <c r="H107" s="7" t="str">
        <f>IFERROR(__xludf.DUMMYFUNCTION("GOOGLETRANSLATE(B107, ""en"", ""zh"")"),"建子是哪个国际组织认可的？")</f>
        <v>建子是哪个国际组织认可的？</v>
      </c>
      <c r="I107" s="7" t="str">
        <f>IFERROR(__xludf.DUMMYFUNCTION("GOOGLETRANSLATE(C107, ""en"", ""zh"")"),"A) 国际羽毛球联合会 B) 国际足联 C) 国际奥委会 D) 亚运会联合会")</f>
        <v>A) 国际羽毛球联合会 B) 国际足联 C) 国际奥委会 D) 亚运会联合会</v>
      </c>
      <c r="J107" s="7" t="str">
        <f>IFERROR(__xludf.DUMMYFUNCTION("GOOGLETRANSLATE(D107, ""en"", ""zh"")"),"A) 国际羽毛球联合会")</f>
        <v>A) 国际羽毛球联合会</v>
      </c>
      <c r="K107" s="7" t="str">
        <f>IFERROR(__xludf.DUMMYFUNCTION("GOOGLETRANSLATE(E107, ""en"", ""zh"")"),"#VALUE!")</f>
        <v>#VALUE!</v>
      </c>
    </row>
    <row r="108">
      <c r="A108" s="17">
        <v>107.0</v>
      </c>
      <c r="B108" s="18" t="s">
        <v>1706</v>
      </c>
      <c r="C108" s="18" t="s">
        <v>1707</v>
      </c>
      <c r="D108" s="18" t="s">
        <v>1708</v>
      </c>
      <c r="H108" s="7" t="str">
        <f>IFERROR(__xludf.DUMMYFUNCTION("GOOGLETRANSLATE(B108, ""en"", ""zh"")"),"毽子有时也被称为：")</f>
        <v>毽子有时也被称为：</v>
      </c>
      <c r="I108" s="7" t="str">
        <f>IFERROR(__xludf.DUMMYFUNCTION("GOOGLETRANSLATE(C108, ""en"", ""zh"")"),"A) 羽毛球 B) 毽子 C) 梭子球 D) 踢球")</f>
        <v>A) 羽毛球 B) 毽子 C) 梭子球 D) 踢球</v>
      </c>
      <c r="J108" s="7" t="str">
        <f>IFERROR(__xludf.DUMMYFUNCTION("GOOGLETRANSLATE(D108, ""en"", ""zh"")"),"A) 羽毛球")</f>
        <v>A) 羽毛球</v>
      </c>
      <c r="K108" s="7" t="str">
        <f>IFERROR(__xludf.DUMMYFUNCTION("GOOGLETRANSLATE(E108, ""en"", ""zh"")"),"#VALUE!")</f>
        <v>#VALUE!</v>
      </c>
    </row>
    <row r="109">
      <c r="A109" s="17">
        <v>108.0</v>
      </c>
      <c r="B109" s="18" t="s">
        <v>1709</v>
      </c>
      <c r="C109" s="18" t="s">
        <v>1710</v>
      </c>
      <c r="D109" s="18" t="s">
        <v>1711</v>
      </c>
      <c r="H109" s="7" t="str">
        <f>IFERROR(__xludf.DUMMYFUNCTION("GOOGLETRANSLATE(B109, ""en"", ""zh"")"),"建子的影响力主要通过以下途径传播到东南亚：")</f>
        <v>建子的影响力主要通过以下途径传播到东南亚：</v>
      </c>
      <c r="I109" s="7" t="str">
        <f>IFERROR(__xludf.DUMMYFUNCTION("GOOGLETRANSLATE(C109, ""en"", ""zh"")"),"A) 贸易路线 B) 移民 C) 军事行动 D) 学者")</f>
        <v>A) 贸易路线 B) 移民 C) 军事行动 D) 学者</v>
      </c>
      <c r="J109" s="7" t="str">
        <f>IFERROR(__xludf.DUMMYFUNCTION("GOOGLETRANSLATE(D109, ""en"", ""zh"")"),"C）军事行动")</f>
        <v>C）军事行动</v>
      </c>
      <c r="K109" s="7" t="str">
        <f>IFERROR(__xludf.DUMMYFUNCTION("GOOGLETRANSLATE(E109, ""en"", ""zh"")"),"#VALUE!")</f>
        <v>#VALUE!</v>
      </c>
    </row>
    <row r="110">
      <c r="A110" s="17">
        <v>109.0</v>
      </c>
      <c r="B110" s="18" t="s">
        <v>1712</v>
      </c>
      <c r="C110" s="18" t="s">
        <v>1713</v>
      </c>
      <c r="D110" s="18" t="s">
        <v>1299</v>
      </c>
      <c r="H110" s="7" t="str">
        <f>IFERROR(__xludf.DUMMYFUNCTION("GOOGLETRANSLATE(B110, ""en"", ""zh"")"),"练习琴子可以提升哪项中国传统技艺？")</f>
        <v>练习琴子可以提升哪项中国传统技艺？</v>
      </c>
      <c r="I110" s="7" t="str">
        <f>IFERROR(__xludf.DUMMYFUNCTION("GOOGLETRANSLATE(C110, ""en"", ""zh"")"),"A) 敏捷性 B) 反应能力 C) 协调性 D) 以上全部")</f>
        <v>A) 敏捷性 B) 反应能力 C) 协调性 D) 以上全部</v>
      </c>
      <c r="J110" s="7" t="str">
        <f>IFERROR(__xludf.DUMMYFUNCTION("GOOGLETRANSLATE(D110, ""en"", ""zh"")"),"D) 以上所有选项")</f>
        <v>D) 以上所有选项</v>
      </c>
      <c r="K110" s="7" t="str">
        <f>IFERROR(__xludf.DUMMYFUNCTION("GOOGLETRANSLATE(E110, ""en"", ""zh"")"),"#VALUE!")</f>
        <v>#VALUE!</v>
      </c>
    </row>
    <row r="111">
      <c r="A111" s="17">
        <v>110.0</v>
      </c>
      <c r="B111" s="18" t="s">
        <v>1714</v>
      </c>
      <c r="C111" s="18" t="s">
        <v>1715</v>
      </c>
      <c r="D111" s="18" t="s">
        <v>1299</v>
      </c>
      <c r="H111" s="7" t="str">
        <f>IFERROR(__xludf.DUMMYFUNCTION("GOOGLETRANSLATE(B111, ""en"", ""zh"")"),"现代毽子比赛在以下场地举行：")</f>
        <v>现代毽子比赛在以下场地举行：</v>
      </c>
      <c r="I111" s="7" t="str">
        <f>IFERROR(__xludf.DUMMYFUNCTION("GOOGLETRANSLATE(C111, ""en"", ""zh"")"),"A) 草地 B) 水泥地 C) 室内球场 D) 以上全部")</f>
        <v>A) 草地 B) 水泥地 C) 室内球场 D) 以上全部</v>
      </c>
      <c r="J111" s="7" t="str">
        <f>IFERROR(__xludf.DUMMYFUNCTION("GOOGLETRANSLATE(D111, ""en"", ""zh"")"),"D) 以上所有选项")</f>
        <v>D) 以上所有选项</v>
      </c>
      <c r="K111" s="7" t="str">
        <f>IFERROR(__xludf.DUMMYFUNCTION("GOOGLETRANSLATE(E111, ""en"", ""zh"")"),"#VALUE!")</f>
        <v>#VALUE!</v>
      </c>
    </row>
    <row r="112">
      <c r="A112" s="17">
        <v>111.0</v>
      </c>
      <c r="B112" s="18" t="s">
        <v>1716</v>
      </c>
      <c r="C112" s="18" t="s">
        <v>1717</v>
      </c>
      <c r="D112" s="18" t="s">
        <v>528</v>
      </c>
      <c r="H112" s="7" t="str">
        <f>IFERROR(__xludf.DUMMYFUNCTION("GOOGLETRANSLATE(B112, ""en"", ""zh"")"),"哪个朝代将戌子推广为节庆游戏？")</f>
        <v>哪个朝代将戌子推广为节庆游戏？</v>
      </c>
      <c r="I112" s="7" t="str">
        <f>IFERROR(__xludf.DUMMYFUNCTION("GOOGLETRANSLATE(C112, ""en"", ""zh"")"),"A) 唐 B) 宋 C) 明 D) 青")</f>
        <v>A) 唐 B) 宋 C) 明 D) 青</v>
      </c>
      <c r="J112" s="7" t="str">
        <f>IFERROR(__xludf.DUMMYFUNCTION("GOOGLETRANSLATE(D112, ""en"", ""zh"")"),"A) 唐")</f>
        <v>A) 唐</v>
      </c>
      <c r="K112" s="7" t="str">
        <f>IFERROR(__xludf.DUMMYFUNCTION("GOOGLETRANSLATE(E112, ""en"", ""zh"")"),"#VALUE!")</f>
        <v>#VALUE!</v>
      </c>
    </row>
    <row r="113">
      <c r="A113" s="17">
        <v>112.0</v>
      </c>
      <c r="B113" s="18" t="s">
        <v>1718</v>
      </c>
      <c r="C113" s="18" t="s">
        <v>1719</v>
      </c>
      <c r="D113" s="18" t="s">
        <v>1720</v>
      </c>
      <c r="H113" s="7" t="str">
        <f>IFERROR(__xludf.DUMMYFUNCTION("GOOGLETRANSLATE(B113, ""en"", ""zh"")"),"溏心与哪项现代体育运动有关？")</f>
        <v>溏心与哪项现代体育运动有关？</v>
      </c>
      <c r="I113" s="7" t="str">
        <f>IFERROR(__xludf.DUMMYFUNCTION("GOOGLETRANSLATE(C113, ""en"", ""zh"")"),"A) 足球 B) 足式排球 C) 藤球 D) 排球")</f>
        <v>A) 足球 B) 足式排球 C) 藤球 D) 排球</v>
      </c>
      <c r="J113" s="7" t="str">
        <f>IFERROR(__xludf.DUMMYFUNCTION("GOOGLETRANSLATE(D113, ""en"", ""zh"")"),"C) 藤球")</f>
        <v>C) 藤球</v>
      </c>
      <c r="K113" s="7" t="str">
        <f>IFERROR(__xludf.DUMMYFUNCTION("GOOGLETRANSLATE(E113, ""en"", ""zh"")"),"#VALUE!")</f>
        <v>#VALUE!</v>
      </c>
    </row>
    <row r="114">
      <c r="A114" s="17">
        <v>113.0</v>
      </c>
      <c r="B114" s="18" t="s">
        <v>1721</v>
      </c>
      <c r="C114" s="18" t="s">
        <v>1722</v>
      </c>
      <c r="D114" s="18" t="s">
        <v>1299</v>
      </c>
      <c r="H114" s="7" t="str">
        <f>IFERROR(__xludf.DUMMYFUNCTION("GOOGLETRANSLATE(B114, ""en"", ""zh"")"),"古代人们演奏尖子琴的主要原因是什么？")</f>
        <v>古代人们演奏尖子琴的主要原因是什么？</v>
      </c>
      <c r="I114" s="7" t="str">
        <f>IFERROR(__xludf.DUMMYFUNCTION("GOOGLETRANSLATE(C114, ""en"", ""zh"")"),"A) 军事训练 B) 休闲娱乐 C) 节庆娱乐 D) 以上全部")</f>
        <v>A) 军事训练 B) 休闲娱乐 C) 节庆娱乐 D) 以上全部</v>
      </c>
      <c r="J114" s="7" t="str">
        <f>IFERROR(__xludf.DUMMYFUNCTION("GOOGLETRANSLATE(D114, ""en"", ""zh"")"),"D) 以上所有选项")</f>
        <v>D) 以上所有选项</v>
      </c>
      <c r="K114" s="7" t="str">
        <f>IFERROR(__xludf.DUMMYFUNCTION("GOOGLETRANSLATE(E114, ""en"", ""zh"")"),"#VALUE!")</f>
        <v>#VALUE!</v>
      </c>
    </row>
    <row r="115">
      <c r="A115" s="17">
        <v>114.0</v>
      </c>
      <c r="B115" s="18" t="s">
        <v>1723</v>
      </c>
      <c r="C115" s="18" t="s">
        <v>1724</v>
      </c>
      <c r="D115" s="18" t="s">
        <v>1725</v>
      </c>
      <c r="H115" s="7" t="str">
        <f>IFERROR(__xludf.DUMMYFUNCTION("GOOGLETRANSLATE(B115, ""en"", ""zh"")"),"毓子中的“毓”指的是：")</f>
        <v>毓子中的“毓”指的是：</v>
      </c>
      <c r="I115" s="7" t="str">
        <f>IFERROR(__xludf.DUMMYFUNCTION("GOOGLETRANSLATE(C115, ""en"", ""zh"")"),"A) 带羽毛的木制底座 B) 只有羽毛 C) 只有木制底座 D) 塑料玩具")</f>
        <v>A) 带羽毛的木制底座 B) 只有羽毛 C) 只有木制底座 D) 塑料玩具</v>
      </c>
      <c r="J115" s="7" t="str">
        <f>IFERROR(__xludf.DUMMYFUNCTION("GOOGLETRANSLATE(D115, ""en"", ""zh"")"),"A) 带羽毛的木制底座")</f>
        <v>A) 带羽毛的木制底座</v>
      </c>
      <c r="K115" s="7" t="str">
        <f>IFERROR(__xludf.DUMMYFUNCTION("GOOGLETRANSLATE(E115, ""en"", ""zh"")"),"#VALUE!")</f>
        <v>#VALUE!</v>
      </c>
    </row>
    <row r="116">
      <c r="A116" s="17">
        <v>115.0</v>
      </c>
      <c r="B116" s="18" t="s">
        <v>1726</v>
      </c>
      <c r="C116" s="18" t="s">
        <v>1727</v>
      </c>
      <c r="D116" s="18" t="s">
        <v>1299</v>
      </c>
      <c r="H116" s="7" t="str">
        <f>IFERROR(__xludf.DUMMYFUNCTION("GOOGLETRANSLATE(B116, ""en"", ""zh"")"),"在中国古代文献中，剑子与以下事物相关：")</f>
        <v>在中国古代文献中，剑子与以下事物相关：</v>
      </c>
      <c r="I116" s="7" t="str">
        <f>IFERROR(__xludf.DUMMYFUNCTION("GOOGLETRANSLATE(C116, ""en"", ""zh"")"),"A) 学术研习 B) 武术 C) 宫廷娱乐 D) 以上全部")</f>
        <v>A) 学术研习 B) 武术 C) 宫廷娱乐 D) 以上全部</v>
      </c>
      <c r="J116" s="7" t="str">
        <f>IFERROR(__xludf.DUMMYFUNCTION("GOOGLETRANSLATE(D116, ""en"", ""zh"")"),"D) 以上所有选项")</f>
        <v>D) 以上所有选项</v>
      </c>
      <c r="K116" s="7" t="str">
        <f>IFERROR(__xludf.DUMMYFUNCTION("GOOGLETRANSLATE(E116, ""en"", ""zh"")"),"#VALUE!")</f>
        <v>#VALUE!</v>
      </c>
    </row>
    <row r="117">
      <c r="A117" s="17">
        <v>116.0</v>
      </c>
      <c r="B117" s="18" t="s">
        <v>1728</v>
      </c>
      <c r="C117" s="18" t="s">
        <v>1729</v>
      </c>
      <c r="D117" s="18" t="s">
        <v>1730</v>
      </c>
      <c r="H117" s="7" t="str">
        <f>IFERROR(__xludf.DUMMYFUNCTION("GOOGLETRANSLATE(B117, ""en"", ""zh"")"),"哪个东南亚国家发展出了自己的煎子？")</f>
        <v>哪个东南亚国家发展出了自己的煎子？</v>
      </c>
      <c r="I117" s="7" t="str">
        <f>IFERROR(__xludf.DUMMYFUNCTION("GOOGLETRANSLATE(C117, ""en"", ""zh"")"),"A) 泰国 B) 菲律宾 C) 印度尼西亚 D) 越南")</f>
        <v>A) 泰国 B) 菲律宾 C) 印度尼西亚 D) 越南</v>
      </c>
      <c r="J117" s="7" t="str">
        <f>IFERROR(__xludf.DUMMYFUNCTION("GOOGLETRANSLATE(D117, ""en"", ""zh"")"),"A) 泰国")</f>
        <v>A) 泰国</v>
      </c>
      <c r="K117" s="7" t="str">
        <f>IFERROR(__xludf.DUMMYFUNCTION("GOOGLETRANSLATE(E117, ""en"", ""zh"")"),"#VALUE!")</f>
        <v>#VALUE!</v>
      </c>
    </row>
    <row r="118">
      <c r="A118" s="17">
        <v>117.0</v>
      </c>
      <c r="B118" s="18" t="s">
        <v>1731</v>
      </c>
      <c r="C118" s="18" t="s">
        <v>1732</v>
      </c>
      <c r="D118" s="18" t="s">
        <v>1733</v>
      </c>
      <c r="H118" s="7" t="str">
        <f>IFERROR(__xludf.DUMMYFUNCTION("GOOGLETRANSLATE(B118, ""en"", ""zh"")"),"琴子传统上是由哪个性别的人演奏的？")</f>
        <v>琴子传统上是由哪个性别的人演奏的？</v>
      </c>
      <c r="I118" s="7" t="str">
        <f>IFERROR(__xludf.DUMMYFUNCTION("GOOGLETRANSLATE(C118, ""en"", ""zh"")"),"A) 仅限男性 B) 仅限女性 C) 两者皆可 D) 仅限儿童")</f>
        <v>A) 仅限男性 B) 仅限女性 C) 两者皆可 D) 仅限儿童</v>
      </c>
      <c r="J118" s="7" t="str">
        <f>IFERROR(__xludf.DUMMYFUNCTION("GOOGLETRANSLATE(D118, ""en"", ""zh"")"),"C) 两者")</f>
        <v>C) 两者</v>
      </c>
      <c r="K118" s="7" t="str">
        <f>IFERROR(__xludf.DUMMYFUNCTION("GOOGLETRANSLATE(E118, ""en"", ""zh"")"),"#VALUE!")</f>
        <v>#VALUE!</v>
      </c>
    </row>
    <row r="119">
      <c r="A119" s="17">
        <v>118.0</v>
      </c>
      <c r="B119" s="18" t="s">
        <v>1734</v>
      </c>
      <c r="C119" s="18" t="s">
        <v>1735</v>
      </c>
      <c r="D119" s="18" t="s">
        <v>1736</v>
      </c>
      <c r="H119" s="7" t="str">
        <f>IFERROR(__xludf.DUMMYFUNCTION("GOOGLETRANSLATE(B119, ""en"", ""zh"")"),"氹子游戏中“最长拉锯战”的纪录考验的是哪项技能？")</f>
        <v>氹子游戏中“最长拉锯战”的纪录考验的是哪项技能？</v>
      </c>
      <c r="I119" s="7" t="str">
        <f>IFERROR(__xludf.DUMMYFUNCTION("GOOGLETRANSLATE(C119, ""en"", ""zh"")"),"A) 力量 B) 敏捷性 C) 耐力 D) 策略")</f>
        <v>A) 力量 B) 敏捷性 C) 耐力 D) 策略</v>
      </c>
      <c r="J119" s="7" t="str">
        <f>IFERROR(__xludf.DUMMYFUNCTION("GOOGLETRANSLATE(D119, ""en"", ""zh"")"),"C）耐力")</f>
        <v>C）耐力</v>
      </c>
      <c r="K119" s="7" t="str">
        <f>IFERROR(__xludf.DUMMYFUNCTION("GOOGLETRANSLATE(E119, ""en"", ""zh"")"),"#VALUE!")</f>
        <v>#VALUE!</v>
      </c>
    </row>
    <row r="120">
      <c r="A120" s="17">
        <v>119.0</v>
      </c>
      <c r="B120" s="18" t="s">
        <v>1737</v>
      </c>
      <c r="C120" s="18" t="s">
        <v>1738</v>
      </c>
      <c r="D120" s="18" t="s">
        <v>30</v>
      </c>
      <c r="H120" s="7" t="str">
        <f>IFERROR(__xludf.DUMMYFUNCTION("GOOGLETRANSLATE(B120, ""en"", ""zh"")"),"哪个现代国家定期举办国际溏子锦标赛？")</f>
        <v>哪个现代国家定期举办国际溏子锦标赛？</v>
      </c>
      <c r="I120" s="7" t="str">
        <f>IFERROR(__xludf.DUMMYFUNCTION("GOOGLETRANSLATE(C120, ""en"", ""zh"")"),"A) 中国 B) 韩国 C) 越南 D) 泰国")</f>
        <v>A) 中国 B) 韩国 C) 越南 D) 泰国</v>
      </c>
      <c r="J120" s="7" t="str">
        <f>IFERROR(__xludf.DUMMYFUNCTION("GOOGLETRANSLATE(D120, ""en"", ""zh"")"),"A) 中国")</f>
        <v>A) 中国</v>
      </c>
      <c r="K120" s="7" t="str">
        <f>IFERROR(__xludf.DUMMYFUNCTION("GOOGLETRANSLATE(E120, ""en"", ""zh"")"),"#VALUE!")</f>
        <v>#VALUE!</v>
      </c>
    </row>
    <row r="121">
      <c r="A121" s="17">
        <v>120.0</v>
      </c>
      <c r="B121" s="18" t="s">
        <v>1739</v>
      </c>
      <c r="C121" s="18" t="s">
        <v>1740</v>
      </c>
      <c r="D121" s="18" t="s">
        <v>10</v>
      </c>
      <c r="H121" s="7" t="str">
        <f>IFERROR(__xludf.DUMMYFUNCTION("GOOGLETRANSLATE(B121, ""en"", ""zh"")"),"哪位中国皇帝鼓励戌子进行体育锻炼？")</f>
        <v>哪位中国皇帝鼓励戌子进行体育锻炼？</v>
      </c>
      <c r="I121" s="7" t="str">
        <f>IFERROR(__xludf.DUMMYFUNCTION("GOOGLETRANSLATE(C121, ""en"", ""zh"")"),"A) 汉武帝 B) 唐太宗 C) 康熙皇帝 D) 永乐皇帝")</f>
        <v>A) 汉武帝 B) 唐太宗 C) 康熙皇帝 D) 永乐皇帝</v>
      </c>
      <c r="J121" s="7" t="str">
        <f>IFERROR(__xludf.DUMMYFUNCTION("GOOGLETRANSLATE(D121, ""en"", ""zh"")"),"A) 汉武帝")</f>
        <v>A) 汉武帝</v>
      </c>
      <c r="K121" s="7" t="str">
        <f>IFERROR(__xludf.DUMMYFUNCTION("GOOGLETRANSLATE(E121, ""en"", ""zh"")"),"#VALUE!")</f>
        <v>#VALUE!</v>
      </c>
    </row>
    <row r="122">
      <c r="A122" s="17">
        <v>121.0</v>
      </c>
      <c r="B122" s="18" t="s">
        <v>1741</v>
      </c>
      <c r="C122" s="18" t="s">
        <v>1742</v>
      </c>
      <c r="D122" s="18" t="s">
        <v>1743</v>
      </c>
      <c r="H122" s="7" t="str">
        <f>IFERROR(__xludf.DUMMYFUNCTION("GOOGLETRANSLATE(B122, ""en"", ""zh"")"),"剑子有时被用来提高哪种士兵技能？")</f>
        <v>剑子有时被用来提高哪种士兵技能？</v>
      </c>
      <c r="I122" s="7" t="str">
        <f>IFERROR(__xludf.DUMMYFUNCTION("GOOGLETRANSLATE(C122, ""en"", ""zh"")"),"A) 射箭 B) 步法协调 C) 剑术 D) 骑马")</f>
        <v>A) 射箭 B) 步法协调 C) 剑术 D) 骑马</v>
      </c>
      <c r="J122" s="7" t="str">
        <f>IFERROR(__xludf.DUMMYFUNCTION("GOOGLETRANSLATE(D122, ""en"", ""zh"")"),"B) 足部协调性")</f>
        <v>B) 足部协调性</v>
      </c>
      <c r="K122" s="7" t="str">
        <f>IFERROR(__xludf.DUMMYFUNCTION("GOOGLETRANSLATE(E122, ""en"", ""zh"")"),"#VALUE!")</f>
        <v>#VALUE!</v>
      </c>
    </row>
    <row r="123">
      <c r="A123" s="17">
        <v>122.0</v>
      </c>
      <c r="B123" s="18" t="s">
        <v>1744</v>
      </c>
      <c r="C123" s="18" t="s">
        <v>1745</v>
      </c>
      <c r="D123" s="18" t="s">
        <v>1746</v>
      </c>
      <c r="H123" s="7" t="str">
        <f>IFERROR(__xludf.DUMMYFUNCTION("GOOGLETRANSLATE(B123, ""en"", ""zh"")"),"传统溏子中，羽毛的主要材料是什么？")</f>
        <v>传统溏子中，羽毛的主要材料是什么？</v>
      </c>
      <c r="I123" s="7" t="str">
        <f>IFERROR(__xludf.DUMMYFUNCTION("GOOGLETRANSLATE(C123, ""en"", ""zh"")"),"A) 鹅 B) 鸭 C) 鸡 D) 孔雀")</f>
        <v>A) 鹅 B) 鸭 C) 鸡 D) 孔雀</v>
      </c>
      <c r="J123" s="7" t="str">
        <f>IFERROR(__xludf.DUMMYFUNCTION("GOOGLETRANSLATE(D123, ""en"", ""zh"")"),"B) 鸭子")</f>
        <v>B) 鸭子</v>
      </c>
      <c r="K123" s="7" t="str">
        <f>IFERROR(__xludf.DUMMYFUNCTION("GOOGLETRANSLATE(E123, ""en"", ""zh"")"),"#VALUE!")</f>
        <v>#VALUE!</v>
      </c>
    </row>
    <row r="124">
      <c r="A124" s="17">
        <v>123.0</v>
      </c>
      <c r="B124" s="18" t="s">
        <v>1747</v>
      </c>
      <c r="C124" s="18" t="s">
        <v>776</v>
      </c>
      <c r="D124" s="18" t="s">
        <v>1748</v>
      </c>
      <c r="H124" s="7" t="str">
        <f>IFERROR(__xludf.DUMMYFUNCTION("GOOGLETRANSLATE(B124, ""en"", ""zh"")"),"中国古代哪些节日通常会举行溏子比赛？")</f>
        <v>中国古代哪些节日通常会举行溏子比赛？</v>
      </c>
      <c r="I124" s="7" t="str">
        <f>IFERROR(__xludf.DUMMYFUNCTION("GOOGLETRANSLATE(C124, ""en"", ""zh"")"),"A) 元宵节 B) 端午节 C) 中秋节 D) 春节")</f>
        <v>A) 元宵节 B) 端午节 C) 中秋节 D) 春节</v>
      </c>
      <c r="J124" s="7" t="str">
        <f>IFERROR(__xludf.DUMMYFUNCTION("GOOGLETRANSLATE(D124, ""en"", ""zh"")"),"A) 元宵节")</f>
        <v>A) 元宵节</v>
      </c>
      <c r="K124" s="7" t="str">
        <f>IFERROR(__xludf.DUMMYFUNCTION("GOOGLETRANSLATE(E124, ""en"", ""zh"")"),"#VALUE!")</f>
        <v>#VALUE!</v>
      </c>
    </row>
    <row r="125">
      <c r="A125" s="17">
        <v>124.0</v>
      </c>
      <c r="B125" s="18" t="s">
        <v>1749</v>
      </c>
      <c r="C125" s="18" t="s">
        <v>1750</v>
      </c>
      <c r="D125" s="18" t="s">
        <v>1624</v>
      </c>
      <c r="H125" s="7" t="str">
        <f>IFERROR(__xludf.DUMMYFUNCTION("GOOGLETRANSLATE(B125, ""en"", ""zh"")"),"琴子最初是作为独奏练习而演奏的。正确还是错误？")</f>
        <v>琴子最初是作为独奏练习而演奏的。正确还是错误？</v>
      </c>
      <c r="I125" s="7" t="str">
        <f>IFERROR(__xludf.DUMMYFUNCTION("GOOGLETRANSLATE(C125, ""en"", ""zh"")"),"A) 正确 B) 错误 C) 仅限两人一组 D) 仅限多人一组")</f>
        <v>A) 正确 B) 错误 C) 仅限两人一组 D) 仅限多人一组</v>
      </c>
      <c r="J125" s="7" t="str">
        <f>IFERROR(__xludf.DUMMYFUNCTION("GOOGLETRANSLATE(D125, ""en"", ""zh"")"),"A) 正确")</f>
        <v>A) 正确</v>
      </c>
      <c r="K125" s="7" t="str">
        <f>IFERROR(__xludf.DUMMYFUNCTION("GOOGLETRANSLATE(E125, ""en"", ""zh"")"),"#VALUE!")</f>
        <v>#VALUE!</v>
      </c>
    </row>
    <row r="126">
      <c r="A126" s="17">
        <v>125.0</v>
      </c>
      <c r="B126" s="18" t="s">
        <v>1751</v>
      </c>
      <c r="C126" s="18" t="s">
        <v>1752</v>
      </c>
      <c r="D126" s="18" t="s">
        <v>1753</v>
      </c>
      <c r="H126" s="7" t="str">
        <f>IFERROR(__xludf.DUMMYFUNCTION("GOOGLETRANSLATE(B126, ""en"", ""zh"")"),"中国哪个地区形成了自己独特的钩子风格？")</f>
        <v>中国哪个地区形成了自己独特的钩子风格？</v>
      </c>
      <c r="I126" s="7" t="str">
        <f>IFERROR(__xludf.DUMMYFUNCTION("GOOGLETRANSLATE(C126, ""en"", ""zh"")"),"A) 广东 B) 北京 C) 江苏 D) 四川")</f>
        <v>A) 广东 B) 北京 C) 江苏 D) 四川</v>
      </c>
      <c r="J126" s="7" t="str">
        <f>IFERROR(__xludf.DUMMYFUNCTION("GOOGLETRANSLATE(D126, ""en"", ""zh"")"),"A) 广东")</f>
        <v>A) 广东</v>
      </c>
      <c r="K126" s="7" t="str">
        <f>IFERROR(__xludf.DUMMYFUNCTION("GOOGLETRANSLATE(E126, ""en"", ""zh"")"),"#VALUE!")</f>
        <v>#VALUE!</v>
      </c>
    </row>
    <row r="127">
      <c r="A127" s="17">
        <v>126.0</v>
      </c>
      <c r="B127" s="18" t="s">
        <v>1754</v>
      </c>
      <c r="C127" s="18" t="s">
        <v>1755</v>
      </c>
      <c r="D127" s="18" t="s">
        <v>1756</v>
      </c>
      <c r="H127" s="7" t="str">
        <f>IFERROR(__xludf.DUMMYFUNCTION("GOOGLETRANSLATE(B127, ""en"", ""zh"")"),"剑子最早出现在哪个世纪的文字典籍中？")</f>
        <v>剑子最早出现在哪个世纪的文字典籍中？</v>
      </c>
      <c r="I127" s="7" t="str">
        <f>IFERROR(__xludf.DUMMYFUNCTION("GOOGLETRANSLATE(C127, ""en"", ""zh"")"),"A) 公元2世纪 B) 公元3世纪 C) 公元4世纪 D) 公元5世纪")</f>
        <v>A) 公元2世纪 B) 公元3世纪 C) 公元4世纪 D) 公元5世纪</v>
      </c>
      <c r="J127" s="7" t="str">
        <f>IFERROR(__xludf.DUMMYFUNCTION("GOOGLETRANSLATE(D127, ""en"", ""zh"")"),"B) 公元3世纪")</f>
        <v>B) 公元3世纪</v>
      </c>
      <c r="K127" s="7" t="str">
        <f>IFERROR(__xludf.DUMMYFUNCTION("GOOGLETRANSLATE(E127, ""en"", ""zh"")"),"#VALUE!")</f>
        <v>#VALUE!</v>
      </c>
    </row>
    <row r="128">
      <c r="A128" s="17">
        <v>127.0</v>
      </c>
      <c r="B128" s="18" t="s">
        <v>1757</v>
      </c>
      <c r="C128" s="18" t="s">
        <v>1758</v>
      </c>
      <c r="D128" s="18" t="s">
        <v>1299</v>
      </c>
      <c r="H128" s="7" t="str">
        <f>IFERROR(__xludf.DUMMYFUNCTION("GOOGLETRANSLATE(B128, ""en"", ""zh"")"),"传统军事剑术训练的目标是什么？")</f>
        <v>传统军事剑术训练的目标是什么？</v>
      </c>
      <c r="I128" s="7" t="str">
        <f>IFERROR(__xludf.DUMMYFUNCTION("GOOGLETRANSLATE(C128, ""en"", ""zh"")"),"A) 准确性 B) 速度 C) 平衡性 D) 以上全部")</f>
        <v>A) 准确性 B) 速度 C) 平衡性 D) 以上全部</v>
      </c>
      <c r="J128" s="7" t="str">
        <f>IFERROR(__xludf.DUMMYFUNCTION("GOOGLETRANSLATE(D128, ""en"", ""zh"")"),"D) 以上所有选项")</f>
        <v>D) 以上所有选项</v>
      </c>
      <c r="K128" s="7" t="str">
        <f>IFERROR(__xludf.DUMMYFUNCTION("GOOGLETRANSLATE(E128, ""en"", ""zh"")"),"#VALUE!")</f>
        <v>#VALUE!</v>
      </c>
    </row>
    <row r="129">
      <c r="A129" s="17">
        <v>128.0</v>
      </c>
      <c r="B129" s="18" t="s">
        <v>1759</v>
      </c>
      <c r="C129" s="18" t="s">
        <v>1760</v>
      </c>
      <c r="D129" s="18" t="s">
        <v>1624</v>
      </c>
      <c r="H129" s="7" t="str">
        <f>IFERROR(__xludf.DUMMYFUNCTION("GOOGLETRANSLATE(B129, ""en"", ""zh"")"),"现代琴子包含自由演奏。对还是错？")</f>
        <v>现代琴子包含自由演奏。对还是错？</v>
      </c>
      <c r="I129" s="7" t="str">
        <f>IFERROR(__xludf.DUMMYFUNCTION("GOOGLETRANSLATE(C129, ""en"", ""zh"")"),"A) 正确 B) 错误 C) 仅限比赛 D) 仅限训练")</f>
        <v>A) 正确 B) 错误 C) 仅限比赛 D) 仅限训练</v>
      </c>
      <c r="J129" s="7" t="str">
        <f>IFERROR(__xludf.DUMMYFUNCTION("GOOGLETRANSLATE(D129, ""en"", ""zh"")"),"A) 正确")</f>
        <v>A) 正确</v>
      </c>
      <c r="K129" s="7" t="str">
        <f>IFERROR(__xludf.DUMMYFUNCTION("GOOGLETRANSLATE(E129, ""en"", ""zh"")"),"#VALUE!")</f>
        <v>#VALUE!</v>
      </c>
    </row>
    <row r="130">
      <c r="A130" s="17">
        <v>129.0</v>
      </c>
      <c r="B130" s="18" t="s">
        <v>1761</v>
      </c>
      <c r="C130" s="18" t="s">
        <v>1762</v>
      </c>
      <c r="D130" s="18" t="s">
        <v>1730</v>
      </c>
      <c r="H130" s="7" t="str">
        <f>IFERROR(__xludf.DUMMYFUNCTION("GOOGLETRANSLATE(B130, ""en"", ""zh"")"),"哪个亚洲国家使用一种叫做藤球（Sepak Takraw）的藤球变体？")</f>
        <v>哪个亚洲国家使用一种叫做藤球（Sepak Takraw）的藤球变体？</v>
      </c>
      <c r="I130" s="7" t="str">
        <f>IFERROR(__xludf.DUMMYFUNCTION("GOOGLETRANSLATE(C130, ""en"", ""zh"")"),"A) 泰国 B) 中国 C) 日本 D) 韩国")</f>
        <v>A) 泰国 B) 中国 C) 日本 D) 韩国</v>
      </c>
      <c r="J130" s="7" t="str">
        <f>IFERROR(__xludf.DUMMYFUNCTION("GOOGLETRANSLATE(D130, ""en"", ""zh"")"),"A) 泰国")</f>
        <v>A) 泰国</v>
      </c>
      <c r="K130" s="7" t="str">
        <f>IFERROR(__xludf.DUMMYFUNCTION("GOOGLETRANSLATE(E130, ""en"", ""zh"")"),"#VALUE!")</f>
        <v>#VALUE!</v>
      </c>
    </row>
    <row r="131">
      <c r="A131" s="17">
        <v>130.0</v>
      </c>
      <c r="B131" s="18" t="s">
        <v>1763</v>
      </c>
      <c r="C131" s="18" t="s">
        <v>1764</v>
      </c>
      <c r="D131" s="18" t="s">
        <v>1765</v>
      </c>
      <c r="H131" s="7" t="str">
        <f>IFERROR(__xludf.DUMMYFUNCTION("GOOGLETRANSLATE(B131, ""en"", ""zh"")"),"琴子传统上是用身体的哪个部位来控制的？")</f>
        <v>琴子传统上是用身体的哪个部位来控制的？</v>
      </c>
      <c r="I131" s="7" t="str">
        <f>IFERROR(__xludf.DUMMYFUNCTION("GOOGLETRANSLATE(C131, ""en"", ""zh"")"),"A) 脚 B) 手 C) 头 D) 肩膀")</f>
        <v>A) 脚 B) 手 C) 头 D) 肩膀</v>
      </c>
      <c r="J131" s="7" t="str">
        <f>IFERROR(__xludf.DUMMYFUNCTION("GOOGLETRANSLATE(D131, ""en"", ""zh"")"),"A) 脚")</f>
        <v>A) 脚</v>
      </c>
      <c r="K131" s="7" t="str">
        <f>IFERROR(__xludf.DUMMYFUNCTION("GOOGLETRANSLATE(E131, ""en"", ""zh"")"),"#VALUE!")</f>
        <v>#VALUE!</v>
      </c>
    </row>
    <row r="132">
      <c r="A132" s="17">
        <v>131.0</v>
      </c>
      <c r="B132" s="18" t="s">
        <v>1766</v>
      </c>
      <c r="C132" s="18" t="s">
        <v>1767</v>
      </c>
      <c r="D132" s="18" t="s">
        <v>1768</v>
      </c>
      <c r="H132" s="7" t="str">
        <f>IFERROR(__xludf.DUMMYFUNCTION("GOOGLETRANSLATE(B132, ""en"", ""zh"")"),"羽毛球的哪个部分加重以稳定飞行？")</f>
        <v>羽毛球的哪个部分加重以稳定飞行？</v>
      </c>
      <c r="I132" s="7" t="str">
        <f>IFERROR(__xludf.DUMMYFUNCTION("GOOGLETRANSLATE(C132, ""en"", ""zh"")"),"A) 羽毛 B) 木质底座 C) 绳子 D) 橡胶头")</f>
        <v>A) 羽毛 B) 木质底座 C) 绳子 D) 橡胶头</v>
      </c>
      <c r="J132" s="7" t="str">
        <f>IFERROR(__xludf.DUMMYFUNCTION("GOOGLETRANSLATE(D132, ""en"", ""zh"")"),"B) 木质底座")</f>
        <v>B) 木质底座</v>
      </c>
      <c r="K132" s="7" t="str">
        <f>IFERROR(__xludf.DUMMYFUNCTION("GOOGLETRANSLATE(E132, ""en"", ""zh"")"),"#VALUE!")</f>
        <v>#VALUE!</v>
      </c>
    </row>
    <row r="133">
      <c r="A133" s="17">
        <v>132.0</v>
      </c>
      <c r="B133" s="18" t="s">
        <v>1769</v>
      </c>
      <c r="C133" s="18" t="s">
        <v>1691</v>
      </c>
      <c r="D133" s="18" t="s">
        <v>1299</v>
      </c>
      <c r="H133" s="7" t="str">
        <f>IFERROR(__xludf.DUMMYFUNCTION("GOOGLETRANSLATE(B133, ""en"", ""zh"")"),"溏心被认为是一种有益健康的运动：")</f>
        <v>溏心被认为是一种有益健康的运动：</v>
      </c>
      <c r="I133" s="7" t="str">
        <f>IFERROR(__xludf.DUMMYFUNCTION("GOOGLETRANSLATE(C133, ""en"", ""zh"")"),"A) 儿童 B) 成人 C) 士兵 D) 以上所有")</f>
        <v>A) 儿童 B) 成人 C) 士兵 D) 以上所有</v>
      </c>
      <c r="J133" s="7" t="str">
        <f>IFERROR(__xludf.DUMMYFUNCTION("GOOGLETRANSLATE(D133, ""en"", ""zh"")"),"D) 以上所有选项")</f>
        <v>D) 以上所有选项</v>
      </c>
      <c r="K133" s="7" t="str">
        <f>IFERROR(__xludf.DUMMYFUNCTION("GOOGLETRANSLATE(E133, ""en"", ""zh"")"),"#VALUE!")</f>
        <v>#VALUE!</v>
      </c>
    </row>
    <row r="134">
      <c r="A134" s="17">
        <v>133.0</v>
      </c>
      <c r="B134" s="18" t="s">
        <v>1770</v>
      </c>
      <c r="C134" s="18" t="s">
        <v>1771</v>
      </c>
      <c r="D134" s="18" t="s">
        <v>1299</v>
      </c>
      <c r="H134" s="7" t="str">
        <f>IFERROR(__xludf.DUMMYFUNCTION("GOOGLETRANSLATE(B134, ""en"", ""zh"")"),"在中国古代，练子有助于提高文人雅士体育锻炼的哪方面？")</f>
        <v>在中国古代，练子有助于提高文人雅士体育锻炼的哪方面？</v>
      </c>
      <c r="I134" s="7" t="str">
        <f>IFERROR(__xludf.DUMMYFUNCTION("GOOGLETRANSLATE(C134, ""en"", ""zh"")"),"A) 敏捷性 B) 协调性 C) 反应能力 D) 以上全部")</f>
        <v>A) 敏捷性 B) 协调性 C) 反应能力 D) 以上全部</v>
      </c>
      <c r="J134" s="7" t="str">
        <f>IFERROR(__xludf.DUMMYFUNCTION("GOOGLETRANSLATE(D134, ""en"", ""zh"")"),"D) 以上所有选项")</f>
        <v>D) 以上所有选项</v>
      </c>
      <c r="K134" s="7" t="str">
        <f>IFERROR(__xludf.DUMMYFUNCTION("GOOGLETRANSLATE(E134, ""en"", ""zh"")"),"#VALUE!")</f>
        <v>#VALUE!</v>
      </c>
    </row>
    <row r="135">
      <c r="A135" s="17">
        <v>134.0</v>
      </c>
      <c r="B135" s="18" t="s">
        <v>1772</v>
      </c>
      <c r="C135" s="18" t="s">
        <v>1158</v>
      </c>
      <c r="D135" s="18" t="s">
        <v>1147</v>
      </c>
      <c r="H135" s="7" t="str">
        <f>IFERROR(__xludf.DUMMYFUNCTION("GOOGLETRANSLATE(B135, ""en"", ""zh"")"),"哪个朝代出现了最早有组织的剑子比赛？")</f>
        <v>哪个朝代出现了最早有组织的剑子比赛？</v>
      </c>
      <c r="I135" s="7" t="str">
        <f>IFERROR(__xludf.DUMMYFUNCTION("GOOGLETRANSLATE(C135, ""en"", ""zh"")"),"A) 韩 B) 唐 C) 宋 D) 明")</f>
        <v>A) 韩 B) 唐 C) 宋 D) 明</v>
      </c>
      <c r="J135" s="7" t="str">
        <f>IFERROR(__xludf.DUMMYFUNCTION("GOOGLETRANSLATE(D135, ""en"", ""zh"")"),"B) 唐")</f>
        <v>B) 唐</v>
      </c>
      <c r="K135" s="7" t="str">
        <f>IFERROR(__xludf.DUMMYFUNCTION("GOOGLETRANSLATE(E135, ""en"", ""zh"")"),"#VALUE!")</f>
        <v>#VALUE!</v>
      </c>
    </row>
    <row r="136">
      <c r="A136" s="17">
        <v>135.0</v>
      </c>
      <c r="B136" s="18" t="s">
        <v>1773</v>
      </c>
      <c r="C136" s="18" t="s">
        <v>1774</v>
      </c>
      <c r="D136" s="18" t="s">
        <v>1775</v>
      </c>
      <c r="H136" s="7" t="str">
        <f>IFERROR(__xludf.DUMMYFUNCTION("GOOGLETRANSLATE(B136, ""en"", ""zh"")"),"栉子是在哪个历史时期传入朝鲜半岛的？")</f>
        <v>栉子是在哪个历史时期传入朝鲜半岛的？</v>
      </c>
      <c r="I136" s="7" t="str">
        <f>IFERROR(__xludf.DUMMYFUNCTION("GOOGLETRANSLATE(C136, ""en"", ""zh"")"),"A) 高丽王朝 B) 朝鲜王朝 C) 三国时期 D) 新罗")</f>
        <v>A) 高丽王朝 B) 朝鲜王朝 C) 三国时期 D) 新罗</v>
      </c>
      <c r="J136" s="7" t="str">
        <f>IFERROR(__xludf.DUMMYFUNCTION("GOOGLETRANSLATE(D136, ""en"", ""zh"")"),"C) 三国演义")</f>
        <v>C) 三国演义</v>
      </c>
      <c r="K136" s="7" t="str">
        <f>IFERROR(__xludf.DUMMYFUNCTION("GOOGLETRANSLATE(E136, ""en"", ""zh"")"),"#VALUE!")</f>
        <v>#VALUE!</v>
      </c>
    </row>
    <row r="137">
      <c r="A137" s="6">
        <v>136.0</v>
      </c>
      <c r="B137" s="18" t="s">
        <v>1776</v>
      </c>
      <c r="C137" s="18" t="s">
        <v>1777</v>
      </c>
      <c r="D137" s="18" t="s">
        <v>1778</v>
      </c>
      <c r="H137" s="7" t="str">
        <f>IFERROR(__xludf.DUMMYFUNCTION("GOOGLETRANSLATE(B137, ""en"", ""zh"")"),"在越南，传统的毽子游戏被用来训练：")</f>
        <v>在越南，传统的毽子游戏被用来训练：</v>
      </c>
      <c r="I137" s="7" t="str">
        <f>IFERROR(__xludf.DUMMYFUNCTION("GOOGLETRANSLATE(C137, ""en"", ""zh"")"),"A) 武术技能 B) 步法协调性 C) 团队合作 D) B 和 C 均正确")</f>
        <v>A) 武术技能 B) 步法协调性 C) 团队合作 D) B 和 C 均正确</v>
      </c>
      <c r="J137" s="7" t="str">
        <f>IFERROR(__xludf.DUMMYFUNCTION("GOOGLETRANSLATE(D137, ""en"", ""zh"")"),"D) B 和 C 都对")</f>
        <v>D) B 和 C 都对</v>
      </c>
      <c r="K137" s="7" t="str">
        <f>IFERROR(__xludf.DUMMYFUNCTION("GOOGLETRANSLATE(E137, ""en"", ""zh"")"),"#VALUE!")</f>
        <v>#VALUE!</v>
      </c>
    </row>
    <row r="138">
      <c r="A138" s="6">
        <v>137.0</v>
      </c>
      <c r="B138" s="18" t="s">
        <v>1779</v>
      </c>
      <c r="C138" s="18" t="s">
        <v>1780</v>
      </c>
      <c r="D138" s="18" t="s">
        <v>1299</v>
      </c>
      <c r="H138" s="7" t="str">
        <f>IFERROR(__xludf.DUMMYFUNCTION("GOOGLETRANSLATE(B138, ""en"", ""zh"")"),"现代竞争性建子强调：")</f>
        <v>现代竞争性建子强调：</v>
      </c>
      <c r="I138" s="7" t="str">
        <f>IFERROR(__xludf.DUMMYFUNCTION("GOOGLETRANSLATE(C138, ""en"", ""zh"")"),"A) 踢球次数 B) 准确度 C) 风格和难度 D) 以上所有选项")</f>
        <v>A) 踢球次数 B) 准确度 C) 风格和难度 D) 以上所有选项</v>
      </c>
      <c r="J138" s="7" t="str">
        <f>IFERROR(__xludf.DUMMYFUNCTION("GOOGLETRANSLATE(D138, ""en"", ""zh"")"),"D) 以上所有选项")</f>
        <v>D) 以上所有选项</v>
      </c>
      <c r="K138" s="7" t="str">
        <f>IFERROR(__xludf.DUMMYFUNCTION("GOOGLETRANSLATE(E138, ""en"", ""zh"")"),"#VALUE!")</f>
        <v>#VALUE!</v>
      </c>
    </row>
    <row r="139">
      <c r="A139" s="6">
        <v>138.0</v>
      </c>
      <c r="B139" s="18" t="s">
        <v>1781</v>
      </c>
      <c r="C139" s="18" t="s">
        <v>1782</v>
      </c>
      <c r="D139" s="18" t="s">
        <v>1705</v>
      </c>
      <c r="H139" s="7" t="str">
        <f>IFERROR(__xludf.DUMMYFUNCTION("GOOGLETRANSLATE(B139, ""en"", ""zh"")"),"哪个国际组织管理竞争性建子？")</f>
        <v>哪个国际组织管理竞争性建子？</v>
      </c>
      <c r="I139" s="7" t="str">
        <f>IFERROR(__xludf.DUMMYFUNCTION("GOOGLETRANSLATE(C139, ""en"", ""zh"")"),"A) 国际羽毛球联合会 B) 国际足联 C) 奥林匹克委员会 D) 亚洲体育联盟")</f>
        <v>A) 国际羽毛球联合会 B) 国际足联 C) 奥林匹克委员会 D) 亚洲体育联盟</v>
      </c>
      <c r="J139" s="7" t="str">
        <f>IFERROR(__xludf.DUMMYFUNCTION("GOOGLETRANSLATE(D139, ""en"", ""zh"")"),"A) 国际羽毛球联合会")</f>
        <v>A) 国际羽毛球联合会</v>
      </c>
      <c r="K139" s="7" t="str">
        <f>IFERROR(__xludf.DUMMYFUNCTION("GOOGLETRANSLATE(E139, ""en"", ""zh"")"),"#VALUE!")</f>
        <v>#VALUE!</v>
      </c>
    </row>
    <row r="140">
      <c r="A140" s="6">
        <v>139.0</v>
      </c>
      <c r="B140" s="18" t="s">
        <v>1783</v>
      </c>
      <c r="C140" s="18" t="s">
        <v>1784</v>
      </c>
      <c r="D140" s="18" t="s">
        <v>1299</v>
      </c>
      <c r="H140" s="7" t="str">
        <f>IFERROR(__xludf.DUMMYFUNCTION("GOOGLETRANSLATE(B140, ""en"", ""zh"")"),"建子被认为是一种传授何种文化价值的工具？")</f>
        <v>建子被认为是一种传授何种文化价值的工具？</v>
      </c>
      <c r="I140" s="7" t="str">
        <f>IFERROR(__xludf.DUMMYFUNCTION("GOOGLETRANSLATE(C140, ""en"", ""zh"")"),"A) 耐心 B) 自律 C) 专注力 D) 以上全部")</f>
        <v>A) 耐心 B) 自律 C) 专注力 D) 以上全部</v>
      </c>
      <c r="J140" s="7" t="str">
        <f>IFERROR(__xludf.DUMMYFUNCTION("GOOGLETRANSLATE(D140, ""en"", ""zh"")"),"D) 以上所有选项")</f>
        <v>D) 以上所有选项</v>
      </c>
      <c r="K140" s="7" t="str">
        <f>IFERROR(__xludf.DUMMYFUNCTION("GOOGLETRANSLATE(E140, ""en"", ""zh"")"),"#VALUE!")</f>
        <v>#VALUE!</v>
      </c>
    </row>
    <row r="141">
      <c r="A141" s="6">
        <v>140.0</v>
      </c>
      <c r="B141" s="18" t="s">
        <v>1785</v>
      </c>
      <c r="C141" s="18" t="s">
        <v>1786</v>
      </c>
      <c r="D141" s="18" t="s">
        <v>1787</v>
      </c>
      <c r="H141" s="7" t="str">
        <f>IFERROR(__xludf.DUMMYFUNCTION("GOOGLETRANSLATE(B141, ""en"", ""zh"")"),"现代煎子与传统煎子有何区别？")</f>
        <v>现代煎子与传统煎子有何区别？</v>
      </c>
      <c r="I141" s="7" t="str">
        <f>IFERROR(__xludf.DUMMYFUNCTION("GOOGLETRANSLATE(C141, ""en"", ""zh"")"),"A) 材质 B) 尺寸 C) 羽毛排列 D) 比赛表面")</f>
        <v>A) 材质 B) 尺寸 C) 羽毛排列 D) 比赛表面</v>
      </c>
      <c r="J141" s="7" t="str">
        <f>IFERROR(__xludf.DUMMYFUNCTION("GOOGLETRANSLATE(D141, ""en"", ""zh"")"),"A) 材料")</f>
        <v>A) 材料</v>
      </c>
      <c r="K141" s="7" t="str">
        <f>IFERROR(__xludf.DUMMYFUNCTION("GOOGLETRANSLATE(E141, ""en"", ""zh"")"),"#VALUE!")</f>
        <v>#VALUE!</v>
      </c>
    </row>
    <row r="142">
      <c r="A142" s="6">
        <v>141.0</v>
      </c>
      <c r="B142" s="18" t="s">
        <v>1788</v>
      </c>
      <c r="C142" s="18" t="s">
        <v>1789</v>
      </c>
      <c r="D142" s="18" t="s">
        <v>1790</v>
      </c>
      <c r="H142" s="7" t="str">
        <f>IFERROR(__xludf.DUMMYFUNCTION("GOOGLETRANSLATE(B142, ""en"", ""zh"")"),"哪部中文文献提到“剑子”是军事训练演习？")</f>
        <v>哪部中文文献提到“剑子”是军事训练演习？</v>
      </c>
      <c r="I142" s="7" t="str">
        <f>IFERROR(__xludf.DUMMYFUNCTION("GOOGLETRANSLATE(C142, ""en"", ""zh"")"),"A)《韩书》 B)《左传》 C)《礼记》 D)《论语》")</f>
        <v>A)《韩书》 B)《左传》 C)《礼记》 D)《论语》</v>
      </c>
      <c r="J142" s="7" t="str">
        <f>IFERROR(__xludf.DUMMYFUNCTION("GOOGLETRANSLATE(D142, ""en"", ""zh"")"),"A) 汉书")</f>
        <v>A) 汉书</v>
      </c>
      <c r="K142" s="7" t="str">
        <f>IFERROR(__xludf.DUMMYFUNCTION("GOOGLETRANSLATE(E142, ""en"", ""zh"")"),"#VALUE!")</f>
        <v>#VALUE!</v>
      </c>
    </row>
    <row r="143">
      <c r="A143" s="6">
        <v>142.0</v>
      </c>
      <c r="B143" s="18" t="s">
        <v>1791</v>
      </c>
      <c r="C143" s="18" t="s">
        <v>1792</v>
      </c>
      <c r="D143" s="18" t="s">
        <v>1299</v>
      </c>
      <c r="H143" s="7" t="str">
        <f>IFERROR(__xludf.DUMMYFUNCTION("GOOGLETRANSLATE(B143, ""en"", ""zh"")"),"在现代剑式比赛中，什么才算得分错误？")</f>
        <v>在现代剑式比赛中，什么才算得分错误？</v>
      </c>
      <c r="I143" s="7" t="str">
        <f>IFERROR(__xludf.DUMMYFUNCTION("GOOGLETRANSLATE(C143, ""en"", ""zh"")"),"A) 羽毛球掉落 B) 踢出界外 C) 用手 D) 以上所有选项")</f>
        <v>A) 羽毛球掉落 B) 踢出界外 C) 用手 D) 以上所有选项</v>
      </c>
      <c r="J143" s="7" t="str">
        <f>IFERROR(__xludf.DUMMYFUNCTION("GOOGLETRANSLATE(D143, ""en"", ""zh"")"),"D) 以上所有选项")</f>
        <v>D) 以上所有选项</v>
      </c>
      <c r="K143" s="7" t="str">
        <f>IFERROR(__xludf.DUMMYFUNCTION("GOOGLETRANSLATE(E143, ""en"", ""zh"")"),"#VALUE!")</f>
        <v>#VALUE!</v>
      </c>
    </row>
    <row r="144">
      <c r="A144" s="6">
        <v>143.0</v>
      </c>
      <c r="B144" s="18" t="s">
        <v>1793</v>
      </c>
      <c r="C144" s="18" t="s">
        <v>1794</v>
      </c>
      <c r="D144" s="18" t="s">
        <v>1795</v>
      </c>
      <c r="H144" s="7" t="str">
        <f>IFERROR(__xludf.DUMMYFUNCTION("GOOGLETRANSLATE(B144, ""en"", ""zh"")"),"传统剑子有时会包含围成一圈有多少名玩家的内容？")</f>
        <v>传统剑子有时会包含围成一圈有多少名玩家的内容？</v>
      </c>
      <c r="I144" s="7" t="str">
        <f>IFERROR(__xludf.DUMMYFUNCTION("GOOGLETRANSLATE(C144, ""en"", ""zh"")"),"A) 3-6 B) 4-8 C) 5-10 D) 2-4")</f>
        <v>A) 3-6 B) 4-8 C) 5-10 D) 2-4</v>
      </c>
      <c r="J144" s="7" t="str">
        <f>IFERROR(__xludf.DUMMYFUNCTION("GOOGLETRANSLATE(D144, ""en"", ""zh"")"),"B) 4-8")</f>
        <v>B) 4-8</v>
      </c>
      <c r="K144" s="7" t="str">
        <f>IFERROR(__xludf.DUMMYFUNCTION("GOOGLETRANSLATE(E144, ""en"", ""zh"")"),"#VALUE!")</f>
        <v>#VALUE!</v>
      </c>
    </row>
    <row r="145">
      <c r="A145" s="6">
        <v>144.0</v>
      </c>
      <c r="B145" s="18" t="s">
        <v>1796</v>
      </c>
      <c r="C145" s="18" t="s">
        <v>1797</v>
      </c>
      <c r="D145" s="18" t="s">
        <v>1299</v>
      </c>
      <c r="H145" s="7" t="str">
        <f>IFERROR(__xludf.DUMMYFUNCTION("GOOGLETRANSLATE(B145, ""en"", ""zh"")"),"自由式剑子最能提升哪项技能？")</f>
        <v>自由式剑子最能提升哪项技能？</v>
      </c>
      <c r="I145" s="7" t="str">
        <f>IFERROR(__xludf.DUMMYFUNCTION("GOOGLETRANSLATE(C145, ""en"", ""zh"")"),"A) 创造力 B) 敏捷性 C) 协调性 D) 以上全部")</f>
        <v>A) 创造力 B) 敏捷性 C) 协调性 D) 以上全部</v>
      </c>
      <c r="J145" s="7" t="str">
        <f>IFERROR(__xludf.DUMMYFUNCTION("GOOGLETRANSLATE(D145, ""en"", ""zh"")"),"D) 以上所有选项")</f>
        <v>D) 以上所有选项</v>
      </c>
      <c r="K145" s="7" t="str">
        <f>IFERROR(__xludf.DUMMYFUNCTION("GOOGLETRANSLATE(E145, ""en"", ""zh"")"),"#VALUE!")</f>
        <v>#VALUE!</v>
      </c>
    </row>
    <row r="146">
      <c r="A146" s="6">
        <v>145.0</v>
      </c>
      <c r="B146" s="18" t="s">
        <v>1798</v>
      </c>
      <c r="C146" s="18" t="s">
        <v>1799</v>
      </c>
      <c r="D146" s="18" t="s">
        <v>1800</v>
      </c>
      <c r="H146" s="7" t="str">
        <f>IFERROR(__xludf.DUMMYFUNCTION("GOOGLETRANSLATE(B146, ""en"", ""zh"")"),"如今，简子通常被纳入哪种类型的学校课程中？")</f>
        <v>如今，简子通常被纳入哪种类型的学校课程中？</v>
      </c>
      <c r="I146" s="7" t="str">
        <f>IFERROR(__xludf.DUMMYFUNCTION("GOOGLETRANSLATE(C146, ""en"", ""zh"")"),"A) 体育课 B) 音乐课 C) 语言课 D) 美术课")</f>
        <v>A) 体育课 B) 音乐课 C) 语言课 D) 美术课</v>
      </c>
      <c r="J146" s="7" t="str">
        <f>IFERROR(__xludf.DUMMYFUNCTION("GOOGLETRANSLATE(D146, ""en"", ""zh"")"),"A) 体育")</f>
        <v>A) 体育</v>
      </c>
      <c r="K146" s="7" t="str">
        <f>IFERROR(__xludf.DUMMYFUNCTION("GOOGLETRANSLATE(E146, ""en"", ""zh"")"),"#VALUE!")</f>
        <v>#VALUE!</v>
      </c>
    </row>
    <row r="147">
      <c r="A147" s="4"/>
    </row>
    <row r="148">
      <c r="A148" s="4"/>
    </row>
    <row r="149">
      <c r="A149" s="4"/>
    </row>
    <row r="150">
      <c r="A150" s="4"/>
    </row>
    <row r="151">
      <c r="A151" s="4"/>
    </row>
    <row r="152">
      <c r="A152" s="4"/>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12.75"/>
    <col customWidth="1" min="10" max="10" width="12.75"/>
  </cols>
  <sheetData>
    <row r="1">
      <c r="A1" s="1" t="s">
        <v>0</v>
      </c>
      <c r="B1" s="1" t="s">
        <v>1</v>
      </c>
      <c r="C1" s="1" t="s">
        <v>2</v>
      </c>
      <c r="D1" s="1" t="s">
        <v>3</v>
      </c>
      <c r="E1" s="1" t="s">
        <v>4</v>
      </c>
      <c r="F1" s="2"/>
      <c r="G1" s="2"/>
      <c r="H1" s="4"/>
      <c r="I1" s="1" t="s">
        <v>5</v>
      </c>
      <c r="J1" s="1" t="s">
        <v>6</v>
      </c>
      <c r="K1" s="1" t="s">
        <v>7</v>
      </c>
      <c r="L1" s="1" t="s">
        <v>4</v>
      </c>
      <c r="M1" s="4"/>
      <c r="N1" s="4"/>
      <c r="O1" s="4"/>
      <c r="P1" s="4"/>
    </row>
    <row r="2">
      <c r="A2" s="5">
        <v>1.0</v>
      </c>
      <c r="B2" s="6" t="s">
        <v>1801</v>
      </c>
      <c r="C2" s="6" t="s">
        <v>1802</v>
      </c>
      <c r="D2" s="6" t="s">
        <v>1803</v>
      </c>
      <c r="E2" s="6" t="s">
        <v>1804</v>
      </c>
      <c r="F2" s="2"/>
      <c r="G2" s="2"/>
      <c r="H2" s="25"/>
      <c r="I2" s="6" t="str">
        <f>IFERROR(__xludf.DUMMYFUNCTION("GOOGLETRANSLATE(B2, ""en"", ""zh"")"),"谁被认为是功夫的传奇创始人？")</f>
        <v>谁被认为是功夫的传奇创始人？</v>
      </c>
      <c r="J2" s="6" t="str">
        <f>IFERROR(__xludf.DUMMYFUNCTION("GOOGLETRANSLATE(C2, ""en"", ""zh"")"),"A) 李小龙，B) 菩提达摩，C) 叶问，D) 成龙")</f>
        <v>A) 李小龙，B) 菩提达摩，C) 叶问，D) 成龙</v>
      </c>
      <c r="K2" s="6" t="str">
        <f>IFERROR(__xludf.DUMMYFUNCTION("GOOGLETRANSLATE(D2, ""en"", ""zh"")"),"B) 菩提达摩")</f>
        <v>B) 菩提达摩</v>
      </c>
      <c r="L2" s="6" t="str">
        <f>IFERROR(__xludf.DUMMYFUNCTION("GOOGLETRANSLATE(E2, ""en"", ""zh"")"),"菩提达摩被认为是将功夫的基本概念从印度带到中国的人。")</f>
        <v>菩提达摩被认为是将功夫的基本概念从印度带到中国的人。</v>
      </c>
      <c r="M2" s="4"/>
      <c r="N2" s="4"/>
      <c r="O2" s="4"/>
      <c r="P2" s="4"/>
    </row>
    <row r="3">
      <c r="A3" s="5">
        <v>2.0</v>
      </c>
      <c r="B3" s="6" t="s">
        <v>1805</v>
      </c>
      <c r="C3" s="6" t="s">
        <v>1806</v>
      </c>
      <c r="D3" s="6" t="s">
        <v>1807</v>
      </c>
      <c r="E3" s="6" t="s">
        <v>1808</v>
      </c>
      <c r="F3" s="2"/>
      <c r="G3" s="2"/>
      <c r="H3" s="25"/>
      <c r="I3" s="6" t="str">
        <f>IFERROR(__xludf.DUMMYFUNCTION("GOOGLETRANSLATE(B3, ""en"", ""zh"")"),"影响中国功夫的古代中国武术典籍是什么？")</f>
        <v>影响中国功夫的古代中国武术典籍是什么？</v>
      </c>
      <c r="J3" s="6" t="str">
        <f>IFERROR(__xludf.DUMMYFUNCTION("GOOGLETRANSLATE(C3, ""en"", ""zh"")"),"A)《道德经》；B)《五轮书》；C)《淮南经》；D)《武术圣经》")</f>
        <v>A)《道德经》；B)《五轮书》；C)《淮南经》；D)《武术圣经》</v>
      </c>
      <c r="K3" s="6" t="str">
        <f>IFERROR(__xludf.DUMMYFUNCTION("GOOGLETRANSLATE(D3, ""en"", ""zh"")"),"C)《淮南经》")</f>
        <v>C)《淮南经》</v>
      </c>
      <c r="L3" s="6" t="str">
        <f>IFERROR(__xludf.DUMMYFUNCTION("GOOGLETRANSLATE(E3, ""en"", ""zh"")"),"这部古代典籍对中国武术的发展产生了影响，包括功夫。")</f>
        <v>这部古代典籍对中国武术的发展产生了影响，包括功夫。</v>
      </c>
      <c r="M3" s="4"/>
      <c r="N3" s="4"/>
      <c r="O3" s="4"/>
      <c r="P3" s="4"/>
    </row>
    <row r="4">
      <c r="A4" s="5">
        <v>3.0</v>
      </c>
      <c r="B4" s="6" t="s">
        <v>1809</v>
      </c>
      <c r="C4" s="6" t="s">
        <v>1810</v>
      </c>
      <c r="D4" s="6" t="s">
        <v>46</v>
      </c>
      <c r="E4" s="6" t="s">
        <v>1811</v>
      </c>
      <c r="F4" s="2"/>
      <c r="G4" s="2"/>
      <c r="H4" s="25"/>
      <c r="I4" s="6" t="str">
        <f>IFERROR(__xludf.DUMMYFUNCTION("GOOGLETRANSLATE(B4, ""en"", ""zh"")"),"哪位皇帝因推动中国武术发展而闻名？")</f>
        <v>哪位皇帝因推动中国武术发展而闻名？</v>
      </c>
      <c r="J4" s="6" t="str">
        <f>IFERROR(__xludf.DUMMYFUNCTION("GOOGLETRANSLATE(C4, ""en"", ""zh"")"),"A) 秦始皇，B) 唐太宗，C) 汉武帝，D) 康熙皇帝")</f>
        <v>A) 秦始皇，B) 唐太宗，C) 汉武帝，D) 康熙皇帝</v>
      </c>
      <c r="K4" s="6" t="str">
        <f>IFERROR(__xludf.DUMMYFUNCTION("GOOGLETRANSLATE(D4, ""en"", ""zh"")"),"C) 汉武帝")</f>
        <v>C) 汉武帝</v>
      </c>
      <c r="L4" s="6" t="str">
        <f>IFERROR(__xludf.DUMMYFUNCTION("GOOGLETRANSLATE(E4, ""en"", ""zh"")"),"汉武帝在其统治时期大力推广武术。")</f>
        <v>汉武帝在其统治时期大力推广武术。</v>
      </c>
      <c r="M4" s="4"/>
      <c r="N4" s="2"/>
      <c r="O4" s="4"/>
      <c r="P4" s="2"/>
    </row>
    <row r="5">
      <c r="A5" s="5">
        <v>4.0</v>
      </c>
      <c r="B5" s="6" t="s">
        <v>1812</v>
      </c>
      <c r="C5" s="6" t="s">
        <v>1813</v>
      </c>
      <c r="D5" s="6" t="s">
        <v>1814</v>
      </c>
      <c r="E5" s="6" t="s">
        <v>1815</v>
      </c>
      <c r="F5" s="2"/>
      <c r="G5" s="2"/>
      <c r="H5" s="25"/>
      <c r="I5" s="6" t="str">
        <f>IFERROR(__xludf.DUMMYFUNCTION("GOOGLETRANSLATE(B5, ""en"", ""zh"")"),"哪位少林僧人因创立少林功夫而闻名？")</f>
        <v>哪位少林僧人因创立少林功夫而闻名？</v>
      </c>
      <c r="J5" s="6" t="str">
        <f>IFERROR(__xludf.DUMMYFUNCTION("GOOGLETRANSLATE(C5, ""en"", ""zh"")"),"A) 玄奘，B) 张师父，C) 杜尚，D) 白宇")</f>
        <v>A) 玄奘，B) 张师父，C) 杜尚，D) 白宇</v>
      </c>
      <c r="K5" s="6" t="str">
        <f>IFERROR(__xludf.DUMMYFUNCTION("GOOGLETRANSLATE(D5, ""en"", ""zh"")"),"B) 张师傅")</f>
        <v>B) 张师傅</v>
      </c>
      <c r="L5" s="6" t="str">
        <f>IFERROR(__xludf.DUMMYFUNCTION("GOOGLETRANSLATE(E5, ""en"", ""zh"")"),"张师傅被认为是少林功夫的创始人和发展者。")</f>
        <v>张师傅被认为是少林功夫的创始人和发展者。</v>
      </c>
      <c r="M5" s="4"/>
      <c r="N5" s="2"/>
      <c r="O5" s="4"/>
      <c r="P5" s="2"/>
    </row>
    <row r="6">
      <c r="A6" s="5">
        <v>5.0</v>
      </c>
      <c r="B6" s="6" t="s">
        <v>1816</v>
      </c>
      <c r="C6" s="6" t="s">
        <v>1817</v>
      </c>
      <c r="D6" s="6" t="s">
        <v>1818</v>
      </c>
      <c r="E6" s="6" t="s">
        <v>1819</v>
      </c>
      <c r="F6" s="2"/>
      <c r="G6" s="2"/>
      <c r="H6" s="25"/>
      <c r="I6" s="6" t="str">
        <f>IFERROR(__xludf.DUMMYFUNCTION("GOOGLETRANSLATE(B6, ""en"", ""zh"")"),"20世纪70年代，有一位著名的功夫电影明星将武术推广到全世界，他的名字是什么？")</f>
        <v>20世纪70年代，有一位著名的功夫电影明星将武术推广到全世界，他的名字是什么？</v>
      </c>
      <c r="J6" s="6" t="str">
        <f>IFERROR(__xludf.DUMMYFUNCTION("GOOGLETRANSLATE(C6, ""en"", ""zh"")"),"A) 查克·诺里斯，B) 李小龙，C) 李连杰，D) 成龙")</f>
        <v>A) 查克·诺里斯，B) 李小龙，C) 李连杰，D) 成龙</v>
      </c>
      <c r="K6" s="6" t="str">
        <f>IFERROR(__xludf.DUMMYFUNCTION("GOOGLETRANSLATE(D6, ""en"", ""zh"")"),"B) 李小龙")</f>
        <v>B) 李小龙</v>
      </c>
      <c r="L6" s="6" t="str">
        <f>IFERROR(__xludf.DUMMYFUNCTION("GOOGLETRANSLATE(E6, ""en"", ""zh"")"),"李小龙凭借其标志性的电影和理念，将功夫带给了全世界的关注。")</f>
        <v>李小龙凭借其标志性的电影和理念，将功夫带给了全世界的关注。</v>
      </c>
      <c r="M6" s="4"/>
      <c r="N6" s="2"/>
      <c r="O6" s="4"/>
      <c r="P6" s="4"/>
    </row>
    <row r="7">
      <c r="A7" s="5">
        <v>6.0</v>
      </c>
      <c r="B7" s="6" t="s">
        <v>1820</v>
      </c>
      <c r="C7" s="6" t="s">
        <v>1821</v>
      </c>
      <c r="D7" s="6" t="s">
        <v>1822</v>
      </c>
      <c r="E7" s="6" t="s">
        <v>1823</v>
      </c>
      <c r="F7" s="2"/>
      <c r="G7" s="2"/>
      <c r="H7" s="25"/>
      <c r="I7" s="6" t="str">
        <f>IFERROR(__xludf.DUMMYFUNCTION("GOOGLETRANSLATE(B7, ""en"", ""zh"")"),"哪部中国古代典籍对功夫产生了重要的哲学影响？")</f>
        <v>哪部中国古代典籍对功夫产生了重要的哲学影响？</v>
      </c>
      <c r="J7" s="6" t="str">
        <f>IFERROR(__xludf.DUMMYFUNCTION("GOOGLETRANSLATE(C7, ""en"", ""zh"")"),"A)《论语》 B)《道德经》 C)《易经》 D)《孙子兵法》")</f>
        <v>A)《论语》 B)《道德经》 C)《易经》 D)《孙子兵法》</v>
      </c>
      <c r="K7" s="6" t="str">
        <f>IFERROR(__xludf.DUMMYFUNCTION("GOOGLETRANSLATE(D7, ""en"", ""zh"")"),"B)《道德经》")</f>
        <v>B)《道德经》</v>
      </c>
      <c r="L7" s="6" t="str">
        <f>IFERROR(__xludf.DUMMYFUNCTION("GOOGLETRANSLATE(E7, ""en"", ""zh"")"),"老子所著的《道德经》奠定了功夫许多原则的基础。")</f>
        <v>老子所著的《道德经》奠定了功夫许多原则的基础。</v>
      </c>
      <c r="M7" s="4"/>
      <c r="N7" s="2"/>
      <c r="O7" s="4"/>
      <c r="P7" s="4"/>
    </row>
    <row r="8">
      <c r="A8" s="5">
        <v>7.0</v>
      </c>
      <c r="B8" s="6" t="s">
        <v>1824</v>
      </c>
      <c r="C8" s="6" t="s">
        <v>1825</v>
      </c>
      <c r="D8" s="6" t="s">
        <v>1486</v>
      </c>
      <c r="E8" s="6" t="s">
        <v>1826</v>
      </c>
      <c r="F8" s="2"/>
      <c r="G8" s="2"/>
      <c r="H8" s="25"/>
      <c r="I8" s="6" t="str">
        <f>IFERROR(__xludf.DUMMYFUNCTION("GOOGLETRANSLATE(B8, ""en"", ""zh"")"),"是哪件历史事件促成了功夫传播到世界各地？")</f>
        <v>是哪件历史事件促成了功夫传播到世界各地？</v>
      </c>
      <c r="J8" s="6" t="str">
        <f>IFERROR(__xludf.DUMMYFUNCTION("GOOGLETRANSLATE(C8, ""en"", ""zh"")"),"A) 丝绸之路贸易，B) 义和团运动，C) 唐朝，D) 鸦片战争")</f>
        <v>A) 丝绸之路贸易，B) 义和团运动，C) 唐朝，D) 鸦片战争</v>
      </c>
      <c r="K8" s="6" t="str">
        <f>IFERROR(__xludf.DUMMYFUNCTION("GOOGLETRANSLATE(D8, ""en"", ""zh"")"),"A) 丝绸之路贸易")</f>
        <v>A) 丝绸之路贸易</v>
      </c>
      <c r="L8" s="6" t="str">
        <f>IFERROR(__xludf.DUMMYFUNCTION("GOOGLETRANSLATE(E8, ""en"", ""zh"")"),"丝绸之路促进了东西方文化的交流，包括武术的交流。")</f>
        <v>丝绸之路促进了东西方文化的交流，包括武术的交流。</v>
      </c>
      <c r="M8" s="4"/>
      <c r="N8" s="4"/>
      <c r="O8" s="4"/>
      <c r="P8" s="2"/>
    </row>
    <row r="9">
      <c r="A9" s="5">
        <v>8.0</v>
      </c>
      <c r="B9" s="6" t="s">
        <v>1827</v>
      </c>
      <c r="C9" s="6" t="s">
        <v>1828</v>
      </c>
      <c r="D9" s="6" t="s">
        <v>1829</v>
      </c>
      <c r="E9" s="6" t="s">
        <v>1830</v>
      </c>
      <c r="F9" s="2"/>
      <c r="G9" s="2"/>
      <c r="H9" s="25"/>
      <c r="I9" s="6" t="str">
        <f>IFERROR(__xludf.DUMMYFUNCTION("GOOGLETRANSLATE(B9, ""en"", ""zh"")"),"传统功夫哲学以追求和谐与平衡为基础，其核心思想是什么？")</f>
        <v>传统功夫哲学以追求和谐与平衡为基础，其核心思想是什么？</v>
      </c>
      <c r="J9" s="6" t="str">
        <f>IFERROR(__xludf.DUMMYFUNCTION("GOOGLETRANSLATE(C9, ""en"", ""zh"")"),"A) 气功，B) 无为，C) 阴阳，D) 站桩")</f>
        <v>A) 气功，B) 无为，C) 阴阳，D) 站桩</v>
      </c>
      <c r="K9" s="6" t="str">
        <f>IFERROR(__xludf.DUMMYFUNCTION("GOOGLETRANSLATE(D9, ""en"", ""zh"")"),"C) 阴阳")</f>
        <v>C) 阴阳</v>
      </c>
      <c r="L9" s="6" t="str">
        <f>IFERROR(__xludf.DUMMYFUNCTION("GOOGLETRANSLATE(E9, ""en"", ""zh"")"),"阴阳代表着对立面的平衡，这是功夫哲学中的一个关键概念。")</f>
        <v>阴阳代表着对立面的平衡，这是功夫哲学中的一个关键概念。</v>
      </c>
      <c r="M9" s="4"/>
      <c r="N9" s="2"/>
      <c r="O9" s="4"/>
      <c r="P9" s="4"/>
    </row>
    <row r="10">
      <c r="A10" s="5">
        <v>9.0</v>
      </c>
      <c r="B10" s="6" t="s">
        <v>1831</v>
      </c>
      <c r="C10" s="6" t="s">
        <v>1832</v>
      </c>
      <c r="D10" s="6" t="s">
        <v>1833</v>
      </c>
      <c r="E10" s="6" t="s">
        <v>1834</v>
      </c>
      <c r="F10" s="2"/>
      <c r="G10" s="2"/>
      <c r="H10" s="25"/>
      <c r="I10" s="6" t="str">
        <f>IFERROR(__xludf.DUMMYFUNCTION("GOOGLETRANSLATE(B10, ""en"", ""zh"")"),"咏春拳的创始人是哪位著名的功夫大师？")</f>
        <v>咏春拳的创始人是哪位著名的功夫大师？</v>
      </c>
      <c r="J10" s="6" t="str">
        <f>IFERROR(__xludf.DUMMYFUNCTION("GOOGLETRANSLATE(C10, ""en"", ""zh"")"),"A) 叶问，B) 黄飞鸿，C) 李小龙，D) 陈氏村")</f>
        <v>A) 叶问，B) 黄飞鸿，C) 李小龙，D) 陈氏村</v>
      </c>
      <c r="K10" s="6" t="str">
        <f>IFERROR(__xludf.DUMMYFUNCTION("GOOGLETRANSLATE(D10, ""en"", ""zh"")"),"A) 叶问")</f>
        <v>A) 叶问</v>
      </c>
      <c r="L10" s="6" t="str">
        <f>IFERROR(__xludf.DUMMYFUNCTION("GOOGLETRANSLATE(E10, ""en"", ""zh"")"),"叶问是咏春拳的创始人和推广者，是一位传奇的武术大师。")</f>
        <v>叶问是咏春拳的创始人和推广者，是一位传奇的武术大师。</v>
      </c>
      <c r="M10" s="4"/>
      <c r="N10" s="2"/>
      <c r="O10" s="4"/>
      <c r="P10" s="2"/>
    </row>
    <row r="11">
      <c r="A11" s="5">
        <v>10.0</v>
      </c>
      <c r="B11" s="6" t="s">
        <v>1835</v>
      </c>
      <c r="C11" s="6" t="s">
        <v>1836</v>
      </c>
      <c r="D11" s="6" t="s">
        <v>1837</v>
      </c>
      <c r="E11" s="6" t="s">
        <v>1838</v>
      </c>
      <c r="F11" s="2"/>
      <c r="G11" s="2"/>
      <c r="H11" s="25"/>
      <c r="I11" s="6" t="str">
        <f>IFERROR(__xludf.DUMMYFUNCTION("GOOGLETRANSLATE(B11, ""en"", ""zh"")"),"传统功夫训练中通常会融入哪些动物招式？")</f>
        <v>传统功夫训练中通常会融入哪些动物招式？</v>
      </c>
      <c r="J11" s="6" t="str">
        <f>IFERROR(__xludf.DUMMYFUNCTION("GOOGLETRANSLATE(C11, ""en"", ""zh"")"),"A) 狮子、鹤、老虎、蛇、龙；B) 熊、狼、象；C) 鹰、狐狸、豹；D) 猴子、马、狼")</f>
        <v>A) 狮子、鹤、老虎、蛇、龙；B) 熊、狼、象；C) 鹰、狐狸、豹；D) 猴子、马、狼</v>
      </c>
      <c r="K11" s="6" t="str">
        <f>IFERROR(__xludf.DUMMYFUNCTION("GOOGLETRANSLATE(D11, ""en"", ""zh"")"),"A) 狮子、鹤、老虎、蛇和龙")</f>
        <v>A) 狮子、鹤、老虎、蛇和龙</v>
      </c>
      <c r="L11" s="6" t="str">
        <f>IFERROR(__xludf.DUMMYFUNCTION("GOOGLETRANSLATE(E11, ""en"", ""zh"")"),"这些动物造型在功夫中至关重要，每一种都代表着不同的特点和战斗技巧。")</f>
        <v>这些动物造型在功夫中至关重要，每一种都代表着不同的特点和战斗技巧。</v>
      </c>
      <c r="M11" s="4"/>
      <c r="N11" s="4"/>
      <c r="O11" s="4"/>
      <c r="P11" s="4"/>
    </row>
    <row r="12">
      <c r="A12" s="5">
        <v>11.0</v>
      </c>
      <c r="B12" s="6" t="s">
        <v>1839</v>
      </c>
      <c r="C12" s="6" t="s">
        <v>1840</v>
      </c>
      <c r="D12" s="6" t="s">
        <v>1162</v>
      </c>
      <c r="E12" s="6" t="s">
        <v>1841</v>
      </c>
      <c r="F12" s="2"/>
      <c r="G12" s="2"/>
      <c r="H12" s="25"/>
      <c r="I12" s="6" t="str">
        <f>IFERROR(__xludf.DUMMYFUNCTION("GOOGLETRANSLATE(B12, ""en"", ""zh"")"),"功夫与中国古代的哪种哲学思想最为接近？")</f>
        <v>功夫与中国古代的哪种哲学思想最为接近？</v>
      </c>
      <c r="J12" s="6" t="str">
        <f>IFERROR(__xludf.DUMMYFUNCTION("GOOGLETRANSLATE(C12, ""en"", ""zh"")"),"A) 儒家思想，B) 道家思想，C) 佛教，D) 法家思想")</f>
        <v>A) 儒家思想，B) 道家思想，C) 佛教，D) 法家思想</v>
      </c>
      <c r="K12" s="6" t="str">
        <f>IFERROR(__xludf.DUMMYFUNCTION("GOOGLETRANSLATE(D12, ""en"", ""zh"")"),"B）道教")</f>
        <v>B）道教</v>
      </c>
      <c r="L12" s="6" t="str">
        <f>IFERROR(__xludf.DUMMYFUNCTION("GOOGLETRANSLATE(E12, ""en"", ""zh"")"),"道家的平衡、简洁和自然流畅的原则是功夫训练的核心。")</f>
        <v>道家的平衡、简洁和自然流畅的原则是功夫训练的核心。</v>
      </c>
      <c r="M12" s="4"/>
      <c r="N12" s="2"/>
      <c r="O12" s="4"/>
      <c r="P12" s="4"/>
    </row>
    <row r="13">
      <c r="A13" s="5">
        <v>12.0</v>
      </c>
      <c r="B13" s="6" t="s">
        <v>1842</v>
      </c>
      <c r="C13" s="6" t="s">
        <v>1843</v>
      </c>
      <c r="D13" s="6" t="s">
        <v>1844</v>
      </c>
      <c r="E13" s="6" t="s">
        <v>1845</v>
      </c>
      <c r="F13" s="2"/>
      <c r="G13" s="2"/>
      <c r="H13" s="25"/>
      <c r="I13" s="6" t="str">
        <f>IFERROR(__xludf.DUMMYFUNCTION("GOOGLETRANSLATE(B13, ""en"", ""zh"")"),"哪位历史人物因推动功夫在中国以外地区传播而闻名？")</f>
        <v>哪位历史人物因推动功夫在中国以外地区传播而闻名？</v>
      </c>
      <c r="J13" s="6" t="str">
        <f>IFERROR(__xludf.DUMMYFUNCTION("GOOGLETRANSLATE(C13, ""en"", ""zh"")"),"A) 李小龙，B) 成吉思汗，C) 孙子，D) 岳飞将军")</f>
        <v>A) 李小龙，B) 成吉思汗，C) 孙子，D) 岳飞将军</v>
      </c>
      <c r="K13" s="6" t="str">
        <f>IFERROR(__xludf.DUMMYFUNCTION("GOOGLETRANSLATE(D13, ""en"", ""zh"")"),"A) 李小龙")</f>
        <v>A) 李小龙</v>
      </c>
      <c r="L13" s="6" t="str">
        <f>IFERROR(__xludf.DUMMYFUNCTION("GOOGLETRANSLATE(E13, ""en"", ""zh"")"),"李小龙被认为是将功夫带到好莱坞并帮助其传播到世界各地的人。")</f>
        <v>李小龙被认为是将功夫带到好莱坞并帮助其传播到世界各地的人。</v>
      </c>
      <c r="M13" s="4"/>
      <c r="N13" s="2"/>
      <c r="O13" s="4"/>
      <c r="P13" s="4"/>
    </row>
    <row r="14">
      <c r="A14" s="5">
        <v>13.0</v>
      </c>
      <c r="B14" s="6" t="s">
        <v>1846</v>
      </c>
      <c r="C14" s="6" t="s">
        <v>1847</v>
      </c>
      <c r="D14" s="6" t="s">
        <v>1848</v>
      </c>
      <c r="E14" s="6" t="s">
        <v>1849</v>
      </c>
      <c r="F14" s="2"/>
      <c r="G14" s="2"/>
      <c r="H14" s="25"/>
      <c r="I14" s="6" t="str">
        <f>IFERROR(__xludf.DUMMYFUNCTION("GOOGLETRANSLATE(B14, ""en"", ""zh"")"),"教过李小龙的著名功夫大师叫什么名字？")</f>
        <v>教过李小龙的著名功夫大师叫什么名字？</v>
      </c>
      <c r="J14" s="6" t="str">
        <f>IFERROR(__xludf.DUMMYFUNCTION("GOOGLETRANSLATE(C14, ""en"", ""zh"")"),"A) 叶问，B) 黄飞鸿，C) 叶问，D) 咏春拳")</f>
        <v>A) 叶问，B) 黄飞鸿，C) 叶问，D) 咏春拳</v>
      </c>
      <c r="K14" s="6" t="str">
        <f>IFERROR(__xludf.DUMMYFUNCTION("GOOGLETRANSLATE(D14, ""en"", ""zh"")"),"C) 叶问")</f>
        <v>C) 叶问</v>
      </c>
      <c r="L14" s="6" t="str">
        <f>IFERROR(__xludf.DUMMYFUNCTION("GOOGLETRANSLATE(E14, ""en"", ""zh"")"),"叶问，又名叶问，是李小龙的咏春拳老师。")</f>
        <v>叶问，又名叶问，是李小龙的咏春拳老师。</v>
      </c>
      <c r="M14" s="4"/>
      <c r="N14" s="2"/>
      <c r="O14" s="4"/>
      <c r="P14" s="4"/>
    </row>
    <row r="15">
      <c r="A15" s="5">
        <v>14.0</v>
      </c>
      <c r="B15" s="6" t="s">
        <v>1850</v>
      </c>
      <c r="C15" s="6" t="s">
        <v>1851</v>
      </c>
      <c r="D15" s="6" t="s">
        <v>1852</v>
      </c>
      <c r="E15" s="6" t="s">
        <v>1853</v>
      </c>
      <c r="F15" s="2"/>
      <c r="G15" s="2"/>
      <c r="H15" s="25"/>
      <c r="I15" s="6" t="str">
        <f>IFERROR(__xludf.DUMMYFUNCTION("GOOGLETRANSLATE(B15, ""en"", ""zh"")"),"哪部著名的中国武侠电影描绘了叶问的生平？")</f>
        <v>哪部著名的中国武侠电影描绘了叶问的生平？</v>
      </c>
      <c r="J15" s="6" t="str">
        <f>IFERROR(__xludf.DUMMYFUNCTION("GOOGLETRANSLATE(C15, ""en"", ""zh"")"),"A)《功夫梦》, B)《叶问》, C)《卧虎藏龙》, D)《一代宗师》")</f>
        <v>A)《功夫梦》, B)《叶问》, C)《卧虎藏龙》, D)《一代宗师》</v>
      </c>
      <c r="K15" s="6" t="str">
        <f>IFERROR(__xludf.DUMMYFUNCTION("GOOGLETRANSLATE(D15, ""en"", ""zh"")"),"B) 叶问")</f>
        <v>B) 叶问</v>
      </c>
      <c r="L15" s="6" t="str">
        <f>IFERROR(__xludf.DUMMYFUNCTION("GOOGLETRANSLATE(E15, ""en"", ""zh"")"),"电影《叶问》描绘了咏春拳传奇大师叶问的生平及其武术教义。")</f>
        <v>电影《叶问》描绘了咏春拳传奇大师叶问的生平及其武术教义。</v>
      </c>
      <c r="M15" s="4"/>
      <c r="N15" s="2"/>
      <c r="O15" s="4"/>
      <c r="P15" s="4"/>
    </row>
    <row r="16">
      <c r="A16" s="5">
        <v>15.0</v>
      </c>
      <c r="B16" s="6" t="s">
        <v>1854</v>
      </c>
      <c r="C16" s="6" t="s">
        <v>1855</v>
      </c>
      <c r="D16" s="6" t="s">
        <v>1856</v>
      </c>
      <c r="E16" s="6" t="s">
        <v>1857</v>
      </c>
      <c r="F16" s="2"/>
      <c r="G16" s="2"/>
      <c r="H16" s="25"/>
      <c r="I16" s="6" t="str">
        <f>IFERROR(__xludf.DUMMYFUNCTION("GOOGLETRANSLATE(B16, ""en"", ""zh"")"),"少林寺是功夫的主要发源地之一，它起源于中国哪个省份？")</f>
        <v>少林寺是功夫的主要发源地之一，它起源于中国哪个省份？</v>
      </c>
      <c r="J16" s="6" t="str">
        <f>IFERROR(__xludf.DUMMYFUNCTION("GOOGLETRANSLATE(C16, ""en"", ""zh"")"),"A) 江苏，B) 河北，C) 河南，D) 广东")</f>
        <v>A) 江苏，B) 河北，C) 河南，D) 广东</v>
      </c>
      <c r="K16" s="6" t="str">
        <f>IFERROR(__xludf.DUMMYFUNCTION("GOOGLETRANSLATE(D16, ""en"", ""zh"")"),"C) 河南")</f>
        <v>C) 河南</v>
      </c>
      <c r="L16" s="6" t="str">
        <f>IFERROR(__xludf.DUMMYFUNCTION("GOOGLETRANSLATE(E16, ""en"", ""zh"")"),"少林寺位于河南省，被誉为功夫的发源地。")</f>
        <v>少林寺位于河南省，被誉为功夫的发源地。</v>
      </c>
      <c r="M16" s="4"/>
      <c r="N16" s="2"/>
      <c r="O16" s="4"/>
      <c r="P16" s="2"/>
    </row>
    <row r="17">
      <c r="A17" s="5">
        <v>16.0</v>
      </c>
      <c r="B17" s="6" t="s">
        <v>1858</v>
      </c>
      <c r="C17" s="6" t="s">
        <v>1859</v>
      </c>
      <c r="D17" s="6" t="s">
        <v>1860</v>
      </c>
      <c r="E17" s="6" t="s">
        <v>1861</v>
      </c>
      <c r="F17" s="2"/>
      <c r="G17" s="2"/>
      <c r="H17" s="25"/>
      <c r="I17" s="6" t="str">
        <f>IFERROR(__xludf.DUMMYFUNCTION("GOOGLETRANSLATE(B17, ""en"", ""zh"")"),"中国哪个地区与咏春拳联系最为紧密？")</f>
        <v>中国哪个地区与咏春拳联系最为紧密？</v>
      </c>
      <c r="J17" s="6" t="str">
        <f>IFERROR(__xludf.DUMMYFUNCTION("GOOGLETRANSLATE(C17, ""en"", ""zh"")"),"A) 四川，B) 香港，C) 北京，D) 广东")</f>
        <v>A) 四川，B) 香港，C) 北京，D) 广东</v>
      </c>
      <c r="K17" s="6" t="str">
        <f>IFERROR(__xludf.DUMMYFUNCTION("GOOGLETRANSLATE(D17, ""en"", ""zh"")"),"B) 香港")</f>
        <v>B) 香港</v>
      </c>
      <c r="L17" s="6" t="str">
        <f>IFERROR(__xludf.DUMMYFUNCTION("GOOGLETRANSLATE(E17, ""en"", ""zh"")"),"咏春拳起源于中国南方，特别是广东地区和香港。")</f>
        <v>咏春拳起源于中国南方，特别是广东地区和香港。</v>
      </c>
      <c r="M17" s="4"/>
      <c r="N17" s="2"/>
      <c r="O17" s="4"/>
      <c r="P17" s="2"/>
    </row>
    <row r="18">
      <c r="A18" s="5">
        <v>17.0</v>
      </c>
      <c r="B18" s="6" t="s">
        <v>1862</v>
      </c>
      <c r="C18" s="6" t="s">
        <v>1863</v>
      </c>
      <c r="D18" s="6" t="s">
        <v>1864</v>
      </c>
      <c r="E18" s="6" t="s">
        <v>1865</v>
      </c>
      <c r="F18" s="2"/>
      <c r="G18" s="2"/>
      <c r="H18" s="25"/>
      <c r="I18" s="6" t="str">
        <f>IFERROR(__xludf.DUMMYFUNCTION("GOOGLETRANSLATE(B18, ""en"", ""zh"")"),"哪场战役被认为是中国功夫史上的转折点？")</f>
        <v>哪场战役被认为是中国功夫史上的转折点？</v>
      </c>
      <c r="J18" s="6" t="str">
        <f>IFERROR(__xludf.DUMMYFUNCTION("GOOGLETRANSLATE(C18, ""en"", ""zh"")"),"A) 赤壁之战，B) 少林寺之战，C) 义和团运动，D) 太平天国运动")</f>
        <v>A) 赤壁之战，B) 少林寺之战，C) 义和团运动，D) 太平天国运动</v>
      </c>
      <c r="K18" s="6" t="str">
        <f>IFERROR(__xludf.DUMMYFUNCTION("GOOGLETRANSLATE(D18, ""en"", ""zh"")"),"B) 少林寺围攻战")</f>
        <v>B) 少林寺围攻战</v>
      </c>
      <c r="L18" s="6" t="str">
        <f>IFERROR(__xludf.DUMMYFUNCTION("GOOGLETRANSLATE(E18, ""en"", ""zh"")"),"少林寺之围是功夫历史上一个关键时刻，促成了功夫的传播。")</f>
        <v>少林寺之围是功夫历史上一个关键时刻，促成了功夫的传播。</v>
      </c>
      <c r="M18" s="4"/>
      <c r="N18" s="4"/>
      <c r="O18" s="4"/>
      <c r="P18" s="2"/>
    </row>
    <row r="19">
      <c r="A19" s="5">
        <v>18.0</v>
      </c>
      <c r="B19" s="6" t="s">
        <v>1866</v>
      </c>
      <c r="C19" s="6" t="s">
        <v>1867</v>
      </c>
      <c r="D19" s="6" t="s">
        <v>1868</v>
      </c>
      <c r="E19" s="6" t="s">
        <v>1869</v>
      </c>
      <c r="F19" s="2"/>
      <c r="G19" s="2"/>
      <c r="H19" s="25"/>
      <c r="I19" s="6" t="str">
        <f>IFERROR(__xludf.DUMMYFUNCTION("GOOGLETRANSLATE(B19, ""en"", ""zh"")"),"哪些武术流派影响了中国功夫的发展？")</f>
        <v>哪些武术流派影响了中国功夫的发展？</v>
      </c>
      <c r="J19" s="6" t="str">
        <f>IFERROR(__xludf.DUMMYFUNCTION("GOOGLETRANSLATE(C19, ""en"", ""zh"")"),"A) 柔术、B) 空手道、C) 印度卡拉里帕亚图、D) 泰拳")</f>
        <v>A) 柔术、B) 空手道、C) 印度卡拉里帕亚图、D) 泰拳</v>
      </c>
      <c r="K19" s="6" t="str">
        <f>IFERROR(__xludf.DUMMYFUNCTION("GOOGLETRANSLATE(D19, ""en"", ""zh"")"),"C) 印度卡拉里帕亚特")</f>
        <v>C) 印度卡拉里帕亚特</v>
      </c>
      <c r="L19" s="6" t="str">
        <f>IFERROR(__xludf.DUMMYFUNCTION("GOOGLETRANSLATE(E19, ""en"", ""zh"")"),"人们认为印度卡拉里帕亚特武术对功夫的发展产生了重大影响。")</f>
        <v>人们认为印度卡拉里帕亚特武术对功夫的发展产生了重大影响。</v>
      </c>
      <c r="M19" s="4"/>
      <c r="N19" s="2"/>
      <c r="O19" s="4"/>
      <c r="P19" s="4"/>
    </row>
    <row r="20">
      <c r="A20" s="5">
        <v>19.0</v>
      </c>
      <c r="B20" s="6" t="s">
        <v>1870</v>
      </c>
      <c r="C20" s="6" t="s">
        <v>1871</v>
      </c>
      <c r="D20" s="6" t="s">
        <v>1872</v>
      </c>
      <c r="E20" s="6" t="s">
        <v>1873</v>
      </c>
      <c r="F20" s="2"/>
      <c r="G20" s="2"/>
      <c r="H20" s="25"/>
      <c r="I20" s="6" t="str">
        <f>IFERROR(__xludf.DUMMYFUNCTION("GOOGLETRANSLATE(B20, ""en"", ""zh"")"),"哪位历史人物被认为是南螳螂拳的创始人？")</f>
        <v>哪位历史人物被认为是南螳螂拳的创始人？</v>
      </c>
      <c r="J20" s="6" t="str">
        <f>IFERROR(__xludf.DUMMYFUNCTION("GOOGLETRANSLATE(C20, ""en"", ""zh"")"),"A) 黄飞鸿、B) 陈望庭、C) 志毅、D) 杨露禅")</f>
        <v>A) 黄飞鸿、B) 陈望庭、C) 志毅、D) 杨露禅</v>
      </c>
      <c r="K20" s="6" t="str">
        <f>IFERROR(__xludf.DUMMYFUNCTION("GOOGLETRANSLATE(D20, ""en"", ""zh"")"),"C) 志毅")</f>
        <v>C) 志毅</v>
      </c>
      <c r="L20" s="6" t="str">
        <f>IFERROR(__xludf.DUMMYFUNCTION("GOOGLETRANSLATE(E20, ""en"", ""zh"")"),"志毅被认为是17世纪南螳螂拳的创始人。")</f>
        <v>志毅被认为是17世纪南螳螂拳的创始人。</v>
      </c>
      <c r="M20" s="4"/>
      <c r="N20" s="4"/>
      <c r="O20" s="4"/>
      <c r="P20" s="4"/>
    </row>
    <row r="21">
      <c r="A21" s="5">
        <v>20.0</v>
      </c>
      <c r="B21" s="6" t="s">
        <v>1874</v>
      </c>
      <c r="C21" s="6" t="s">
        <v>1875</v>
      </c>
      <c r="D21" s="6" t="s">
        <v>983</v>
      </c>
      <c r="E21" s="6" t="s">
        <v>1876</v>
      </c>
      <c r="F21" s="2"/>
      <c r="G21" s="2"/>
      <c r="H21" s="25"/>
      <c r="I21" s="6" t="str">
        <f>IFERROR(__xludf.DUMMYFUNCTION("GOOGLETRANSLATE(B21, ""en"", ""zh"")"),"功夫在哪个朝代高度融入中国文化？")</f>
        <v>功夫在哪个朝代高度融入中国文化？</v>
      </c>
      <c r="J21" s="6" t="str">
        <f>IFERROR(__xludf.DUMMYFUNCTION("GOOGLETRANSLATE(C21, ""en"", ""zh"")"),"A) 唐朝，B) 清朝，C) 宋朝，D) 明朝")</f>
        <v>A) 唐朝，B) 清朝，C) 宋朝，D) 明朝</v>
      </c>
      <c r="K21" s="6" t="str">
        <f>IFERROR(__xludf.DUMMYFUNCTION("GOOGLETRANSLATE(D21, ""en"", ""zh"")"),"A) 唐朝")</f>
        <v>A) 唐朝</v>
      </c>
      <c r="L21" s="6" t="str">
        <f>IFERROR(__xludf.DUMMYFUNCTION("GOOGLETRANSLATE(E21, ""en"", ""zh"")"),"唐朝时期，武术，包括功夫，在中国各地得到了显著发展。")</f>
        <v>唐朝时期，武术，包括功夫，在中国各地得到了显著发展。</v>
      </c>
      <c r="M21" s="4"/>
      <c r="N21" s="2"/>
      <c r="O21" s="4"/>
      <c r="P21" s="4"/>
    </row>
    <row r="22">
      <c r="A22" s="5">
        <v>21.0</v>
      </c>
      <c r="B22" s="6" t="s">
        <v>1877</v>
      </c>
      <c r="C22" s="6" t="s">
        <v>1878</v>
      </c>
      <c r="D22" s="6" t="s">
        <v>1833</v>
      </c>
      <c r="E22" s="6" t="s">
        <v>1879</v>
      </c>
      <c r="F22" s="2"/>
      <c r="G22" s="2"/>
      <c r="H22" s="25"/>
      <c r="I22" s="6" t="str">
        <f>IFERROR(__xludf.DUMMYFUNCTION("GOOGLETRANSLATE(B22, ""en"", ""zh"")"),"哪位中国著名功夫大师因在电影《一代宗师》中与日本人进行传奇般的战斗而闻名？")</f>
        <v>哪位中国著名功夫大师因在电影《一代宗师》中与日本人进行传奇般的战斗而闻名？</v>
      </c>
      <c r="J22" s="6" t="str">
        <f>IFERROR(__xludf.DUMMYFUNCTION("GOOGLETRANSLATE(C22, ""en"", ""zh"")"),"A) 叶问，B) 黄飞鸿，C) 李小龙，D) 张三丰")</f>
        <v>A) 叶问，B) 黄飞鸿，C) 李小龙，D) 张三丰</v>
      </c>
      <c r="K22" s="6" t="str">
        <f>IFERROR(__xludf.DUMMYFUNCTION("GOOGLETRANSLATE(D22, ""en"", ""zh"")"),"A) 叶问")</f>
        <v>A) 叶问</v>
      </c>
      <c r="L22" s="6" t="str">
        <f>IFERROR(__xludf.DUMMYFUNCTION("GOOGLETRANSLATE(E22, ""en"", ""zh"")"),"在电影《一代宗师》中，叶问被描绘成一位在抗日战争中击败众多对手的武术大师。")</f>
        <v>在电影《一代宗师》中，叶问被描绘成一位在抗日战争中击败众多对手的武术大师。</v>
      </c>
      <c r="M22" s="4"/>
      <c r="N22" s="2"/>
      <c r="O22" s="4"/>
      <c r="P22" s="2"/>
    </row>
    <row r="23">
      <c r="A23" s="5">
        <v>22.0</v>
      </c>
      <c r="B23" s="6" t="s">
        <v>1880</v>
      </c>
      <c r="C23" s="6" t="s">
        <v>1881</v>
      </c>
      <c r="D23" s="6" t="s">
        <v>1882</v>
      </c>
      <c r="E23" s="6" t="s">
        <v>1883</v>
      </c>
      <c r="F23" s="2"/>
      <c r="G23" s="2"/>
      <c r="H23" s="25"/>
      <c r="I23" s="6" t="str">
        <f>IFERROR(__xludf.DUMMYFUNCTION("GOOGLETRANSLATE(B23, ""en"", ""zh"")"),"第一位被世人所知的、成为武术象征的传奇功夫英雄是谁？")</f>
        <v>第一位被世人所知的、成为武术象征的传奇功夫英雄是谁？</v>
      </c>
      <c r="J23" s="6" t="str">
        <f>IFERROR(__xludf.DUMMYFUNCTION("GOOGLETRANSLATE(C23, ""en"", ""zh"")"),"A) 陈望庭、B) 武松、C) 张三丰、D) 叶问")</f>
        <v>A) 陈望庭、B) 武松、C) 张三丰、D) 叶问</v>
      </c>
      <c r="K23" s="6" t="str">
        <f>IFERROR(__xludf.DUMMYFUNCTION("GOOGLETRANSLATE(D23, ""en"", ""zh"")"),"B) 吴松")</f>
        <v>B) 吴松</v>
      </c>
      <c r="L23" s="6" t="str">
        <f>IFERROR(__xludf.DUMMYFUNCTION("GOOGLETRANSLATE(E23, ""en"", ""zh"")"),"中国文学中的武松，因其武艺高强、力大无穷而成为标志性人物。")</f>
        <v>中国文学中的武松，因其武艺高强、力大无穷而成为标志性人物。</v>
      </c>
      <c r="M23" s="4"/>
      <c r="N23" s="2"/>
      <c r="O23" s="4"/>
      <c r="P23" s="4"/>
    </row>
    <row r="24">
      <c r="A24" s="5">
        <v>23.0</v>
      </c>
      <c r="B24" s="6" t="s">
        <v>1884</v>
      </c>
      <c r="C24" s="6" t="s">
        <v>1885</v>
      </c>
      <c r="D24" s="6" t="s">
        <v>1844</v>
      </c>
      <c r="E24" s="6" t="s">
        <v>1886</v>
      </c>
      <c r="F24" s="2"/>
      <c r="G24" s="2"/>
      <c r="H24" s="25"/>
      <c r="I24" s="6" t="str">
        <f>IFERROR(__xludf.DUMMYFUNCTION("GOOGLETRANSLATE(B24, ""en"", ""zh"")"),"哪位著名的功夫大师被认为是20世纪70年代在西方推广武术的功臣？")</f>
        <v>哪位著名的功夫大师被认为是20世纪70年代在西方推广武术的功臣？</v>
      </c>
      <c r="J24" s="6" t="str">
        <f>IFERROR(__xludf.DUMMYFUNCTION("GOOGLETRANSLATE(C24, ""en"", ""zh"")"),"A) 李小龙，B) 成龙，C) 李连杰，D) 查克·诺里斯")</f>
        <v>A) 李小龙，B) 成龙，C) 李连杰，D) 查克·诺里斯</v>
      </c>
      <c r="K24" s="6" t="str">
        <f>IFERROR(__xludf.DUMMYFUNCTION("GOOGLETRANSLATE(D24, ""en"", ""zh"")"),"A) 李小龙")</f>
        <v>A) 李小龙</v>
      </c>
      <c r="L24" s="6" t="str">
        <f>IFERROR(__xludf.DUMMYFUNCTION("GOOGLETRANSLATE(E24, ""en"", ""zh"")"),"李小龙被誉为将功夫带到世界舞台并激发了全世界对武术的兴趣。")</f>
        <v>李小龙被誉为将功夫带到世界舞台并激发了全世界对武术的兴趣。</v>
      </c>
      <c r="M24" s="4"/>
      <c r="N24" s="2"/>
      <c r="O24" s="4"/>
      <c r="P24" s="2"/>
    </row>
    <row r="25">
      <c r="A25" s="5">
        <v>24.0</v>
      </c>
      <c r="B25" s="6" t="s">
        <v>1887</v>
      </c>
      <c r="C25" s="6" t="s">
        <v>1888</v>
      </c>
      <c r="D25" s="6" t="s">
        <v>1889</v>
      </c>
      <c r="E25" s="6" t="s">
        <v>1890</v>
      </c>
      <c r="F25" s="2"/>
      <c r="G25" s="2"/>
      <c r="H25" s="25"/>
      <c r="I25" s="6" t="str">
        <f>IFERROR(__xludf.DUMMYFUNCTION("GOOGLETRANSLATE(B25, ""en"", ""zh"")"),"在功夫历史上，哪种动物拳法以其残暴凶狠的招式而闻名？")</f>
        <v>在功夫历史上，哪种动物拳法以其残暴凶狠的招式而闻名？</v>
      </c>
      <c r="J25" s="6" t="str">
        <f>IFERROR(__xludf.DUMMYFUNCTION("GOOGLETRANSLATE(C25, ""en"", ""zh"")"),"A) 鹤，B) 蛇，C) 虎，D) 龙")</f>
        <v>A) 鹤，B) 蛇，C) 虎，D) 龙</v>
      </c>
      <c r="K25" s="6" t="str">
        <f>IFERROR(__xludf.DUMMYFUNCTION("GOOGLETRANSLATE(D25, ""en"", ""zh"")"),"C) 老虎")</f>
        <v>C) 老虎</v>
      </c>
      <c r="L25" s="6" t="str">
        <f>IFERROR(__xludf.DUMMYFUNCTION("GOOGLETRANSLATE(E25, ""en"", ""zh"")"),"虎拳强调强劲有力的打击，被认为是功夫中最具攻击性的动物拳法之一。")</f>
        <v>虎拳强调强劲有力的打击，被认为是功夫中最具攻击性的动物拳法之一。</v>
      </c>
      <c r="M25" s="4"/>
      <c r="N25" s="4"/>
      <c r="O25" s="4"/>
      <c r="P25" s="2"/>
    </row>
    <row r="26">
      <c r="A26" s="5">
        <v>25.0</v>
      </c>
      <c r="B26" s="6" t="s">
        <v>1891</v>
      </c>
      <c r="C26" s="6" t="s">
        <v>1892</v>
      </c>
      <c r="D26" s="6" t="s">
        <v>10</v>
      </c>
      <c r="E26" s="6" t="s">
        <v>1893</v>
      </c>
      <c r="F26" s="2"/>
      <c r="G26" s="2"/>
      <c r="H26" s="25"/>
      <c r="I26" s="6" t="str">
        <f>IFERROR(__xludf.DUMMYFUNCTION("GOOGLETRANSLATE(B26, ""en"", ""zh"")"),"据说哪位中国皇帝曾大力推广武术，以此作为训练士兵的一种手段？")</f>
        <v>据说哪位中国皇帝曾大力推广武术，以此作为训练士兵的一种手段？</v>
      </c>
      <c r="J26" s="6" t="str">
        <f>IFERROR(__xludf.DUMMYFUNCTION("GOOGLETRANSLATE(C26, ""en"", ""zh"")"),"A) 汉武帝，B) 秦始皇，C) 唐太宗，D) 康熙皇帝")</f>
        <v>A) 汉武帝，B) 秦始皇，C) 唐太宗，D) 康熙皇帝</v>
      </c>
      <c r="K26" s="6" t="str">
        <f>IFERROR(__xludf.DUMMYFUNCTION("GOOGLETRANSLATE(D26, ""en"", ""zh"")"),"A) 汉武帝")</f>
        <v>A) 汉武帝</v>
      </c>
      <c r="L26" s="6" t="str">
        <f>IFERROR(__xludf.DUMMYFUNCTION("GOOGLETRANSLATE(E26, ""en"", ""zh"")"),"汉武帝鼓励发展武术，以达到军事目的并增强军队实力。")</f>
        <v>汉武帝鼓励发展武术，以达到军事目的并增强军队实力。</v>
      </c>
      <c r="M26" s="4"/>
      <c r="N26" s="2"/>
      <c r="O26" s="4"/>
      <c r="P26" s="4"/>
    </row>
    <row r="27">
      <c r="A27" s="5">
        <v>26.0</v>
      </c>
      <c r="B27" s="6" t="s">
        <v>1894</v>
      </c>
      <c r="C27" s="6" t="s">
        <v>1895</v>
      </c>
      <c r="D27" s="6" t="s">
        <v>1896</v>
      </c>
      <c r="E27" s="6" t="s">
        <v>1897</v>
      </c>
      <c r="F27" s="2"/>
      <c r="G27" s="2"/>
      <c r="H27" s="25"/>
      <c r="I27" s="6" t="str">
        <f>IFERROR(__xludf.DUMMYFUNCTION("GOOGLETRANSLATE(B27, ""en"", ""zh"")"),"僧侣菩提达摩所创的传奇功夫流派叫什么名字？")</f>
        <v>僧侣菩提达摩所创的传奇功夫流派叫什么名字？</v>
      </c>
      <c r="J27" s="6" t="str">
        <f>IFERROR(__xludf.DUMMYFUNCTION("GOOGLETRANSLATE(C27, ""en"", ""zh"")"),"A) 太极拳，B) 少林功夫，C) 咏春拳，D) 八极拳")</f>
        <v>A) 太极拳，B) 少林功夫，C) 咏春拳，D) 八极拳</v>
      </c>
      <c r="K27" s="6" t="str">
        <f>IFERROR(__xludf.DUMMYFUNCTION("GOOGLETRANSLATE(D27, ""en"", ""zh"")"),"B) 少林功夫")</f>
        <v>B) 少林功夫</v>
      </c>
      <c r="L27" s="6" t="str">
        <f>IFERROR(__xludf.DUMMYFUNCTION("GOOGLETRANSLATE(E27, ""en"", ""zh"")"),"菩提达摩被认为是将武术引入少林寺的人，从而发展出了少林功夫。")</f>
        <v>菩提达摩被认为是将武术引入少林寺的人，从而发展出了少林功夫。</v>
      </c>
      <c r="M27" s="4"/>
      <c r="N27" s="2"/>
      <c r="O27" s="4"/>
      <c r="P27" s="4"/>
    </row>
    <row r="28">
      <c r="A28" s="5">
        <v>27.0</v>
      </c>
      <c r="B28" s="6" t="s">
        <v>1898</v>
      </c>
      <c r="C28" s="6" t="s">
        <v>1899</v>
      </c>
      <c r="D28" s="6" t="s">
        <v>1900</v>
      </c>
      <c r="E28" s="6" t="s">
        <v>1901</v>
      </c>
      <c r="F28" s="2"/>
      <c r="G28" s="2"/>
      <c r="H28" s="25"/>
      <c r="I28" s="6" t="str">
        <f>IFERROR(__xludf.DUMMYFUNCTION("GOOGLETRANSLATE(B28, ""en"", ""zh"")"),"哪位著名的功夫传奇人物以一拳击败多个对手而闻名？")</f>
        <v>哪位著名的功夫传奇人物以一拳击败多个对手而闻名？</v>
      </c>
      <c r="J28" s="6" t="str">
        <f>IFERROR(__xludf.DUMMYFUNCTION("GOOGLETRANSLATE(C28, ""en"", ""zh"")"),"A) 黄飞鸿、B) 李小龙、C) 张三丰、D) 黄飞虎")</f>
        <v>A) 黄飞鸿、B) 李小龙、C) 张三丰、D) 黄飞虎</v>
      </c>
      <c r="K28" s="6" t="str">
        <f>IFERROR(__xludf.DUMMYFUNCTION("GOOGLETRANSLATE(D28, ""en"", ""zh"")"),"C) 张三丰")</f>
        <v>C) 张三丰</v>
      </c>
      <c r="L28" s="6" t="str">
        <f>IFERROR(__xludf.DUMMYFUNCTION("GOOGLETRANSLATE(E28, ""en"", ""zh"")"),"道教僧人张三丰与太极拳的创立以及以毫不费力的力量击败敌人有关。")</f>
        <v>道教僧人张三丰与太极拳的创立以及以毫不费力的力量击败敌人有关。</v>
      </c>
      <c r="M28" s="4"/>
      <c r="N28" s="2"/>
      <c r="O28" s="4"/>
      <c r="P28" s="2"/>
    </row>
    <row r="29">
      <c r="A29" s="5">
        <v>28.0</v>
      </c>
      <c r="B29" s="6" t="s">
        <v>1902</v>
      </c>
      <c r="C29" s="6" t="s">
        <v>1903</v>
      </c>
      <c r="D29" s="6" t="s">
        <v>1115</v>
      </c>
      <c r="E29" s="6" t="s">
        <v>1904</v>
      </c>
      <c r="F29" s="2"/>
      <c r="G29" s="2"/>
      <c r="H29" s="25"/>
      <c r="I29" s="6" t="str">
        <f>IFERROR(__xludf.DUMMYFUNCTION("GOOGLETRANSLATE(B29, ""en"", ""zh"")"),"下列哪部是关于功夫的经典著作，对功夫的发展产生了重要影响？")</f>
        <v>下列哪部是关于功夫的经典著作，对功夫的发展产生了重要影响？</v>
      </c>
      <c r="J29" s="6" t="str">
        <f>IFERROR(__xludf.DUMMYFUNCTION("GOOGLETRANSLATE(C29, ""en"", ""zh"")"),"A)《道德经》 B)《孙子兵法》 C)《五轮书》 D)《功夫秘籍》")</f>
        <v>A)《道德经》 B)《孙子兵法》 C)《五轮书》 D)《功夫秘籍》</v>
      </c>
      <c r="K29" s="6" t="str">
        <f>IFERROR(__xludf.DUMMYFUNCTION("GOOGLETRANSLATE(D29, ""en"", ""zh"")"),"B）《孙子兵法》")</f>
        <v>B）《孙子兵法》</v>
      </c>
      <c r="L29" s="6" t="str">
        <f>IFERROR(__xludf.DUMMYFUNCTION("GOOGLETRANSLATE(E29, ""en"", ""zh"")"),"孙子的《孙子兵法》对功夫的战略要素产生了巨大影响。")</f>
        <v>孙子的《孙子兵法》对功夫的战略要素产生了巨大影响。</v>
      </c>
      <c r="M29" s="4"/>
      <c r="N29" s="4"/>
      <c r="O29" s="4"/>
      <c r="P29" s="4"/>
    </row>
    <row r="30">
      <c r="A30" s="5">
        <v>29.0</v>
      </c>
      <c r="B30" s="6" t="s">
        <v>1905</v>
      </c>
      <c r="C30" s="6" t="s">
        <v>1906</v>
      </c>
      <c r="D30" s="6" t="s">
        <v>1907</v>
      </c>
      <c r="E30" s="6" t="s">
        <v>1908</v>
      </c>
      <c r="F30" s="2"/>
      <c r="G30" s="2"/>
      <c r="H30" s="25"/>
      <c r="I30" s="6" t="str">
        <f>IFERROR(__xludf.DUMMYFUNCTION("GOOGLETRANSLATE(B30, ""en"", ""zh"")"),"20世纪，是什么重大事件导致功夫传播到中国以外的地区？")</f>
        <v>20世纪，是什么重大事件导致功夫传播到中国以外的地区？</v>
      </c>
      <c r="J30" s="6" t="str">
        <f>IFERROR(__xludf.DUMMYFUNCTION("GOOGLETRANSLATE(C30, ""en"", ""zh"")"),"A) 义和团运动，B) 中华人民共和国成立，C) 上海世博会，D) 文化大革命")</f>
        <v>A) 义和团运动，B) 中华人民共和国成立，C) 上海世博会，D) 文化大革命</v>
      </c>
      <c r="K30" s="6" t="str">
        <f>IFERROR(__xludf.DUMMYFUNCTION("GOOGLETRANSLATE(D30, ""en"", ""zh"")"),"B）中华人民共和国的成立")</f>
        <v>B）中华人民共和国的成立</v>
      </c>
      <c r="L30" s="6" t="str">
        <f>IFERROR(__xludf.DUMMYFUNCTION("GOOGLETRANSLATE(E30, ""en"", ""zh"")"),"1949年中华人民共和国成立后，功夫开始在国际上传播开来。")</f>
        <v>1949年中华人民共和国成立后，功夫开始在国际上传播开来。</v>
      </c>
      <c r="M30" s="4"/>
      <c r="N30" s="4"/>
      <c r="O30" s="4"/>
      <c r="P30" s="4"/>
    </row>
    <row r="31">
      <c r="A31" s="5">
        <v>30.0</v>
      </c>
      <c r="B31" s="6" t="s">
        <v>1909</v>
      </c>
      <c r="C31" s="6" t="s">
        <v>1910</v>
      </c>
      <c r="D31" s="6" t="s">
        <v>1911</v>
      </c>
      <c r="E31" s="6" t="s">
        <v>1912</v>
      </c>
      <c r="F31" s="2"/>
      <c r="G31" s="2"/>
      <c r="H31" s="25"/>
      <c r="I31" s="6" t="str">
        <f>IFERROR(__xludf.DUMMYFUNCTION("GOOGLETRANSLATE(B31, ""en"", ""zh"")"),"谁是被称为八卦掌的内家拳体系的创始人？")</f>
        <v>谁是被称为八卦掌的内家拳体系的创始人？</v>
      </c>
      <c r="J31" s="6" t="str">
        <f>IFERROR(__xludf.DUMMYFUNCTION("GOOGLETRANSLATE(C31, ""en"", ""zh"")"),"A) 张三丰、B) 王香斋、C) 董海川、D) 杨露禅")</f>
        <v>A) 张三丰、B) 王香斋、C) 董海川、D) 杨露禅</v>
      </c>
      <c r="K31" s="6" t="str">
        <f>IFERROR(__xludf.DUMMYFUNCTION("GOOGLETRANSLATE(D31, ""en"", ""zh"")"),"C) 董海川")</f>
        <v>C) 董海川</v>
      </c>
      <c r="L31" s="6" t="str">
        <f>IFERROR(__xludf.DUMMYFUNCTION("GOOGLETRANSLATE(E31, ""en"", ""zh"")"),"董海川是八卦掌的创始人，八卦掌以其圆形动作和注重闪避而闻名。")</f>
        <v>董海川是八卦掌的创始人，八卦掌以其圆形动作和注重闪避而闻名。</v>
      </c>
      <c r="M31" s="4"/>
      <c r="N31" s="4"/>
      <c r="O31" s="4"/>
      <c r="P31" s="4"/>
    </row>
    <row r="32">
      <c r="A32" s="5">
        <v>31.0</v>
      </c>
      <c r="B32" s="6" t="s">
        <v>1913</v>
      </c>
      <c r="C32" s="6" t="s">
        <v>1914</v>
      </c>
      <c r="D32" s="6" t="s">
        <v>1915</v>
      </c>
      <c r="E32" s="6" t="s">
        <v>1916</v>
      </c>
      <c r="F32" s="2"/>
      <c r="G32" s="2"/>
      <c r="H32" s="25"/>
      <c r="I32" s="6" t="str">
        <f>IFERROR(__xludf.DUMMYFUNCTION("GOOGLETRANSLATE(B32, ""en"", ""zh"")"),"武术这种功夫形式的历史起源是什么？")</f>
        <v>武术这种功夫形式的历史起源是什么？</v>
      </c>
      <c r="J32" s="6" t="str">
        <f>IFERROR(__xludf.DUMMYFUNCTION("GOOGLETRANSLATE(C32, ""en"", ""zh"")"),"A) 道教僧侣制度，B) 帝国军队，C) 儒家哲学，D) 南少林寺")</f>
        <v>A) 道教僧侣制度，B) 帝国军队，C) 儒家哲学，D) 南少林寺</v>
      </c>
      <c r="K32" s="6" t="str">
        <f>IFERROR(__xludf.DUMMYFUNCTION("GOOGLETRANSLATE(D32, ""en"", ""zh"")"),"B) 帝国军队")</f>
        <v>B) 帝国军队</v>
      </c>
      <c r="L32" s="6" t="str">
        <f>IFERROR(__xludf.DUMMYFUNCTION("GOOGLETRANSLATE(E32, ""en"", ""zh"")"),"武术起源于军事训练技巧，并经过调整以适应表演和现代竞技武术。")</f>
        <v>武术起源于军事训练技巧，并经过调整以适应表演和现代竞技武术。</v>
      </c>
      <c r="M32" s="4"/>
      <c r="N32" s="4"/>
      <c r="O32" s="4"/>
      <c r="P32" s="4"/>
    </row>
    <row r="33">
      <c r="A33" s="5">
        <v>32.0</v>
      </c>
      <c r="B33" s="6" t="s">
        <v>1917</v>
      </c>
      <c r="C33" s="6" t="s">
        <v>1918</v>
      </c>
      <c r="D33" s="6" t="s">
        <v>1844</v>
      </c>
      <c r="E33" s="6" t="s">
        <v>1919</v>
      </c>
      <c r="F33" s="2"/>
      <c r="G33" s="2"/>
      <c r="H33" s="25"/>
      <c r="I33" s="6" t="str">
        <f>IFERROR(__xludf.DUMMYFUNCTION("GOOGLETRANSLATE(B33, ""en"", ""zh"")"),"哪位历史人物被广泛认为是现代功夫之父？")</f>
        <v>哪位历史人物被广泛认为是现代功夫之父？</v>
      </c>
      <c r="J33" s="6" t="str">
        <f>IFERROR(__xludf.DUMMYFUNCTION("GOOGLETRANSLATE(C33, ""en"", ""zh"")"),"A) 李小龙、B) 黄飞鸿、C) 张三丰、D) 陈望庭")</f>
        <v>A) 李小龙、B) 黄飞鸿、C) 张三丰、D) 陈望庭</v>
      </c>
      <c r="K33" s="6" t="str">
        <f>IFERROR(__xludf.DUMMYFUNCTION("GOOGLETRANSLATE(D33, ""en"", ""zh"")"),"A) 李小龙")</f>
        <v>A) 李小龙</v>
      </c>
      <c r="L33" s="6" t="str">
        <f>IFERROR(__xludf.DUMMYFUNCTION("GOOGLETRANSLATE(E33, ""en"", ""zh"")"),"李小龙因其电影和哲学思想，致力于将功夫推广至全世界，被誉为现代功夫之父。")</f>
        <v>李小龙因其电影和哲学思想，致力于将功夫推广至全世界，被誉为现代功夫之父。</v>
      </c>
      <c r="M33" s="4"/>
      <c r="N33" s="2"/>
      <c r="O33" s="4"/>
      <c r="P33" s="4"/>
    </row>
    <row r="34">
      <c r="A34" s="5">
        <v>33.0</v>
      </c>
      <c r="B34" s="6" t="s">
        <v>1920</v>
      </c>
      <c r="C34" s="6" t="s">
        <v>1921</v>
      </c>
      <c r="D34" s="6" t="s">
        <v>1922</v>
      </c>
      <c r="E34" s="6" t="s">
        <v>1923</v>
      </c>
      <c r="F34" s="2"/>
      <c r="G34" s="2"/>
      <c r="H34" s="25"/>
      <c r="I34" s="6" t="str">
        <f>IFERROR(__xludf.DUMMYFUNCTION("GOOGLETRANSLATE(B34, ""en"", ""zh"")"),"著名功夫电影明星成龙以将功夫与下列哪项结合起来而闻名？")</f>
        <v>著名功夫电影明星成龙以将功夫与下列哪项结合起来而闻名？</v>
      </c>
      <c r="J34" s="6" t="str">
        <f>IFERROR(__xludf.DUMMYFUNCTION("GOOGLETRANSLATE(C34, ""en"", ""zh"")"),"A) 喜剧，B) 剧情，C) 奇幻，D) 爱情")</f>
        <v>A) 喜剧，B) 剧情，C) 奇幻，D) 爱情</v>
      </c>
      <c r="K34" s="6" t="str">
        <f>IFERROR(__xludf.DUMMYFUNCTION("GOOGLETRANSLATE(D34, ""en"", ""zh"")"),"A) 喜剧")</f>
        <v>A) 喜剧</v>
      </c>
      <c r="L34" s="6" t="str">
        <f>IFERROR(__xludf.DUMMYFUNCTION("GOOGLETRANSLATE(E34, ""en"", ""zh"")"),"成龙以其独特的功夫与喜剧元素融合的动作电影而闻名。")</f>
        <v>成龙以其独特的功夫与喜剧元素融合的动作电影而闻名。</v>
      </c>
      <c r="M34" s="4"/>
      <c r="N34" s="2"/>
      <c r="O34" s="4"/>
      <c r="P34" s="2"/>
    </row>
    <row r="35">
      <c r="A35" s="5">
        <v>34.0</v>
      </c>
      <c r="B35" s="6" t="s">
        <v>1924</v>
      </c>
      <c r="C35" s="6" t="s">
        <v>1925</v>
      </c>
      <c r="D35" s="6" t="s">
        <v>1926</v>
      </c>
      <c r="E35" s="6" t="s">
        <v>1927</v>
      </c>
      <c r="F35" s="2"/>
      <c r="G35" s="2"/>
      <c r="H35" s="25"/>
      <c r="I35" s="6" t="str">
        <f>IFERROR(__xludf.DUMMYFUNCTION("GOOGLETRANSLATE(B35, ""en"", ""zh"")"),"哪位中国著名哲学家的思想影响了许多功夫流派？")</f>
        <v>哪位中国著名哲学家的思想影响了许多功夫流派？</v>
      </c>
      <c r="J35" s="6" t="str">
        <f>IFERROR(__xludf.DUMMYFUNCTION("GOOGLETRANSLATE(C35, ""en"", ""zh"")"),"A) 孔子，B) 老子，C) 庄子，D) 孙子")</f>
        <v>A) 孔子，B) 老子，C) 庄子，D) 孙子</v>
      </c>
      <c r="K35" s="6" t="str">
        <f>IFERROR(__xludf.DUMMYFUNCTION("GOOGLETRANSLATE(D35, ""en"", ""zh"")"),"B) 老子")</f>
        <v>B) 老子</v>
      </c>
      <c r="L35" s="6" t="str">
        <f>IFERROR(__xludf.DUMMYFUNCTION("GOOGLETRANSLATE(E35, ""en"", ""zh"")"),"老子的道家哲学对功夫的内部结构，特别是太极拳，产生了很大的影响。")</f>
        <v>老子的道家哲学对功夫的内部结构，特别是太极拳，产生了很大的影响。</v>
      </c>
      <c r="M35" s="4"/>
      <c r="N35" s="2"/>
      <c r="O35" s="4"/>
      <c r="P35" s="4"/>
    </row>
    <row r="36">
      <c r="A36" s="5">
        <v>35.0</v>
      </c>
      <c r="B36" s="6" t="s">
        <v>1928</v>
      </c>
      <c r="C36" s="6" t="s">
        <v>1929</v>
      </c>
      <c r="D36" s="6" t="s">
        <v>1930</v>
      </c>
      <c r="E36" s="6" t="s">
        <v>1931</v>
      </c>
      <c r="F36" s="2"/>
      <c r="G36" s="2"/>
      <c r="H36" s="25"/>
      <c r="I36" s="6" t="str">
        <f>IFERROR(__xludf.DUMMYFUNCTION("GOOGLETRANSLATE(B36, ""en"", ""zh"")"),"根据传统教义，功夫的主要原则是什么？")</f>
        <v>根据传统教义，功夫的主要原则是什么？</v>
      </c>
      <c r="J36" s="6" t="str">
        <f>IFERROR(__xludf.DUMMYFUNCTION("GOOGLETRANSLATE(C36, ""en"", ""zh"")"),"A）速度胜于力量，B）平衡与控制，C）力量胜于一切，D）战斗精神")</f>
        <v>A）速度胜于力量，B）平衡与控制，C）力量胜于一切，D）战斗精神</v>
      </c>
      <c r="K36" s="6" t="str">
        <f>IFERROR(__xludf.DUMMYFUNCTION("GOOGLETRANSLATE(D36, ""en"", ""zh"")"),"B) 平衡与控制")</f>
        <v>B) 平衡与控制</v>
      </c>
      <c r="L36" s="6" t="str">
        <f>IFERROR(__xludf.DUMMYFUNCTION("GOOGLETRANSLATE(E36, ""en"", ""zh"")"),"功夫强调在精神和身体上达到平衡与控制。")</f>
        <v>功夫强调在精神和身体上达到平衡与控制。</v>
      </c>
      <c r="M36" s="4"/>
      <c r="N36" s="4"/>
      <c r="O36" s="4"/>
      <c r="P36" s="2"/>
    </row>
    <row r="37">
      <c r="A37" s="5">
        <v>36.0</v>
      </c>
      <c r="B37" s="6" t="s">
        <v>1932</v>
      </c>
      <c r="C37" s="6" t="s">
        <v>1933</v>
      </c>
      <c r="D37" s="6" t="s">
        <v>1934</v>
      </c>
      <c r="E37" s="6" t="s">
        <v>1935</v>
      </c>
      <c r="F37" s="2"/>
      <c r="G37" s="2"/>
      <c r="H37" s="25"/>
      <c r="I37" s="6" t="str">
        <f>IFERROR(__xludf.DUMMYFUNCTION("GOOGLETRANSLATE(B37, ""en"", ""zh"")"),"谁被认为是南拳的创始人？")</f>
        <v>谁被认为是南拳的创始人？</v>
      </c>
      <c r="J37" s="6" t="str">
        <f>IFERROR(__xludf.DUMMYFUNCTION("GOOGLETRANSLATE(C37, ""en"", ""zh"")"),"A) 黄飞鸿、B) 陈望庭、C) 霍元甲、D) 叶问")</f>
        <v>A) 黄飞鸿、B) 陈望庭、C) 霍元甲、D) 叶问</v>
      </c>
      <c r="K37" s="6" t="str">
        <f>IFERROR(__xludf.DUMMYFUNCTION("GOOGLETRANSLATE(D37, ""en"", ""zh"")"),"B) 陈望亭")</f>
        <v>B) 陈望亭</v>
      </c>
      <c r="L37" s="6" t="str">
        <f>IFERROR(__xludf.DUMMYFUNCTION("GOOGLETRANSLATE(E37, ""en"", ""zh"")"),"陈望庭被认为是南拳的创始人，南拳注重强劲有力的直接打击。")</f>
        <v>陈望庭被认为是南拳的创始人，南拳注重强劲有力的直接打击。</v>
      </c>
      <c r="M37" s="4"/>
      <c r="N37" s="4"/>
      <c r="O37" s="4"/>
      <c r="P37" s="4"/>
    </row>
    <row r="38">
      <c r="A38" s="5">
        <v>37.0</v>
      </c>
      <c r="B38" s="6" t="s">
        <v>1936</v>
      </c>
      <c r="C38" s="6" t="s">
        <v>1937</v>
      </c>
      <c r="D38" s="6" t="s">
        <v>1938</v>
      </c>
      <c r="E38" s="6" t="s">
        <v>1939</v>
      </c>
      <c r="F38" s="2"/>
      <c r="G38" s="2"/>
      <c r="H38" s="25"/>
      <c r="I38" s="6" t="str">
        <f>IFERROR(__xludf.DUMMYFUNCTION("GOOGLETRANSLATE(B38, ""en"", ""zh"")"),"20世纪70年代，哪件大事让功夫在全球范围内受到关注？")</f>
        <v>20世纪70年代，哪件大事让功夫在全球范围内受到关注？</v>
      </c>
      <c r="J38" s="6" t="str">
        <f>IFERROR(__xludf.DUMMYFUNCTION("GOOGLETRANSLATE(C38, ""en"", ""zh"")"),"A) 北京奥运会，B) 李小龙的崛起，C) 文化大革命，D) 少林寺的复兴")</f>
        <v>A) 北京奥运会，B) 李小龙的崛起，C) 文化大革命，D) 少林寺的复兴</v>
      </c>
      <c r="K38" s="6" t="str">
        <f>IFERROR(__xludf.DUMMYFUNCTION("GOOGLETRANSLATE(D38, ""en"", ""zh"")"),"B) 李小龙的崛起")</f>
        <v>B) 李小龙的崛起</v>
      </c>
      <c r="L38" s="6" t="str">
        <f>IFERROR(__xludf.DUMMYFUNCTION("GOOGLETRANSLATE(E38, ""en"", ""zh"")"),"李小龙的电影，尤其是《龙争虎斗》，在 20 世纪 70 年代将功夫带给了全世界的观众。")</f>
        <v>李小龙的电影，尤其是《龙争虎斗》，在 20 世纪 70 年代将功夫带给了全世界的观众。</v>
      </c>
      <c r="M38" s="4"/>
      <c r="N38" s="2"/>
      <c r="O38" s="4"/>
      <c r="P38" s="2"/>
    </row>
    <row r="39">
      <c r="A39" s="5">
        <v>38.0</v>
      </c>
      <c r="B39" s="6" t="s">
        <v>1940</v>
      </c>
      <c r="C39" s="6" t="s">
        <v>1941</v>
      </c>
      <c r="D39" s="6" t="s">
        <v>983</v>
      </c>
      <c r="E39" s="6" t="s">
        <v>1942</v>
      </c>
      <c r="F39" s="2"/>
      <c r="G39" s="2"/>
      <c r="H39" s="25"/>
      <c r="I39" s="6" t="str">
        <f>IFERROR(__xludf.DUMMYFUNCTION("GOOGLETRANSLATE(B39, ""en"", ""zh"")"),"少林寺在哪个时期成为功夫发展的中心？")</f>
        <v>少林寺在哪个时期成为功夫发展的中心？</v>
      </c>
      <c r="J39" s="6" t="str">
        <f>IFERROR(__xludf.DUMMYFUNCTION("GOOGLETRANSLATE(C39, ""en"", ""zh"")"),"A) 唐朝，B) 汉朝，C) 元朝，D) 明朝")</f>
        <v>A) 唐朝，B) 汉朝，C) 元朝，D) 明朝</v>
      </c>
      <c r="K39" s="6" t="str">
        <f>IFERROR(__xludf.DUMMYFUNCTION("GOOGLETRANSLATE(D39, ""en"", ""zh"")"),"A) 唐朝")</f>
        <v>A) 唐朝</v>
      </c>
      <c r="L39" s="6" t="str">
        <f>IFERROR(__xludf.DUMMYFUNCTION("GOOGLETRANSLATE(E39, ""en"", ""zh"")"),"唐朝时期，少林寺成为功夫发展的重要中心。")</f>
        <v>唐朝时期，少林寺成为功夫发展的重要中心。</v>
      </c>
      <c r="M39" s="4"/>
      <c r="N39" s="2"/>
      <c r="O39" s="4"/>
      <c r="P39" s="2"/>
    </row>
    <row r="40">
      <c r="A40" s="5">
        <v>39.0</v>
      </c>
      <c r="B40" s="6" t="s">
        <v>1943</v>
      </c>
      <c r="C40" s="6" t="s">
        <v>1944</v>
      </c>
      <c r="D40" s="6" t="s">
        <v>1945</v>
      </c>
      <c r="E40" s="6" t="s">
        <v>1946</v>
      </c>
      <c r="F40" s="2"/>
      <c r="G40" s="2"/>
      <c r="H40" s="25"/>
      <c r="I40" s="6" t="str">
        <f>IFERROR(__xludf.DUMMYFUNCTION("GOOGLETRANSLATE(B40, ""en"", ""zh"")"),"哪位功夫大师对咏春拳的贡献最为著名？")</f>
        <v>哪位功夫大师对咏春拳的贡献最为著名？</v>
      </c>
      <c r="J40" s="6" t="str">
        <f>IFERROR(__xludf.DUMMYFUNCTION("GOOGLETRANSLATE(C40, ""en"", ""zh"")"),"A) 叶问，B) 黄飞鸿，C) 李小龙，D) 陈望廷")</f>
        <v>A) 叶问，B) 黄飞鸿，C) 李小龙，D) 陈望廷</v>
      </c>
      <c r="K40" s="6" t="str">
        <f>IFERROR(__xludf.DUMMYFUNCTION("GOOGLETRANSLATE(D40, ""en"", ""zh"")"),"A) 叶问")</f>
        <v>A) 叶问</v>
      </c>
      <c r="L40" s="6" t="str">
        <f>IFERROR(__xludf.DUMMYFUNCTION("GOOGLETRANSLATE(E40, ""en"", ""zh"")"),"叶问因推广咏春拳而闻名，尤其是在香港。")</f>
        <v>叶问因推广咏春拳而闻名，尤其是在香港。</v>
      </c>
      <c r="M40" s="4"/>
      <c r="N40" s="2"/>
      <c r="O40" s="4"/>
      <c r="P40" s="2"/>
    </row>
    <row r="41">
      <c r="A41" s="5">
        <v>40.0</v>
      </c>
      <c r="B41" s="6" t="s">
        <v>1947</v>
      </c>
      <c r="C41" s="6" t="s">
        <v>1892</v>
      </c>
      <c r="D41" s="6" t="s">
        <v>10</v>
      </c>
      <c r="E41" s="6" t="s">
        <v>1948</v>
      </c>
      <c r="F41" s="2"/>
      <c r="G41" s="2"/>
      <c r="H41" s="25"/>
      <c r="I41" s="6" t="str">
        <f>IFERROR(__xludf.DUMMYFUNCTION("GOOGLETRANSLATE(B41, ""en"", ""zh"")"),"据说哪位中国皇帝为了军事目的而大力发展功夫？")</f>
        <v>据说哪位中国皇帝为了军事目的而大力发展功夫？</v>
      </c>
      <c r="J41" s="6" t="str">
        <f>IFERROR(__xludf.DUMMYFUNCTION("GOOGLETRANSLATE(C41, ""en"", ""zh"")"),"A) 汉武帝，B) 秦始皇，C) 唐太宗，D) 康熙皇帝")</f>
        <v>A) 汉武帝，B) 秦始皇，C) 唐太宗，D) 康熙皇帝</v>
      </c>
      <c r="K41" s="6" t="str">
        <f>IFERROR(__xludf.DUMMYFUNCTION("GOOGLETRANSLATE(D41, ""en"", ""zh"")"),"A) 汉武帝")</f>
        <v>A) 汉武帝</v>
      </c>
      <c r="L41" s="6" t="str">
        <f>IFERROR(__xludf.DUMMYFUNCTION("GOOGLETRANSLATE(E41, ""en"", ""zh"")"),"汉武帝为了增强军事实力和战略优势，大力提倡武术。")</f>
        <v>汉武帝为了增强军事实力和战略优势，大力提倡武术。</v>
      </c>
      <c r="M41" s="4"/>
      <c r="N41" s="2"/>
      <c r="O41" s="4"/>
      <c r="P41" s="2"/>
    </row>
    <row r="42">
      <c r="A42" s="5">
        <v>41.0</v>
      </c>
      <c r="B42" s="6" t="s">
        <v>1949</v>
      </c>
      <c r="C42" s="6" t="s">
        <v>1950</v>
      </c>
      <c r="D42" s="6" t="s">
        <v>1951</v>
      </c>
      <c r="E42" s="6" t="s">
        <v>1952</v>
      </c>
      <c r="F42" s="2"/>
      <c r="G42" s="2"/>
      <c r="H42" s="25"/>
      <c r="I42" s="6" t="str">
        <f>IFERROR(__xludf.DUMMYFUNCTION("GOOGLETRANSLATE(B42, ""en"", ""zh"")"),"中国历史上发生了哪些重大事件，导致许多功夫学校转入地下？")</f>
        <v>中国历史上发生了哪些重大事件，导致许多功夫学校转入地下？</v>
      </c>
      <c r="J42" s="6" t="str">
        <f>IFERROR(__xludf.DUMMYFUNCTION("GOOGLETRANSLATE(C42, ""en"", ""zh"")"),"A) 义和团运动，B) 文化大革命，C) 鸦片战争，D) 太平天国运动")</f>
        <v>A) 义和团运动，B) 文化大革命，C) 鸦片战争，D) 太平天国运动</v>
      </c>
      <c r="K42" s="6" t="str">
        <f>IFERROR(__xludf.DUMMYFUNCTION("GOOGLETRANSLATE(D42, ""en"", ""zh"")"),"B) 文化大革命")</f>
        <v>B) 文化大革命</v>
      </c>
      <c r="L42" s="6" t="str">
        <f>IFERROR(__xludf.DUMMYFUNCTION("GOOGLETRANSLATE(E42, ""en"", ""zh"")"),"文化大革命导致包括功夫在内的传统习俗遭到压制，迫使许多武馆秘密运作。")</f>
        <v>文化大革命导致包括功夫在内的传统习俗遭到压制，迫使许多武馆秘密运作。</v>
      </c>
      <c r="M42" s="4"/>
      <c r="N42" s="2"/>
      <c r="O42" s="4"/>
      <c r="P42" s="2"/>
    </row>
    <row r="43">
      <c r="A43" s="5">
        <v>42.0</v>
      </c>
      <c r="B43" s="6" t="s">
        <v>1953</v>
      </c>
      <c r="C43" s="6" t="s">
        <v>1954</v>
      </c>
      <c r="D43" s="6" t="s">
        <v>1955</v>
      </c>
      <c r="E43" s="6" t="s">
        <v>1956</v>
      </c>
      <c r="F43" s="2"/>
      <c r="G43" s="2"/>
      <c r="H43" s="25"/>
      <c r="I43" s="6" t="str">
        <f>IFERROR(__xludf.DUMMYFUNCTION("GOOGLETRANSLATE(B43, ""en"", ""zh"")"),"李小龙融合传统功夫和其他武术，发展出了哪种武术？")</f>
        <v>李小龙融合传统功夫和其他武术，发展出了哪种武术？</v>
      </c>
      <c r="J43" s="6" t="str">
        <f>IFERROR(__xludf.DUMMYFUNCTION("GOOGLETRANSLATE(C43, ""en"", ""zh"")"),"A) 截拳道，B) 咏春拳，C) 少林功夫，D) 武术")</f>
        <v>A) 截拳道，B) 咏春拳，C) 少林功夫，D) 武术</v>
      </c>
      <c r="K43" s="6" t="str">
        <f>IFERROR(__xludf.DUMMYFUNCTION("GOOGLETRANSLATE(D43, ""en"", ""zh"")"),"A) 截拳道")</f>
        <v>A) 截拳道</v>
      </c>
      <c r="L43" s="6" t="str">
        <f>IFERROR(__xludf.DUMMYFUNCTION("GOOGLETRANSLATE(E43, ""en"", ""zh"")"),"李小龙创立了截拳道，这是一种融合了包括功夫在内的各种传统武术风格的混合武术。")</f>
        <v>李小龙创立了截拳道，这是一种融合了包括功夫在内的各种传统武术风格的混合武术。</v>
      </c>
      <c r="M43" s="4"/>
      <c r="N43" s="2"/>
      <c r="O43" s="4"/>
      <c r="P43" s="4"/>
    </row>
    <row r="44">
      <c r="A44" s="8">
        <v>43.0</v>
      </c>
      <c r="B44" s="6" t="s">
        <v>1957</v>
      </c>
      <c r="C44" s="6" t="s">
        <v>1958</v>
      </c>
      <c r="D44" s="6" t="s">
        <v>1959</v>
      </c>
      <c r="E44" s="6" t="s">
        <v>1960</v>
      </c>
      <c r="F44" s="2"/>
      <c r="G44" s="2"/>
      <c r="H44" s="25"/>
      <c r="I44" s="6" t="str">
        <f>IFERROR(__xludf.DUMMYFUNCTION("GOOGLETRANSLATE(B44, ""en"", ""zh"")"),"在传统功夫训练体系中，“六和”至关重要。下列哪一项代表了六和之一？")</f>
        <v>在传统功夫训练体系中，“六和”至关重要。下列哪一项代表了六和之一？</v>
      </c>
      <c r="J44" s="6" t="str">
        <f>IFERROR(__xludf.DUMMYFUNCTION("GOOGLETRANSLATE(C44, ""en"", ""zh"")"),"A) 身心协调，B) 力量与敏捷的和谐，C) 心念与呼吸的和谐，D) 手与武器的和谐")</f>
        <v>A) 身心协调，B) 力量与敏捷的和谐，C) 心念与呼吸的和谐，D) 手与武器的和谐</v>
      </c>
      <c r="K44" s="6" t="str">
        <f>IFERROR(__xludf.DUMMYFUNCTION("GOOGLETRANSLATE(D44, ""en"", ""zh"")"),"C) 心境与呼吸的和谐")</f>
        <v>C) 心境与呼吸的和谐</v>
      </c>
      <c r="L44" s="6" t="str">
        <f>IFERROR(__xludf.DUMMYFUNCTION("GOOGLETRANSLATE(E44, ""en"", ""zh"")"),"在功夫中，正确的呼吸控制是保持精力、专注力和耐力的关键，因此身心合一至关重要。")</f>
        <v>在功夫中，正确的呼吸控制是保持精力、专注力和耐力的关键，因此身心合一至关重要。</v>
      </c>
      <c r="M44" s="4"/>
      <c r="N44" s="4"/>
      <c r="O44" s="4"/>
      <c r="P44" s="2"/>
    </row>
    <row r="45">
      <c r="A45" s="5">
        <v>44.0</v>
      </c>
      <c r="B45" s="18" t="s">
        <v>1961</v>
      </c>
      <c r="C45" s="18" t="s">
        <v>1962</v>
      </c>
      <c r="D45" s="18" t="s">
        <v>1963</v>
      </c>
      <c r="I45" s="6" t="str">
        <f>IFERROR(__xludf.DUMMYFUNCTION("GOOGLETRANSLATE(B45, ""en"", ""zh"")"),"功夫在中国还被称为什么？")</f>
        <v>功夫在中国还被称为什么？</v>
      </c>
      <c r="J45" s="6" t="str">
        <f>IFERROR(__xludf.DUMMYFUNCTION("GOOGLETRANSLATE(C45, ""en"", ""zh"")"),"A) 武术 B) 太极 C) 气功 D) 空手道")</f>
        <v>A) 武术 B) 太极 C) 气功 D) 空手道</v>
      </c>
      <c r="K45" s="6" t="str">
        <f>IFERROR(__xludf.DUMMYFUNCTION("GOOGLETRANSLATE(D45, ""en"", ""zh"")"),"A) 武术")</f>
        <v>A) 武术</v>
      </c>
      <c r="L45" s="6" t="str">
        <f>IFERROR(__xludf.DUMMYFUNCTION("GOOGLETRANSLATE(E45, ""en"", ""zh"")"),"#VALUE!")</f>
        <v>#VALUE!</v>
      </c>
    </row>
    <row r="46">
      <c r="A46" s="5">
        <v>45.0</v>
      </c>
      <c r="B46" s="18" t="s">
        <v>1964</v>
      </c>
      <c r="C46" s="18" t="s">
        <v>774</v>
      </c>
      <c r="D46" s="18" t="s">
        <v>516</v>
      </c>
      <c r="I46" s="6" t="str">
        <f>IFERROR(__xludf.DUMMYFUNCTION("GOOGLETRANSLATE(B46, ""en"", ""zh"")"),"功夫起源于哪个国家？")</f>
        <v>功夫起源于哪个国家？</v>
      </c>
      <c r="J46" s="6" t="str">
        <f>IFERROR(__xludf.DUMMYFUNCTION("GOOGLETRANSLATE(C46, ""en"", ""zh"")"),"A) 日本 B) 中国 C) 韩国 D) 越南")</f>
        <v>A) 日本 B) 中国 C) 韩国 D) 越南</v>
      </c>
      <c r="K46" s="6" t="str">
        <f>IFERROR(__xludf.DUMMYFUNCTION("GOOGLETRANSLATE(D46, ""en"", ""zh"")"),"B) 中国")</f>
        <v>B) 中国</v>
      </c>
      <c r="L46" s="6" t="str">
        <f>IFERROR(__xludf.DUMMYFUNCTION("GOOGLETRANSLATE(E46, ""en"", ""zh"")"),"#VALUE!")</f>
        <v>#VALUE!</v>
      </c>
    </row>
    <row r="47">
      <c r="A47" s="5">
        <v>46.0</v>
      </c>
      <c r="B47" s="18" t="s">
        <v>1965</v>
      </c>
      <c r="C47" s="18" t="s">
        <v>1966</v>
      </c>
      <c r="D47" s="18" t="s">
        <v>1967</v>
      </c>
      <c r="I47" s="6" t="str">
        <f>IFERROR(__xludf.DUMMYFUNCTION("GOOGLETRANSLATE(B47, ""en"", ""zh"")"),"最早的功夫记载发现于哪个朝代？")</f>
        <v>最早的功夫记载发现于哪个朝代？</v>
      </c>
      <c r="J47" s="6" t="str">
        <f>IFERROR(__xludf.DUMMYFUNCTION("GOOGLETRANSLATE(C47, ""en"", ""zh"")"),"A) 商 B) 周 C) 汉 D) 唐")</f>
        <v>A) 商 B) 周 C) 汉 D) 唐</v>
      </c>
      <c r="K47" s="6" t="str">
        <f>IFERROR(__xludf.DUMMYFUNCTION("GOOGLETRANSLATE(D47, ""en"", ""zh"")"),"B) 周")</f>
        <v>B) 周</v>
      </c>
      <c r="L47" s="6" t="str">
        <f>IFERROR(__xludf.DUMMYFUNCTION("GOOGLETRANSLATE(E47, ""en"", ""zh"")"),"#VALUE!")</f>
        <v>#VALUE!</v>
      </c>
    </row>
    <row r="48">
      <c r="A48" s="5">
        <v>47.0</v>
      </c>
      <c r="B48" s="18" t="s">
        <v>1968</v>
      </c>
      <c r="C48" s="18" t="s">
        <v>1969</v>
      </c>
      <c r="D48" s="18" t="s">
        <v>1970</v>
      </c>
      <c r="I48" s="6" t="str">
        <f>IFERROR(__xludf.DUMMYFUNCTION("GOOGLETRANSLATE(B48, ""en"", ""zh"")"),"哪种哲学思想对传统功夫实践产生了深远影响？")</f>
        <v>哪种哲学思想对传统功夫实践产生了深远影响？</v>
      </c>
      <c r="J48" s="6" t="str">
        <f>IFERROR(__xludf.DUMMYFUNCTION("GOOGLETRANSLATE(C48, ""en"", ""zh"")"),"A) 儒家 B) 道家 C) 佛教 D) 法家")</f>
        <v>A) 儒家 B) 道家 C) 佛教 D) 法家</v>
      </c>
      <c r="K48" s="6" t="str">
        <f>IFERROR(__xludf.DUMMYFUNCTION("GOOGLETRANSLATE(D48, ""en"", ""zh"")"),"C) 佛教")</f>
        <v>C) 佛教</v>
      </c>
      <c r="L48" s="6" t="str">
        <f>IFERROR(__xludf.DUMMYFUNCTION("GOOGLETRANSLATE(E48, ""en"", ""zh"")"),"#VALUE!")</f>
        <v>#VALUE!</v>
      </c>
    </row>
    <row r="49">
      <c r="A49" s="5">
        <v>48.0</v>
      </c>
      <c r="B49" s="18" t="s">
        <v>1971</v>
      </c>
      <c r="C49" s="18" t="s">
        <v>1972</v>
      </c>
      <c r="D49" s="18" t="s">
        <v>1973</v>
      </c>
      <c r="I49" s="6" t="str">
        <f>IFERROR(__xludf.DUMMYFUNCTION("GOOGLETRANSLATE(B49, ""en"", ""zh"")"),"少林功夫起源于中国哪个省？")</f>
        <v>少林功夫起源于中国哪个省？</v>
      </c>
      <c r="J49" s="6" t="str">
        <f>IFERROR(__xludf.DUMMYFUNCTION("GOOGLETRANSLATE(C49, ""en"", ""zh"")"),"A) 河南 B) 福建 C) 广东 D) 四川")</f>
        <v>A) 河南 B) 福建 C) 广东 D) 四川</v>
      </c>
      <c r="K49" s="6" t="str">
        <f>IFERROR(__xludf.DUMMYFUNCTION("GOOGLETRANSLATE(D49, ""en"", ""zh"")"),"A) 河南")</f>
        <v>A) 河南</v>
      </c>
      <c r="L49" s="6" t="str">
        <f>IFERROR(__xludf.DUMMYFUNCTION("GOOGLETRANSLATE(E49, ""en"", ""zh"")"),"#VALUE!")</f>
        <v>#VALUE!</v>
      </c>
    </row>
    <row r="50">
      <c r="A50" s="5">
        <v>49.0</v>
      </c>
      <c r="B50" s="18" t="s">
        <v>1974</v>
      </c>
      <c r="C50" s="18" t="s">
        <v>1975</v>
      </c>
      <c r="D50" s="18" t="s">
        <v>1976</v>
      </c>
      <c r="I50" s="6" t="str">
        <f>IFERROR(__xludf.DUMMYFUNCTION("GOOGLETRANSLATE(B50, ""en"", ""zh"")"),"哪座著名寺庙与功夫的起源有关？")</f>
        <v>哪座著名寺庙与功夫的起源有关？</v>
      </c>
      <c r="J50" s="6" t="str">
        <f>IFERROR(__xludf.DUMMYFUNCTION("GOOGLETRANSLATE(C50, ""en"", ""zh"")"),"A) 少林寺 B) 武当寺 C) 天坛 D) 灵隐寺")</f>
        <v>A) 少林寺 B) 武当寺 C) 天坛 D) 灵隐寺</v>
      </c>
      <c r="K50" s="6" t="str">
        <f>IFERROR(__xludf.DUMMYFUNCTION("GOOGLETRANSLATE(D50, ""en"", ""zh"")"),"A) 少林寺")</f>
        <v>A) 少林寺</v>
      </c>
      <c r="L50" s="6" t="str">
        <f>IFERROR(__xludf.DUMMYFUNCTION("GOOGLETRANSLATE(E50, ""en"", ""zh"")"),"#VALUE!")</f>
        <v>#VALUE!</v>
      </c>
    </row>
    <row r="51">
      <c r="A51" s="5">
        <v>50.0</v>
      </c>
      <c r="B51" s="18" t="s">
        <v>1977</v>
      </c>
      <c r="C51" s="18" t="s">
        <v>1978</v>
      </c>
      <c r="D51" s="18" t="s">
        <v>1979</v>
      </c>
      <c r="I51" s="6" t="str">
        <f>IFERROR(__xludf.DUMMYFUNCTION("GOOGLETRANSLATE(B51, ""en"", ""zh"")"),"功夫最初发展的主要目的是为了：")</f>
        <v>功夫最初发展的主要目的是为了：</v>
      </c>
      <c r="J51" s="6" t="str">
        <f>IFERROR(__xludf.DUMMYFUNCTION("GOOGLETRANSLATE(C51, ""en"", ""zh"")"),"A) 运动 B) 自卫 C) 武术训练 D) 以上全部")</f>
        <v>A) 运动 B) 自卫 C) 武术训练 D) 以上全部</v>
      </c>
      <c r="K51" s="6" t="str">
        <f>IFERROR(__xludf.DUMMYFUNCTION("GOOGLETRANSLATE(D51, ""en"", ""zh"")"),"B) 自卫")</f>
        <v>B) 自卫</v>
      </c>
      <c r="L51" s="6" t="str">
        <f>IFERROR(__xludf.DUMMYFUNCTION("GOOGLETRANSLATE(E51, ""en"", ""zh"")"),"#VALUE!")</f>
        <v>#VALUE!</v>
      </c>
    </row>
    <row r="52">
      <c r="A52" s="5">
        <v>51.0</v>
      </c>
      <c r="B52" s="18" t="s">
        <v>1980</v>
      </c>
      <c r="C52" s="18" t="s">
        <v>1981</v>
      </c>
      <c r="D52" s="18" t="s">
        <v>1982</v>
      </c>
      <c r="I52" s="6" t="str">
        <f>IFERROR(__xludf.DUMMYFUNCTION("GOOGLETRANSLATE(B52, ""en"", ""zh"")"),"“功夫”一词的字面意思是：")</f>
        <v>“功夫”一词的字面意思是：</v>
      </c>
      <c r="J52" s="6" t="str">
        <f>IFERROR(__xludf.DUMMYFUNCTION("GOOGLETRANSLATE(C52, ""en"", ""zh"")"),"A) 武术 B) 通过努力获得的技能 C) 格斗风格 D) 体能")</f>
        <v>A) 武术 B) 通过努力获得的技能 C) 格斗风格 D) 体能</v>
      </c>
      <c r="K52" s="6" t="str">
        <f>IFERROR(__xludf.DUMMYFUNCTION("GOOGLETRANSLATE(D52, ""en"", ""zh"")"),"B) 通过努力获得的技能")</f>
        <v>B) 通过努力获得的技能</v>
      </c>
      <c r="L52" s="6" t="str">
        <f>IFERROR(__xludf.DUMMYFUNCTION("GOOGLETRANSLATE(E52, ""en"", ""zh"")"),"#VALUE!")</f>
        <v>#VALUE!</v>
      </c>
    </row>
    <row r="53">
      <c r="A53" s="5">
        <v>52.0</v>
      </c>
      <c r="B53" s="18" t="s">
        <v>1983</v>
      </c>
      <c r="C53" s="18" t="s">
        <v>1984</v>
      </c>
      <c r="D53" s="18" t="s">
        <v>1985</v>
      </c>
      <c r="I53" s="6" t="str">
        <f>IFERROR(__xludf.DUMMYFUNCTION("GOOGLETRANSLATE(B53, ""en"", ""zh"")"),"少林功夫被认为是哪个佛教宗派创立的？")</f>
        <v>少林功夫被认为是哪个佛教宗派创立的？</v>
      </c>
      <c r="J53" s="6" t="str">
        <f>IFERROR(__xludf.DUMMYFUNCTION("GOOGLETRANSLATE(C53, ""en"", ""zh"")"),"A) 禅 B) 净土 C) 天台 D) 华严")</f>
        <v>A) 禅 B) 净土 C) 天台 D) 华严</v>
      </c>
      <c r="K53" s="6" t="str">
        <f>IFERROR(__xludf.DUMMYFUNCTION("GOOGLETRANSLATE(D53, ""en"", ""zh"")"),"A) 禅宗")</f>
        <v>A) 禅宗</v>
      </c>
      <c r="L53" s="6" t="str">
        <f>IFERROR(__xludf.DUMMYFUNCTION("GOOGLETRANSLATE(E53, ""en"", ""zh"")"),"#VALUE!")</f>
        <v>#VALUE!</v>
      </c>
    </row>
    <row r="54">
      <c r="A54" s="8">
        <v>53.0</v>
      </c>
      <c r="B54" s="18" t="s">
        <v>1986</v>
      </c>
      <c r="C54" s="18" t="s">
        <v>1987</v>
      </c>
      <c r="D54" s="18" t="s">
        <v>1988</v>
      </c>
      <c r="I54" s="6" t="str">
        <f>IFERROR(__xludf.DUMMYFUNCTION("GOOGLETRANSLATE(B54, ""en"", ""zh"")"),"武当功夫强调：")</f>
        <v>武当功夫强调：</v>
      </c>
      <c r="J54" s="6" t="str">
        <f>IFERROR(__xludf.DUMMYFUNCTION("GOOGLETRANSLATE(C54, ""en"", ""zh"")"),"A) 硬外功 B) 内功修炼 C) 兵器精通 D) 地面格斗")</f>
        <v>A) 硬外功 B) 内功修炼 C) 兵器精通 D) 地面格斗</v>
      </c>
      <c r="K54" s="6" t="str">
        <f>IFERROR(__xludf.DUMMYFUNCTION("GOOGLETRANSLATE(D54, ""en"", ""zh"")"),"B）内力修炼")</f>
        <v>B）内力修炼</v>
      </c>
      <c r="L54" s="6" t="str">
        <f>IFERROR(__xludf.DUMMYFUNCTION("GOOGLETRANSLATE(E54, ""en"", ""zh"")"),"#VALUE!")</f>
        <v>#VALUE!</v>
      </c>
    </row>
    <row r="55">
      <c r="A55" s="8">
        <v>54.0</v>
      </c>
      <c r="B55" s="18" t="s">
        <v>1989</v>
      </c>
      <c r="C55" s="18" t="s">
        <v>1990</v>
      </c>
      <c r="D55" s="18" t="s">
        <v>1991</v>
      </c>
      <c r="I55" s="6" t="str">
        <f>IFERROR(__xludf.DUMMYFUNCTION("GOOGLETRANSLATE(B55, ""en"", ""zh"")"),"以下哪一项是传统功夫中的著名武器？")</f>
        <v>以下哪一项是传统功夫中的著名武器？</v>
      </c>
      <c r="J55" s="6" t="str">
        <f>IFERROR(__xludf.DUMMYFUNCTION("GOOGLETRANSLATE(C55, ""en"", ""zh"")"),"A) 剑 B) 博杖 C) 双节棍 D) A 和 B")</f>
        <v>A) 剑 B) 博杖 C) 双节棍 D) A 和 B</v>
      </c>
      <c r="K55" s="6" t="str">
        <f>IFERROR(__xludf.DUMMYFUNCTION("GOOGLETRANSLATE(D55, ""en"", ""zh"")"),"D) A 和 B 都对")</f>
        <v>D) A 和 B 都对</v>
      </c>
      <c r="L55" s="6" t="str">
        <f>IFERROR(__xludf.DUMMYFUNCTION("GOOGLETRANSLATE(E55, ""en"", ""zh"")"),"#VALUE!")</f>
        <v>#VALUE!</v>
      </c>
    </row>
    <row r="56">
      <c r="A56" s="8">
        <v>55.0</v>
      </c>
      <c r="B56" s="18" t="s">
        <v>1992</v>
      </c>
      <c r="C56" s="18" t="s">
        <v>1717</v>
      </c>
      <c r="D56" s="18" t="s">
        <v>1993</v>
      </c>
      <c r="I56" s="6" t="str">
        <f>IFERROR(__xludf.DUMMYFUNCTION("GOOGLETRANSLATE(B56, ""en"", ""zh"")"),"已知最早的功夫秘籍是哪个朝代写成的？")</f>
        <v>已知最早的功夫秘籍是哪个朝代写成的？</v>
      </c>
      <c r="J56" s="6" t="str">
        <f>IFERROR(__xludf.DUMMYFUNCTION("GOOGLETRANSLATE(C56, ""en"", ""zh"")"),"A) 唐 B) 宋 C) 明 D) 青")</f>
        <v>A) 唐 B) 宋 C) 明 D) 青</v>
      </c>
      <c r="K56" s="6" t="str">
        <f>IFERROR(__xludf.DUMMYFUNCTION("GOOGLETRANSLATE(D56, ""en"", ""zh"")"),"C) 明")</f>
        <v>C) 明</v>
      </c>
      <c r="L56" s="6" t="str">
        <f>IFERROR(__xludf.DUMMYFUNCTION("GOOGLETRANSLATE(E56, ""en"", ""zh"")"),"#VALUE!")</f>
        <v>#VALUE!</v>
      </c>
    </row>
    <row r="57">
      <c r="A57" s="8">
        <v>56.0</v>
      </c>
      <c r="B57" s="18" t="s">
        <v>1994</v>
      </c>
      <c r="C57" s="18" t="s">
        <v>1995</v>
      </c>
      <c r="D57" s="18" t="s">
        <v>1299</v>
      </c>
      <c r="I57" s="6" t="str">
        <f>IFERROR(__xludf.DUMMYFUNCTION("GOOGLETRANSLATE(B57, ""en"", ""zh"")"),"功夫包含哪些类型的武术技巧？")</f>
        <v>功夫包含哪些类型的武术技巧？</v>
      </c>
      <c r="J57" s="6" t="str">
        <f>IFERROR(__xludf.DUMMYFUNCTION("GOOGLETRANSLATE(C57, ""en"", ""zh"")"),"A) 击打 B) 踢击 C) 投掷 D) 以上全部")</f>
        <v>A) 击打 B) 踢击 C) 投掷 D) 以上全部</v>
      </c>
      <c r="K57" s="6" t="str">
        <f>IFERROR(__xludf.DUMMYFUNCTION("GOOGLETRANSLATE(D57, ""en"", ""zh"")"),"D) 以上所有选项")</f>
        <v>D) 以上所有选项</v>
      </c>
      <c r="L57" s="6" t="str">
        <f>IFERROR(__xludf.DUMMYFUNCTION("GOOGLETRANSLATE(E57, ""en"", ""zh"")"),"#VALUE!")</f>
        <v>#VALUE!</v>
      </c>
    </row>
    <row r="58">
      <c r="A58" s="8">
        <v>57.0</v>
      </c>
      <c r="B58" s="18" t="s">
        <v>1996</v>
      </c>
      <c r="C58" s="18" t="s">
        <v>1997</v>
      </c>
      <c r="D58" s="18" t="s">
        <v>1998</v>
      </c>
      <c r="I58" s="6" t="str">
        <f>IFERROR(__xludf.DUMMYFUNCTION("GOOGLETRANSLATE(B58, ""en"", ""zh"")"),"“五形拳”模仿的是：")</f>
        <v>“五形拳”模仿的是：</v>
      </c>
      <c r="J58" s="6" t="str">
        <f>IFERROR(__xludf.DUMMYFUNCTION("GOOGLETRANSLATE(C58, ""en"", ""zh"")"),"A) 龙、虎、鹤、豹、蛇 B) 马、虎、鹤、龙、豹 C) 虎、蛇、龙、鹰、猴 D) 鹤、龙、虎、马、豹")</f>
        <v>A) 龙、虎、鹤、豹、蛇 B) 马、虎、鹤、龙、豹 C) 虎、蛇、龙、鹰、猴 D) 鹤、龙、虎、马、豹</v>
      </c>
      <c r="K58" s="6" t="str">
        <f>IFERROR(__xludf.DUMMYFUNCTION("GOOGLETRANSLATE(D58, ""en"", ""zh"")"),"A) 龙、虎、鹤、豹、蛇")</f>
        <v>A) 龙、虎、鹤、豹、蛇</v>
      </c>
      <c r="L58" s="6" t="str">
        <f>IFERROR(__xludf.DUMMYFUNCTION("GOOGLETRANSLATE(E58, ""en"", ""zh"")"),"#VALUE!")</f>
        <v>#VALUE!</v>
      </c>
    </row>
    <row r="59">
      <c r="A59" s="8">
        <v>58.0</v>
      </c>
      <c r="B59" s="18" t="s">
        <v>1999</v>
      </c>
      <c r="C59" s="18" t="s">
        <v>2000</v>
      </c>
      <c r="D59" s="18" t="s">
        <v>1299</v>
      </c>
      <c r="I59" s="6" t="str">
        <f>IFERROR(__xludf.DUMMYFUNCTION("GOOGLETRANSLATE(B59, ""en"", ""zh"")"),"少林僧人练习功夫是为了：")</f>
        <v>少林僧人练习功夫是为了：</v>
      </c>
      <c r="J59" s="6" t="str">
        <f>IFERROR(__xludf.DUMMYFUNCTION("GOOGLETRANSLATE(C59, ""en"", ""zh"")"),"A) 体能训练 B) 冥想 C) 防御 D) 以上全部")</f>
        <v>A) 体能训练 B) 冥想 C) 防御 D) 以上全部</v>
      </c>
      <c r="K59" s="6" t="str">
        <f>IFERROR(__xludf.DUMMYFUNCTION("GOOGLETRANSLATE(D59, ""en"", ""zh"")"),"D) 以上所有选项")</f>
        <v>D) 以上所有选项</v>
      </c>
      <c r="L59" s="6" t="str">
        <f>IFERROR(__xludf.DUMMYFUNCTION("GOOGLETRANSLATE(E59, ""en"", ""zh"")"),"#VALUE!")</f>
        <v>#VALUE!</v>
      </c>
    </row>
    <row r="60">
      <c r="A60" s="8">
        <v>59.0</v>
      </c>
      <c r="B60" s="18" t="s">
        <v>2001</v>
      </c>
      <c r="C60" s="18" t="s">
        <v>2002</v>
      </c>
      <c r="D60" s="18" t="s">
        <v>2003</v>
      </c>
      <c r="I60" s="6" t="str">
        <f>IFERROR(__xludf.DUMMYFUNCTION("GOOGLETRANSLATE(B60, ""en"", ""zh"")"),"功夫影响了哪些其他亚洲武术？")</f>
        <v>功夫影响了哪些其他亚洲武术？</v>
      </c>
      <c r="J60" s="6" t="str">
        <f>IFERROR(__xludf.DUMMYFUNCTION("GOOGLETRANSLATE(C60, ""en"", ""zh"")"),"A) 空手道 B) 跆拳道 C) 柔术 D) 合气道")</f>
        <v>A) 空手道 B) 跆拳道 C) 柔术 D) 合气道</v>
      </c>
      <c r="K60" s="6" t="str">
        <f>IFERROR(__xludf.DUMMYFUNCTION("GOOGLETRANSLATE(D60, ""en"", ""zh"")"),"A) 空手道")</f>
        <v>A) 空手道</v>
      </c>
      <c r="L60" s="6" t="str">
        <f>IFERROR(__xludf.DUMMYFUNCTION("GOOGLETRANSLATE(E60, ""en"", ""zh"")"),"#VALUE!")</f>
        <v>#VALUE!</v>
      </c>
    </row>
    <row r="61">
      <c r="A61" s="8">
        <v>60.0</v>
      </c>
      <c r="B61" s="18" t="s">
        <v>2004</v>
      </c>
      <c r="C61" s="18" t="s">
        <v>1717</v>
      </c>
      <c r="D61" s="18" t="s">
        <v>1336</v>
      </c>
      <c r="I61" s="6" t="str">
        <f>IFERROR(__xludf.DUMMYFUNCTION("GOOGLETRANSLATE(B61, ""en"", ""zh"")"),"哪个朝代开始在寺庙中正式教授功夫？")</f>
        <v>哪个朝代开始在寺庙中正式教授功夫？</v>
      </c>
      <c r="J61" s="6" t="str">
        <f>IFERROR(__xludf.DUMMYFUNCTION("GOOGLETRANSLATE(C61, ""en"", ""zh"")"),"A) 唐 B) 宋 C) 明 D) 青")</f>
        <v>A) 唐 B) 宋 C) 明 D) 青</v>
      </c>
      <c r="K61" s="6" t="str">
        <f>IFERROR(__xludf.DUMMYFUNCTION("GOOGLETRANSLATE(D61, ""en"", ""zh"")"),"B)歌曲")</f>
        <v>B)歌曲</v>
      </c>
      <c r="L61" s="6" t="str">
        <f>IFERROR(__xludf.DUMMYFUNCTION("GOOGLETRANSLATE(E61, ""en"", ""zh"")"),"#VALUE!")</f>
        <v>#VALUE!</v>
      </c>
    </row>
    <row r="62">
      <c r="A62" s="8">
        <v>61.0</v>
      </c>
      <c r="B62" s="18" t="s">
        <v>2005</v>
      </c>
      <c r="C62" s="18" t="s">
        <v>2006</v>
      </c>
      <c r="D62" s="18" t="s">
        <v>2007</v>
      </c>
      <c r="I62" s="6" t="str">
        <f>IFERROR(__xludf.DUMMYFUNCTION("GOOGLETRANSLATE(B62, ""en"", ""zh"")"),"太极拳被认为是哪种功夫流派的一部分？")</f>
        <v>太极拳被认为是哪种功夫流派的一部分？</v>
      </c>
      <c r="J62" s="6" t="str">
        <f>IFERROR(__xludf.DUMMYFUNCTION("GOOGLETRANSLATE(C62, ""en"", ""zh"")"),"A) 内家 B) 外家 C) 少林 D) 武当")</f>
        <v>A) 内家 B) 外家 C) 少林 D) 武当</v>
      </c>
      <c r="K62" s="6" t="str">
        <f>IFERROR(__xludf.DUMMYFUNCTION("GOOGLETRANSLATE(D62, ""en"", ""zh"")"),"A) 内部")</f>
        <v>A) 内部</v>
      </c>
      <c r="L62" s="6" t="str">
        <f>IFERROR(__xludf.DUMMYFUNCTION("GOOGLETRANSLATE(E62, ""en"", ""zh"")"),"#VALUE!")</f>
        <v>#VALUE!</v>
      </c>
    </row>
    <row r="63">
      <c r="A63" s="8">
        <v>62.0</v>
      </c>
      <c r="B63" s="18" t="s">
        <v>2008</v>
      </c>
      <c r="C63" s="18" t="s">
        <v>2009</v>
      </c>
      <c r="D63" s="18" t="s">
        <v>2010</v>
      </c>
      <c r="I63" s="6" t="str">
        <f>IFERROR(__xludf.DUMMYFUNCTION("GOOGLETRANSLATE(B63, ""en"", ""zh"")"),"猴拳模仿的是：")</f>
        <v>猴拳模仿的是：</v>
      </c>
      <c r="J63" s="6" t="str">
        <f>IFERROR(__xludf.DUMMYFUNCTION("GOOGLETRANSLATE(C63, ""en"", ""zh"")"),"A) 动物敏捷性 B) 力量 C) 智慧 D) 冥想")</f>
        <v>A) 动物敏捷性 B) 力量 C) 智慧 D) 冥想</v>
      </c>
      <c r="K63" s="6" t="str">
        <f>IFERROR(__xludf.DUMMYFUNCTION("GOOGLETRANSLATE(D63, ""en"", ""zh"")"),"A) 动物敏捷性")</f>
        <v>A) 动物敏捷性</v>
      </c>
      <c r="L63" s="6" t="str">
        <f>IFERROR(__xludf.DUMMYFUNCTION("GOOGLETRANSLATE(E63, ""en"", ""zh"")"),"#VALUE!")</f>
        <v>#VALUE!</v>
      </c>
    </row>
    <row r="64">
      <c r="A64" s="8">
        <v>63.0</v>
      </c>
      <c r="B64" s="18" t="s">
        <v>2011</v>
      </c>
      <c r="C64" s="18" t="s">
        <v>2012</v>
      </c>
      <c r="D64" s="18" t="s">
        <v>831</v>
      </c>
      <c r="I64" s="6" t="str">
        <f>IFERROR(__xludf.DUMMYFUNCTION("GOOGLETRANSLATE(B64, ""en"", ""zh"")"),"功夫主要是在哪个世纪传入西方的？")</f>
        <v>功夫主要是在哪个世纪传入西方的？</v>
      </c>
      <c r="J64" s="6" t="str">
        <f>IFERROR(__xludf.DUMMYFUNCTION("GOOGLETRANSLATE(C64, ""en"", ""zh"")"),"A) 第18届 B) 第19届 C) 第20届 D) 第21届")</f>
        <v>A) 第18届 B) 第19届 C) 第20届 D) 第21届</v>
      </c>
      <c r="K64" s="6" t="str">
        <f>IFERROR(__xludf.DUMMYFUNCTION("GOOGLETRANSLATE(D64, ""en"", ""zh"")"),"C) 20世纪")</f>
        <v>C) 20世纪</v>
      </c>
      <c r="L64" s="6" t="str">
        <f>IFERROR(__xludf.DUMMYFUNCTION("GOOGLETRANSLATE(E64, ""en"", ""zh"")"),"#VALUE!")</f>
        <v>#VALUE!</v>
      </c>
    </row>
    <row r="65">
      <c r="A65" s="8">
        <v>64.0</v>
      </c>
      <c r="B65" s="18" t="s">
        <v>2013</v>
      </c>
      <c r="C65" s="18" t="s">
        <v>2014</v>
      </c>
      <c r="D65" s="18" t="s">
        <v>2015</v>
      </c>
      <c r="I65" s="6" t="str">
        <f>IFERROR(__xludf.DUMMYFUNCTION("GOOGLETRANSLATE(B65, ""en"", ""zh"")"),"李小龙因推广哪种功夫流派而闻名？")</f>
        <v>李小龙因推广哪种功夫流派而闻名？</v>
      </c>
      <c r="J65" s="6" t="str">
        <f>IFERROR(__xludf.DUMMYFUNCTION("GOOGLETRANSLATE(C65, ""en"", ""zh"")"),"A) 咏春 B) 截拳道 C) 太极 D) 少林")</f>
        <v>A) 咏春 B) 截拳道 C) 太极 D) 少林</v>
      </c>
      <c r="K65" s="6" t="str">
        <f>IFERROR(__xludf.DUMMYFUNCTION("GOOGLETRANSLATE(D65, ""en"", ""zh"")"),"B) 截拳道")</f>
        <v>B) 截拳道</v>
      </c>
      <c r="L65" s="6" t="str">
        <f>IFERROR(__xludf.DUMMYFUNCTION("GOOGLETRANSLATE(E65, ""en"", ""zh"")"),"#VALUE!")</f>
        <v>#VALUE!</v>
      </c>
    </row>
    <row r="66">
      <c r="A66" s="8">
        <v>65.0</v>
      </c>
      <c r="B66" s="18" t="s">
        <v>2016</v>
      </c>
      <c r="C66" s="18" t="s">
        <v>2017</v>
      </c>
      <c r="D66" s="18" t="s">
        <v>967</v>
      </c>
      <c r="I66" s="6" t="str">
        <f>IFERROR(__xludf.DUMMYFUNCTION("GOOGLETRANSLATE(B66, ""en"", ""zh"")"),"功夫伦理中融入了哪些中国哲学家的思想？")</f>
        <v>功夫伦理中融入了哪些中国哲学家的思想？</v>
      </c>
      <c r="J66" s="6" t="str">
        <f>IFERROR(__xludf.DUMMYFUNCTION("GOOGLETRANSLATE(C66, ""en"", ""zh"")"),"A) 孔子 B) 老子 C) 孙子 D) 墨子")</f>
        <v>A) 孔子 B) 老子 C) 孙子 D) 墨子</v>
      </c>
      <c r="K66" s="6" t="str">
        <f>IFERROR(__xludf.DUMMYFUNCTION("GOOGLETRANSLATE(D66, ""en"", ""zh"")"),"A）孔子")</f>
        <v>A）孔子</v>
      </c>
      <c r="L66" s="6" t="str">
        <f>IFERROR(__xludf.DUMMYFUNCTION("GOOGLETRANSLATE(E66, ""en"", ""zh"")"),"#VALUE!")</f>
        <v>#VALUE!</v>
      </c>
    </row>
    <row r="67">
      <c r="A67" s="8">
        <v>66.0</v>
      </c>
      <c r="B67" s="18" t="s">
        <v>2018</v>
      </c>
      <c r="C67" s="18" t="s">
        <v>2019</v>
      </c>
      <c r="D67" s="18" t="s">
        <v>2020</v>
      </c>
      <c r="I67" s="6" t="str">
        <f>IFERROR(__xludf.DUMMYFUNCTION("GOOGLETRANSLATE(B67, ""en"", ""zh"")"),"功夫比赛最早出现在中国是在哪个世纪？")</f>
        <v>功夫比赛最早出现在中国是在哪个世纪？</v>
      </c>
      <c r="J67" s="6" t="str">
        <f>IFERROR(__xludf.DUMMYFUNCTION("GOOGLETRANSLATE(C67, ""en"", ""zh"")"),"A) 第16届 B) 第17届 C) 第18届 D) 第19届")</f>
        <v>A) 第16届 B) 第17届 C) 第18届 D) 第19届</v>
      </c>
      <c r="K67" s="6" t="str">
        <f>IFERROR(__xludf.DUMMYFUNCTION("GOOGLETRANSLATE(D67, ""en"", ""zh"")"),"D) 第十九条")</f>
        <v>D) 第十九条</v>
      </c>
      <c r="L67" s="6" t="str">
        <f>IFERROR(__xludf.DUMMYFUNCTION("GOOGLETRANSLATE(E67, ""en"", ""zh"")"),"#VALUE!")</f>
        <v>#VALUE!</v>
      </c>
    </row>
    <row r="68">
      <c r="A68" s="8">
        <v>67.0</v>
      </c>
      <c r="B68" s="18" t="s">
        <v>2021</v>
      </c>
      <c r="C68" s="18" t="s">
        <v>2022</v>
      </c>
      <c r="D68" s="18" t="s">
        <v>1753</v>
      </c>
      <c r="I68" s="6" t="str">
        <f>IFERROR(__xludf.DUMMYFUNCTION("GOOGLETRANSLATE(B68, ""en"", ""zh"")"),"咏春拳起源于哪个地区？")</f>
        <v>咏春拳起源于哪个地区？</v>
      </c>
      <c r="J68" s="6" t="str">
        <f>IFERROR(__xludf.DUMMYFUNCTION("GOOGLETRANSLATE(C68, ""en"", ""zh"")"),"A) 广东 B) 河南 C) 福建 D) 湖南")</f>
        <v>A) 广东 B) 河南 C) 福建 D) 湖南</v>
      </c>
      <c r="K68" s="6" t="str">
        <f>IFERROR(__xludf.DUMMYFUNCTION("GOOGLETRANSLATE(D68, ""en"", ""zh"")"),"A) 广东")</f>
        <v>A) 广东</v>
      </c>
      <c r="L68" s="6" t="str">
        <f>IFERROR(__xludf.DUMMYFUNCTION("GOOGLETRANSLATE(E68, ""en"", ""zh"")"),"#VALUE!")</f>
        <v>#VALUE!</v>
      </c>
    </row>
    <row r="69">
      <c r="A69" s="8">
        <v>68.0</v>
      </c>
      <c r="B69" s="18" t="s">
        <v>2023</v>
      </c>
      <c r="C69" s="18" t="s">
        <v>2024</v>
      </c>
      <c r="D69" s="18" t="s">
        <v>2025</v>
      </c>
      <c r="I69" s="6" t="str">
        <f>IFERROR(__xludf.DUMMYFUNCTION("GOOGLETRANSLATE(B69, ""en"", ""zh"")"),"功夫训练传统上是从以下方面开始的：")</f>
        <v>功夫训练传统上是从以下方面开始的：</v>
      </c>
      <c r="J69" s="6" t="str">
        <f>IFERROR(__xludf.DUMMYFUNCTION("GOOGLETRANSLATE(C69, ""en"", ""zh"")"),"A) 冥想 B) 热身 C) 对练 D) 武器练习")</f>
        <v>A) 冥想 B) 热身 C) 对练 D) 武器练习</v>
      </c>
      <c r="K69" s="6" t="str">
        <f>IFERROR(__xludf.DUMMYFUNCTION("GOOGLETRANSLATE(D69, ""en"", ""zh"")"),"B）热身")</f>
        <v>B）热身</v>
      </c>
      <c r="L69" s="6" t="str">
        <f>IFERROR(__xludf.DUMMYFUNCTION("GOOGLETRANSLATE(E69, ""en"", ""zh"")"),"#VALUE!")</f>
        <v>#VALUE!</v>
      </c>
    </row>
    <row r="70">
      <c r="A70" s="8">
        <v>69.0</v>
      </c>
      <c r="B70" s="18" t="s">
        <v>2026</v>
      </c>
      <c r="C70" s="18" t="s">
        <v>2027</v>
      </c>
      <c r="D70" s="18" t="s">
        <v>2028</v>
      </c>
      <c r="I70" s="6" t="str">
        <f>IFERROR(__xludf.DUMMYFUNCTION("GOOGLETRANSLATE(B70, ""en"", ""zh"")"),"少林寺位于哪座山脉附近？")</f>
        <v>少林寺位于哪座山脉附近？</v>
      </c>
      <c r="J70" s="6" t="str">
        <f>IFERROR(__xludf.DUMMYFUNCTION("GOOGLETRANSLATE(C70, ""en"", ""zh"")"),"A) 嵩山 B) 武当 C) 太行 D) 衡山")</f>
        <v>A) 嵩山 B) 武当 C) 太行 D) 衡山</v>
      </c>
      <c r="K70" s="6" t="str">
        <f>IFERROR(__xludf.DUMMYFUNCTION("GOOGLETRANSLATE(D70, ""en"", ""zh"")"),"A) 嵩山")</f>
        <v>A) 嵩山</v>
      </c>
      <c r="L70" s="6" t="str">
        <f>IFERROR(__xludf.DUMMYFUNCTION("GOOGLETRANSLATE(E70, ""en"", ""zh"")"),"#VALUE!")</f>
        <v>#VALUE!</v>
      </c>
    </row>
    <row r="71">
      <c r="A71" s="8">
        <v>70.0</v>
      </c>
      <c r="B71" s="18" t="s">
        <v>2029</v>
      </c>
      <c r="C71" s="18" t="s">
        <v>2030</v>
      </c>
      <c r="D71" s="18" t="s">
        <v>2031</v>
      </c>
      <c r="I71" s="6" t="str">
        <f>IFERROR(__xludf.DUMMYFUNCTION("GOOGLETRANSLATE(B71, ""en"", ""zh"")"),"功夫在哪个历史时期被叛军使用？")</f>
        <v>功夫在哪个历史时期被叛军使用？</v>
      </c>
      <c r="J71" s="6" t="str">
        <f>IFERROR(__xludf.DUMMYFUNCTION("GOOGLETRANSLATE(C71, ""en"", ""zh"")"),"A) 明朝 B) 清朝 C) 唐朝 D) 汉朝")</f>
        <v>A) 明朝 B) 清朝 C) 唐朝 D) 汉朝</v>
      </c>
      <c r="K71" s="6" t="str">
        <f>IFERROR(__xludf.DUMMYFUNCTION("GOOGLETRANSLATE(D71, ""en"", ""zh"")"),"B）清朝")</f>
        <v>B）清朝</v>
      </c>
      <c r="L71" s="6" t="str">
        <f>IFERROR(__xludf.DUMMYFUNCTION("GOOGLETRANSLATE(E71, ""en"", ""zh"")"),"#VALUE!")</f>
        <v>#VALUE!</v>
      </c>
    </row>
    <row r="72">
      <c r="A72" s="8">
        <v>71.0</v>
      </c>
      <c r="B72" s="18" t="s">
        <v>2032</v>
      </c>
      <c r="C72" s="18" t="s">
        <v>2033</v>
      </c>
      <c r="D72" s="18" t="s">
        <v>2034</v>
      </c>
      <c r="I72" s="6" t="str">
        <f>IFERROR(__xludf.DUMMYFUNCTION("GOOGLETRANSLATE(B72, ""en"", ""zh"")"),"哪种内家拳流派强调缓慢流畅的动作？")</f>
        <v>哪种内家拳流派强调缓慢流畅的动作？</v>
      </c>
      <c r="J72" s="6" t="str">
        <f>IFERROR(__xludf.DUMMYFUNCTION("GOOGLETRANSLATE(C72, ""en"", ""zh"")"),"A) 太极 B) 少林 C) 咏春 D) 武当")</f>
        <v>A) 太极 B) 少林 C) 咏春 D) 武当</v>
      </c>
      <c r="K72" s="6" t="str">
        <f>IFERROR(__xludf.DUMMYFUNCTION("GOOGLETRANSLATE(D72, ""en"", ""zh"")"),"A) 太极拳")</f>
        <v>A) 太极拳</v>
      </c>
      <c r="L72" s="6" t="str">
        <f>IFERROR(__xludf.DUMMYFUNCTION("GOOGLETRANSLATE(E72, ""en"", ""zh"")"),"#VALUE!")</f>
        <v>#VALUE!</v>
      </c>
    </row>
    <row r="73">
      <c r="A73" s="8">
        <v>72.0</v>
      </c>
      <c r="B73" s="18" t="s">
        <v>2035</v>
      </c>
      <c r="C73" s="18" t="s">
        <v>2036</v>
      </c>
      <c r="D73" s="18" t="s">
        <v>1299</v>
      </c>
      <c r="I73" s="6" t="str">
        <f>IFERROR(__xludf.DUMMYFUNCTION("GOOGLETRANSLATE(B73, ""en"", ""zh"")"),"功夫通过以下方式影响了中国传统戏曲：")</f>
        <v>功夫通过以下方式影响了中国传统戏曲：</v>
      </c>
      <c r="J73" s="6" t="str">
        <f>IFERROR(__xludf.DUMMYFUNCTION("GOOGLETRANSLATE(C73, ""en"", ""zh"")"),"A) 杂技 B) 武器编排 C) 程式化动作 D) 以上全部")</f>
        <v>A) 杂技 B) 武器编排 C) 程式化动作 D) 以上全部</v>
      </c>
      <c r="K73" s="6" t="str">
        <f>IFERROR(__xludf.DUMMYFUNCTION("GOOGLETRANSLATE(D73, ""en"", ""zh"")"),"D) 以上所有选项")</f>
        <v>D) 以上所有选项</v>
      </c>
      <c r="L73" s="6" t="str">
        <f>IFERROR(__xludf.DUMMYFUNCTION("GOOGLETRANSLATE(E73, ""en"", ""zh"")"),"#VALUE!")</f>
        <v>#VALUE!</v>
      </c>
    </row>
    <row r="74">
      <c r="A74" s="8">
        <v>73.0</v>
      </c>
      <c r="B74" s="18" t="s">
        <v>2037</v>
      </c>
      <c r="C74" s="18" t="s">
        <v>2038</v>
      </c>
      <c r="D74" s="18" t="s">
        <v>2039</v>
      </c>
      <c r="I74" s="6" t="str">
        <f>IFERROR(__xludf.DUMMYFUNCTION("GOOGLETRANSLATE(B74, ""en"", ""zh"")"),"哪种功夫流派以高跳和杂技动作而闻名？")</f>
        <v>哪种功夫流派以高跳和杂技动作而闻名？</v>
      </c>
      <c r="J74" s="6" t="str">
        <f>IFERROR(__xludf.DUMMYFUNCTION("GOOGLETRANSLATE(C74, ""en"", ""zh"")"),"A) 北少林 B) 南少林 C) 太极拳 D) 武当")</f>
        <v>A) 北少林 B) 南少林 C) 太极拳 D) 武当</v>
      </c>
      <c r="K74" s="6" t="str">
        <f>IFERROR(__xludf.DUMMYFUNCTION("GOOGLETRANSLATE(D74, ""en"", ""zh"")"),"A) 北少林")</f>
        <v>A) 北少林</v>
      </c>
      <c r="L74" s="6" t="str">
        <f>IFERROR(__xludf.DUMMYFUNCTION("GOOGLETRANSLATE(E74, ""en"", ""zh"")"),"#VALUE!")</f>
        <v>#VALUE!</v>
      </c>
    </row>
    <row r="75">
      <c r="A75" s="8">
        <v>74.0</v>
      </c>
      <c r="B75" s="18" t="s">
        <v>2040</v>
      </c>
      <c r="C75" s="18" t="s">
        <v>2041</v>
      </c>
      <c r="D75" s="18" t="s">
        <v>2042</v>
      </c>
      <c r="I75" s="6" t="str">
        <f>IFERROR(__xludf.DUMMYFUNCTION("GOOGLETRANSLATE(B75, ""en"", ""zh"")"),"功夫中哪种动物拳法强调速度和精准度？")</f>
        <v>功夫中哪种动物拳法强调速度和精准度？</v>
      </c>
      <c r="J75" s="6" t="str">
        <f>IFERROR(__xludf.DUMMYFUNCTION("GOOGLETRANSLATE(C75, ""en"", ""zh"")"),"A) 老虎 B) 鹤 C) 蛇 D) 豹子")</f>
        <v>A) 老虎 B) 鹤 C) 蛇 D) 豹子</v>
      </c>
      <c r="K75" s="6" t="str">
        <f>IFERROR(__xludf.DUMMYFUNCTION("GOOGLETRANSLATE(D75, ""en"", ""zh"")"),"D) 豹")</f>
        <v>D) 豹</v>
      </c>
      <c r="L75" s="6" t="str">
        <f>IFERROR(__xludf.DUMMYFUNCTION("GOOGLETRANSLATE(E75, ""en"", ""zh"")"),"#VALUE!")</f>
        <v>#VALUE!</v>
      </c>
    </row>
    <row r="76">
      <c r="A76" s="17">
        <v>75.0</v>
      </c>
      <c r="B76" s="18" t="s">
        <v>2043</v>
      </c>
      <c r="C76" s="18" t="s">
        <v>2044</v>
      </c>
      <c r="D76" s="18" t="s">
        <v>2045</v>
      </c>
      <c r="I76" s="6" t="str">
        <f>IFERROR(__xludf.DUMMYFUNCTION("GOOGLETRANSLATE(B76, ""en"", ""zh"")"),"哪本武术手册既强调功夫的理论又强调其技巧？")</f>
        <v>哪本武术手册既强调功夫的理论又强调其技巧？</v>
      </c>
      <c r="J76" s="6" t="str">
        <f>IFERROR(__xludf.DUMMYFUNCTION("GOOGLETRANSLATE(C76, ""en"", ""zh"")"),"A) 少林拳 B) 拳术 C) 五倍志 D) 太平玉兰")</f>
        <v>A) 少林拳 B) 拳术 C) 五倍志 D) 太平玉兰</v>
      </c>
      <c r="K76" s="6" t="str">
        <f>IFERROR(__xludf.DUMMYFUNCTION("GOOGLETRANSLATE(D76, ""en"", ""zh"")"),"C) 五倍志")</f>
        <v>C) 五倍志</v>
      </c>
      <c r="L76" s="6" t="str">
        <f>IFERROR(__xludf.DUMMYFUNCTION("GOOGLETRANSLATE(E76, ""en"", ""zh"")"),"#VALUE!")</f>
        <v>#VALUE!</v>
      </c>
    </row>
    <row r="77">
      <c r="A77" s="17">
        <v>76.0</v>
      </c>
      <c r="B77" s="18" t="s">
        <v>2046</v>
      </c>
      <c r="C77" s="18" t="s">
        <v>2047</v>
      </c>
      <c r="D77" s="18" t="s">
        <v>2048</v>
      </c>
      <c r="I77" s="6" t="str">
        <f>IFERROR(__xludf.DUMMYFUNCTION("GOOGLETRANSLATE(B77, ""en"", ""zh"")"),"“铁砂掌”技法与以下方面相关：")</f>
        <v>“铁砂掌”技法与以下方面相关：</v>
      </c>
      <c r="J77" s="6" t="str">
        <f>IFERROR(__xludf.DUMMYFUNCTION("GOOGLETRANSLATE(C77, ""en"", ""zh"")"),"A) 力量训练 B) 冥想 C) 武器训练 D) 疗愈")</f>
        <v>A) 力量训练 B) 冥想 C) 武器训练 D) 疗愈</v>
      </c>
      <c r="K77" s="6" t="str">
        <f>IFERROR(__xludf.DUMMYFUNCTION("GOOGLETRANSLATE(D77, ""en"", ""zh"")"),"A) 力量训练")</f>
        <v>A) 力量训练</v>
      </c>
      <c r="L77" s="6" t="str">
        <f>IFERROR(__xludf.DUMMYFUNCTION("GOOGLETRANSLATE(E77, ""en"", ""zh"")"),"#VALUE!")</f>
        <v>#VALUE!</v>
      </c>
    </row>
    <row r="78">
      <c r="A78" s="17">
        <v>77.0</v>
      </c>
      <c r="B78" s="18" t="s">
        <v>2049</v>
      </c>
      <c r="C78" s="18" t="s">
        <v>1651</v>
      </c>
      <c r="D78" s="18" t="s">
        <v>2050</v>
      </c>
      <c r="I78" s="6" t="str">
        <f>IFERROR(__xludf.DUMMYFUNCTION("GOOGLETRANSLATE(B78, ""en"", ""zh"")"),"功夫题材从哪个年代开始出现在中国电影中？")</f>
        <v>功夫题材从哪个年代开始出现在中国电影中？</v>
      </c>
      <c r="J78" s="6" t="str">
        <f>IFERROR(__xludf.DUMMYFUNCTION("GOOGLETRANSLATE(C78, ""en"", ""zh"")"),"A) 20世纪20年代 B) 20世纪30年代 C) 20世纪40年代 D) 20世纪50年代")</f>
        <v>A) 20世纪20年代 B) 20世纪30年代 C) 20世纪40年代 D) 20世纪50年代</v>
      </c>
      <c r="K78" s="6" t="str">
        <f>IFERROR(__xludf.DUMMYFUNCTION("GOOGLETRANSLATE(D78, ""en"", ""zh"")"),"B) 1930年代")</f>
        <v>B) 1930年代</v>
      </c>
      <c r="L78" s="6" t="str">
        <f>IFERROR(__xludf.DUMMYFUNCTION("GOOGLETRANSLATE(E78, ""en"", ""zh"")"),"#VALUE!")</f>
        <v>#VALUE!</v>
      </c>
    </row>
    <row r="79">
      <c r="A79" s="17">
        <v>78.0</v>
      </c>
      <c r="B79" s="18" t="s">
        <v>2051</v>
      </c>
      <c r="C79" s="18" t="s">
        <v>2052</v>
      </c>
      <c r="D79" s="18" t="s">
        <v>2053</v>
      </c>
      <c r="I79" s="6" t="str">
        <f>IFERROR(__xludf.DUMMYFUNCTION("GOOGLETRANSLATE(B79, ""en"", ""zh"")"),"以下哪一项属于南派功夫？")</f>
        <v>以下哪一项属于南派功夫？</v>
      </c>
      <c r="J79" s="6" t="str">
        <f>IFERROR(__xludf.DUMMYFUNCTION("GOOGLETRANSLATE(C79, ""en"", ""zh"")"),"A) 咏春 B) 北少林 C) 太极 D) 武当")</f>
        <v>A) 咏春 B) 北少林 C) 太极 D) 武当</v>
      </c>
      <c r="K79" s="6" t="str">
        <f>IFERROR(__xludf.DUMMYFUNCTION("GOOGLETRANSLATE(D79, ""en"", ""zh"")"),"A)咏春拳")</f>
        <v>A)咏春拳</v>
      </c>
      <c r="L79" s="6" t="str">
        <f>IFERROR(__xludf.DUMMYFUNCTION("GOOGLETRANSLATE(E79, ""en"", ""zh"")"),"#VALUE!")</f>
        <v>#VALUE!</v>
      </c>
    </row>
    <row r="80">
      <c r="A80" s="17">
        <v>79.0</v>
      </c>
      <c r="B80" s="18" t="s">
        <v>2054</v>
      </c>
      <c r="C80" s="18" t="s">
        <v>2055</v>
      </c>
      <c r="D80" s="18" t="s">
        <v>2056</v>
      </c>
      <c r="I80" s="6" t="str">
        <f>IFERROR(__xludf.DUMMYFUNCTION("GOOGLETRANSLATE(B80, ""en"", ""zh"")"),"少林寺在哪个时期遭到破坏？")</f>
        <v>少林寺在哪个时期遭到破坏？</v>
      </c>
      <c r="J80" s="6" t="str">
        <f>IFERROR(__xludf.DUMMYFUNCTION("GOOGLETRANSLATE(C80, ""en"", ""zh"")"),"A) 元朝 B) 清朝 C) 明朝 D) 文化大革命")</f>
        <v>A) 元朝 B) 清朝 C) 明朝 D) 文化大革命</v>
      </c>
      <c r="K80" s="6" t="str">
        <f>IFERROR(__xludf.DUMMYFUNCTION("GOOGLETRANSLATE(D80, ""en"", ""zh"")"),"D）文化大革命")</f>
        <v>D）文化大革命</v>
      </c>
      <c r="L80" s="6" t="str">
        <f>IFERROR(__xludf.DUMMYFUNCTION("GOOGLETRANSLATE(E80, ""en"", ""zh"")"),"#VALUE!")</f>
        <v>#VALUE!</v>
      </c>
    </row>
    <row r="81">
      <c r="A81" s="17">
        <v>80.0</v>
      </c>
      <c r="B81" s="18" t="s">
        <v>2057</v>
      </c>
      <c r="C81" s="18" t="s">
        <v>2058</v>
      </c>
      <c r="D81" s="18" t="s">
        <v>1803</v>
      </c>
      <c r="I81" s="6" t="str">
        <f>IFERROR(__xludf.DUMMYFUNCTION("GOOGLETRANSLATE(B81, ""en"", ""zh"")"),"哪位少林僧人因精通功夫而闻名于中国民间传说中？")</f>
        <v>哪位少林僧人因精通功夫而闻名于中国民间传说中？</v>
      </c>
      <c r="J81" s="6" t="str">
        <f>IFERROR(__xludf.DUMMYFUNCTION("GOOGLETRANSLATE(C81, ""en"", ""zh"")"),"A) 止仙 B) 达摩 C) 李白 D) 武松")</f>
        <v>A) 止仙 B) 达摩 C) 李白 D) 武松</v>
      </c>
      <c r="K81" s="6" t="str">
        <f>IFERROR(__xludf.DUMMYFUNCTION("GOOGLETRANSLATE(D81, ""en"", ""zh"")"),"B) 菩提达摩")</f>
        <v>B) 菩提达摩</v>
      </c>
      <c r="L81" s="6" t="str">
        <f>IFERROR(__xludf.DUMMYFUNCTION("GOOGLETRANSLATE(E81, ""en"", ""zh"")"),"#VALUE!")</f>
        <v>#VALUE!</v>
      </c>
    </row>
    <row r="82">
      <c r="A82" s="17">
        <v>81.0</v>
      </c>
      <c r="B82" s="18" t="s">
        <v>2059</v>
      </c>
      <c r="C82" s="18" t="s">
        <v>2060</v>
      </c>
      <c r="D82" s="18" t="s">
        <v>2061</v>
      </c>
      <c r="I82" s="6" t="str">
        <f>IFERROR(__xludf.DUMMYFUNCTION("GOOGLETRANSLATE(B82, ""en"", ""zh"")"),"功夫强调“气”，指的是：")</f>
        <v>功夫强调“气”，指的是：</v>
      </c>
      <c r="J82" s="6" t="str">
        <f>IFERROR(__xludf.DUMMYFUNCTION("GOOGLETRANSLATE(C82, ""en"", ""zh"")"),"A) 力量 B) 内能 C) 速度 D) 柔韧性")</f>
        <v>A) 力量 B) 内能 C) 速度 D) 柔韧性</v>
      </c>
      <c r="K82" s="6" t="str">
        <f>IFERROR(__xludf.DUMMYFUNCTION("GOOGLETRANSLATE(D82, ""en"", ""zh"")"),"B) 内能")</f>
        <v>B) 内能</v>
      </c>
      <c r="L82" s="6" t="str">
        <f>IFERROR(__xludf.DUMMYFUNCTION("GOOGLETRANSLATE(E82, ""en"", ""zh"")"),"#VALUE!")</f>
        <v>#VALUE!</v>
      </c>
    </row>
    <row r="83">
      <c r="A83" s="17">
        <v>82.0</v>
      </c>
      <c r="B83" s="18" t="s">
        <v>2062</v>
      </c>
      <c r="C83" s="18" t="s">
        <v>2063</v>
      </c>
      <c r="D83" s="18" t="s">
        <v>2064</v>
      </c>
      <c r="I83" s="6" t="str">
        <f>IFERROR(__xludf.DUMMYFUNCTION("GOOGLETRANSLATE(B83, ""en"", ""zh"")"),"龙式功夫强调：")</f>
        <v>龙式功夫强调：</v>
      </c>
      <c r="J83" s="6" t="str">
        <f>IFERROR(__xludf.DUMMYFUNCTION("GOOGLETRANSLATE(C83, ""en"", ""zh"")"),"A) 力量 B) 敏捷性 C) 柔韧性和流畅性 D) 强度")</f>
        <v>A) 力量 B) 敏捷性 C) 柔韧性和流畅性 D) 强度</v>
      </c>
      <c r="K83" s="6" t="str">
        <f>IFERROR(__xludf.DUMMYFUNCTION("GOOGLETRANSLATE(D83, ""en"", ""zh"")"),"C）灵活性和流动性")</f>
        <v>C）灵活性和流动性</v>
      </c>
      <c r="L83" s="6" t="str">
        <f>IFERROR(__xludf.DUMMYFUNCTION("GOOGLETRANSLATE(E83, ""en"", ""zh"")"),"#VALUE!")</f>
        <v>#VALUE!</v>
      </c>
    </row>
    <row r="84">
      <c r="A84" s="17">
        <v>83.0</v>
      </c>
      <c r="B84" s="18" t="s">
        <v>2065</v>
      </c>
      <c r="C84" s="18" t="s">
        <v>2066</v>
      </c>
      <c r="D84" s="18" t="s">
        <v>1299</v>
      </c>
      <c r="I84" s="6" t="str">
        <f>IFERROR(__xludf.DUMMYFUNCTION("GOOGLETRANSLATE(B84, ""en"", ""zh"")"),"武当功夫融合了哪些元素？")</f>
        <v>武当功夫融合了哪些元素？</v>
      </c>
      <c r="J84" s="6" t="str">
        <f>IFERROR(__xludf.DUMMYFUNCTION("GOOGLETRANSLATE(C84, ""en"", ""zh"")"),"A) 道家哲学 B) 武术技巧 C) 内力 D) 以上全部")</f>
        <v>A) 道家哲学 B) 武术技巧 C) 内力 D) 以上全部</v>
      </c>
      <c r="K84" s="6" t="str">
        <f>IFERROR(__xludf.DUMMYFUNCTION("GOOGLETRANSLATE(D84, ""en"", ""zh"")"),"D) 以上所有选项")</f>
        <v>D) 以上所有选项</v>
      </c>
      <c r="L84" s="6" t="str">
        <f>IFERROR(__xludf.DUMMYFUNCTION("GOOGLETRANSLATE(E84, ""en"", ""zh"")"),"#VALUE!")</f>
        <v>#VALUE!</v>
      </c>
    </row>
    <row r="85">
      <c r="A85" s="17">
        <v>84.0</v>
      </c>
      <c r="B85" s="18" t="s">
        <v>2067</v>
      </c>
      <c r="C85" s="18" t="s">
        <v>2068</v>
      </c>
      <c r="D85" s="18" t="s">
        <v>1299</v>
      </c>
      <c r="I85" s="6" t="str">
        <f>IFERROR(__xludf.DUMMYFUNCTION("GOOGLETRANSLATE(B85, ""en"", ""zh"")"),"传统功夫训练包括：")</f>
        <v>传统功夫训练包括：</v>
      </c>
      <c r="J85" s="6" t="str">
        <f>IFERROR(__xludf.DUMMYFUNCTION("GOOGLETRANSLATE(C85, ""en"", ""zh"")"),"A) 套路练习 B) 散打练习 C) 器械练习 D) 以上全部")</f>
        <v>A) 套路练习 B) 散打练习 C) 器械练习 D) 以上全部</v>
      </c>
      <c r="K85" s="6" t="str">
        <f>IFERROR(__xludf.DUMMYFUNCTION("GOOGLETRANSLATE(D85, ""en"", ""zh"")"),"D) 以上所有选项")</f>
        <v>D) 以上所有选项</v>
      </c>
      <c r="L85" s="6" t="str">
        <f>IFERROR(__xludf.DUMMYFUNCTION("GOOGLETRANSLATE(E85, ""en"", ""zh"")"),"#VALUE!")</f>
        <v>#VALUE!</v>
      </c>
    </row>
    <row r="86">
      <c r="A86" s="17">
        <v>85.0</v>
      </c>
      <c r="B86" s="18" t="s">
        <v>2069</v>
      </c>
      <c r="C86" s="18" t="s">
        <v>2070</v>
      </c>
      <c r="D86" s="18" t="s">
        <v>2071</v>
      </c>
      <c r="I86" s="6" t="str">
        <f>IFERROR(__xludf.DUMMYFUNCTION("GOOGLETRANSLATE(B86, ""en"", ""zh"")"),"功夫中的“套路”是指：")</f>
        <v>功夫中的“套路”是指：</v>
      </c>
      <c r="J86" s="6" t="str">
        <f>IFERROR(__xludf.DUMMYFUNCTION("GOOGLETRANSLATE(C86, ""en"", ""zh"")"),"A) 套路或练习 B) 对练 C) 冥想 D) 气功练习")</f>
        <v>A) 套路或练习 B) 对练 C) 冥想 D) 气功练习</v>
      </c>
      <c r="K86" s="6" t="str">
        <f>IFERROR(__xludf.DUMMYFUNCTION("GOOGLETRANSLATE(D86, ""en"", ""zh"")"),"A) 形式或惯例")</f>
        <v>A) 形式或惯例</v>
      </c>
      <c r="L86" s="6" t="str">
        <f>IFERROR(__xludf.DUMMYFUNCTION("GOOGLETRANSLATE(E86, ""en"", ""zh"")"),"#VALUE!")</f>
        <v>#VALUE!</v>
      </c>
    </row>
    <row r="87">
      <c r="A87" s="17">
        <v>86.0</v>
      </c>
      <c r="B87" s="18" t="s">
        <v>2072</v>
      </c>
      <c r="C87" s="18" t="s">
        <v>2073</v>
      </c>
      <c r="D87" s="18" t="s">
        <v>2074</v>
      </c>
      <c r="I87" s="6" t="str">
        <f>IFERROR(__xludf.DUMMYFUNCTION("GOOGLETRANSLATE(B87, ""en"", ""zh"")"),"功夫中的“散手”是指：")</f>
        <v>功夫中的“散手”是指：</v>
      </c>
      <c r="J87" s="6" t="str">
        <f>IFERROR(__xludf.DUMMYFUNCTION("GOOGLETRANSLATE(C87, ""en"", ""zh"")"),"A) 自由搏击 B) 套路 C) 武器 D) 冥想")</f>
        <v>A) 自由搏击 B) 套路 C) 武器 D) 冥想</v>
      </c>
      <c r="K87" s="6" t="str">
        <f>IFERROR(__xludf.DUMMYFUNCTION("GOOGLETRANSLATE(D87, ""en"", ""zh"")"),"A) 自由搏击")</f>
        <v>A) 自由搏击</v>
      </c>
      <c r="L87" s="6" t="str">
        <f>IFERROR(__xludf.DUMMYFUNCTION("GOOGLETRANSLATE(E87, ""en"", ""zh"")"),"#VALUE!")</f>
        <v>#VALUE!</v>
      </c>
    </row>
    <row r="88">
      <c r="A88" s="17">
        <v>87.0</v>
      </c>
      <c r="B88" s="18" t="s">
        <v>2075</v>
      </c>
      <c r="C88" s="18" t="s">
        <v>2076</v>
      </c>
      <c r="D88" s="18" t="s">
        <v>1299</v>
      </c>
      <c r="I88" s="6" t="str">
        <f>IFERROR(__xludf.DUMMYFUNCTION("GOOGLETRANSLATE(B88, ""en"", ""zh"")"),"哪位演员让功夫电影享誉国际？")</f>
        <v>哪位演员让功夫电影享誉国际？</v>
      </c>
      <c r="J88" s="6" t="str">
        <f>IFERROR(__xludf.DUMMYFUNCTION("GOOGLETRANSLATE(C88, ""en"", ""zh"")"),"A) 成龙 B) 李连杰 C) 李小龙 D) 以上全部")</f>
        <v>A) 成龙 B) 李连杰 C) 李小龙 D) 以上全部</v>
      </c>
      <c r="K88" s="6" t="str">
        <f>IFERROR(__xludf.DUMMYFUNCTION("GOOGLETRANSLATE(D88, ""en"", ""zh"")"),"D) 以上所有选项")</f>
        <v>D) 以上所有选项</v>
      </c>
      <c r="L88" s="6" t="str">
        <f>IFERROR(__xludf.DUMMYFUNCTION("GOOGLETRANSLATE(E88, ""en"", ""zh"")"),"#VALUE!")</f>
        <v>#VALUE!</v>
      </c>
    </row>
    <row r="89">
      <c r="A89" s="17">
        <v>88.0</v>
      </c>
      <c r="B89" s="18" t="s">
        <v>2077</v>
      </c>
      <c r="C89" s="18" t="s">
        <v>2078</v>
      </c>
      <c r="D89" s="18" t="s">
        <v>2079</v>
      </c>
      <c r="I89" s="6" t="str">
        <f>IFERROR(__xludf.DUMMYFUNCTION("GOOGLETRANSLATE(B89, ""en"", ""zh"")"),"功夫中的五行理论包括：")</f>
        <v>功夫中的五行理论包括：</v>
      </c>
      <c r="J89" s="6" t="str">
        <f>IFERROR(__xludf.DUMMYFUNCTION("GOOGLETRANSLATE(C89, ""en"", ""zh"")"),"A) 火、水、土、金、木 B) 火、风、水、金、木 C) 火、水、土、金、风 D) 火、土、风、金、木")</f>
        <v>A) 火、水、土、金、木 B) 火、风、水、金、木 C) 火、水、土、金、风 D) 火、土、风、金、木</v>
      </c>
      <c r="K89" s="6" t="str">
        <f>IFERROR(__xludf.DUMMYFUNCTION("GOOGLETRANSLATE(D89, ""en"", ""zh"")"),"A) 火、水、土、金、木")</f>
        <v>A) 火、水、土、金、木</v>
      </c>
      <c r="L89" s="6" t="str">
        <f>IFERROR(__xludf.DUMMYFUNCTION("GOOGLETRANSLATE(E89, ""en"", ""zh"")"),"#VALUE!")</f>
        <v>#VALUE!</v>
      </c>
    </row>
    <row r="90">
      <c r="A90" s="17">
        <v>89.0</v>
      </c>
      <c r="B90" s="18" t="s">
        <v>2080</v>
      </c>
      <c r="C90" s="18" t="s">
        <v>2081</v>
      </c>
      <c r="D90" s="18" t="s">
        <v>2082</v>
      </c>
      <c r="I90" s="6" t="str">
        <f>IFERROR(__xludf.DUMMYFUNCTION("GOOGLETRANSLATE(B90, ""en"", ""zh"")"),"“鹤”式风格的特点是：")</f>
        <v>“鹤”式风格的特点是：</v>
      </c>
      <c r="J90" s="6" t="str">
        <f>IFERROR(__xludf.DUMMYFUNCTION("GOOGLETRANSLATE(C90, ""en"", ""zh"")"),"A) 平衡性和精准度 B) 力量和爆发力 C) 速度 D) 耐力")</f>
        <v>A) 平衡性和精准度 B) 力量和爆发力 C) 速度 D) 耐力</v>
      </c>
      <c r="K90" s="6" t="str">
        <f>IFERROR(__xludf.DUMMYFUNCTION("GOOGLETRANSLATE(D90, ""en"", ""zh"")"),"A) 平衡与精准")</f>
        <v>A) 平衡与精准</v>
      </c>
      <c r="L90" s="6" t="str">
        <f>IFERROR(__xludf.DUMMYFUNCTION("GOOGLETRANSLATE(E90, ""en"", ""zh"")"),"#VALUE!")</f>
        <v>#VALUE!</v>
      </c>
    </row>
    <row r="91">
      <c r="A91" s="17">
        <v>90.0</v>
      </c>
      <c r="B91" s="18" t="s">
        <v>2083</v>
      </c>
      <c r="C91" s="18" t="s">
        <v>2084</v>
      </c>
      <c r="D91" s="18" t="s">
        <v>1347</v>
      </c>
      <c r="I91" s="6" t="str">
        <f>IFERROR(__xludf.DUMMYFUNCTION("GOOGLETRANSLATE(B91, ""en"", ""zh"")"),"今日功夫比赛如下：")</f>
        <v>今日功夫比赛如下：</v>
      </c>
      <c r="J91" s="6" t="str">
        <f>IFERROR(__xludf.DUMMYFUNCTION("GOOGLETRANSLATE(C91, ""en"", ""zh"")"),"A) 传统形式 B) 现代化规则 C) A 和 B 均正确 D) 无规则")</f>
        <v>A) 传统形式 B) 现代化规则 C) A 和 B 均正确 D) 无规则</v>
      </c>
      <c r="K91" s="6" t="str">
        <f>IFERROR(__xludf.DUMMYFUNCTION("GOOGLETRANSLATE(D91, ""en"", ""zh"")"),"C) A 和 B 都对")</f>
        <v>C) A 和 B 都对</v>
      </c>
      <c r="L91" s="6" t="str">
        <f>IFERROR(__xludf.DUMMYFUNCTION("GOOGLETRANSLATE(E91, ""en"", ""zh"")"),"#VALUE!")</f>
        <v>#VALUE!</v>
      </c>
    </row>
    <row r="92">
      <c r="A92" s="17">
        <v>91.0</v>
      </c>
      <c r="B92" s="18" t="s">
        <v>2085</v>
      </c>
      <c r="C92" s="18" t="s">
        <v>2086</v>
      </c>
      <c r="D92" s="18" t="s">
        <v>1299</v>
      </c>
      <c r="I92" s="6" t="str">
        <f>IFERROR(__xludf.DUMMYFUNCTION("GOOGLETRANSLATE(B92, ""en"", ""zh"")"),"功夫被认为是以下运动的一部分：")</f>
        <v>功夫被认为是以下运动的一部分：</v>
      </c>
      <c r="J92" s="6" t="str">
        <f>IFERROR(__xludf.DUMMYFUNCTION("GOOGLETRANSLATE(C92, ""en"", ""zh"")"),"A) 中国传统 B) 体育文化 C) 武术传统 D) 以上全部")</f>
        <v>A) 中国传统 B) 体育文化 C) 武术传统 D) 以上全部</v>
      </c>
      <c r="K92" s="6" t="str">
        <f>IFERROR(__xludf.DUMMYFUNCTION("GOOGLETRANSLATE(D92, ""en"", ""zh"")"),"D) 以上所有选项")</f>
        <v>D) 以上所有选项</v>
      </c>
      <c r="L92" s="6" t="str">
        <f>IFERROR(__xludf.DUMMYFUNCTION("GOOGLETRANSLATE(E92, ""en"", ""zh"")"),"#VALUE!")</f>
        <v>#VALUE!</v>
      </c>
    </row>
    <row r="93">
      <c r="A93" s="17">
        <v>92.0</v>
      </c>
      <c r="B93" s="18" t="s">
        <v>2087</v>
      </c>
      <c r="C93" s="18" t="s">
        <v>1717</v>
      </c>
      <c r="D93" s="18" t="s">
        <v>1993</v>
      </c>
      <c r="I93" s="6" t="str">
        <f>IFERROR(__xludf.DUMMYFUNCTION("GOOGLETRANSLATE(B93, ""en"", ""zh"")"),"哪个朝代发展出了正式的少林等级制度？")</f>
        <v>哪个朝代发展出了正式的少林等级制度？</v>
      </c>
      <c r="J93" s="6" t="str">
        <f>IFERROR(__xludf.DUMMYFUNCTION("GOOGLETRANSLATE(C93, ""en"", ""zh"")"),"A) 唐 B) 宋 C) 明 D) 青")</f>
        <v>A) 唐 B) 宋 C) 明 D) 青</v>
      </c>
      <c r="K93" s="6" t="str">
        <f>IFERROR(__xludf.DUMMYFUNCTION("GOOGLETRANSLATE(D93, ""en"", ""zh"")"),"C) 明")</f>
        <v>C) 明</v>
      </c>
      <c r="L93" s="6" t="str">
        <f>IFERROR(__xludf.DUMMYFUNCTION("GOOGLETRANSLATE(E93, ""en"", ""zh"")"),"#VALUE!")</f>
        <v>#VALUE!</v>
      </c>
    </row>
    <row r="94">
      <c r="A94" s="17">
        <v>93.0</v>
      </c>
      <c r="B94" s="18" t="s">
        <v>2088</v>
      </c>
      <c r="C94" s="18" t="s">
        <v>2089</v>
      </c>
      <c r="D94" s="18" t="s">
        <v>2090</v>
      </c>
      <c r="I94" s="6" t="str">
        <f>IFERROR(__xludf.DUMMYFUNCTION("GOOGLETRANSLATE(B94, ""en"", ""zh"")"),"咏春拳的特点是：")</f>
        <v>咏春拳的特点是：</v>
      </c>
      <c r="J94" s="6" t="str">
        <f>IFERROR(__xludf.DUMMYFUNCTION("GOOGLETRANSLATE(C94, ""en"", ""zh"")"),"A) 近身格斗 B) 高踢腿 C) 杂技动作 D) 远程打击")</f>
        <v>A) 近身格斗 B) 高踢腿 C) 杂技动作 D) 远程打击</v>
      </c>
      <c r="K94" s="6" t="str">
        <f>IFERROR(__xludf.DUMMYFUNCTION("GOOGLETRANSLATE(D94, ""en"", ""zh"")"),"A）近距离战斗")</f>
        <v>A）近距离战斗</v>
      </c>
      <c r="L94" s="6" t="str">
        <f>IFERROR(__xludf.DUMMYFUNCTION("GOOGLETRANSLATE(E94, ""en"", ""zh"")"),"#VALUE!")</f>
        <v>#VALUE!</v>
      </c>
    </row>
    <row r="95">
      <c r="A95" s="17">
        <v>94.0</v>
      </c>
      <c r="B95" s="18" t="s">
        <v>2091</v>
      </c>
      <c r="C95" s="18" t="s">
        <v>2092</v>
      </c>
      <c r="D95" s="18" t="s">
        <v>2093</v>
      </c>
      <c r="I95" s="6" t="str">
        <f>IFERROR(__xludf.DUMMYFUNCTION("GOOGLETRANSLATE(B95, ""en"", ""zh"")"),"哪种拳法被认为是北方功夫？")</f>
        <v>哪种拳法被认为是北方功夫？</v>
      </c>
      <c r="J95" s="6" t="str">
        <f>IFERROR(__xludf.DUMMYFUNCTION("GOOGLETRANSLATE(C95, ""en"", ""zh"")"),"A) 少林 B) 咏春 C) 太极 D) 武当")</f>
        <v>A) 少林 B) 咏春 C) 太极 D) 武当</v>
      </c>
      <c r="K95" s="6" t="str">
        <f>IFERROR(__xludf.DUMMYFUNCTION("GOOGLETRANSLATE(D95, ""en"", ""zh"")"),"A) 少林")</f>
        <v>A) 少林</v>
      </c>
      <c r="L95" s="6" t="str">
        <f>IFERROR(__xludf.DUMMYFUNCTION("GOOGLETRANSLATE(E95, ""en"", ""zh"")"),"#VALUE!")</f>
        <v>#VALUE!</v>
      </c>
    </row>
    <row r="96">
      <c r="A96" s="17">
        <v>95.0</v>
      </c>
      <c r="B96" s="18" t="s">
        <v>2094</v>
      </c>
      <c r="C96" s="18" t="s">
        <v>2095</v>
      </c>
      <c r="D96" s="18" t="s">
        <v>1299</v>
      </c>
      <c r="I96" s="6" t="str">
        <f>IFERROR(__xludf.DUMMYFUNCTION("GOOGLETRANSLATE(B96, ""en"", ""zh"")"),"功夫哲学常常强调：")</f>
        <v>功夫哲学常常强调：</v>
      </c>
      <c r="J96" s="6" t="str">
        <f>IFERROR(__xludf.DUMMYFUNCTION("GOOGLETRANSLATE(C96, ""en"", ""zh"")"),"A) 道德操守 B) 身体技能 C) 精神集中力 D) 以上全部")</f>
        <v>A) 道德操守 B) 身体技能 C) 精神集中力 D) 以上全部</v>
      </c>
      <c r="K96" s="6" t="str">
        <f>IFERROR(__xludf.DUMMYFUNCTION("GOOGLETRANSLATE(D96, ""en"", ""zh"")"),"D) 以上所有选项")</f>
        <v>D) 以上所有选项</v>
      </c>
      <c r="L96" s="6" t="str">
        <f>IFERROR(__xludf.DUMMYFUNCTION("GOOGLETRANSLATE(E96, ""en"", ""zh"")"),"#VALUE!")</f>
        <v>#VALUE!</v>
      </c>
    </row>
    <row r="97">
      <c r="A97" s="17">
        <v>96.0</v>
      </c>
      <c r="B97" s="18" t="s">
        <v>2096</v>
      </c>
      <c r="C97" s="18" t="s">
        <v>2097</v>
      </c>
      <c r="D97" s="18" t="s">
        <v>2098</v>
      </c>
      <c r="I97" s="6" t="str">
        <f>IFERROR(__xludf.DUMMYFUNCTION("GOOGLETRANSLATE(B97, ""en"", ""zh"")"),"功夫中的“铁布衫”指的是：")</f>
        <v>功夫中的“铁布衫”指的是：</v>
      </c>
      <c r="J97" s="6" t="str">
        <f>IFERROR(__xludf.DUMMYFUNCTION("GOOGLETRANSLATE(C97, ""en"", ""zh"")"),"A) 防御性体能训练 B) 盔甲 C) 武器技巧 D) 武术哲学")</f>
        <v>A) 防御性体能训练 B) 盔甲 C) 武器技巧 D) 武术哲学</v>
      </c>
      <c r="K97" s="6" t="str">
        <f>IFERROR(__xludf.DUMMYFUNCTION("GOOGLETRANSLATE(D97, ""en"", ""zh"")"),"A) 防御性体能训练")</f>
        <v>A) 防御性体能训练</v>
      </c>
      <c r="L97" s="6" t="str">
        <f>IFERROR(__xludf.DUMMYFUNCTION("GOOGLETRANSLATE(E97, ""en"", ""zh"")"),"#VALUE!")</f>
        <v>#VALUE!</v>
      </c>
    </row>
    <row r="98">
      <c r="A98" s="17">
        <v>97.0</v>
      </c>
      <c r="B98" s="18" t="s">
        <v>2099</v>
      </c>
      <c r="C98" s="18" t="s">
        <v>2100</v>
      </c>
      <c r="D98" s="18" t="s">
        <v>1299</v>
      </c>
      <c r="I98" s="6" t="str">
        <f>IFERROR(__xludf.DUMMYFUNCTION("GOOGLETRANSLATE(B98, ""en"", ""zh"")"),"传统功夫武器包括：")</f>
        <v>传统功夫武器包括：</v>
      </c>
      <c r="J98" s="6" t="str">
        <f>IFERROR(__xludf.DUMMYFUNCTION("GOOGLETRANSLATE(C98, ""en"", ""zh"")"),"A) 法杖 B) 剑 C) 长矛 D) 以上全部")</f>
        <v>A) 法杖 B) 剑 C) 长矛 D) 以上全部</v>
      </c>
      <c r="K98" s="6" t="str">
        <f>IFERROR(__xludf.DUMMYFUNCTION("GOOGLETRANSLATE(D98, ""en"", ""zh"")"),"D) 以上所有选项")</f>
        <v>D) 以上所有选项</v>
      </c>
      <c r="L98" s="6" t="str">
        <f>IFERROR(__xludf.DUMMYFUNCTION("GOOGLETRANSLATE(E98, ""en"", ""zh"")"),"#VALUE!")</f>
        <v>#VALUE!</v>
      </c>
    </row>
    <row r="99">
      <c r="A99" s="17">
        <v>98.0</v>
      </c>
      <c r="B99" s="18" t="s">
        <v>2101</v>
      </c>
      <c r="C99" s="18" t="s">
        <v>2102</v>
      </c>
      <c r="D99" s="18" t="s">
        <v>2103</v>
      </c>
      <c r="I99" s="6" t="str">
        <f>IFERROR(__xludf.DUMMYFUNCTION("GOOGLETRANSLATE(B99, ""en"", ""zh"")"),"功夫影响了西方的哪项运动？")</f>
        <v>功夫影响了西方的哪项运动？</v>
      </c>
      <c r="J99" s="6" t="str">
        <f>IFERROR(__xludf.DUMMYFUNCTION("GOOGLETRANSLATE(C99, ""en"", ""zh"")"),"A) 综合格斗 B) 拳击 C) 摔跤 D) 柔道")</f>
        <v>A) 综合格斗 B) 拳击 C) 摔跤 D) 柔道</v>
      </c>
      <c r="K99" s="6" t="str">
        <f>IFERROR(__xludf.DUMMYFUNCTION("GOOGLETRANSLATE(D99, ""en"", ""zh"")"),"A) 综合格斗")</f>
        <v>A) 综合格斗</v>
      </c>
      <c r="L99" s="6" t="str">
        <f>IFERROR(__xludf.DUMMYFUNCTION("GOOGLETRANSLATE(E99, ""en"", ""zh"")"),"#VALUE!")</f>
        <v>#VALUE!</v>
      </c>
    </row>
    <row r="100">
      <c r="A100" s="17">
        <v>99.0</v>
      </c>
      <c r="B100" s="18" t="s">
        <v>2104</v>
      </c>
      <c r="C100" s="18" t="s">
        <v>2105</v>
      </c>
      <c r="D100" s="18" t="s">
        <v>1299</v>
      </c>
      <c r="I100" s="6" t="str">
        <f>IFERROR(__xludf.DUMMYFUNCTION("GOOGLETRANSLATE(B100, ""en"", ""zh"")"),"功夫强调以下几点之间的平衡：")</f>
        <v>功夫强调以下几点之间的平衡：</v>
      </c>
      <c r="J100" s="6" t="str">
        <f>IFERROR(__xludf.DUMMYFUNCTION("GOOGLETRANSLATE(C100, ""en"", ""zh"")"),"A) 力量和速度 B) 身心 C) 攻击和防御 D) 以上所有")</f>
        <v>A) 力量和速度 B) 身心 C) 攻击和防御 D) 以上所有</v>
      </c>
      <c r="K100" s="6" t="str">
        <f>IFERROR(__xludf.DUMMYFUNCTION("GOOGLETRANSLATE(D100, ""en"", ""zh"")"),"D) 以上所有选项")</f>
        <v>D) 以上所有选项</v>
      </c>
      <c r="L100" s="6" t="str">
        <f>IFERROR(__xludf.DUMMYFUNCTION("GOOGLETRANSLATE(E100, ""en"", ""zh"")"),"#VALUE!")</f>
        <v>#VALUE!</v>
      </c>
    </row>
    <row r="101">
      <c r="A101" s="17">
        <v>100.0</v>
      </c>
      <c r="B101" s="18" t="s">
        <v>2106</v>
      </c>
      <c r="C101" s="18" t="s">
        <v>2107</v>
      </c>
      <c r="D101" s="18" t="s">
        <v>2108</v>
      </c>
      <c r="I101" s="6" t="str">
        <f>IFERROR(__xludf.DUMMYFUNCTION("GOOGLETRANSLATE(B101, ""en"", ""zh"")"),"少林武术中，哪种功法结合了冥想和武术？")</f>
        <v>少林武术中，哪种功法结合了冥想和武术？</v>
      </c>
      <c r="J101" s="6" t="str">
        <f>IFERROR(__xludf.DUMMYFUNCTION("GOOGLETRANSLATE(C101, ""en"", ""zh"")"),"A) 气功 B) 套路 C) 散手 D) 咏春拳")</f>
        <v>A) 气功 B) 套路 C) 散手 D) 咏春拳</v>
      </c>
      <c r="K101" s="6" t="str">
        <f>IFERROR(__xludf.DUMMYFUNCTION("GOOGLETRANSLATE(D101, ""en"", ""zh"")"),"一）气功")</f>
        <v>一）气功</v>
      </c>
      <c r="L101" s="6" t="str">
        <f>IFERROR(__xludf.DUMMYFUNCTION("GOOGLETRANSLATE(E101, ""en"", ""zh"")"),"#VALUE!")</f>
        <v>#VALUE!</v>
      </c>
    </row>
    <row r="102">
      <c r="A102" s="17">
        <v>101.0</v>
      </c>
      <c r="B102" s="18" t="s">
        <v>2109</v>
      </c>
      <c r="C102" s="18" t="s">
        <v>2110</v>
      </c>
      <c r="D102" s="18" t="s">
        <v>2111</v>
      </c>
      <c r="I102" s="6" t="str">
        <f>IFERROR(__xludf.DUMMYFUNCTION("GOOGLETRANSLATE(B102, ""en"", ""zh"")"),"“虎”型风格强调：")</f>
        <v>“虎”型风格强调：</v>
      </c>
      <c r="J102" s="6" t="str">
        <f>IFERROR(__xludf.DUMMYFUNCTION("GOOGLETRANSLATE(C102, ""en"", ""zh"")"),"A) 力量与侵略性 B) 优雅与灵活 C) 速度与精准度 D) 冥想")</f>
        <v>A) 力量与侵略性 B) 优雅与灵活 C) 速度与精准度 D) 冥想</v>
      </c>
      <c r="K102" s="6" t="str">
        <f>IFERROR(__xludf.DUMMYFUNCTION("GOOGLETRANSLATE(D102, ""en"", ""zh"")"),"A) 权力和侵略性")</f>
        <v>A) 权力和侵略性</v>
      </c>
      <c r="L102" s="6" t="str">
        <f>IFERROR(__xludf.DUMMYFUNCTION("GOOGLETRANSLATE(E102, ""en"", ""zh"")"),"#VALUE!")</f>
        <v>#VALUE!</v>
      </c>
    </row>
    <row r="103">
      <c r="A103" s="17">
        <v>102.0</v>
      </c>
      <c r="B103" s="18" t="s">
        <v>2112</v>
      </c>
      <c r="C103" s="18" t="s">
        <v>2113</v>
      </c>
      <c r="D103" s="18" t="s">
        <v>2114</v>
      </c>
      <c r="I103" s="6" t="str">
        <f>IFERROR(__xludf.DUMMYFUNCTION("GOOGLETRANSLATE(B103, ""en"", ""zh"")"),"“蛇形”功夫强调：")</f>
        <v>“蛇形”功夫强调：</v>
      </c>
      <c r="J103" s="6" t="str">
        <f>IFERROR(__xludf.DUMMYFUNCTION("GOOGLETRANSLATE(C103, ""en"", ""zh"")"),"A) 柔韧性和速度 B) 力量 C) 高踢腿 D) 杂技")</f>
        <v>A) 柔韧性和速度 B) 力量 C) 高踢腿 D) 杂技</v>
      </c>
      <c r="K103" s="6" t="str">
        <f>IFERROR(__xludf.DUMMYFUNCTION("GOOGLETRANSLATE(D103, ""en"", ""zh"")"),"A) 灵活性和速度")</f>
        <v>A) 灵活性和速度</v>
      </c>
      <c r="L103" s="6" t="str">
        <f>IFERROR(__xludf.DUMMYFUNCTION("GOOGLETRANSLATE(E103, ""en"", ""zh"")"),"#VALUE!")</f>
        <v>#VALUE!</v>
      </c>
    </row>
    <row r="104">
      <c r="A104" s="17">
        <v>103.0</v>
      </c>
      <c r="B104" s="18" t="s">
        <v>2115</v>
      </c>
      <c r="C104" s="18" t="s">
        <v>2116</v>
      </c>
      <c r="D104" s="18" t="s">
        <v>2117</v>
      </c>
      <c r="I104" s="6" t="str">
        <f>IFERROR(__xludf.DUMMYFUNCTION("GOOGLETRANSLATE(B104, ""en"", ""zh"")"),"“豹纹”风格强调：")</f>
        <v>“豹纹”风格强调：</v>
      </c>
      <c r="J104" s="6" t="str">
        <f>IFERROR(__xludf.DUMMYFUNCTION("GOOGLETRANSLATE(C104, ""en"", ""zh"")"),"A) 速度与力量 B) 优雅与精准 C) 耐力 D) 冥想")</f>
        <v>A) 速度与力量 B) 优雅与精准 C) 耐力 D) 冥想</v>
      </c>
      <c r="K104" s="6" t="str">
        <f>IFERROR(__xludf.DUMMYFUNCTION("GOOGLETRANSLATE(D104, ""en"", ""zh"")"),"A) 速度和功率")</f>
        <v>A) 速度和功率</v>
      </c>
      <c r="L104" s="6" t="str">
        <f>IFERROR(__xludf.DUMMYFUNCTION("GOOGLETRANSLATE(E104, ""en"", ""zh"")"),"#VALUE!")</f>
        <v>#VALUE!</v>
      </c>
    </row>
    <row r="105">
      <c r="A105" s="17">
        <v>104.0</v>
      </c>
      <c r="B105" s="18" t="s">
        <v>2118</v>
      </c>
      <c r="C105" s="18" t="s">
        <v>2119</v>
      </c>
      <c r="D105" s="18" t="s">
        <v>2120</v>
      </c>
      <c r="I105" s="6" t="str">
        <f>IFERROR(__xludf.DUMMYFUNCTION("GOOGLETRANSLATE(B105, ""en"", ""zh"")"),"“鹤形”风格的灵感源于：")</f>
        <v>“鹤形”风格的灵感源于：</v>
      </c>
      <c r="J105" s="6" t="str">
        <f>IFERROR(__xludf.DUMMYFUNCTION("GOOGLETRANSLATE(C105, ""en"", ""zh"")"),"A) 观鸟 B) 神话传说 C) 民间英雄 D) 武僧")</f>
        <v>A) 观鸟 B) 神话传说 C) 民间英雄 D) 武僧</v>
      </c>
      <c r="K105" s="6" t="str">
        <f>IFERROR(__xludf.DUMMYFUNCTION("GOOGLETRANSLATE(D105, ""en"", ""zh"")"),"A）观察鸟类")</f>
        <v>A）观察鸟类</v>
      </c>
      <c r="L105" s="6" t="str">
        <f>IFERROR(__xludf.DUMMYFUNCTION("GOOGLETRANSLATE(E105, ""en"", ""zh"")"),"#VALUE!")</f>
        <v>#VALUE!</v>
      </c>
    </row>
    <row r="106">
      <c r="A106" s="17">
        <v>105.0</v>
      </c>
      <c r="B106" s="18" t="s">
        <v>2121</v>
      </c>
      <c r="C106" s="18" t="s">
        <v>2122</v>
      </c>
      <c r="D106" s="18" t="s">
        <v>2007</v>
      </c>
      <c r="I106" s="6" t="str">
        <f>IFERROR(__xludf.DUMMYFUNCTION("GOOGLETRANSLATE(B106, ""en"", ""zh"")"),"武当山与哪种功夫流派有关？")</f>
        <v>武当山与哪种功夫流派有关？</v>
      </c>
      <c r="J106" s="6" t="str">
        <f>IFERROR(__xludf.DUMMYFUNCTION("GOOGLETRANSLATE(C106, ""en"", ""zh"")"),"A) 内家 B) 外家 C) 少林 D) 北家")</f>
        <v>A) 内家 B) 外家 C) 少林 D) 北家</v>
      </c>
      <c r="K106" s="6" t="str">
        <f>IFERROR(__xludf.DUMMYFUNCTION("GOOGLETRANSLATE(D106, ""en"", ""zh"")"),"A) 内部")</f>
        <v>A) 内部</v>
      </c>
      <c r="L106" s="6" t="str">
        <f>IFERROR(__xludf.DUMMYFUNCTION("GOOGLETRANSLATE(E106, ""en"", ""zh"")"),"#VALUE!")</f>
        <v>#VALUE!</v>
      </c>
    </row>
    <row r="107">
      <c r="A107" s="17">
        <v>106.0</v>
      </c>
      <c r="B107" s="18" t="s">
        <v>2123</v>
      </c>
      <c r="C107" s="18" t="s">
        <v>2124</v>
      </c>
      <c r="D107" s="18" t="s">
        <v>2125</v>
      </c>
      <c r="I107" s="6" t="str">
        <f>IFERROR(__xludf.DUMMYFUNCTION("GOOGLETRANSLATE(B107, ""en"", ""zh"")"),"功夫套路被称为：")</f>
        <v>功夫套路被称为：</v>
      </c>
      <c r="J107" s="6" t="str">
        <f>IFERROR(__xludf.DUMMYFUNCTION("GOOGLETRANSLATE(C107, ""en"", ""zh"")"),"A) 套路 B) 型拳 C) 品势 D) 马来拳")</f>
        <v>A) 套路 B) 型拳 C) 品势 D) 马来拳</v>
      </c>
      <c r="K107" s="6" t="str">
        <f>IFERROR(__xludf.DUMMYFUNCTION("GOOGLETRANSLATE(D107, ""en"", ""zh"")"),"A) 套路")</f>
        <v>A) 套路</v>
      </c>
      <c r="L107" s="6" t="str">
        <f>IFERROR(__xludf.DUMMYFUNCTION("GOOGLETRANSLATE(E107, ""en"", ""zh"")"),"#VALUE!")</f>
        <v>#VALUE!</v>
      </c>
    </row>
    <row r="108">
      <c r="A108" s="17">
        <v>107.0</v>
      </c>
      <c r="B108" s="18" t="s">
        <v>2126</v>
      </c>
      <c r="C108" s="18" t="s">
        <v>2127</v>
      </c>
      <c r="D108" s="18" t="s">
        <v>2074</v>
      </c>
      <c r="I108" s="6" t="str">
        <f>IFERROR(__xludf.DUMMYFUNCTION("GOOGLETRANSLATE(B108, ""en"", ""zh"")"),"“散打”或“散手”是指：")</f>
        <v>“散打”或“散手”是指：</v>
      </c>
      <c r="J108" s="6" t="str">
        <f>IFERROR(__xludf.DUMMYFUNCTION("GOOGLETRANSLATE(C108, ""en"", ""zh"")"),"A) 自由搏击 B) 套路练习 C) 冥想 D) 武器训练")</f>
        <v>A) 自由搏击 B) 套路练习 C) 冥想 D) 武器训练</v>
      </c>
      <c r="K108" s="6" t="str">
        <f>IFERROR(__xludf.DUMMYFUNCTION("GOOGLETRANSLATE(D108, ""en"", ""zh"")"),"A) 自由搏击")</f>
        <v>A) 自由搏击</v>
      </c>
      <c r="L108" s="6" t="str">
        <f>IFERROR(__xludf.DUMMYFUNCTION("GOOGLETRANSLATE(E108, ""en"", ""zh"")"),"#VALUE!")</f>
        <v>#VALUE!</v>
      </c>
    </row>
    <row r="109">
      <c r="A109" s="17">
        <v>108.0</v>
      </c>
      <c r="B109" s="18" t="s">
        <v>2128</v>
      </c>
      <c r="C109" s="18" t="s">
        <v>2129</v>
      </c>
      <c r="D109" s="18" t="s">
        <v>2130</v>
      </c>
      <c r="I109" s="6" t="str">
        <f>IFERROR(__xludf.DUMMYFUNCTION("GOOGLETRANSLATE(B109, ""en"", ""zh"")"),"最早的功夫手册是用哪种语言写成的？")</f>
        <v>最早的功夫手册是用哪种语言写成的？</v>
      </c>
      <c r="J109" s="6" t="str">
        <f>IFERROR(__xludf.DUMMYFUNCTION("GOOGLETRANSLATE(C109, ""en"", ""zh"")"),"A) 文言文 B) 日语 C) 韩语 D) 梵语")</f>
        <v>A) 文言文 B) 日语 C) 韩语 D) 梵语</v>
      </c>
      <c r="K109" s="6" t="str">
        <f>IFERROR(__xludf.DUMMYFUNCTION("GOOGLETRANSLATE(D109, ""en"", ""zh"")"),"A) 文言文")</f>
        <v>A) 文言文</v>
      </c>
      <c r="L109" s="6" t="str">
        <f>IFERROR(__xludf.DUMMYFUNCTION("GOOGLETRANSLATE(E109, ""en"", ""zh"")"),"#VALUE!")</f>
        <v>#VALUE!</v>
      </c>
    </row>
    <row r="110">
      <c r="A110" s="17">
        <v>109.0</v>
      </c>
      <c r="B110" s="18" t="s">
        <v>2131</v>
      </c>
      <c r="C110" s="18" t="s">
        <v>2132</v>
      </c>
      <c r="D110" s="18" t="s">
        <v>2133</v>
      </c>
      <c r="I110" s="6" t="str">
        <f>IFERROR(__xludf.DUMMYFUNCTION("GOOGLETRANSLATE(B110, ""en"", ""zh"")"),"功夫电影在哪个年代风靡全球？")</f>
        <v>功夫电影在哪个年代风靡全球？</v>
      </c>
      <c r="J110" s="6" t="str">
        <f>IFERROR(__xludf.DUMMYFUNCTION("GOOGLETRANSLATE(C110, ""en"", ""zh"")"),"A) 20世纪60年代 B) 20世纪70年代 C) 20世纪80年代 D) 20世纪90年代")</f>
        <v>A) 20世纪60年代 B) 20世纪70年代 C) 20世纪80年代 D) 20世纪90年代</v>
      </c>
      <c r="K110" s="6" t="str">
        <f>IFERROR(__xludf.DUMMYFUNCTION("GOOGLETRANSLATE(D110, ""en"", ""zh"")"),"B) 20世纪70年代")</f>
        <v>B) 20世纪70年代</v>
      </c>
      <c r="L110" s="6" t="str">
        <f>IFERROR(__xludf.DUMMYFUNCTION("GOOGLETRANSLATE(E110, ""en"", ""zh"")"),"#VALUE!")</f>
        <v>#VALUE!</v>
      </c>
    </row>
    <row r="111">
      <c r="A111" s="17">
        <v>110.0</v>
      </c>
      <c r="B111" s="18" t="s">
        <v>2134</v>
      </c>
      <c r="C111" s="18" t="s">
        <v>2135</v>
      </c>
      <c r="D111" s="18" t="s">
        <v>1299</v>
      </c>
      <c r="I111" s="6" t="str">
        <f>IFERROR(__xludf.DUMMYFUNCTION("GOOGLETRANSLATE(B111, ""en"", ""zh"")"),"少林功夫历史上由以下人群练习：")</f>
        <v>少林功夫历史上由以下人群练习：</v>
      </c>
      <c r="J111" s="6" t="str">
        <f>IFERROR(__xludf.DUMMYFUNCTION("GOOGLETRANSLATE(C111, ""en"", ""zh"")"),"A) 僧侣 B) 士兵 C) 平民 D) 以上全部")</f>
        <v>A) 僧侣 B) 士兵 C) 平民 D) 以上全部</v>
      </c>
      <c r="K111" s="6" t="str">
        <f>IFERROR(__xludf.DUMMYFUNCTION("GOOGLETRANSLATE(D111, ""en"", ""zh"")"),"D) 以上所有选项")</f>
        <v>D) 以上所有选项</v>
      </c>
      <c r="L111" s="6" t="str">
        <f>IFERROR(__xludf.DUMMYFUNCTION("GOOGLETRANSLATE(E111, ""en"", ""zh"")"),"#VALUE!")</f>
        <v>#VALUE!</v>
      </c>
    </row>
    <row r="112">
      <c r="A112" s="17">
        <v>111.0</v>
      </c>
      <c r="B112" s="18" t="s">
        <v>2136</v>
      </c>
      <c r="C112" s="18" t="s">
        <v>2137</v>
      </c>
      <c r="D112" s="18" t="s">
        <v>2138</v>
      </c>
      <c r="I112" s="6" t="str">
        <f>IFERROR(__xludf.DUMMYFUNCTION("GOOGLETRANSLATE(B112, ""en"", ""zh"")"),"据说哪位著名的少林僧人曾将功夫传授给士兵？")</f>
        <v>据说哪位著名的少林僧人曾将功夫传授给士兵？</v>
      </c>
      <c r="J112" s="6" t="str">
        <f>IFERROR(__xludf.DUMMYFUNCTION("GOOGLETRANSLATE(C112, ""en"", ""zh"")"),"A) 达摩 B) 罗汉 C) 张三丰 D) 岳飞")</f>
        <v>A) 达摩 B) 罗汉 C) 张三丰 D) 岳飞</v>
      </c>
      <c r="K112" s="6" t="str">
        <f>IFERROR(__xludf.DUMMYFUNCTION("GOOGLETRANSLATE(D112, ""en"", ""zh"")"),"A) 菩提达摩")</f>
        <v>A) 菩提达摩</v>
      </c>
      <c r="L112" s="6" t="str">
        <f>IFERROR(__xludf.DUMMYFUNCTION("GOOGLETRANSLATE(E112, ""en"", ""zh"")"),"#VALUE!")</f>
        <v>#VALUE!</v>
      </c>
    </row>
    <row r="113">
      <c r="A113" s="17">
        <v>112.0</v>
      </c>
      <c r="B113" s="18" t="s">
        <v>2139</v>
      </c>
      <c r="C113" s="18" t="s">
        <v>2140</v>
      </c>
      <c r="D113" s="18" t="s">
        <v>2141</v>
      </c>
      <c r="I113" s="6" t="str">
        <f>IFERROR(__xludf.DUMMYFUNCTION("GOOGLETRANSLATE(B113, ""en"", ""zh"")"),"功夫通常与中国哪种传统技艺相结合？")</f>
        <v>功夫通常与中国哪种传统技艺相结合？</v>
      </c>
      <c r="J113" s="6" t="str">
        <f>IFERROR(__xludf.DUMMYFUNCTION("GOOGLETRANSLATE(C113, ""en"", ""zh"")"),"A) 冥想 B) 针灸 C) 书法 D) 绘画")</f>
        <v>A) 冥想 B) 针灸 C) 书法 D) 绘画</v>
      </c>
      <c r="K113" s="6" t="str">
        <f>IFERROR(__xludf.DUMMYFUNCTION("GOOGLETRANSLATE(D113, ""en"", ""zh"")"),"A) 冥想")</f>
        <v>A) 冥想</v>
      </c>
      <c r="L113" s="6" t="str">
        <f>IFERROR(__xludf.DUMMYFUNCTION("GOOGLETRANSLATE(E113, ""en"", ""zh"")"),"#VALUE!")</f>
        <v>#VALUE!</v>
      </c>
    </row>
    <row r="114">
      <c r="A114" s="17">
        <v>113.0</v>
      </c>
      <c r="B114" s="18" t="s">
        <v>2142</v>
      </c>
      <c r="C114" s="18" t="s">
        <v>2143</v>
      </c>
      <c r="D114" s="18" t="s">
        <v>2144</v>
      </c>
      <c r="I114" s="6" t="str">
        <f>IFERROR(__xludf.DUMMYFUNCTION("GOOGLETRANSLATE(B114, ""en"", ""zh"")"),"“铁砂掌”技法主要强化身体的哪个部位？")</f>
        <v>“铁砂掌”技法主要强化身体的哪个部位？</v>
      </c>
      <c r="J114" s="6" t="str">
        <f>IFERROR(__xludf.DUMMYFUNCTION("GOOGLETRANSLATE(C114, ""en"", ""zh"")"),"A) 手 B) 脚 C) 前臂 D) 腿")</f>
        <v>A) 手 B) 脚 C) 前臂 D) 腿</v>
      </c>
      <c r="K114" s="6" t="str">
        <f>IFERROR(__xludf.DUMMYFUNCTION("GOOGLETRANSLATE(D114, ""en"", ""zh"")"),"A) 手")</f>
        <v>A) 手</v>
      </c>
      <c r="L114" s="6" t="str">
        <f>IFERROR(__xludf.DUMMYFUNCTION("GOOGLETRANSLATE(E114, ""en"", ""zh"")"),"#VALUE!")</f>
        <v>#VALUE!</v>
      </c>
    </row>
    <row r="115">
      <c r="A115" s="17">
        <v>114.0</v>
      </c>
      <c r="B115" s="18" t="s">
        <v>2145</v>
      </c>
      <c r="C115" s="18" t="s">
        <v>2146</v>
      </c>
      <c r="D115" s="18" t="s">
        <v>2147</v>
      </c>
      <c r="I115" s="6" t="str">
        <f>IFERROR(__xludf.DUMMYFUNCTION("GOOGLETRANSLATE(B115, ""en"", ""zh"")"),"“铁布衫”训练法的发展：")</f>
        <v>“铁布衫”训练法的发展：</v>
      </c>
      <c r="J115" s="6" t="str">
        <f>IFERROR(__xludf.DUMMYFUNCTION("GOOGLETRANSLATE(C115, ""en"", ""zh"")"),"A) 身体韧性 B) 速度 C) 敏捷性 D) 柔韧性")</f>
        <v>A) 身体韧性 B) 速度 C) 敏捷性 D) 柔韧性</v>
      </c>
      <c r="K115" s="6" t="str">
        <f>IFERROR(__xludf.DUMMYFUNCTION("GOOGLETRANSLATE(D115, ""en"", ""zh"")"),"A) 身体韧性")</f>
        <v>A) 身体韧性</v>
      </c>
      <c r="L115" s="6" t="str">
        <f>IFERROR(__xludf.DUMMYFUNCTION("GOOGLETRANSLATE(E115, ""en"", ""zh"")"),"#VALUE!")</f>
        <v>#VALUE!</v>
      </c>
    </row>
    <row r="116">
      <c r="A116" s="17">
        <v>115.0</v>
      </c>
      <c r="B116" s="18" t="s">
        <v>2148</v>
      </c>
      <c r="C116" s="18" t="s">
        <v>2149</v>
      </c>
      <c r="D116" s="18" t="s">
        <v>2150</v>
      </c>
      <c r="I116" s="6" t="str">
        <f>IFERROR(__xludf.DUMMYFUNCTION("GOOGLETRANSLATE(B116, ""en"", ""zh"")"),"“五形拳”是在哪个朝代发展起来的？")</f>
        <v>“五形拳”是在哪个朝代发展起来的？</v>
      </c>
      <c r="J116" s="6" t="str">
        <f>IFERROR(__xludf.DUMMYFUNCTION("GOOGLETRANSLATE(C116, ""en"", ""zh"")"),"A) 宋 B) 明 C) 庆 D) 唐")</f>
        <v>A) 宋 B) 明 C) 庆 D) 唐</v>
      </c>
      <c r="K116" s="6" t="str">
        <f>IFERROR(__xludf.DUMMYFUNCTION("GOOGLETRANSLATE(D116, ""en"", ""zh"")"),"B) 明")</f>
        <v>B) 明</v>
      </c>
      <c r="L116" s="6" t="str">
        <f>IFERROR(__xludf.DUMMYFUNCTION("GOOGLETRANSLATE(E116, ""en"", ""zh"")"),"#VALUE!")</f>
        <v>#VALUE!</v>
      </c>
    </row>
    <row r="117">
      <c r="A117" s="17">
        <v>116.0</v>
      </c>
      <c r="B117" s="18" t="s">
        <v>2151</v>
      </c>
      <c r="C117" s="18" t="s">
        <v>2152</v>
      </c>
      <c r="D117" s="18" t="s">
        <v>2153</v>
      </c>
      <c r="I117" s="6" t="str">
        <f>IFERROR(__xludf.DUMMYFUNCTION("GOOGLETRANSLATE(B117, ""en"", ""zh"")"),"“龙”形风格强调：")</f>
        <v>“龙”形风格强调：</v>
      </c>
      <c r="J117" s="6" t="str">
        <f>IFERROR(__xludf.DUMMYFUNCTION("GOOGLETRANSLATE(C117, ""en"", ""zh"")"),"A) 流畅性和灵活性 B) 力量 C) 速度 D) 杂技技巧")</f>
        <v>A) 流畅性和灵活性 B) 力量 C) 速度 D) 杂技技巧</v>
      </c>
      <c r="K117" s="6" t="str">
        <f>IFERROR(__xludf.DUMMYFUNCTION("GOOGLETRANSLATE(D117, ""en"", ""zh"")"),"A) 流动性和灵活性")</f>
        <v>A) 流动性和灵活性</v>
      </c>
      <c r="L117" s="6" t="str">
        <f>IFERROR(__xludf.DUMMYFUNCTION("GOOGLETRANSLATE(E117, ""en"", ""zh"")"),"#VALUE!")</f>
        <v>#VALUE!</v>
      </c>
    </row>
    <row r="118">
      <c r="A118" s="17">
        <v>117.0</v>
      </c>
      <c r="B118" s="18" t="s">
        <v>2154</v>
      </c>
      <c r="C118" s="18" t="s">
        <v>2155</v>
      </c>
      <c r="D118" s="18" t="s">
        <v>1299</v>
      </c>
      <c r="I118" s="6" t="str">
        <f>IFERROR(__xludf.DUMMYFUNCTION("GOOGLETRANSLATE(B118, ""en"", ""zh"")"),"传统功夫训练通常包括：")</f>
        <v>传统功夫训练通常包括：</v>
      </c>
      <c r="J118" s="6" t="str">
        <f>IFERROR(__xludf.DUMMYFUNCTION("GOOGLETRANSLATE(C118, ""en"", ""zh"")"),"A) 套路 B) 对练 C) 武器 D) 以上全部")</f>
        <v>A) 套路 B) 对练 C) 武器 D) 以上全部</v>
      </c>
      <c r="K118" s="6" t="str">
        <f>IFERROR(__xludf.DUMMYFUNCTION("GOOGLETRANSLATE(D118, ""en"", ""zh"")"),"D) 以上所有选项")</f>
        <v>D) 以上所有选项</v>
      </c>
      <c r="L118" s="6" t="str">
        <f>IFERROR(__xludf.DUMMYFUNCTION("GOOGLETRANSLATE(E118, ""en"", ""zh"")"),"#VALUE!")</f>
        <v>#VALUE!</v>
      </c>
    </row>
    <row r="119">
      <c r="A119" s="17">
        <v>118.0</v>
      </c>
      <c r="B119" s="18" t="s">
        <v>2156</v>
      </c>
      <c r="C119" s="18" t="s">
        <v>2157</v>
      </c>
      <c r="D119" s="18" t="s">
        <v>2158</v>
      </c>
      <c r="I119" s="6" t="str">
        <f>IFERROR(__xludf.DUMMYFUNCTION("GOOGLETRANSLATE(B119, ""en"", ""zh"")"),"功夫练习中的“气功”发展如下：")</f>
        <v>功夫练习中的“气功”发展如下：</v>
      </c>
      <c r="J119" s="6" t="str">
        <f>IFERROR(__xludf.DUMMYFUNCTION("GOOGLETRANSLATE(C119, ""en"", ""zh"")"),"A) 内能 B) 力量 C) 速度 D) 杂技")</f>
        <v>A) 内能 B) 力量 C) 速度 D) 杂技</v>
      </c>
      <c r="K119" s="6" t="str">
        <f>IFERROR(__xludf.DUMMYFUNCTION("GOOGLETRANSLATE(D119, ""en"", ""zh"")"),"A) 内能")</f>
        <v>A) 内能</v>
      </c>
      <c r="L119" s="6" t="str">
        <f>IFERROR(__xludf.DUMMYFUNCTION("GOOGLETRANSLATE(E119, ""en"", ""zh"")"),"#VALUE!")</f>
        <v>#VALUE!</v>
      </c>
    </row>
    <row r="120">
      <c r="A120" s="17">
        <v>119.0</v>
      </c>
      <c r="B120" s="18" t="s">
        <v>2159</v>
      </c>
      <c r="C120" s="18" t="s">
        <v>2160</v>
      </c>
      <c r="D120" s="18" t="s">
        <v>2161</v>
      </c>
      <c r="I120" s="6" t="str">
        <f>IFERROR(__xludf.DUMMYFUNCTION("GOOGLETRANSLATE(B120, ""en"", ""zh"")"),"功夫哲学强调以下几点之间的平衡：")</f>
        <v>功夫哲学强调以下几点之间的平衡：</v>
      </c>
      <c r="J120" s="6" t="str">
        <f>IFERROR(__xludf.DUMMYFUNCTION("GOOGLETRANSLATE(C120, ""en"", ""zh"")"),"A) 身心 B) 速度与力量 C) 攻击与防御 D) 力量与耐力")</f>
        <v>A) 身心 B) 速度与力量 C) 攻击与防御 D) 力量与耐力</v>
      </c>
      <c r="K120" s="6" t="str">
        <f>IFERROR(__xludf.DUMMYFUNCTION("GOOGLETRANSLATE(D120, ""en"", ""zh"")"),"A) 身心")</f>
        <v>A) 身心</v>
      </c>
      <c r="L120" s="6" t="str">
        <f>IFERROR(__xludf.DUMMYFUNCTION("GOOGLETRANSLATE(E120, ""en"", ""zh"")"),"#VALUE!")</f>
        <v>#VALUE!</v>
      </c>
    </row>
    <row r="121">
      <c r="A121" s="17">
        <v>120.0</v>
      </c>
      <c r="B121" s="18" t="s">
        <v>2162</v>
      </c>
      <c r="C121" s="18" t="s">
        <v>2163</v>
      </c>
      <c r="D121" s="18" t="s">
        <v>2164</v>
      </c>
      <c r="I121" s="6" t="str">
        <f>IFERROR(__xludf.DUMMYFUNCTION("GOOGLETRANSLATE(B121, ""en"", ""zh"")"),"历史上，功夫曾被用来训练哪种类型的战士？")</f>
        <v>历史上，功夫曾被用来训练哪种类型的战士？</v>
      </c>
      <c r="J121" s="6" t="str">
        <f>IFERROR(__xludf.DUMMYFUNCTION("GOOGLETRANSLATE(C121, ""en"", ""zh"")"),"A) 士兵 B) 警察 C) 武术家 D) 僧侣")</f>
        <v>A) 士兵 B) 警察 C) 武术家 D) 僧侣</v>
      </c>
      <c r="K121" s="6" t="str">
        <f>IFERROR(__xludf.DUMMYFUNCTION("GOOGLETRANSLATE(D121, ""en"", ""zh"")"),"A）士兵")</f>
        <v>A）士兵</v>
      </c>
      <c r="L121" s="6" t="str">
        <f>IFERROR(__xludf.DUMMYFUNCTION("GOOGLETRANSLATE(E121, ""en"", ""zh"")"),"#VALUE!")</f>
        <v>#VALUE!</v>
      </c>
    </row>
    <row r="122">
      <c r="A122" s="17">
        <v>121.0</v>
      </c>
      <c r="B122" s="18" t="s">
        <v>2165</v>
      </c>
      <c r="C122" s="18" t="s">
        <v>2166</v>
      </c>
      <c r="D122" s="18" t="s">
        <v>2007</v>
      </c>
      <c r="I122" s="6" t="str">
        <f>IFERROR(__xludf.DUMMYFUNCTION("GOOGLETRANSLATE(B122, ""en"", ""zh"")"),"武当功夫侧重于哪种类型的武术训练？")</f>
        <v>武当功夫侧重于哪种类型的武术训练？</v>
      </c>
      <c r="J122" s="6" t="str">
        <f>IFERROR(__xludf.DUMMYFUNCTION("GOOGLETRANSLATE(C122, ""en"", ""zh"")"),"A) 内部 B) 外部 C) 武器 D) 杂技")</f>
        <v>A) 内部 B) 外部 C) 武器 D) 杂技</v>
      </c>
      <c r="K122" s="6" t="str">
        <f>IFERROR(__xludf.DUMMYFUNCTION("GOOGLETRANSLATE(D122, ""en"", ""zh"")"),"A) 内部")</f>
        <v>A) 内部</v>
      </c>
      <c r="L122" s="6" t="str">
        <f>IFERROR(__xludf.DUMMYFUNCTION("GOOGLETRANSLATE(E122, ""en"", ""zh"")"),"#VALUE!")</f>
        <v>#VALUE!</v>
      </c>
    </row>
    <row r="123">
      <c r="A123" s="17">
        <v>122.0</v>
      </c>
      <c r="B123" s="18" t="s">
        <v>2167</v>
      </c>
      <c r="C123" s="18" t="s">
        <v>2168</v>
      </c>
      <c r="D123" s="18" t="s">
        <v>2169</v>
      </c>
      <c r="I123" s="6" t="str">
        <f>IFERROR(__xludf.DUMMYFUNCTION("GOOGLETRANSLATE(B123, ""en"", ""zh"")"),"北少林功夫以以下特点而闻名：")</f>
        <v>北少林功夫以以下特点而闻名：</v>
      </c>
      <c r="J123" s="6" t="str">
        <f>IFERROR(__xludf.DUMMYFUNCTION("GOOGLETRANSLATE(C123, ""en"", ""zh"")"),"A) 高踢腿和杂技 B) 近身格斗 C) 冥想 D) 轻柔的动作")</f>
        <v>A) 高踢腿和杂技 B) 近身格斗 C) 冥想 D) 轻柔的动作</v>
      </c>
      <c r="K123" s="6" t="str">
        <f>IFERROR(__xludf.DUMMYFUNCTION("GOOGLETRANSLATE(D123, ""en"", ""zh"")"),"A) 高踢腿和杂技")</f>
        <v>A) 高踢腿和杂技</v>
      </c>
      <c r="L123" s="6" t="str">
        <f>IFERROR(__xludf.DUMMYFUNCTION("GOOGLETRANSLATE(E123, ""en"", ""zh"")"),"#VALUE!")</f>
        <v>#VALUE!</v>
      </c>
    </row>
    <row r="124">
      <c r="A124" s="17">
        <v>123.0</v>
      </c>
      <c r="B124" s="18" t="s">
        <v>2170</v>
      </c>
      <c r="C124" s="18" t="s">
        <v>2171</v>
      </c>
      <c r="D124" s="18" t="s">
        <v>2172</v>
      </c>
      <c r="I124" s="6" t="str">
        <f>IFERROR(__xludf.DUMMYFUNCTION("GOOGLETRANSLATE(B124, ""en"", ""zh"")"),"南派功夫的特点是：")</f>
        <v>南派功夫的特点是：</v>
      </c>
      <c r="J124" s="6" t="str">
        <f>IFERROR(__xludf.DUMMYFUNCTION("GOOGLETRANSLATE(C124, ""en"", ""zh"")"),"A) 低姿和手部技巧 B) 高跳 C) 武器精通 D) 冥想")</f>
        <v>A) 低姿和手部技巧 B) 高跳 C) 武器精通 D) 冥想</v>
      </c>
      <c r="K124" s="6" t="str">
        <f>IFERROR(__xludf.DUMMYFUNCTION("GOOGLETRANSLATE(D124, ""en"", ""zh"")"),"A) 低位站姿和手部技巧")</f>
        <v>A) 低位站姿和手部技巧</v>
      </c>
      <c r="L124" s="6" t="str">
        <f>IFERROR(__xludf.DUMMYFUNCTION("GOOGLETRANSLATE(E124, ""en"", ""zh"")"),"#VALUE!")</f>
        <v>#VALUE!</v>
      </c>
    </row>
    <row r="125">
      <c r="A125" s="17">
        <v>124.0</v>
      </c>
      <c r="B125" s="18" t="s">
        <v>2173</v>
      </c>
      <c r="C125" s="18" t="s">
        <v>2174</v>
      </c>
      <c r="D125" s="18" t="s">
        <v>2090</v>
      </c>
      <c r="I125" s="6" t="str">
        <f>IFERROR(__xludf.DUMMYFUNCTION("GOOGLETRANSLATE(B125, ""en"", ""zh"")"),"咏春拳强调：")</f>
        <v>咏春拳强调：</v>
      </c>
      <c r="J125" s="6" t="str">
        <f>IFERROR(__xludf.DUMMYFUNCTION("GOOGLETRANSLATE(C125, ""en"", ""zh"")"),"A) 近身格斗 B) 远程踢击 C) 杂技 D) 冥想")</f>
        <v>A) 近身格斗 B) 远程踢击 C) 杂技 D) 冥想</v>
      </c>
      <c r="K125" s="6" t="str">
        <f>IFERROR(__xludf.DUMMYFUNCTION("GOOGLETRANSLATE(D125, ""en"", ""zh"")"),"A）近距离战斗")</f>
        <v>A）近距离战斗</v>
      </c>
      <c r="L125" s="6" t="str">
        <f>IFERROR(__xludf.DUMMYFUNCTION("GOOGLETRANSLATE(E125, ""en"", ""zh"")"),"#VALUE!")</f>
        <v>#VALUE!</v>
      </c>
    </row>
    <row r="126">
      <c r="A126" s="17">
        <v>125.0</v>
      </c>
      <c r="B126" s="18" t="s">
        <v>2175</v>
      </c>
      <c r="C126" s="18" t="s">
        <v>2176</v>
      </c>
      <c r="D126" s="18" t="s">
        <v>1299</v>
      </c>
      <c r="I126" s="6" t="str">
        <f>IFERROR(__xludf.DUMMYFUNCTION("GOOGLETRANSLATE(B126, ""en"", ""zh"")"),"功夫伦理教导：")</f>
        <v>功夫伦理教导：</v>
      </c>
      <c r="J126" s="6" t="str">
        <f>IFERROR(__xludf.DUMMYFUNCTION("GOOGLETRANSLATE(C126, ""en"", ""zh"")"),"A) 自律 B) 尊重 C) 毅力 D) 以上全部")</f>
        <v>A) 自律 B) 尊重 C) 毅力 D) 以上全部</v>
      </c>
      <c r="K126" s="6" t="str">
        <f>IFERROR(__xludf.DUMMYFUNCTION("GOOGLETRANSLATE(D126, ""en"", ""zh"")"),"D) 以上所有选项")</f>
        <v>D) 以上所有选项</v>
      </c>
      <c r="L126" s="6" t="str">
        <f>IFERROR(__xludf.DUMMYFUNCTION("GOOGLETRANSLATE(E126, ""en"", ""zh"")"),"#VALUE!")</f>
        <v>#VALUE!</v>
      </c>
    </row>
    <row r="127">
      <c r="A127" s="17">
        <v>126.0</v>
      </c>
      <c r="B127" s="18" t="s">
        <v>2177</v>
      </c>
      <c r="C127" s="18" t="s">
        <v>2178</v>
      </c>
      <c r="D127" s="18" t="s">
        <v>2179</v>
      </c>
      <c r="I127" s="6" t="str">
        <f>IFERROR(__xludf.DUMMYFUNCTION("GOOGLETRANSLATE(B127, ""en"", ""zh"")"),"功夫影响了哪些现代武术？")</f>
        <v>功夫影响了哪些现代武术？</v>
      </c>
      <c r="J127" s="6" t="str">
        <f>IFERROR(__xludf.DUMMYFUNCTION("GOOGLETRANSLATE(C127, ""en"", ""zh"")"),"A) 空手道 B) 跆拳道 C) 综合格斗 D) 柔道")</f>
        <v>A) 空手道 B) 跆拳道 C) 综合格斗 D) 柔道</v>
      </c>
      <c r="K127" s="6" t="str">
        <f>IFERROR(__xludf.DUMMYFUNCTION("GOOGLETRANSLATE(D127, ""en"", ""zh"")"),"C) 综合格斗")</f>
        <v>C) 综合格斗</v>
      </c>
      <c r="L127" s="6" t="str">
        <f>IFERROR(__xludf.DUMMYFUNCTION("GOOGLETRANSLATE(E127, ""en"", ""zh"")"),"#VALUE!")</f>
        <v>#VALUE!</v>
      </c>
    </row>
    <row r="128">
      <c r="A128" s="17">
        <v>127.0</v>
      </c>
      <c r="B128" s="18" t="s">
        <v>2180</v>
      </c>
      <c r="C128" s="18" t="s">
        <v>1717</v>
      </c>
      <c r="D128" s="18" t="s">
        <v>1336</v>
      </c>
      <c r="I128" s="6" t="str">
        <f>IFERROR(__xludf.DUMMYFUNCTION("GOOGLETRANSLATE(B128, ""en"", ""zh"")"),"哪个朝代在寺庙和修道院中推广功夫？")</f>
        <v>哪个朝代在寺庙和修道院中推广功夫？</v>
      </c>
      <c r="J128" s="6" t="str">
        <f>IFERROR(__xludf.DUMMYFUNCTION("GOOGLETRANSLATE(C128, ""en"", ""zh"")"),"A) 唐 B) 宋 C) 明 D) 青")</f>
        <v>A) 唐 B) 宋 C) 明 D) 青</v>
      </c>
      <c r="K128" s="6" t="str">
        <f>IFERROR(__xludf.DUMMYFUNCTION("GOOGLETRANSLATE(D128, ""en"", ""zh"")"),"B)歌曲")</f>
        <v>B)歌曲</v>
      </c>
      <c r="L128" s="6" t="str">
        <f>IFERROR(__xludf.DUMMYFUNCTION("GOOGLETRANSLATE(E128, ""en"", ""zh"")"),"#VALUE!")</f>
        <v>#VALUE!</v>
      </c>
    </row>
    <row r="129">
      <c r="A129" s="17">
        <v>128.0</v>
      </c>
      <c r="B129" s="18" t="s">
        <v>2181</v>
      </c>
      <c r="C129" s="18" t="s">
        <v>2182</v>
      </c>
      <c r="D129" s="18" t="s">
        <v>2183</v>
      </c>
      <c r="I129" s="6" t="str">
        <f>IFERROR(__xludf.DUMMYFUNCTION("GOOGLETRANSLATE(B129, ""en"", ""zh"")"),"“虎式”风格注重：")</f>
        <v>“虎式”风格注重：</v>
      </c>
      <c r="J129" s="6" t="str">
        <f>IFERROR(__xludf.DUMMYFUNCTION("GOOGLETRANSLATE(C129, ""en"", ""zh"")"),"A) 力量和攻击性 B) 柔韧性 C) 杂技 D) 冥想")</f>
        <v>A) 力量和攻击性 B) 柔韧性 C) 杂技 D) 冥想</v>
      </c>
      <c r="K129" s="6" t="str">
        <f>IFERROR(__xludf.DUMMYFUNCTION("GOOGLETRANSLATE(D129, ""en"", ""zh"")"),"A) 力量和侵略性")</f>
        <v>A) 力量和侵略性</v>
      </c>
      <c r="L129" s="6" t="str">
        <f>IFERROR(__xludf.DUMMYFUNCTION("GOOGLETRANSLATE(E129, ""en"", ""zh"")"),"#VALUE!")</f>
        <v>#VALUE!</v>
      </c>
    </row>
    <row r="130">
      <c r="A130" s="17">
        <v>129.0</v>
      </c>
      <c r="B130" s="18" t="s">
        <v>1999</v>
      </c>
      <c r="C130" s="18" t="s">
        <v>2184</v>
      </c>
      <c r="D130" s="18" t="s">
        <v>1299</v>
      </c>
      <c r="I130" s="6" t="str">
        <f>IFERROR(__xludf.DUMMYFUNCTION("GOOGLETRANSLATE(B130, ""en"", ""zh"")"),"少林僧人练习功夫是为了：")</f>
        <v>少林僧人练习功夫是为了：</v>
      </c>
      <c r="J130" s="6" t="str">
        <f>IFERROR(__xludf.DUMMYFUNCTION("GOOGLETRANSLATE(C130, ""en"", ""zh"")"),"A) 体能训练 B) 冥想 C) 自卫 D) 以上全部")</f>
        <v>A) 体能训练 B) 冥想 C) 自卫 D) 以上全部</v>
      </c>
      <c r="K130" s="6" t="str">
        <f>IFERROR(__xludf.DUMMYFUNCTION("GOOGLETRANSLATE(D130, ""en"", ""zh"")"),"D) 以上所有选项")</f>
        <v>D) 以上所有选项</v>
      </c>
      <c r="L130" s="6" t="str">
        <f>IFERROR(__xludf.DUMMYFUNCTION("GOOGLETRANSLATE(E130, ""en"", ""zh"")"),"#VALUE!")</f>
        <v>#VALUE!</v>
      </c>
    </row>
    <row r="131">
      <c r="A131" s="17">
        <v>130.0</v>
      </c>
      <c r="B131" s="18" t="s">
        <v>2185</v>
      </c>
      <c r="C131" s="18" t="s">
        <v>2186</v>
      </c>
      <c r="D131" s="18" t="s">
        <v>2187</v>
      </c>
      <c r="I131" s="6" t="str">
        <f>IFERROR(__xludf.DUMMYFUNCTION("GOOGLETRANSLATE(B131, ""en"", ""zh"")"),"菩提达摩被认为是将哪种功夫引入少林功夫的？")</f>
        <v>菩提达摩被认为是将哪种功夫引入少林功夫的？</v>
      </c>
      <c r="J131" s="6" t="str">
        <f>IFERROR(__xludf.DUMMYFUNCTION("GOOGLETRANSLATE(C131, ""en"", ""zh"")"),"A) 冥想和气功 B) 武器训练 C) 杂技 D) 摔跤")</f>
        <v>A) 冥想和气功 B) 武器训练 C) 杂技 D) 摔跤</v>
      </c>
      <c r="K131" s="6" t="str">
        <f>IFERROR(__xludf.DUMMYFUNCTION("GOOGLETRANSLATE(D131, ""en"", ""zh"")"),"A) 冥想和气功")</f>
        <v>A) 冥想和气功</v>
      </c>
      <c r="L131" s="6" t="str">
        <f>IFERROR(__xludf.DUMMYFUNCTION("GOOGLETRANSLATE(E131, ""en"", ""zh"")"),"#VALUE!")</f>
        <v>#VALUE!</v>
      </c>
    </row>
    <row r="132">
      <c r="A132" s="17">
        <v>131.0</v>
      </c>
      <c r="B132" s="18" t="s">
        <v>2188</v>
      </c>
      <c r="C132" s="18" t="s">
        <v>2100</v>
      </c>
      <c r="D132" s="18" t="s">
        <v>1299</v>
      </c>
      <c r="I132" s="6" t="str">
        <f>IFERROR(__xludf.DUMMYFUNCTION("GOOGLETRANSLATE(B132, ""en"", ""zh"")"),"功夫兵器训练传统上包括：")</f>
        <v>功夫兵器训练传统上包括：</v>
      </c>
      <c r="J132" s="6" t="str">
        <f>IFERROR(__xludf.DUMMYFUNCTION("GOOGLETRANSLATE(C132, ""en"", ""zh"")"),"A) 法杖 B) 剑 C) 长矛 D) 以上全部")</f>
        <v>A) 法杖 B) 剑 C) 长矛 D) 以上全部</v>
      </c>
      <c r="K132" s="6" t="str">
        <f>IFERROR(__xludf.DUMMYFUNCTION("GOOGLETRANSLATE(D132, ""en"", ""zh"")"),"D) 以上所有选项")</f>
        <v>D) 以上所有选项</v>
      </c>
      <c r="L132" s="6" t="str">
        <f>IFERROR(__xludf.DUMMYFUNCTION("GOOGLETRANSLATE(E132, ""en"", ""zh"")"),"#VALUE!")</f>
        <v>#VALUE!</v>
      </c>
    </row>
    <row r="133">
      <c r="A133" s="17">
        <v>132.0</v>
      </c>
      <c r="B133" s="18" t="s">
        <v>2077</v>
      </c>
      <c r="C133" s="18" t="s">
        <v>2189</v>
      </c>
      <c r="D133" s="18" t="s">
        <v>2079</v>
      </c>
      <c r="I133" s="6" t="str">
        <f>IFERROR(__xludf.DUMMYFUNCTION("GOOGLETRANSLATE(B133, ""en"", ""zh"")"),"功夫中的五行理论包括：")</f>
        <v>功夫中的五行理论包括：</v>
      </c>
      <c r="J133" s="6" t="str">
        <f>IFERROR(__xludf.DUMMYFUNCTION("GOOGLETRANSLATE(C133, ""en"", ""zh"")"),"A) 火、水、土、金、木 B) 火、气、水、土、木 C) 火、金、土、气、水 D) 火、木、土、金、气")</f>
        <v>A) 火、水、土、金、木 B) 火、气、水、土、木 C) 火、金、土、气、水 D) 火、木、土、金、气</v>
      </c>
      <c r="K133" s="6" t="str">
        <f>IFERROR(__xludf.DUMMYFUNCTION("GOOGLETRANSLATE(D133, ""en"", ""zh"")"),"A) 火、水、土、金、木")</f>
        <v>A) 火、水、土、金、木</v>
      </c>
      <c r="L133" s="6" t="str">
        <f>IFERROR(__xludf.DUMMYFUNCTION("GOOGLETRANSLATE(E133, ""en"", ""zh"")"),"#VALUE!")</f>
        <v>#VALUE!</v>
      </c>
    </row>
    <row r="134">
      <c r="A134" s="17">
        <v>133.0</v>
      </c>
      <c r="B134" s="18" t="s">
        <v>2190</v>
      </c>
      <c r="C134" s="18" t="s">
        <v>2191</v>
      </c>
      <c r="D134" s="18" t="s">
        <v>1299</v>
      </c>
      <c r="I134" s="6" t="str">
        <f>IFERROR(__xludf.DUMMYFUNCTION("GOOGLETRANSLATE(B134, ""en"", ""zh"")"),"传统功夫节庆活动通常包括：")</f>
        <v>传统功夫节庆活动通常包括：</v>
      </c>
      <c r="J134" s="6" t="str">
        <f>IFERROR(__xludf.DUMMYFUNCTION("GOOGLETRANSLATE(C134, ""en"", ""zh"")"),"A) 示威游行 B) 比赛 C) 仪式 D) 以上所有")</f>
        <v>A) 示威游行 B) 比赛 C) 仪式 D) 以上所有</v>
      </c>
      <c r="K134" s="6" t="str">
        <f>IFERROR(__xludf.DUMMYFUNCTION("GOOGLETRANSLATE(D134, ""en"", ""zh"")"),"D) 以上所有选项")</f>
        <v>D) 以上所有选项</v>
      </c>
      <c r="L134" s="6" t="str">
        <f>IFERROR(__xludf.DUMMYFUNCTION("GOOGLETRANSLATE(E134, ""en"", ""zh"")"),"#VALUE!")</f>
        <v>#VALUE!</v>
      </c>
    </row>
    <row r="135">
      <c r="A135" s="17">
        <v>134.0</v>
      </c>
      <c r="B135" s="18" t="s">
        <v>2192</v>
      </c>
      <c r="C135" s="18" t="s">
        <v>2193</v>
      </c>
      <c r="D135" s="18" t="s">
        <v>1299</v>
      </c>
      <c r="I135" s="6" t="str">
        <f>IFERROR(__xludf.DUMMYFUNCTION("GOOGLETRANSLATE(B135, ""en"", ""zh"")"),"功夫哲学包含哪些原则？")</f>
        <v>功夫哲学包含哪些原则？</v>
      </c>
      <c r="J135" s="6" t="str">
        <f>IFERROR(__xludf.DUMMYFUNCTION("GOOGLETRANSLATE(C135, ""en"", ""zh"")"),"A) 和谐 B) 纪律 C) 道德 D) 以上全部")</f>
        <v>A) 和谐 B) 纪律 C) 道德 D) 以上全部</v>
      </c>
      <c r="K135" s="6" t="str">
        <f>IFERROR(__xludf.DUMMYFUNCTION("GOOGLETRANSLATE(D135, ""en"", ""zh"")"),"D) 以上所有选项")</f>
        <v>D) 以上所有选项</v>
      </c>
      <c r="L135" s="6" t="str">
        <f>IFERROR(__xludf.DUMMYFUNCTION("GOOGLETRANSLATE(E135, ""en"", ""zh"")"),"#VALUE!")</f>
        <v>#VALUE!</v>
      </c>
    </row>
    <row r="136">
      <c r="A136" s="17">
        <v>135.0</v>
      </c>
      <c r="B136" s="18" t="s">
        <v>2194</v>
      </c>
      <c r="C136" s="18" t="s">
        <v>2195</v>
      </c>
      <c r="D136" s="18" t="s">
        <v>2196</v>
      </c>
      <c r="I136" s="6" t="str">
        <f>IFERROR(__xludf.DUMMYFUNCTION("GOOGLETRANSLATE(B136, ""en"", ""zh"")"),"太极拳是一种：")</f>
        <v>太极拳是一种：</v>
      </c>
      <c r="J136" s="6" t="str">
        <f>IFERROR(__xludf.DUMMYFUNCTION("GOOGLETRANSLATE(C136, ""en"", ""zh"")"),"A) 内功 B) 外功 C) 少林功夫 D) 武当剑")</f>
        <v>A) 内功 B) 外功 C) 少林功夫 D) 武当剑</v>
      </c>
      <c r="K136" s="6" t="str">
        <f>IFERROR(__xludf.DUMMYFUNCTION("GOOGLETRANSLATE(D136, ""en"", ""zh"")"),"A) 内家功夫")</f>
        <v>A) 内家功夫</v>
      </c>
      <c r="L136" s="6" t="str">
        <f>IFERROR(__xludf.DUMMYFUNCTION("GOOGLETRANSLATE(E136, ""en"", ""zh"")"),"#VALUE!")</f>
        <v>#VALUE!</v>
      </c>
    </row>
    <row r="137">
      <c r="A137" s="4"/>
    </row>
    <row r="138">
      <c r="A138" s="4"/>
    </row>
    <row r="139">
      <c r="A139" s="4"/>
    </row>
    <row r="140">
      <c r="A140" s="4"/>
    </row>
    <row r="141">
      <c r="A141" s="4"/>
    </row>
    <row r="142">
      <c r="A142" s="4"/>
    </row>
    <row r="143">
      <c r="A143" s="4"/>
    </row>
    <row r="144">
      <c r="A144" s="4"/>
    </row>
    <row r="145">
      <c r="A145" s="4"/>
    </row>
    <row r="146">
      <c r="A146" s="4"/>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75"/>
    <col customWidth="1" min="5" max="5" width="12.75"/>
    <col customWidth="1" min="9" max="9" width="12.75"/>
  </cols>
  <sheetData>
    <row r="1">
      <c r="A1" s="1" t="s">
        <v>0</v>
      </c>
      <c r="B1" s="1" t="s">
        <v>1</v>
      </c>
      <c r="C1" s="1" t="s">
        <v>2</v>
      </c>
      <c r="D1" s="1" t="s">
        <v>3</v>
      </c>
      <c r="E1" s="1" t="s">
        <v>4</v>
      </c>
      <c r="F1" s="2"/>
      <c r="G1" s="2"/>
      <c r="H1" s="1" t="s">
        <v>5</v>
      </c>
      <c r="I1" s="1" t="s">
        <v>6</v>
      </c>
      <c r="J1" s="1" t="s">
        <v>7</v>
      </c>
      <c r="K1" s="1" t="s">
        <v>4</v>
      </c>
      <c r="L1" s="4"/>
      <c r="M1" s="4"/>
      <c r="N1" s="4"/>
      <c r="O1" s="4"/>
      <c r="P1" s="4"/>
    </row>
    <row r="2">
      <c r="A2" s="5">
        <v>1.0</v>
      </c>
      <c r="B2" s="6" t="s">
        <v>2197</v>
      </c>
      <c r="C2" s="6" t="s">
        <v>2198</v>
      </c>
      <c r="D2" s="6" t="s">
        <v>2199</v>
      </c>
      <c r="E2" s="6" t="s">
        <v>2200</v>
      </c>
      <c r="F2" s="2"/>
      <c r="G2" s="2"/>
      <c r="H2" s="5" t="str">
        <f>IFERROR(__xludf.DUMMYFUNCTION("GOOGLETRANSLATE(B2, ""en"", ""zh"")"),"太极拳的创始人是谁？")</f>
        <v>太极拳的创始人是谁？</v>
      </c>
      <c r="I2" s="5" t="str">
        <f>IFERROR(__xludf.DUMMYFUNCTION("GOOGLETRANSLATE(C2, ""en"", ""zh"")"),"A) 张三丰，B) 李白，C) 孙子，D) 孔子")</f>
        <v>A) 张三丰，B) 李白，C) 孙子，D) 孔子</v>
      </c>
      <c r="J2" s="5" t="str">
        <f>IFERROR(__xludf.DUMMYFUNCTION("GOOGLETRANSLATE(D2, ""en"", ""zh"")"),"A) 张三丰")</f>
        <v>A) 张三丰</v>
      </c>
      <c r="K2" s="5" t="str">
        <f>IFERROR(__xludf.DUMMYFUNCTION("GOOGLETRANSLATE(E2, ""en"", ""zh"")"),"人们普遍认为张三丰在12世纪创立了太极拳。")</f>
        <v>人们普遍认为张三丰在12世纪创立了太极拳。</v>
      </c>
      <c r="L2" s="2"/>
      <c r="M2" s="4"/>
      <c r="N2" s="2"/>
      <c r="O2" s="4"/>
      <c r="P2" s="2"/>
    </row>
    <row r="3">
      <c r="A3" s="5">
        <v>2.0</v>
      </c>
      <c r="B3" s="6" t="s">
        <v>2201</v>
      </c>
      <c r="C3" s="6" t="s">
        <v>2202</v>
      </c>
      <c r="D3" s="6" t="s">
        <v>2203</v>
      </c>
      <c r="E3" s="6" t="s">
        <v>2204</v>
      </c>
      <c r="F3" s="2"/>
      <c r="G3" s="2"/>
      <c r="H3" s="5" t="str">
        <f>IFERROR(__xludf.DUMMYFUNCTION("GOOGLETRANSLATE(B3, ""en"", ""zh"")"),"太极拳在哪个朝代开始流行起来？")</f>
        <v>太极拳在哪个朝代开始流行起来？</v>
      </c>
      <c r="I3" s="5" t="str">
        <f>IFERROR(__xludf.DUMMYFUNCTION("GOOGLETRANSLATE(C3, ""en"", ""zh"")"),"A) 唐朝，B) 宋朝，C) 明朝，D) 清朝")</f>
        <v>A) 唐朝，B) 宋朝，C) 明朝，D) 清朝</v>
      </c>
      <c r="J3" s="5" t="str">
        <f>IFERROR(__xludf.DUMMYFUNCTION("GOOGLETRANSLATE(D3, ""en"", ""zh"")"),"C) 明朝")</f>
        <v>C) 明朝</v>
      </c>
      <c r="K3" s="5" t="str">
        <f>IFERROR(__xludf.DUMMYFUNCTION("GOOGLETRANSLATE(E3, ""en"", ""zh"")"),"太极拳在明朝时期作为一种武术而广受欢迎。")</f>
        <v>太极拳在明朝时期作为一种武术而广受欢迎。</v>
      </c>
      <c r="L3" s="2"/>
      <c r="M3" s="4"/>
      <c r="N3" s="2"/>
      <c r="O3" s="4"/>
      <c r="P3" s="2"/>
    </row>
    <row r="4">
      <c r="A4" s="5">
        <v>3.0</v>
      </c>
      <c r="B4" s="6" t="s">
        <v>2205</v>
      </c>
      <c r="C4" s="6" t="s">
        <v>2206</v>
      </c>
      <c r="D4" s="6" t="s">
        <v>2207</v>
      </c>
      <c r="E4" s="6" t="s">
        <v>2208</v>
      </c>
      <c r="F4" s="2"/>
      <c r="G4" s="2"/>
      <c r="H4" s="5" t="str">
        <f>IFERROR(__xludf.DUMMYFUNCTION("GOOGLETRANSLATE(B4, ""en"", ""zh"")"),"太极拳起源于武术与哪种元素的结合？")</f>
        <v>太极拳起源于武术与哪种元素的结合？</v>
      </c>
      <c r="I4" s="5" t="str">
        <f>IFERROR(__xludf.DUMMYFUNCTION("GOOGLETRANSLATE(C4, ""en"", ""zh"")"),"A) 舞蹈，B) 冥想，C) 瑜伽，D) 杂技")</f>
        <v>A) 舞蹈，B) 冥想，C) 瑜伽，D) 杂技</v>
      </c>
      <c r="J4" s="5" t="str">
        <f>IFERROR(__xludf.DUMMYFUNCTION("GOOGLETRANSLATE(D4, ""en"", ""zh"")"),"B)冥想")</f>
        <v>B)冥想</v>
      </c>
      <c r="K4" s="5" t="str">
        <f>IFERROR(__xludf.DUMMYFUNCTION("GOOGLETRANSLATE(E4, ""en"", ""zh"")"),"太极拳将武术技巧与冥想动作相结合，以达到身心平衡。")</f>
        <v>太极拳将武术技巧与冥想动作相结合，以达到身心平衡。</v>
      </c>
      <c r="L4" s="2"/>
      <c r="M4" s="4"/>
      <c r="N4" s="2"/>
      <c r="O4" s="4"/>
      <c r="P4" s="4"/>
    </row>
    <row r="5">
      <c r="A5" s="5">
        <v>4.0</v>
      </c>
      <c r="B5" s="6" t="s">
        <v>2209</v>
      </c>
      <c r="C5" s="6" t="s">
        <v>2210</v>
      </c>
      <c r="D5" s="6" t="s">
        <v>2211</v>
      </c>
      <c r="E5" s="6" t="s">
        <v>2212</v>
      </c>
      <c r="F5" s="2"/>
      <c r="G5" s="2"/>
      <c r="H5" s="5" t="str">
        <f>IFERROR(__xludf.DUMMYFUNCTION("GOOGLETRANSLATE(B5, ""en"", ""zh"")"),"太极拳与中国哪种哲学思想密切相关？")</f>
        <v>太极拳与中国哪种哲学思想密切相关？</v>
      </c>
      <c r="I5" s="5" t="str">
        <f>IFERROR(__xludf.DUMMYFUNCTION("GOOGLETRANSLATE(C5, ""en"", ""zh"")"),"A) 道教，B) 儒教，C) 佛教，D) 法家")</f>
        <v>A) 道教，B) 儒教，C) 佛教，D) 法家</v>
      </c>
      <c r="J5" s="5" t="str">
        <f>IFERROR(__xludf.DUMMYFUNCTION("GOOGLETRANSLATE(D5, ""en"", ""zh"")"),"A) 道教")</f>
        <v>A) 道教</v>
      </c>
      <c r="K5" s="5" t="str">
        <f>IFERROR(__xludf.DUMMYFUNCTION("GOOGLETRANSLATE(E5, ""en"", ""zh"")"),"太极拳深受道家思想的影响，注重平衡与和谐。")</f>
        <v>太极拳深受道家思想的影响，注重平衡与和谐。</v>
      </c>
      <c r="L5" s="2"/>
      <c r="M5" s="4"/>
      <c r="N5" s="4"/>
      <c r="O5" s="4"/>
      <c r="P5" s="4"/>
    </row>
    <row r="6">
      <c r="A6" s="5">
        <v>5.0</v>
      </c>
      <c r="B6" s="6" t="s">
        <v>2213</v>
      </c>
      <c r="C6" s="6" t="s">
        <v>2214</v>
      </c>
      <c r="D6" s="6" t="s">
        <v>2215</v>
      </c>
      <c r="E6" s="6" t="s">
        <v>2216</v>
      </c>
      <c r="F6" s="2"/>
      <c r="G6" s="2"/>
      <c r="H6" s="5" t="str">
        <f>IFERROR(__xludf.DUMMYFUNCTION("GOOGLETRANSLATE(B6, ""en"", ""zh"")"),"太极拳的发展受到了哪些武术流派的影响？")</f>
        <v>太极拳的发展受到了哪些武术流派的影响？</v>
      </c>
      <c r="I6" s="5" t="str">
        <f>IFERROR(__xludf.DUMMYFUNCTION("GOOGLETRANSLATE(C6, ""en"", ""zh"")"),"A) 功夫，B) 空手道，C) 柔道，D) 拳击")</f>
        <v>A) 功夫，B) 空手道，C) 柔道，D) 拳击</v>
      </c>
      <c r="J6" s="5" t="str">
        <f>IFERROR(__xludf.DUMMYFUNCTION("GOOGLETRANSLATE(D6, ""en"", ""zh"")"),"A) 功夫")</f>
        <v>A) 功夫</v>
      </c>
      <c r="K6" s="5" t="str">
        <f>IFERROR(__xludf.DUMMYFUNCTION("GOOGLETRANSLATE(E6, ""en"", ""zh"")"),"太极拳与功夫有很多相似之处，尤其是在动作的流畅性和实战应用方面。")</f>
        <v>太极拳与功夫有很多相似之处，尤其是在动作的流畅性和实战应用方面。</v>
      </c>
      <c r="L6" s="2"/>
      <c r="M6" s="4"/>
      <c r="N6" s="2"/>
      <c r="O6" s="4"/>
      <c r="P6" s="2"/>
    </row>
    <row r="7">
      <c r="A7" s="5">
        <v>6.0</v>
      </c>
      <c r="B7" s="6" t="s">
        <v>2217</v>
      </c>
      <c r="C7" s="6" t="s">
        <v>2218</v>
      </c>
      <c r="D7" s="6" t="s">
        <v>2108</v>
      </c>
      <c r="E7" s="6" t="s">
        <v>2219</v>
      </c>
      <c r="F7" s="2"/>
      <c r="G7" s="2"/>
      <c r="H7" s="5" t="str">
        <f>IFERROR(__xludf.DUMMYFUNCTION("GOOGLETRANSLATE(B7, ""en"", ""zh"")"),"太极拳被认为是哪种类型的中国运动？")</f>
        <v>太极拳被认为是哪种类型的中国运动？</v>
      </c>
      <c r="I7" s="5" t="str">
        <f>IFERROR(__xludf.DUMMYFUNCTION("GOOGLETRANSLATE(C7, ""en"", ""zh"")"),"A) 气功、B) 太婆、C) 瑜伽、D) 普拉提")</f>
        <v>A) 气功、B) 太婆、C) 瑜伽、D) 普拉提</v>
      </c>
      <c r="J7" s="5" t="str">
        <f>IFERROR(__xludf.DUMMYFUNCTION("GOOGLETRANSLATE(D7, ""en"", ""zh"")"),"一）气功")</f>
        <v>一）气功</v>
      </c>
      <c r="K7" s="5" t="str">
        <f>IFERROR(__xludf.DUMMYFUNCTION("GOOGLETRANSLATE(E7, ""en"", ""zh"")"),"太极拳是一种气功，它注重培养和平衡身体的生命能量（气）。")</f>
        <v>太极拳是一种气功，它注重培养和平衡身体的生命能量（气）。</v>
      </c>
      <c r="L7" s="4"/>
      <c r="M7" s="4"/>
      <c r="N7" s="4"/>
      <c r="O7" s="4"/>
      <c r="P7" s="2"/>
    </row>
    <row r="8">
      <c r="A8" s="5">
        <v>7.0</v>
      </c>
      <c r="B8" s="6" t="s">
        <v>2220</v>
      </c>
      <c r="C8" s="6" t="s">
        <v>2221</v>
      </c>
      <c r="D8" s="6" t="s">
        <v>2222</v>
      </c>
      <c r="E8" s="6" t="s">
        <v>2223</v>
      </c>
      <c r="F8" s="2"/>
      <c r="G8" s="2"/>
      <c r="H8" s="5" t="str">
        <f>IFERROR(__xludf.DUMMYFUNCTION("GOOGLETRANSLATE(B8, ""en"", ""zh"")"),"太极拳的练习通常与中国其他哪些运动方式结合进行？")</f>
        <v>太极拳的练习通常与中国其他哪些运动方式结合进行？</v>
      </c>
      <c r="I8" s="5" t="str">
        <f>IFERROR(__xludf.DUMMYFUNCTION("GOOGLETRANSLATE(C8, ""en"", ""zh"")"),"A) 针灸，B) 风水，C) 书法，D) 传统中医")</f>
        <v>A) 针灸，B) 风水，C) 书法，D) 传统中医</v>
      </c>
      <c r="J8" s="5" t="str">
        <f>IFERROR(__xludf.DUMMYFUNCTION("GOOGLETRANSLATE(D8, ""en"", ""zh"")"),"D) 传统中医")</f>
        <v>D) 传统中医</v>
      </c>
      <c r="K8" s="5" t="str">
        <f>IFERROR(__xludf.DUMMYFUNCTION("GOOGLETRANSLATE(E8, ""en"", ""zh"")"),"太极拳常与传统中医理论相结合，有助于促进整体健康和能量流动。")</f>
        <v>太极拳常与传统中医理论相结合，有助于促进整体健康和能量流动。</v>
      </c>
      <c r="L8" s="2"/>
      <c r="M8" s="4"/>
      <c r="N8" s="2"/>
      <c r="O8" s="4"/>
      <c r="P8" s="2"/>
    </row>
    <row r="9">
      <c r="A9" s="5">
        <v>8.0</v>
      </c>
      <c r="B9" s="6" t="s">
        <v>2224</v>
      </c>
      <c r="C9" s="6" t="s">
        <v>2225</v>
      </c>
      <c r="D9" s="6" t="s">
        <v>2226</v>
      </c>
      <c r="E9" s="6" t="s">
        <v>2227</v>
      </c>
      <c r="F9" s="2"/>
      <c r="G9" s="2"/>
      <c r="H9" s="5" t="str">
        <f>IFERROR(__xludf.DUMMYFUNCTION("GOOGLETRANSLATE(B9, ""en"", ""zh"")"),"太极拳最早在哪个世纪开始在中国以外地区获得广泛认可？")</f>
        <v>太极拳最早在哪个世纪开始在中国以外地区获得广泛认可？</v>
      </c>
      <c r="I9" s="5" t="str">
        <f>IFERROR(__xludf.DUMMYFUNCTION("GOOGLETRANSLATE(C9, ""en"", ""zh"")"),"A) 19世纪，B) 20世纪，C) 18世纪，D) 17世纪")</f>
        <v>A) 19世纪，B) 20世纪，C) 18世纪，D) 17世纪</v>
      </c>
      <c r="J9" s="5" t="str">
        <f>IFERROR(__xludf.DUMMYFUNCTION("GOOGLETRANSLATE(D9, ""en"", ""zh"")"),"B) 20世纪")</f>
        <v>B) 20世纪</v>
      </c>
      <c r="K9" s="5" t="str">
        <f>IFERROR(__xludf.DUMMYFUNCTION("GOOGLETRANSLATE(E9, ""en"", ""zh"")"),"太极拳在 20 世纪获得了全球认可，尤其是在传入西方之后。")</f>
        <v>太极拳在 20 世纪获得了全球认可，尤其是在传入西方之后。</v>
      </c>
      <c r="L9" s="2"/>
      <c r="M9" s="4"/>
      <c r="N9" s="2"/>
      <c r="O9" s="4"/>
      <c r="P9" s="2"/>
    </row>
    <row r="10">
      <c r="A10" s="5">
        <v>9.0</v>
      </c>
      <c r="B10" s="6" t="s">
        <v>2228</v>
      </c>
      <c r="C10" s="6" t="s">
        <v>2229</v>
      </c>
      <c r="D10" s="6" t="s">
        <v>2230</v>
      </c>
      <c r="E10" s="6" t="s">
        <v>2231</v>
      </c>
      <c r="F10" s="2"/>
      <c r="G10" s="2"/>
      <c r="H10" s="5" t="str">
        <f>IFERROR(__xludf.DUMMYFUNCTION("GOOGLETRANSLATE(B10, ""en"", ""zh"")"),"太极拳在中国文化中扮演着怎样的角色？")</f>
        <v>太极拳在中国文化中扮演着怎样的角色？</v>
      </c>
      <c r="I10" s="5" t="str">
        <f>IFERROR(__xludf.DUMMYFUNCTION("GOOGLETRANSLATE(C10, ""en"", ""zh"")"),"A) 宗教活动，B) 自卫武术，C) 养生冥想，D) 传统舞蹈")</f>
        <v>A) 宗教活动，B) 自卫武术，C) 养生冥想，D) 传统舞蹈</v>
      </c>
      <c r="J10" s="5" t="str">
        <f>IFERROR(__xludf.DUMMYFUNCTION("GOOGLETRANSLATE(D10, ""en"", ""zh"")"),"C) 冥想有益健康")</f>
        <v>C) 冥想有益健康</v>
      </c>
      <c r="K10" s="5" t="str">
        <f>IFERROR(__xludf.DUMMYFUNCTION("GOOGLETRANSLATE(E10, ""en"", ""zh"")"),"太极拳被视为一种动态冥想形式，有助于促进身心健康。")</f>
        <v>太极拳被视为一种动态冥想形式，有助于促进身心健康。</v>
      </c>
      <c r="L10" s="4"/>
      <c r="M10" s="4"/>
      <c r="N10" s="4"/>
      <c r="O10" s="4"/>
      <c r="P10" s="2"/>
    </row>
    <row r="11">
      <c r="A11" s="5">
        <v>10.0</v>
      </c>
      <c r="B11" s="6" t="s">
        <v>2232</v>
      </c>
      <c r="C11" s="6" t="s">
        <v>2233</v>
      </c>
      <c r="D11" s="6" t="s">
        <v>2234</v>
      </c>
      <c r="E11" s="6" t="s">
        <v>2235</v>
      </c>
      <c r="F11" s="2"/>
      <c r="G11" s="2"/>
      <c r="H11" s="5" t="str">
        <f>IFERROR(__xludf.DUMMYFUNCTION("GOOGLETRANSLATE(B11, ""en"", ""zh"")"),"哪位著名的太极拳练习者将太极拳推广到了西方？")</f>
        <v>哪位著名的太极拳练习者将太极拳推广到了西方？</v>
      </c>
      <c r="I11" s="5" t="str">
        <f>IFERROR(__xludf.DUMMYFUNCTION("GOOGLETRANSLATE(C11, ""en"", ""zh"")"),"A) 李小龙，B) 郑满清，C) 成龙，D) 甄子丹")</f>
        <v>A) 李小龙，B) 郑满清，C) 成龙，D) 甄子丹</v>
      </c>
      <c r="J11" s="5" t="str">
        <f>IFERROR(__xludf.DUMMYFUNCTION("GOOGLETRANSLATE(D11, ""en"", ""zh"")"),"B）郑曼青")</f>
        <v>B）郑曼青</v>
      </c>
      <c r="K11" s="5" t="str">
        <f>IFERROR(__xludf.DUMMYFUNCTION("GOOGLETRANSLATE(E11, ""en"", ""zh"")"),"郑曼青是一位著名的太极拳大师，他在太极拳于西方普及的过程中发挥了重要作用。")</f>
        <v>郑曼青是一位著名的太极拳大师，他在太极拳于西方普及的过程中发挥了重要作用。</v>
      </c>
      <c r="L11" s="4"/>
      <c r="M11" s="4"/>
      <c r="N11" s="2"/>
      <c r="O11" s="4"/>
      <c r="P11" s="2"/>
    </row>
    <row r="12">
      <c r="A12" s="5">
        <v>11.0</v>
      </c>
      <c r="B12" s="6" t="s">
        <v>2236</v>
      </c>
      <c r="C12" s="6" t="s">
        <v>2237</v>
      </c>
      <c r="D12" s="6" t="s">
        <v>2238</v>
      </c>
      <c r="E12" s="6" t="s">
        <v>2239</v>
      </c>
      <c r="F12" s="2"/>
      <c r="G12" s="2"/>
      <c r="H12" s="5" t="str">
        <f>IFERROR(__xludf.DUMMYFUNCTION("GOOGLETRANSLATE(B12, ""en"", ""zh"")"),"哪个朝代与太极拳作为一种武术的正式形成联系最为紧密？")</f>
        <v>哪个朝代与太极拳作为一种武术的正式形成联系最为紧密？</v>
      </c>
      <c r="I12" s="5" t="str">
        <f>IFERROR(__xludf.DUMMYFUNCTION("GOOGLETRANSLATE(C12, ""en"", ""zh"")"),"A) 唐朝，B) 明朝，C) 元朝，D) 清朝")</f>
        <v>A) 唐朝，B) 明朝，C) 元朝，D) 清朝</v>
      </c>
      <c r="J12" s="5" t="str">
        <f>IFERROR(__xludf.DUMMYFUNCTION("GOOGLETRANSLATE(D12, ""en"", ""zh"")"),"B）明朝")</f>
        <v>B）明朝</v>
      </c>
      <c r="K12" s="5" t="str">
        <f>IFERROR(__xludf.DUMMYFUNCTION("GOOGLETRANSLATE(E12, ""en"", ""zh"")"),"太极拳在明朝时期正式成为一门武术，变得更加系统化和规范化。")</f>
        <v>太极拳在明朝时期正式成为一门武术，变得更加系统化和规范化。</v>
      </c>
      <c r="L12" s="2"/>
      <c r="M12" s="4"/>
      <c r="N12" s="2"/>
      <c r="O12" s="4"/>
      <c r="P12" s="4"/>
    </row>
    <row r="13">
      <c r="A13" s="5">
        <v>12.0</v>
      </c>
      <c r="B13" s="6" t="s">
        <v>2240</v>
      </c>
      <c r="C13" s="6" t="s">
        <v>2241</v>
      </c>
      <c r="D13" s="6" t="s">
        <v>2242</v>
      </c>
      <c r="E13" s="6" t="s">
        <v>2243</v>
      </c>
      <c r="F13" s="2"/>
      <c r="G13" s="2"/>
      <c r="H13" s="5" t="str">
        <f>IFERROR(__xludf.DUMMYFUNCTION("GOOGLETRANSLATE(B13, ""en"", ""zh"")"),"谁是第一个在中国以外公开教授太极拳的人？")</f>
        <v>谁是第一个在中国以外公开教授太极拳的人？</v>
      </c>
      <c r="I13" s="5" t="str">
        <f>IFERROR(__xludf.DUMMYFUNCTION("GOOGLETRANSLATE(C13, ""en"", ""zh"")"),"A) 郑曼清、B) 吴建权、C) 杨露禅、D) 孙禄堂")</f>
        <v>A) 郑曼清、B) 吴建权、C) 杨露禅、D) 孙禄堂</v>
      </c>
      <c r="J13" s="5" t="str">
        <f>IFERROR(__xludf.DUMMYFUNCTION("GOOGLETRANSLATE(D13, ""en"", ""zh"")"),"A) 郑曼青")</f>
        <v>A) 郑曼青</v>
      </c>
      <c r="K13" s="5" t="str">
        <f>IFERROR(__xludf.DUMMYFUNCTION("GOOGLETRANSLATE(E13, ""en"", ""zh"")"),"郑曼青在20世纪中叶将太极拳引入西方的过程中发挥了重要作用。")</f>
        <v>郑曼青在20世纪中叶将太极拳引入西方的过程中发挥了重要作用。</v>
      </c>
      <c r="L13" s="4"/>
      <c r="M13" s="4"/>
      <c r="N13" s="2"/>
      <c r="O13" s="4"/>
      <c r="P13" s="4"/>
    </row>
    <row r="14">
      <c r="A14" s="5">
        <v>13.0</v>
      </c>
      <c r="B14" s="6" t="s">
        <v>2244</v>
      </c>
      <c r="C14" s="6" t="s">
        <v>2245</v>
      </c>
      <c r="D14" s="6" t="s">
        <v>2246</v>
      </c>
      <c r="E14" s="6" t="s">
        <v>2247</v>
      </c>
      <c r="F14" s="2"/>
      <c r="G14" s="2"/>
      <c r="H14" s="5" t="str">
        <f>IFERROR(__xludf.DUMMYFUNCTION("GOOGLETRANSLATE(B14, ""en"", ""zh"")"),"哪位哲学家的思想对太极拳产生了重大影响？")</f>
        <v>哪位哲学家的思想对太极拳产生了重大影响？</v>
      </c>
      <c r="I14" s="5" t="str">
        <f>IFERROR(__xludf.DUMMYFUNCTION("GOOGLETRANSLATE(C14, ""en"", ""zh"")"),"A) 老子，B) 孔子，C) 孙子，D) 庄子")</f>
        <v>A) 老子，B) 孔子，C) 孙子，D) 庄子</v>
      </c>
      <c r="J14" s="5" t="str">
        <f>IFERROR(__xludf.DUMMYFUNCTION("GOOGLETRANSLATE(D14, ""en"", ""zh"")"),"A) 老子")</f>
        <v>A) 老子</v>
      </c>
      <c r="K14" s="5" t="str">
        <f>IFERROR(__xludf.DUMMYFUNCTION("GOOGLETRANSLATE(E14, ""en"", ""zh"")"),"老子的道家哲学强调平衡与和谐，对太极拳产生了根本性的影响。")</f>
        <v>老子的道家哲学强调平衡与和谐，对太极拳产生了根本性的影响。</v>
      </c>
      <c r="L14" s="2"/>
      <c r="M14" s="4"/>
      <c r="N14" s="2"/>
      <c r="O14" s="4"/>
      <c r="P14" s="2"/>
    </row>
    <row r="15">
      <c r="A15" s="5">
        <v>14.0</v>
      </c>
      <c r="B15" s="6" t="s">
        <v>2248</v>
      </c>
      <c r="C15" s="6" t="s">
        <v>2249</v>
      </c>
      <c r="D15" s="6" t="s">
        <v>2250</v>
      </c>
      <c r="E15" s="6" t="s">
        <v>2251</v>
      </c>
      <c r="F15" s="2"/>
      <c r="G15" s="2"/>
      <c r="H15" s="5" t="str">
        <f>IFERROR(__xludf.DUMMYFUNCTION("GOOGLETRANSLATE(B15, ""en"", ""zh"")"),"太极拳在中医中的主要作用是什么？")</f>
        <v>太极拳在中医中的主要作用是什么？</v>
      </c>
      <c r="I15" s="5" t="str">
        <f>IFERROR(__xludf.DUMMYFUNCTION("GOOGLETRANSLATE(C15, ""en"", ""zh"")"),"A) 预防保健，B) 治疗特定疾病，C) 增强体能，D) 提高柔韧性")</f>
        <v>A) 预防保健，B) 治疗特定疾病，C) 增强体能，D) 提高柔韧性</v>
      </c>
      <c r="J15" s="5" t="str">
        <f>IFERROR(__xludf.DUMMYFUNCTION("GOOGLETRANSLATE(D15, ""en"", ""zh"")"),"A) 预防保健")</f>
        <v>A) 预防保健</v>
      </c>
      <c r="K15" s="5" t="str">
        <f>IFERROR(__xludf.DUMMYFUNCTION("GOOGLETRANSLATE(E15, ""en"", ""zh"")"),"太极拳常被用作一种预防疾病的保健方式，以保持身体的平衡与和谐。")</f>
        <v>太极拳常被用作一种预防疾病的保健方式，以保持身体的平衡与和谐。</v>
      </c>
      <c r="L15" s="4"/>
      <c r="M15" s="4"/>
      <c r="N15" s="4"/>
      <c r="O15" s="4"/>
      <c r="P15" s="4"/>
    </row>
    <row r="16">
      <c r="A16" s="5">
        <v>15.0</v>
      </c>
      <c r="B16" s="6" t="s">
        <v>2252</v>
      </c>
      <c r="C16" s="6" t="s">
        <v>2253</v>
      </c>
      <c r="D16" s="6" t="s">
        <v>2254</v>
      </c>
      <c r="E16" s="6" t="s">
        <v>2255</v>
      </c>
      <c r="F16" s="2"/>
      <c r="G16" s="2"/>
      <c r="H16" s="5" t="str">
        <f>IFERROR(__xludf.DUMMYFUNCTION("GOOGLETRANSLATE(B16, ""en"", ""zh"")"),"以下哪种太极拳流派被认为是全球最流行的？")</f>
        <v>以下哪种太极拳流派被认为是全球最流行的？</v>
      </c>
      <c r="I16" s="5" t="str">
        <f>IFERROR(__xludf.DUMMYFUNCTION("GOOGLETRANSLATE(C16, ""en"", ""zh"")"),"A）陈式，B）吴式，C）杨式，D）孙式")</f>
        <v>A）陈式，B）吴式，C）杨式，D）孙式</v>
      </c>
      <c r="J16" s="5" t="str">
        <f>IFERROR(__xludf.DUMMYFUNCTION("GOOGLETRANSLATE(D16, ""en"", ""zh"")"),"C) 杨氏风格")</f>
        <v>C) 杨氏风格</v>
      </c>
      <c r="K16" s="5" t="str">
        <f>IFERROR(__xludf.DUMMYFUNCTION("GOOGLETRANSLATE(E16, ""en"", ""zh"")"),"杨氏太极拳是全世界练习最广泛的太极拳形式，以其幅度大、动作慢的特点而闻名。")</f>
        <v>杨氏太极拳是全世界练习最广泛的太极拳形式，以其幅度大、动作慢的特点而闻名。</v>
      </c>
      <c r="L16" s="2"/>
      <c r="M16" s="4"/>
      <c r="N16" s="2"/>
      <c r="O16" s="4"/>
      <c r="P16" s="2"/>
    </row>
    <row r="17">
      <c r="A17" s="5">
        <v>16.0</v>
      </c>
      <c r="B17" s="6" t="s">
        <v>2256</v>
      </c>
      <c r="C17" s="6" t="s">
        <v>2257</v>
      </c>
      <c r="D17" s="6" t="s">
        <v>2258</v>
      </c>
      <c r="E17" s="6" t="s">
        <v>2259</v>
      </c>
      <c r="F17" s="2"/>
      <c r="G17" s="2"/>
      <c r="H17" s="5" t="str">
        <f>IFERROR(__xludf.DUMMYFUNCTION("GOOGLETRANSLATE(B17, ""en"", ""zh"")"),"太极拳据称起源于中国哪个省份？")</f>
        <v>太极拳据称起源于中国哪个省份？</v>
      </c>
      <c r="I17" s="5" t="str">
        <f>IFERROR(__xludf.DUMMYFUNCTION("GOOGLETRANSLATE(C17, ""en"", ""zh"")"),"A) 江苏，B) 河南，C) 湖南，D) 山西")</f>
        <v>A) 江苏，B) 河南，C) 湖南，D) 山西</v>
      </c>
      <c r="J17" s="5" t="str">
        <f>IFERROR(__xludf.DUMMYFUNCTION("GOOGLETRANSLATE(D17, ""en"", ""zh"")"),"B) 河南")</f>
        <v>B) 河南</v>
      </c>
      <c r="K17" s="5" t="str">
        <f>IFERROR(__xludf.DUMMYFUNCTION("GOOGLETRANSLATE(E17, ""en"", ""zh"")"),"人们认为太极拳起源于中国河南省陈家村。")</f>
        <v>人们认为太极拳起源于中国河南省陈家村。</v>
      </c>
      <c r="L17" s="2"/>
      <c r="M17" s="4"/>
      <c r="N17" s="2"/>
      <c r="O17" s="4"/>
      <c r="P17" s="4"/>
    </row>
    <row r="18">
      <c r="A18" s="5">
        <v>17.0</v>
      </c>
      <c r="B18" s="6" t="s">
        <v>2260</v>
      </c>
      <c r="C18" s="6" t="s">
        <v>2261</v>
      </c>
      <c r="D18" s="6" t="s">
        <v>2262</v>
      </c>
      <c r="E18" s="6" t="s">
        <v>2263</v>
      </c>
      <c r="F18" s="2"/>
      <c r="G18" s="2"/>
      <c r="H18" s="5" t="str">
        <f>IFERROR(__xludf.DUMMYFUNCTION("GOOGLETRANSLATE(B18, ""en"", ""zh"")"),"太极拳在中国武术比赛中扮演什么角色？")</f>
        <v>太极拳在中国武术比赛中扮演什么角色？</v>
      </c>
      <c r="I18" s="5" t="str">
        <f>IFERROR(__xludf.DUMMYFUNCTION("GOOGLETRANSLATE(C18, ""en"", ""zh"")"),"A) 用于自卫，B) 用于表演，C) 用于实战比赛，D) 不涉及")</f>
        <v>A) 用于自卫，B) 用于表演，C) 用于实战比赛，D) 不涉及</v>
      </c>
      <c r="J18" s="5" t="str">
        <f>IFERROR(__xludf.DUMMYFUNCTION("GOOGLETRANSLATE(D18, ""en"", ""zh"")"),"B) 这是作为演示进行的。")</f>
        <v>B) 这是作为演示进行的。</v>
      </c>
      <c r="K18" s="5" t="str">
        <f>IFERROR(__xludf.DUMMYFUNCTION("GOOGLETRANSLATE(E18, ""en"", ""zh"")"),"太极拳经常在武术比赛中作为技能展示的手段，注重动作规范和精准度。")</f>
        <v>太极拳经常在武术比赛中作为技能展示的手段，注重动作规范和精准度。</v>
      </c>
      <c r="L18" s="4"/>
      <c r="M18" s="4"/>
      <c r="N18" s="4"/>
      <c r="O18" s="4"/>
      <c r="P18" s="4"/>
    </row>
    <row r="19">
      <c r="A19" s="5">
        <v>18.0</v>
      </c>
      <c r="B19" s="6" t="s">
        <v>2264</v>
      </c>
      <c r="C19" s="6" t="s">
        <v>2265</v>
      </c>
      <c r="D19" s="6" t="s">
        <v>2266</v>
      </c>
      <c r="E19" s="6" t="s">
        <v>2267</v>
      </c>
      <c r="F19" s="2"/>
      <c r="G19" s="2"/>
      <c r="H19" s="5" t="str">
        <f>IFERROR(__xludf.DUMMYFUNCTION("GOOGLETRANSLATE(B19, ""en"", ""zh"")"),"陈家最著名的太极拳大师是谁？")</f>
        <v>陈家最著名的太极拳大师是谁？</v>
      </c>
      <c r="I19" s="5" t="str">
        <f>IFERROR(__xludf.DUMMYFUNCTION("GOOGLETRANSLATE(C19, ""en"", ""zh"")"),"A) 陈望庭、B) 陈发科、C) 陈军、D) 陈自强")</f>
        <v>A) 陈望庭、B) 陈发科、C) 陈军、D) 陈自强</v>
      </c>
      <c r="J19" s="5" t="str">
        <f>IFERROR(__xludf.DUMMYFUNCTION("GOOGLETRANSLATE(D19, ""en"", ""zh"")"),"B) 陈假")</f>
        <v>B) 陈假</v>
      </c>
      <c r="K19" s="5" t="str">
        <f>IFERROR(__xludf.DUMMYFUNCTION("GOOGLETRANSLATE(E19, ""en"", ""zh"")"),"陈发科是陈家最著名的太极拳大师之一，因其对太极拳传播的贡献而闻名。")</f>
        <v>陈发科是陈家最著名的太极拳大师之一，因其对太极拳传播的贡献而闻名。</v>
      </c>
      <c r="L19" s="4"/>
      <c r="M19" s="4"/>
      <c r="N19" s="2"/>
      <c r="O19" s="4"/>
      <c r="P19" s="2"/>
    </row>
    <row r="20">
      <c r="A20" s="5">
        <v>19.0</v>
      </c>
      <c r="B20" s="6" t="s">
        <v>2268</v>
      </c>
      <c r="C20" s="6" t="s">
        <v>2269</v>
      </c>
      <c r="D20" s="6" t="s">
        <v>2270</v>
      </c>
      <c r="E20" s="6" t="s">
        <v>2271</v>
      </c>
      <c r="F20" s="2"/>
      <c r="G20" s="2"/>
      <c r="H20" s="5" t="str">
        <f>IFERROR(__xludf.DUMMYFUNCTION("GOOGLETRANSLATE(B20, ""en"", ""zh"")"),"太极拳的历史起源是什么？")</f>
        <v>太极拳的历史起源是什么？</v>
      </c>
      <c r="I20" s="5" t="str">
        <f>IFERROR(__xludf.DUMMYFUNCTION("GOOGLETRANSLATE(C20, ""en"", ""zh"")"),"A) 它起源于日本，B) 它起源于中国，C) 它起源于韩国，D) 它起源于印度")</f>
        <v>A) 它起源于日本，B) 它起源于中国，C) 它起源于韩国，D) 它起源于印度</v>
      </c>
      <c r="J20" s="5" t="str">
        <f>IFERROR(__xludf.DUMMYFUNCTION("GOOGLETRANSLATE(D20, ""en"", ""zh"")"),"B) 它起源于中国")</f>
        <v>B) 它起源于中国</v>
      </c>
      <c r="K20" s="5" t="str">
        <f>IFERROR(__xludf.DUMMYFUNCTION("GOOGLETRANSLATE(E20, ""en"", ""zh"")"),"太极拳起源于中国，是一种武术，其根源在于道家哲学和实践。")</f>
        <v>太极拳起源于中国，是一种武术，其根源在于道家哲学和实践。</v>
      </c>
      <c r="L20" s="4"/>
      <c r="M20" s="4"/>
      <c r="N20" s="4"/>
      <c r="O20" s="4"/>
      <c r="P20" s="2"/>
    </row>
    <row r="21">
      <c r="A21" s="5">
        <v>20.0</v>
      </c>
      <c r="B21" s="6" t="s">
        <v>2272</v>
      </c>
      <c r="C21" s="6" t="s">
        <v>2273</v>
      </c>
      <c r="D21" s="6" t="s">
        <v>1934</v>
      </c>
      <c r="E21" s="6" t="s">
        <v>2274</v>
      </c>
      <c r="F21" s="2"/>
      <c r="G21" s="2"/>
      <c r="H21" s="5" t="str">
        <f>IFERROR(__xludf.DUMMYFUNCTION("GOOGLETRANSLATE(B21, ""en"", ""zh"")"),"谁被认为是太极拳之父？")</f>
        <v>谁被认为是太极拳之父？</v>
      </c>
      <c r="I21" s="5" t="str">
        <f>IFERROR(__xludf.DUMMYFUNCTION("GOOGLETRANSLATE(C21, ""en"", ""zh"")"),"A) 杨露禅，B) 陈望庭，C) 吴建权，D) 孙禄堂")</f>
        <v>A) 杨露禅，B) 陈望庭，C) 吴建权，D) 孙禄堂</v>
      </c>
      <c r="J21" s="5" t="str">
        <f>IFERROR(__xludf.DUMMYFUNCTION("GOOGLETRANSLATE(D21, ""en"", ""zh"")"),"B) 陈望亭")</f>
        <v>B) 陈望亭</v>
      </c>
      <c r="K21" s="5" t="str">
        <f>IFERROR(__xludf.DUMMYFUNCTION("GOOGLETRANSLATE(E21, ""en"", ""zh"")"),"陈王廷，陈家村的一名军官，被认为是太极拳的创始人。")</f>
        <v>陈王廷，陈家村的一名军官，被认为是太极拳的创始人。</v>
      </c>
      <c r="L21" s="4"/>
      <c r="M21" s="4"/>
      <c r="N21" s="4"/>
      <c r="O21" s="4"/>
      <c r="P21" s="2"/>
    </row>
    <row r="22">
      <c r="A22" s="5">
        <v>21.0</v>
      </c>
      <c r="B22" s="6" t="s">
        <v>2275</v>
      </c>
      <c r="C22" s="6" t="s">
        <v>2276</v>
      </c>
      <c r="D22" s="6" t="s">
        <v>2277</v>
      </c>
      <c r="E22" s="6" t="s">
        <v>2278</v>
      </c>
      <c r="F22" s="2"/>
      <c r="G22" s="2"/>
      <c r="H22" s="5" t="str">
        <f>IFERROR(__xludf.DUMMYFUNCTION("GOOGLETRANSLATE(B22, ""en"", ""zh"")"),"以下哪种太极拳流派历史最悠久？")</f>
        <v>以下哪种太极拳流派历史最悠久？</v>
      </c>
      <c r="I22" s="5" t="str">
        <f>IFERROR(__xludf.DUMMYFUNCTION("GOOGLETRANSLATE(C22, ""en"", ""zh"")"),"A) 杨式，B) 陈式，C) 吴式，D) 孙式")</f>
        <v>A) 杨式，B) 陈式，C) 吴式，D) 孙式</v>
      </c>
      <c r="J22" s="5" t="str">
        <f>IFERROR(__xludf.DUMMYFUNCTION("GOOGLETRANSLATE(D22, ""en"", ""zh"")"),"B) 陈氏风格")</f>
        <v>B) 陈氏风格</v>
      </c>
      <c r="K22" s="5" t="str">
        <f>IFERROR(__xludf.DUMMYFUNCTION("GOOGLETRANSLATE(E22, ""en"", ""zh"")"),"陈式太极拳起源于陈家村，是目前已知最古老的太极拳形式。")</f>
        <v>陈式太极拳起源于陈家村，是目前已知最古老的太极拳形式。</v>
      </c>
      <c r="L22" s="2"/>
      <c r="M22" s="4"/>
      <c r="N22" s="2"/>
      <c r="O22" s="4"/>
      <c r="P22" s="2"/>
    </row>
    <row r="23">
      <c r="A23" s="5">
        <v>22.0</v>
      </c>
      <c r="B23" s="6" t="s">
        <v>2279</v>
      </c>
      <c r="C23" s="6" t="s">
        <v>2280</v>
      </c>
      <c r="D23" s="6" t="s">
        <v>1165</v>
      </c>
      <c r="E23" s="6" t="s">
        <v>2281</v>
      </c>
      <c r="F23" s="2"/>
      <c r="G23" s="2"/>
      <c r="H23" s="5" t="str">
        <f>IFERROR(__xludf.DUMMYFUNCTION("GOOGLETRANSLATE(B23, ""en"", ""zh"")"),"太极拳的基础是哪一种道家思想？")</f>
        <v>太极拳的基础是哪一种道家思想？</v>
      </c>
      <c r="I23" s="5" t="str">
        <f>IFERROR(__xludf.DUMMYFUNCTION("GOOGLETRANSLATE(C23, ""en"", ""zh"")"),"A）阴阳，B）无为，C）道，D）气")</f>
        <v>A）阴阳，B）无为，C）道，D）气</v>
      </c>
      <c r="J23" s="5" t="str">
        <f>IFERROR(__xludf.DUMMYFUNCTION("GOOGLETRANSLATE(D23, ""en"", ""zh"")"),"A) 阴阳")</f>
        <v>A) 阴阳</v>
      </c>
      <c r="K23" s="5" t="str">
        <f>IFERROR(__xludf.DUMMYFUNCTION("GOOGLETRANSLATE(E23, ""en"", ""zh"")"),"太极拳以道家阴阳原理为基础，代表着对立力量的平衡。")</f>
        <v>太极拳以道家阴阳原理为基础，代表着对立力量的平衡。</v>
      </c>
      <c r="L23" s="2"/>
      <c r="M23" s="4"/>
      <c r="N23" s="2"/>
      <c r="O23" s="4"/>
      <c r="P23" s="2"/>
    </row>
    <row r="24">
      <c r="A24" s="5">
        <v>23.0</v>
      </c>
      <c r="B24" s="6" t="s">
        <v>2282</v>
      </c>
      <c r="C24" s="6" t="s">
        <v>2283</v>
      </c>
      <c r="D24" s="6" t="s">
        <v>2284</v>
      </c>
      <c r="E24" s="6" t="s">
        <v>2285</v>
      </c>
      <c r="F24" s="2"/>
      <c r="G24" s="2"/>
      <c r="H24" s="5" t="str">
        <f>IFERROR(__xludf.DUMMYFUNCTION("GOOGLETRANSLATE(B24, ""en"", ""zh"")"),"哪位著名的太极拳大师帮助推广了杨氏太极拳？")</f>
        <v>哪位著名的太极拳大师帮助推广了杨氏太极拳？</v>
      </c>
      <c r="I24" s="5" t="str">
        <f>IFERROR(__xludf.DUMMYFUNCTION("GOOGLETRANSLATE(C24, ""en"", ""zh"")"),"A) 杨露禅，B) 陈望庭，C) 孙禄堂，D) 吴建全")</f>
        <v>A) 杨露禅，B) 陈望庭，C) 孙禄堂，D) 吴建全</v>
      </c>
      <c r="J24" s="5" t="str">
        <f>IFERROR(__xludf.DUMMYFUNCTION("GOOGLETRANSLATE(D24, ""en"", ""zh"")"),"A) 杨露婵")</f>
        <v>A) 杨露婵</v>
      </c>
      <c r="K24" s="5" t="str">
        <f>IFERROR(__xludf.DUMMYFUNCTION("GOOGLETRANSLATE(E24, ""en"", ""zh"")"),"杨露禅帮助推广了杨氏太极拳，如今杨氏太极拳已成为最广泛练习的太极拳形式之一。")</f>
        <v>杨露禅帮助推广了杨氏太极拳，如今杨氏太极拳已成为最广泛练习的太极拳形式之一。</v>
      </c>
      <c r="L24" s="4"/>
      <c r="M24" s="4"/>
      <c r="N24" s="2"/>
      <c r="O24" s="4"/>
      <c r="P24" s="2"/>
    </row>
    <row r="25">
      <c r="A25" s="5">
        <v>24.0</v>
      </c>
      <c r="B25" s="6" t="s">
        <v>2286</v>
      </c>
      <c r="C25" s="6" t="s">
        <v>2287</v>
      </c>
      <c r="D25" s="6" t="s">
        <v>2288</v>
      </c>
      <c r="E25" s="6" t="s">
        <v>2289</v>
      </c>
      <c r="F25" s="2"/>
      <c r="G25" s="2"/>
      <c r="H25" s="5" t="str">
        <f>IFERROR(__xludf.DUMMYFUNCTION("GOOGLETRANSLATE(B25, ""en"", ""zh"")"),"太极拳最早于哪个世纪开始在中国以外地区传播？")</f>
        <v>太极拳最早于哪个世纪开始在中国以外地区传播？</v>
      </c>
      <c r="I25" s="5" t="str">
        <f>IFERROR(__xludf.DUMMYFUNCTION("GOOGLETRANSLATE(C25, ""en"", ""zh"")"),"A) 18世纪，B) 19世纪，C) 20世纪，D) 21世纪")</f>
        <v>A) 18世纪，B) 19世纪，C) 20世纪，D) 21世纪</v>
      </c>
      <c r="J25" s="5" t="str">
        <f>IFERROR(__xludf.DUMMYFUNCTION("GOOGLETRANSLATE(D25, ""en"", ""zh"")"),"C) 20世纪")</f>
        <v>C) 20世纪</v>
      </c>
      <c r="K25" s="5" t="str">
        <f>IFERROR(__xludf.DUMMYFUNCTION("GOOGLETRANSLATE(E25, ""en"", ""zh"")"),"太极拳在20世纪开始在中国以外传播，尤其是在传入西方之后。")</f>
        <v>太极拳在20世纪开始在中国以外传播，尤其是在传入西方之后。</v>
      </c>
      <c r="L25" s="2"/>
      <c r="M25" s="4"/>
      <c r="N25" s="2"/>
      <c r="O25" s="4"/>
      <c r="P25" s="4"/>
    </row>
    <row r="26">
      <c r="A26" s="5">
        <v>25.0</v>
      </c>
      <c r="B26" s="6" t="s">
        <v>2290</v>
      </c>
      <c r="C26" s="6" t="s">
        <v>2291</v>
      </c>
      <c r="D26" s="6" t="s">
        <v>2292</v>
      </c>
      <c r="E26" s="6" t="s">
        <v>2293</v>
      </c>
      <c r="F26" s="2"/>
      <c r="G26" s="2"/>
      <c r="H26" s="5" t="str">
        <f>IFERROR(__xludf.DUMMYFUNCTION("GOOGLETRANSLATE(B26, ""en"", ""zh"")"),"太极拳比起力量和速度，更注重什么？")</f>
        <v>太极拳比起力量和速度，更注重什么？</v>
      </c>
      <c r="I26" s="5" t="str">
        <f>IFERROR(__xludf.DUMMYFUNCTION("GOOGLETRANSLATE(C26, ""en"", ""zh"")"),"A) 灵活性，B) 柔软性和顺从性，C) 强力打击，D) 快速反应")</f>
        <v>A) 灵活性，B) 柔软性和顺从性，C) 强力打击，D) 快速反应</v>
      </c>
      <c r="J26" s="5" t="str">
        <f>IFERROR(__xludf.DUMMYFUNCTION("GOOGLETRANSLATE(D26, ""en"", ""zh"")"),"B) 柔软性和弹性")</f>
        <v>B) 柔软性和弹性</v>
      </c>
      <c r="K26" s="5" t="str">
        <f>IFERROR(__xludf.DUMMYFUNCTION("GOOGLETRANSLATE(E26, ""en"", ""zh"")"),"太极拳强调柔和与顺应，使练习者能够转移力量并保持平衡。")</f>
        <v>太极拳强调柔和与顺应，使练习者能够转移力量并保持平衡。</v>
      </c>
      <c r="L26" s="4"/>
      <c r="M26" s="4"/>
      <c r="N26" s="4"/>
      <c r="O26" s="4"/>
      <c r="P26" s="2"/>
    </row>
    <row r="27">
      <c r="A27" s="5">
        <v>26.0</v>
      </c>
      <c r="B27" s="6" t="s">
        <v>2294</v>
      </c>
      <c r="C27" s="6" t="s">
        <v>2295</v>
      </c>
      <c r="D27" s="6" t="s">
        <v>2296</v>
      </c>
      <c r="E27" s="6" t="s">
        <v>2297</v>
      </c>
      <c r="F27" s="2"/>
      <c r="G27" s="2"/>
      <c r="H27" s="5" t="str">
        <f>IFERROR(__xludf.DUMMYFUNCTION("GOOGLETRANSLATE(B27, ""en"", ""zh"")"),"现代太极拳练习的主要重点是什么？")</f>
        <v>现代太极拳练习的主要重点是什么？</v>
      </c>
      <c r="I27" s="5" t="str">
        <f>IFERROR(__xludf.DUMMYFUNCTION("GOOGLETRANSLATE(C27, ""en"", ""zh"")"),"A) 武术应用，B) 冥想与放松，C) 疗愈与健康，D) 格斗训练")</f>
        <v>A) 武术应用，B) 冥想与放松，C) 疗愈与健康，D) 格斗训练</v>
      </c>
      <c r="J27" s="5" t="str">
        <f>IFERROR(__xludf.DUMMYFUNCTION("GOOGLETRANSLATE(D27, ""en"", ""zh"")"),"C) 疗愈与健康")</f>
        <v>C) 疗愈与健康</v>
      </c>
      <c r="K27" s="5" t="str">
        <f>IFERROR(__xludf.DUMMYFUNCTION("GOOGLETRANSLATE(E27, ""en"", ""zh"")"),"太极拳虽然起源于武术，但现在主要用于健身、放松和缓解压力。")</f>
        <v>太极拳虽然起源于武术，但现在主要用于健身、放松和缓解压力。</v>
      </c>
      <c r="L27" s="4"/>
      <c r="M27" s="4"/>
      <c r="N27" s="2"/>
      <c r="O27" s="4"/>
      <c r="P27" s="4"/>
    </row>
    <row r="28">
      <c r="A28" s="5">
        <v>27.0</v>
      </c>
      <c r="B28" s="18" t="s">
        <v>2298</v>
      </c>
      <c r="C28" s="18" t="s">
        <v>348</v>
      </c>
      <c r="D28" s="18" t="s">
        <v>30</v>
      </c>
      <c r="H28" s="5" t="str">
        <f>IFERROR(__xludf.DUMMYFUNCTION("GOOGLETRANSLATE(B28, ""en"", ""zh"")"),"太极拳起源于哪个国家？")</f>
        <v>太极拳起源于哪个国家？</v>
      </c>
      <c r="I28" s="5" t="str">
        <f>IFERROR(__xludf.DUMMYFUNCTION("GOOGLETRANSLATE(C28, ""en"", ""zh"")"),"A) 中国 B) 日本 C) 韩国 D) 越南")</f>
        <v>A) 中国 B) 日本 C) 韩国 D) 越南</v>
      </c>
      <c r="J28" s="5" t="str">
        <f>IFERROR(__xludf.DUMMYFUNCTION("GOOGLETRANSLATE(D28, ""en"", ""zh"")"),"A) 中国")</f>
        <v>A) 中国</v>
      </c>
      <c r="K28" s="5" t="str">
        <f>IFERROR(__xludf.DUMMYFUNCTION("GOOGLETRANSLATE(E28, ""en"", ""zh"")"),"#VALUE!")</f>
        <v>#VALUE!</v>
      </c>
    </row>
    <row r="29">
      <c r="A29" s="5">
        <v>28.0</v>
      </c>
      <c r="B29" s="18" t="s">
        <v>2299</v>
      </c>
      <c r="C29" s="18" t="s">
        <v>2300</v>
      </c>
      <c r="D29" s="18" t="s">
        <v>2301</v>
      </c>
      <c r="H29" s="5" t="str">
        <f>IFERROR(__xludf.DUMMYFUNCTION("GOOGLETRANSLATE(B29, ""en"", ""zh"")"),"太极拳又称：")</f>
        <v>太极拳又称：</v>
      </c>
      <c r="I29" s="5" t="str">
        <f>IFERROR(__xludf.DUMMYFUNCTION("GOOGLETRANSLATE(C29, ""en"", ""zh"")"),"A) 太极拳 B) 气功 C) 功夫 D) 武术")</f>
        <v>A) 太极拳 B) 气功 C) 功夫 D) 武术</v>
      </c>
      <c r="J29" s="5" t="str">
        <f>IFERROR(__xludf.DUMMYFUNCTION("GOOGLETRANSLATE(D29, ""en"", ""zh"")"),"一）太极拳")</f>
        <v>一）太极拳</v>
      </c>
      <c r="K29" s="5" t="str">
        <f>IFERROR(__xludf.DUMMYFUNCTION("GOOGLETRANSLATE(E29, ""en"", ""zh"")"),"#VALUE!")</f>
        <v>#VALUE!</v>
      </c>
    </row>
    <row r="30">
      <c r="A30" s="5">
        <v>29.0</v>
      </c>
      <c r="B30" s="18" t="s">
        <v>2302</v>
      </c>
      <c r="C30" s="18" t="s">
        <v>2303</v>
      </c>
      <c r="D30" s="18" t="s">
        <v>2304</v>
      </c>
      <c r="H30" s="5" t="str">
        <f>IFERROR(__xludf.DUMMYFUNCTION("GOOGLETRANSLATE(B30, ""en"", ""zh"")"),"太极拳主要被认为是一种：")</f>
        <v>太极拳主要被认为是一种：</v>
      </c>
      <c r="I30" s="5" t="str">
        <f>IFERROR(__xludf.DUMMYFUNCTION("GOOGLETRANSLATE(C30, ""en"", ""zh"")"),"A) 武术 B) 舞蹈 C) 游戏 D) 运动")</f>
        <v>A) 武术 B) 舞蹈 C) 游戏 D) 运动</v>
      </c>
      <c r="J30" s="5" t="str">
        <f>IFERROR(__xludf.DUMMYFUNCTION("GOOGLETRANSLATE(D30, ""en"", ""zh"")"),"A) 武术")</f>
        <v>A) 武术</v>
      </c>
      <c r="K30" s="5" t="str">
        <f>IFERROR(__xludf.DUMMYFUNCTION("GOOGLETRANSLATE(E30, ""en"", ""zh"")"),"#VALUE!")</f>
        <v>#VALUE!</v>
      </c>
    </row>
    <row r="31">
      <c r="A31" s="5">
        <v>30.0</v>
      </c>
      <c r="B31" s="18" t="s">
        <v>2305</v>
      </c>
      <c r="C31" s="18" t="s">
        <v>2306</v>
      </c>
      <c r="D31" s="18" t="s">
        <v>2211</v>
      </c>
      <c r="H31" s="5" t="str">
        <f>IFERROR(__xludf.DUMMYFUNCTION("GOOGLETRANSLATE(B31, ""en"", ""zh"")"),"太极拳背后的哲学思想主要受以下因素影响：")</f>
        <v>太极拳背后的哲学思想主要受以下因素影响：</v>
      </c>
      <c r="I31" s="5" t="str">
        <f>IFERROR(__xludf.DUMMYFUNCTION("GOOGLETRANSLATE(C31, ""en"", ""zh"")"),"A) 道教 B) 儒教 C) 佛教 D) 法家")</f>
        <v>A) 道教 B) 儒教 C) 佛教 D) 法家</v>
      </c>
      <c r="J31" s="5" t="str">
        <f>IFERROR(__xludf.DUMMYFUNCTION("GOOGLETRANSLATE(D31, ""en"", ""zh"")"),"A) 道教")</f>
        <v>A) 道教</v>
      </c>
      <c r="K31" s="5" t="str">
        <f>IFERROR(__xludf.DUMMYFUNCTION("GOOGLETRANSLATE(E31, ""en"", ""zh"")"),"#VALUE!")</f>
        <v>#VALUE!</v>
      </c>
    </row>
    <row r="32">
      <c r="A32" s="5">
        <v>31.0</v>
      </c>
      <c r="B32" s="18" t="s">
        <v>2307</v>
      </c>
      <c r="C32" s="18" t="s">
        <v>2308</v>
      </c>
      <c r="D32" s="18" t="s">
        <v>2309</v>
      </c>
      <c r="H32" s="5" t="str">
        <f>IFERROR(__xludf.DUMMYFUNCTION("GOOGLETRANSLATE(B32, ""en"", ""zh"")"),"太极拳正式发展于哪个朝代？")</f>
        <v>太极拳正式发展于哪个朝代？</v>
      </c>
      <c r="I32" s="5" t="str">
        <f>IFERROR(__xludf.DUMMYFUNCTION("GOOGLETRANSLATE(C32, ""en"", ""zh"")"),"A) 明 B) 庆 C) 唐 D) 宋")</f>
        <v>A) 明 B) 庆 C) 唐 D) 宋</v>
      </c>
      <c r="J32" s="5" t="str">
        <f>IFERROR(__xludf.DUMMYFUNCTION("GOOGLETRANSLATE(D32, ""en"", ""zh"")"),"A) 明")</f>
        <v>A) 明</v>
      </c>
      <c r="K32" s="5" t="str">
        <f>IFERROR(__xludf.DUMMYFUNCTION("GOOGLETRANSLATE(E32, ""en"", ""zh"")"),"#VALUE!")</f>
        <v>#VALUE!</v>
      </c>
    </row>
    <row r="33">
      <c r="A33" s="5">
        <v>32.0</v>
      </c>
      <c r="B33" s="18" t="s">
        <v>2310</v>
      </c>
      <c r="C33" s="18" t="s">
        <v>2311</v>
      </c>
      <c r="D33" s="18" t="s">
        <v>2312</v>
      </c>
      <c r="H33" s="5" t="str">
        <f>IFERROR(__xludf.DUMMYFUNCTION("GOOGLETRANSLATE(B33, ""en"", ""zh"")"),"陈氏村以哪种太极拳流派闻名？")</f>
        <v>陈氏村以哪种太极拳流派闻名？</v>
      </c>
      <c r="I33" s="5" t="str">
        <f>IFERROR(__xludf.DUMMYFUNCTION("GOOGLETRANSLATE(C33, ""en"", ""zh"")"),"A) 陈 B) 杨 C) 吴 D) 孙")</f>
        <v>A) 陈 B) 杨 C) 吴 D) 孙</v>
      </c>
      <c r="J33" s="5" t="str">
        <f>IFERROR(__xludf.DUMMYFUNCTION("GOOGLETRANSLATE(D33, ""en"", ""zh"")"),"A) 陈")</f>
        <v>A) 陈</v>
      </c>
      <c r="K33" s="5" t="str">
        <f>IFERROR(__xludf.DUMMYFUNCTION("GOOGLETRANSLATE(E33, ""en"", ""zh"")"),"#VALUE!")</f>
        <v>#VALUE!</v>
      </c>
    </row>
    <row r="34">
      <c r="A34" s="5">
        <v>33.0</v>
      </c>
      <c r="B34" s="18" t="s">
        <v>2313</v>
      </c>
      <c r="C34" s="18" t="s">
        <v>2314</v>
      </c>
      <c r="D34" s="18" t="s">
        <v>1299</v>
      </c>
      <c r="H34" s="5" t="str">
        <f>IFERROR(__xludf.DUMMYFUNCTION("GOOGLETRANSLATE(B34, ""en"", ""zh"")"),"太极拳的主要练习目的是：")</f>
        <v>太极拳的主要练习目的是：</v>
      </c>
      <c r="I34" s="5" t="str">
        <f>IFERROR(__xludf.DUMMYFUNCTION("GOOGLETRANSLATE(C34, ""en"", ""zh"")"),"A) 健康 B) 自卫 C) 冥想 D) 以上全部")</f>
        <v>A) 健康 B) 自卫 C) 冥想 D) 以上全部</v>
      </c>
      <c r="J34" s="5" t="str">
        <f>IFERROR(__xludf.DUMMYFUNCTION("GOOGLETRANSLATE(D34, ""en"", ""zh"")"),"D) 以上所有选项")</f>
        <v>D) 以上所有选项</v>
      </c>
      <c r="K34" s="5" t="str">
        <f>IFERROR(__xludf.DUMMYFUNCTION("GOOGLETRANSLATE(E34, ""en"", ""zh"")"),"#VALUE!")</f>
        <v>#VALUE!</v>
      </c>
    </row>
    <row r="35">
      <c r="A35" s="5">
        <v>34.0</v>
      </c>
      <c r="B35" s="18" t="s">
        <v>2315</v>
      </c>
      <c r="C35" s="18" t="s">
        <v>2316</v>
      </c>
      <c r="D35" s="18" t="s">
        <v>2284</v>
      </c>
      <c r="H35" s="5" t="str">
        <f>IFERROR(__xludf.DUMMYFUNCTION("GOOGLETRANSLATE(B35, ""en"", ""zh"")"),"杨氏太极拳是由以下人士创立的：")</f>
        <v>杨氏太极拳是由以下人士创立的：</v>
      </c>
      <c r="I35" s="5" t="str">
        <f>IFERROR(__xludf.DUMMYFUNCTION("GOOGLETRANSLATE(C35, ""en"", ""zh"")"),"A) 杨露禅 B) 陈望庭 C) 吴玉祥 D) 孙禄堂")</f>
        <v>A) 杨露禅 B) 陈望庭 C) 吴玉祥 D) 孙禄堂</v>
      </c>
      <c r="J35" s="5" t="str">
        <f>IFERROR(__xludf.DUMMYFUNCTION("GOOGLETRANSLATE(D35, ""en"", ""zh"")"),"A) 杨露婵")</f>
        <v>A) 杨露婵</v>
      </c>
      <c r="K35" s="5" t="str">
        <f>IFERROR(__xludf.DUMMYFUNCTION("GOOGLETRANSLATE(E35, ""en"", ""zh"")"),"#VALUE!")</f>
        <v>#VALUE!</v>
      </c>
    </row>
    <row r="36">
      <c r="A36" s="5">
        <v>35.0</v>
      </c>
      <c r="B36" s="18" t="s">
        <v>2317</v>
      </c>
      <c r="C36" s="18" t="s">
        <v>2318</v>
      </c>
      <c r="D36" s="18" t="s">
        <v>2319</v>
      </c>
      <c r="H36" s="5" t="str">
        <f>IFERROR(__xludf.DUMMYFUNCTION("GOOGLETRANSLATE(B36, ""en"", ""zh"")"),"太极拳动作强调：")</f>
        <v>太极拳动作强调：</v>
      </c>
      <c r="I36" s="5" t="str">
        <f>IFERROR(__xludf.DUMMYFUNCTION("GOOGLETRANSLATE(C36, ""en"", ""zh"")"),"A) 缓慢流畅的动作 B) 快速打击 C) 杂技动作 D) 对练")</f>
        <v>A) 缓慢流畅的动作 B) 快速打击 C) 杂技动作 D) 对练</v>
      </c>
      <c r="J36" s="5" t="str">
        <f>IFERROR(__xludf.DUMMYFUNCTION("GOOGLETRANSLATE(D36, ""en"", ""zh"")"),"A) 缓慢流畅的动作")</f>
        <v>A) 缓慢流畅的动作</v>
      </c>
      <c r="K36" s="5" t="str">
        <f>IFERROR(__xludf.DUMMYFUNCTION("GOOGLETRANSLATE(E36, ""en"", ""zh"")"),"#VALUE!")</f>
        <v>#VALUE!</v>
      </c>
    </row>
    <row r="37">
      <c r="A37" s="5">
        <v>36.0</v>
      </c>
      <c r="B37" s="18" t="s">
        <v>2320</v>
      </c>
      <c r="C37" s="18" t="s">
        <v>2006</v>
      </c>
      <c r="D37" s="18" t="s">
        <v>2007</v>
      </c>
      <c r="H37" s="5" t="str">
        <f>IFERROR(__xludf.DUMMYFUNCTION("GOOGLETRANSLATE(B37, ""en"", ""zh"")"),"太极拳起源于哪个武术流派？")</f>
        <v>太极拳起源于哪个武术流派？</v>
      </c>
      <c r="I37" s="5" t="str">
        <f>IFERROR(__xludf.DUMMYFUNCTION("GOOGLETRANSLATE(C37, ""en"", ""zh"")"),"A) 内家 B) 外家 C) 少林 D) 武当")</f>
        <v>A) 内家 B) 外家 C) 少林 D) 武当</v>
      </c>
      <c r="J37" s="5" t="str">
        <f>IFERROR(__xludf.DUMMYFUNCTION("GOOGLETRANSLATE(D37, ""en"", ""zh"")"),"A) 内部")</f>
        <v>A) 内部</v>
      </c>
      <c r="K37" s="5" t="str">
        <f>IFERROR(__xludf.DUMMYFUNCTION("GOOGLETRANSLATE(E37, ""en"", ""zh"")"),"#VALUE!")</f>
        <v>#VALUE!</v>
      </c>
    </row>
    <row r="38">
      <c r="A38" s="5">
        <v>37.0</v>
      </c>
      <c r="B38" s="18" t="s">
        <v>2321</v>
      </c>
      <c r="C38" s="18" t="s">
        <v>2322</v>
      </c>
      <c r="D38" s="18" t="s">
        <v>1299</v>
      </c>
      <c r="H38" s="5" t="str">
        <f>IFERROR(__xludf.DUMMYFUNCTION("GOOGLETRANSLATE(B38, ""en"", ""zh"")"),"太极拳的练习通常侧重于：")</f>
        <v>太极拳的练习通常侧重于：</v>
      </c>
      <c r="I38" s="5" t="str">
        <f>IFERROR(__xludf.DUMMYFUNCTION("GOOGLETRANSLATE(C38, ""en"", ""zh"")"),"A) 呼吸控制 B) 气功修炼 C) 平衡 D) 以上全部")</f>
        <v>A) 呼吸控制 B) 气功修炼 C) 平衡 D) 以上全部</v>
      </c>
      <c r="J38" s="5" t="str">
        <f>IFERROR(__xludf.DUMMYFUNCTION("GOOGLETRANSLATE(D38, ""en"", ""zh"")"),"D) 以上所有选项")</f>
        <v>D) 以上所有选项</v>
      </c>
      <c r="K38" s="5" t="str">
        <f>IFERROR(__xludf.DUMMYFUNCTION("GOOGLETRANSLATE(E38, ""en"", ""zh"")"),"#VALUE!")</f>
        <v>#VALUE!</v>
      </c>
    </row>
    <row r="39">
      <c r="A39" s="5">
        <v>38.0</v>
      </c>
      <c r="B39" s="18" t="s">
        <v>2323</v>
      </c>
      <c r="C39" s="18" t="s">
        <v>2324</v>
      </c>
      <c r="D39" s="18" t="s">
        <v>2325</v>
      </c>
      <c r="H39" s="5" t="str">
        <f>IFERROR(__xludf.DUMMYFUNCTION("GOOGLETRANSLATE(B39, ""en"", ""zh"")"),"孙式太极拳强调：")</f>
        <v>孙式太极拳强调：</v>
      </c>
      <c r="I39" s="5" t="str">
        <f>IFERROR(__xludf.DUMMYFUNCTION("GOOGLETRANSLATE(C39, ""en"", ""zh"")"),"A) 敏捷的步伐 B) 强劲的打击 C) 高跳 D) 武器使用")</f>
        <v>A) 敏捷的步伐 B) 强劲的打击 C) 高跳 D) 武器使用</v>
      </c>
      <c r="J39" s="5" t="str">
        <f>IFERROR(__xludf.DUMMYFUNCTION("GOOGLETRANSLATE(D39, ""en"", ""zh"")"),"A) 敏捷的步伐")</f>
        <v>A) 敏捷的步伐</v>
      </c>
      <c r="K39" s="5" t="str">
        <f>IFERROR(__xludf.DUMMYFUNCTION("GOOGLETRANSLATE(E39, ""en"", ""zh"")"),"#VALUE!")</f>
        <v>#VALUE!</v>
      </c>
    </row>
    <row r="40">
      <c r="A40" s="5">
        <v>39.0</v>
      </c>
      <c r="B40" s="18" t="s">
        <v>2326</v>
      </c>
      <c r="C40" s="18" t="s">
        <v>2327</v>
      </c>
      <c r="D40" s="18" t="s">
        <v>2328</v>
      </c>
      <c r="H40" s="5" t="str">
        <f>IFERROR(__xludf.DUMMYFUNCTION("GOOGLETRANSLATE(B40, ""en"", ""zh"")"),"太极剑术练习被称为：")</f>
        <v>太极剑术练习被称为：</v>
      </c>
      <c r="I40" s="5" t="str">
        <f>IFERROR(__xludf.DUMMYFUNCTION("GOOGLETRANSLATE(C40, ""en"", ""zh"")"),"A) 太极剑 B) 套路 C) 气功 D) 武术")</f>
        <v>A) 太极剑 B) 套路 C) 气功 D) 武术</v>
      </c>
      <c r="J40" s="5" t="str">
        <f>IFERROR(__xludf.DUMMYFUNCTION("GOOGLETRANSLATE(D40, ""en"", ""zh"")"),"A) 太极剑")</f>
        <v>A) 太极剑</v>
      </c>
      <c r="K40" s="5" t="str">
        <f>IFERROR(__xludf.DUMMYFUNCTION("GOOGLETRANSLATE(E40, ""en"", ""zh"")"),"#VALUE!")</f>
        <v>#VALUE!</v>
      </c>
    </row>
    <row r="41">
      <c r="A41" s="5">
        <v>40.0</v>
      </c>
      <c r="B41" s="18" t="s">
        <v>2329</v>
      </c>
      <c r="C41" s="18" t="s">
        <v>2330</v>
      </c>
      <c r="D41" s="18" t="s">
        <v>2331</v>
      </c>
      <c r="H41" s="5" t="str">
        <f>IFERROR(__xludf.DUMMYFUNCTION("GOOGLETRANSLATE(B41, ""en"", ""zh"")"),"哪种太极拳流派以其小而圆的动作而闻名？")</f>
        <v>哪种太极拳流派以其小而圆的动作而闻名？</v>
      </c>
      <c r="I41" s="5" t="str">
        <f>IFERROR(__xludf.DUMMYFUNCTION("GOOGLETRANSLATE(C41, ""en"", ""zh"")"),"A) 吴 B) 陈 C) 杨 D) 孙")</f>
        <v>A) 吴 B) 陈 C) 杨 D) 孙</v>
      </c>
      <c r="J41" s="5" t="str">
        <f>IFERROR(__xludf.DUMMYFUNCTION("GOOGLETRANSLATE(D41, ""en"", ""zh"")"),"A) 吴")</f>
        <v>A) 吴</v>
      </c>
      <c r="K41" s="5" t="str">
        <f>IFERROR(__xludf.DUMMYFUNCTION("GOOGLETRANSLATE(E41, ""en"", ""zh"")"),"#VALUE!")</f>
        <v>#VALUE!</v>
      </c>
    </row>
    <row r="42">
      <c r="A42" s="5">
        <v>41.0</v>
      </c>
      <c r="B42" s="18" t="s">
        <v>2332</v>
      </c>
      <c r="C42" s="18" t="s">
        <v>2333</v>
      </c>
      <c r="D42" s="18" t="s">
        <v>1299</v>
      </c>
      <c r="H42" s="5" t="str">
        <f>IFERROR(__xludf.DUMMYFUNCTION("GOOGLETRANSLATE(B42, ""en"", ""zh"")"),"太极拳最初是为以下目的而设计的：")</f>
        <v>太极拳最初是为以下目的而设计的：</v>
      </c>
      <c r="I42" s="5" t="str">
        <f>IFERROR(__xludf.DUMMYFUNCTION("GOOGLETRANSLATE(C42, ""en"", ""zh"")"),"A) 自卫 B) 健康 C) 精神成长 D) 以上所有")</f>
        <v>A) 自卫 B) 健康 C) 精神成长 D) 以上所有</v>
      </c>
      <c r="J42" s="5" t="str">
        <f>IFERROR(__xludf.DUMMYFUNCTION("GOOGLETRANSLATE(D42, ""en"", ""zh"")"),"D) 以上所有选项")</f>
        <v>D) 以上所有选项</v>
      </c>
      <c r="K42" s="5" t="str">
        <f>IFERROR(__xludf.DUMMYFUNCTION("GOOGLETRANSLATE(E42, ""en"", ""zh"")"),"#VALUE!")</f>
        <v>#VALUE!</v>
      </c>
    </row>
    <row r="43">
      <c r="A43" s="5">
        <v>42.0</v>
      </c>
      <c r="B43" s="18" t="s">
        <v>2334</v>
      </c>
      <c r="C43" s="18" t="s">
        <v>2335</v>
      </c>
      <c r="D43" s="18" t="s">
        <v>2336</v>
      </c>
      <c r="H43" s="5" t="str">
        <f>IFERROR(__xludf.DUMMYFUNCTION("GOOGLETRANSLATE(B43, ""en"", ""zh"")"),"太极拳强调“柔克刚”，这是什么原则？")</f>
        <v>太极拳强调“柔克刚”，这是什么原则？</v>
      </c>
      <c r="I43" s="5" t="str">
        <f>IFERROR(__xludf.DUMMYFUNCTION("GOOGLETRANSLATE(C43, ""en"", ""zh"")"),"A) 阴阳 B) 五行 C) 气 D) 无为")</f>
        <v>A) 阴阳 B) 五行 C) 气 D) 无为</v>
      </c>
      <c r="J43" s="5" t="str">
        <f>IFERROR(__xludf.DUMMYFUNCTION("GOOGLETRANSLATE(D43, ""en"", ""zh"")"),"A）阴阳")</f>
        <v>A）阴阳</v>
      </c>
      <c r="K43" s="5" t="str">
        <f>IFERROR(__xludf.DUMMYFUNCTION("GOOGLETRANSLATE(E43, ""en"", ""zh"")"),"#VALUE!")</f>
        <v>#VALUE!</v>
      </c>
    </row>
    <row r="44">
      <c r="A44" s="5">
        <v>43.0</v>
      </c>
      <c r="B44" s="18" t="s">
        <v>2337</v>
      </c>
      <c r="C44" s="18" t="s">
        <v>2338</v>
      </c>
      <c r="D44" s="18" t="s">
        <v>1973</v>
      </c>
      <c r="H44" s="5" t="str">
        <f>IFERROR(__xludf.DUMMYFUNCTION("GOOGLETRANSLATE(B44, ""en"", ""zh"")"),"太极拳起源于中国哪个省份？")</f>
        <v>太极拳起源于中国哪个省份？</v>
      </c>
      <c r="I44" s="5" t="str">
        <f>IFERROR(__xludf.DUMMYFUNCTION("GOOGLETRANSLATE(C44, ""en"", ""zh"")"),"A) 河南 B) 湖北 C) 福建 D) 广东")</f>
        <v>A) 河南 B) 湖北 C) 福建 D) 广东</v>
      </c>
      <c r="J44" s="5" t="str">
        <f>IFERROR(__xludf.DUMMYFUNCTION("GOOGLETRANSLATE(D44, ""en"", ""zh"")"),"A) 河南")</f>
        <v>A) 河南</v>
      </c>
      <c r="K44" s="5" t="str">
        <f>IFERROR(__xludf.DUMMYFUNCTION("GOOGLETRANSLATE(E44, ""en"", ""zh"")"),"#VALUE!")</f>
        <v>#VALUE!</v>
      </c>
    </row>
    <row r="45">
      <c r="A45" s="5">
        <v>44.0</v>
      </c>
      <c r="B45" s="18" t="s">
        <v>2339</v>
      </c>
      <c r="C45" s="18" t="s">
        <v>2340</v>
      </c>
      <c r="D45" s="18" t="s">
        <v>2341</v>
      </c>
      <c r="H45" s="5" t="str">
        <f>IFERROR(__xludf.DUMMYFUNCTION("GOOGLETRANSLATE(B45, ""en"", ""zh"")"),"陈氏拳法的特点是：")</f>
        <v>陈氏拳法的特点是：</v>
      </c>
      <c r="I45" s="5" t="str">
        <f>IFERROR(__xludf.DUMMYFUNCTION("GOOGLETRANSLATE(C45, ""en"", ""zh"")"),"A) 爆发式动作 B) 仅缓慢动作 C) 冥想 D) 无武器练习")</f>
        <v>A) 爆发式动作 B) 仅缓慢动作 C) 冥想 D) 无武器练习</v>
      </c>
      <c r="J45" s="5" t="str">
        <f>IFERROR(__xludf.DUMMYFUNCTION("GOOGLETRANSLATE(D45, ""en"", ""zh"")"),"A) 爆发性运动")</f>
        <v>A) 爆发性运动</v>
      </c>
      <c r="K45" s="5" t="str">
        <f>IFERROR(__xludf.DUMMYFUNCTION("GOOGLETRANSLATE(E45, ""en"", ""zh"")"),"#VALUE!")</f>
        <v>#VALUE!</v>
      </c>
    </row>
    <row r="46">
      <c r="A46" s="5">
        <v>45.0</v>
      </c>
      <c r="B46" s="18" t="s">
        <v>2342</v>
      </c>
      <c r="C46" s="18" t="s">
        <v>2343</v>
      </c>
      <c r="D46" s="18" t="s">
        <v>2344</v>
      </c>
      <c r="H46" s="5" t="str">
        <f>IFERROR(__xludf.DUMMYFUNCTION("GOOGLETRANSLATE(B46, ""en"", ""zh"")"),"太极拳套路也称为：")</f>
        <v>太极拳套路也称为：</v>
      </c>
      <c r="I46" s="5" t="str">
        <f>IFERROR(__xludf.DUMMYFUNCTION("GOOGLETRANSLATE(C46, ""en"", ""zh"")"),"A) 套路 B) 型 C) 套路 D) 练习")</f>
        <v>A) 套路 B) 型 C) 套路 D) 练习</v>
      </c>
      <c r="J46" s="5" t="str">
        <f>IFERROR(__xludf.DUMMYFUNCTION("GOOGLETRANSLATE(D46, ""en"", ""zh"")"),"A) 表格")</f>
        <v>A) 表格</v>
      </c>
      <c r="K46" s="5" t="str">
        <f>IFERROR(__xludf.DUMMYFUNCTION("GOOGLETRANSLATE(E46, ""en"", ""zh"")"),"#VALUE!")</f>
        <v>#VALUE!</v>
      </c>
    </row>
    <row r="47">
      <c r="A47" s="5">
        <v>46.0</v>
      </c>
      <c r="B47" s="18" t="s">
        <v>2345</v>
      </c>
      <c r="C47" s="18" t="s">
        <v>2346</v>
      </c>
      <c r="D47" s="18" t="s">
        <v>1299</v>
      </c>
      <c r="H47" s="5" t="str">
        <f>IFERROR(__xludf.DUMMYFUNCTION("GOOGLETRANSLATE(B47, ""en"", ""zh"")"),"太极拳手部技巧被称为：")</f>
        <v>太极拳手部技巧被称为：</v>
      </c>
      <c r="I47" s="5" t="str">
        <f>IFERROR(__xludf.DUMMYFUNCTION("GOOGLETRANSLATE(C47, ""en"", ""zh"")"),"A) 张开的手掌 B) 握紧的手掌 C) 掌击 D) 以上全部")</f>
        <v>A) 张开的手掌 B) 握紧的手掌 C) 掌击 D) 以上全部</v>
      </c>
      <c r="J47" s="5" t="str">
        <f>IFERROR(__xludf.DUMMYFUNCTION("GOOGLETRANSLATE(D47, ""en"", ""zh"")"),"D) 以上所有选项")</f>
        <v>D) 以上所有选项</v>
      </c>
      <c r="K47" s="5" t="str">
        <f>IFERROR(__xludf.DUMMYFUNCTION("GOOGLETRANSLATE(E47, ""en"", ""zh"")"),"#VALUE!")</f>
        <v>#VALUE!</v>
      </c>
    </row>
    <row r="48">
      <c r="A48" s="5">
        <v>47.0</v>
      </c>
      <c r="B48" s="18" t="s">
        <v>2347</v>
      </c>
      <c r="C48" s="18" t="s">
        <v>2348</v>
      </c>
      <c r="D48" s="18" t="s">
        <v>2349</v>
      </c>
      <c r="H48" s="5" t="str">
        <f>IFERROR(__xludf.DUMMYFUNCTION("GOOGLETRANSLATE(B48, ""en"", ""zh"")"),"太极拳的“推手”训练侧重于：")</f>
        <v>太极拳的“推手”训练侧重于：</v>
      </c>
      <c r="I48" s="5" t="str">
        <f>IFERROR(__xludf.DUMMYFUNCTION("GOOGLETRANSLATE(C48, ""en"", ""zh"")"),"A) 灵敏度和平衡感 B) 速度 C) 力量 D) 杂技技巧")</f>
        <v>A) 灵敏度和平衡感 B) 速度 C) 力量 D) 杂技技巧</v>
      </c>
      <c r="J48" s="5" t="str">
        <f>IFERROR(__xludf.DUMMYFUNCTION("GOOGLETRANSLATE(D48, ""en"", ""zh"")"),"A) 敏感性和平衡")</f>
        <v>A) 敏感性和平衡</v>
      </c>
      <c r="K48" s="5" t="str">
        <f>IFERROR(__xludf.DUMMYFUNCTION("GOOGLETRANSLATE(E48, ""en"", ""zh"")"),"#VALUE!")</f>
        <v>#VALUE!</v>
      </c>
    </row>
    <row r="49">
      <c r="A49" s="5">
        <v>48.0</v>
      </c>
      <c r="B49" s="18" t="s">
        <v>2350</v>
      </c>
      <c r="C49" s="18" t="s">
        <v>2351</v>
      </c>
      <c r="D49" s="18" t="s">
        <v>1299</v>
      </c>
      <c r="H49" s="5" t="str">
        <f>IFERROR(__xludf.DUMMYFUNCTION("GOOGLETRANSLATE(B49, ""en"", ""zh"")"),"太极拳的健康益处包括：")</f>
        <v>太极拳的健康益处包括：</v>
      </c>
      <c r="I49" s="5" t="str">
        <f>IFERROR(__xludf.DUMMYFUNCTION("GOOGLETRANSLATE(C49, ""en"", ""zh"")"),"A) 改善平衡能力 B) 减轻压力 C) 促进血液循环 D) 以上所有选项")</f>
        <v>A) 改善平衡能力 B) 减轻压力 C) 促进血液循环 D) 以上所有选项</v>
      </c>
      <c r="J49" s="5" t="str">
        <f>IFERROR(__xludf.DUMMYFUNCTION("GOOGLETRANSLATE(D49, ""en"", ""zh"")"),"D) 以上所有选项")</f>
        <v>D) 以上所有选项</v>
      </c>
      <c r="K49" s="5" t="str">
        <f>IFERROR(__xludf.DUMMYFUNCTION("GOOGLETRANSLATE(E49, ""en"", ""zh"")"),"#VALUE!")</f>
        <v>#VALUE!</v>
      </c>
    </row>
    <row r="50">
      <c r="A50" s="5">
        <v>49.0</v>
      </c>
      <c r="B50" s="18" t="s">
        <v>2352</v>
      </c>
      <c r="C50" s="18" t="s">
        <v>2353</v>
      </c>
      <c r="D50" s="18" t="s">
        <v>2354</v>
      </c>
      <c r="H50" s="5" t="str">
        <f>IFERROR(__xludf.DUMMYFUNCTION("GOOGLETRANSLATE(B50, ""en"", ""zh"")"),"太极拳融合了哲学的哪个要素？")</f>
        <v>太极拳融合了哲学的哪个要素？</v>
      </c>
      <c r="I50" s="5" t="str">
        <f>IFERROR(__xludf.DUMMYFUNCTION("GOOGLETRANSLATE(C50, ""en"", ""zh"")"),"A) 道家和谐 B) 儒家道德 C) 佛教禅修 D) 法家戒律")</f>
        <v>A) 道家和谐 B) 儒家道德 C) 佛教禅修 D) 法家戒律</v>
      </c>
      <c r="J50" s="5" t="str">
        <f>IFERROR(__xludf.DUMMYFUNCTION("GOOGLETRANSLATE(D50, ""en"", ""zh"")"),"A) 道家和谐")</f>
        <v>A) 道家和谐</v>
      </c>
      <c r="K50" s="5" t="str">
        <f>IFERROR(__xludf.DUMMYFUNCTION("GOOGLETRANSLATE(E50, ""en"", ""zh"")"),"#VALUE!")</f>
        <v>#VALUE!</v>
      </c>
    </row>
    <row r="51">
      <c r="A51" s="5">
        <v>50.0</v>
      </c>
      <c r="B51" s="18" t="s">
        <v>2355</v>
      </c>
      <c r="C51" s="18" t="s">
        <v>2356</v>
      </c>
      <c r="D51" s="18" t="s">
        <v>1673</v>
      </c>
      <c r="H51" s="5" t="str">
        <f>IFERROR(__xludf.DUMMYFUNCTION("GOOGLETRANSLATE(B51, ""en"", ""zh"")"),"太极拳是在哪个世纪传入西方的？")</f>
        <v>太极拳是在哪个世纪传入西方的？</v>
      </c>
      <c r="I51" s="5" t="str">
        <f>IFERROR(__xludf.DUMMYFUNCTION("GOOGLETRANSLATE(C51, ""en"", ""zh"")"),"A) 第19届 B) 第20届 C) 第18届 D) 第21届")</f>
        <v>A) 第19届 B) 第20届 C) 第18届 D) 第21届</v>
      </c>
      <c r="J51" s="5" t="str">
        <f>IFERROR(__xludf.DUMMYFUNCTION("GOOGLETRANSLATE(D51, ""en"", ""zh"")"),"B) 20")</f>
        <v>B) 20</v>
      </c>
      <c r="K51" s="5" t="str">
        <f>IFERROR(__xludf.DUMMYFUNCTION("GOOGLETRANSLATE(E51, ""en"", ""zh"")"),"#VALUE!")</f>
        <v>#VALUE!</v>
      </c>
    </row>
    <row r="52">
      <c r="A52" s="5">
        <v>51.0</v>
      </c>
      <c r="B52" s="18" t="s">
        <v>2357</v>
      </c>
      <c r="C52" s="18" t="s">
        <v>2358</v>
      </c>
      <c r="D52" s="18" t="s">
        <v>1624</v>
      </c>
      <c r="H52" s="5" t="str">
        <f>IFERROR(__xludf.DUMMYFUNCTION("GOOGLETRANSLATE(B52, ""en"", ""zh"")"),"太极拳有时被称为“动态冥想”。正确还是错误？")</f>
        <v>太极拳有时被称为“动态冥想”。正确还是错误？</v>
      </c>
      <c r="I52" s="5" t="str">
        <f>IFERROR(__xludf.DUMMYFUNCTION("GOOGLETRANSLATE(C52, ""en"", ""zh"")"),"A) 正确 B) 错误 C) 仅在武术中 D) 仅在健康实践中")</f>
        <v>A) 正确 B) 错误 C) 仅在武术中 D) 仅在健康实践中</v>
      </c>
      <c r="J52" s="5" t="str">
        <f>IFERROR(__xludf.DUMMYFUNCTION("GOOGLETRANSLATE(D52, ""en"", ""zh"")"),"A) 正确")</f>
        <v>A) 正确</v>
      </c>
      <c r="K52" s="5" t="str">
        <f>IFERROR(__xludf.DUMMYFUNCTION("GOOGLETRANSLATE(E52, ""en"", ""zh"")"),"#VALUE!")</f>
        <v>#VALUE!</v>
      </c>
    </row>
    <row r="53">
      <c r="A53" s="5">
        <v>52.0</v>
      </c>
      <c r="B53" s="18" t="s">
        <v>2359</v>
      </c>
      <c r="C53" s="18" t="s">
        <v>2360</v>
      </c>
      <c r="D53" s="18" t="s">
        <v>2361</v>
      </c>
      <c r="H53" s="5" t="str">
        <f>IFERROR(__xludf.DUMMYFUNCTION("GOOGLETRANSLATE(B53, ""en"", ""zh"")"),"陈式太极拳的创始人是：")</f>
        <v>陈式太极拳的创始人是：</v>
      </c>
      <c r="I53" s="5" t="str">
        <f>IFERROR(__xludf.DUMMYFUNCTION("GOOGLETRANSLATE(C53, ""en"", ""zh"")"),"A) 陈望庭 B) 杨露禅 C) 吴玉祥 D) 孙禄堂")</f>
        <v>A) 陈望庭 B) 杨露禅 C) 吴玉祥 D) 孙禄堂</v>
      </c>
      <c r="J53" s="5" t="str">
        <f>IFERROR(__xludf.DUMMYFUNCTION("GOOGLETRANSLATE(D53, ""en"", ""zh"")"),"A) 陈望亭")</f>
        <v>A) 陈望亭</v>
      </c>
      <c r="K53" s="5" t="str">
        <f>IFERROR(__xludf.DUMMYFUNCTION("GOOGLETRANSLATE(E53, ""en"", ""zh"")"),"#VALUE!")</f>
        <v>#VALUE!</v>
      </c>
    </row>
    <row r="54">
      <c r="A54" s="8">
        <v>53.0</v>
      </c>
      <c r="B54" s="18" t="s">
        <v>2362</v>
      </c>
      <c r="C54" s="18" t="s">
        <v>2363</v>
      </c>
      <c r="D54" s="18" t="s">
        <v>2364</v>
      </c>
      <c r="H54" s="5" t="str">
        <f>IFERROR(__xludf.DUMMYFUNCTION("GOOGLETRANSLATE(B54, ""en"", ""zh"")"),"杨氏太极拳的特点是：")</f>
        <v>杨氏太极拳的特点是：</v>
      </c>
      <c r="I54" s="5" t="str">
        <f>IFERROR(__xludf.DUMMYFUNCTION("GOOGLETRANSLATE(C54, ""en"", ""zh"")"),"A) 大幅度、优美的动作 B) 小幅度、圆形的动作 C) 爆发式打击 D) 仅使用武器的练习")</f>
        <v>A) 大幅度、优美的动作 B) 小幅度、圆形的动作 C) 爆发式打击 D) 仅使用武器的练习</v>
      </c>
      <c r="J54" s="5" t="str">
        <f>IFERROR(__xludf.DUMMYFUNCTION("GOOGLETRANSLATE(D54, ""en"", ""zh"")"),"A) 大而优美的动作")</f>
        <v>A) 大而优美的动作</v>
      </c>
      <c r="K54" s="5" t="str">
        <f>IFERROR(__xludf.DUMMYFUNCTION("GOOGLETRANSLATE(E54, ""en"", ""zh"")"),"#VALUE!")</f>
        <v>#VALUE!</v>
      </c>
    </row>
    <row r="55">
      <c r="A55" s="8">
        <v>54.0</v>
      </c>
      <c r="B55" s="18" t="s">
        <v>2365</v>
      </c>
      <c r="C55" s="18" t="s">
        <v>2366</v>
      </c>
      <c r="D55" s="18" t="s">
        <v>2367</v>
      </c>
      <c r="H55" s="5" t="str">
        <f>IFERROR(__xludf.DUMMYFUNCTION("GOOGLETRANSLATE(B55, ""en"", ""zh"")"),"吴式太极拳的特点是：")</f>
        <v>吴式太极拳的特点是：</v>
      </c>
      <c r="I55" s="5" t="str">
        <f>IFERROR(__xludf.DUMMYFUNCTION("GOOGLETRANSLATE(C55, ""en"", ""zh"")"),"A) 小而紧凑的动作 B) 高跳 C) 武器操练 D) 速度和力量")</f>
        <v>A) 小而紧凑的动作 B) 高跳 C) 武器操练 D) 速度和力量</v>
      </c>
      <c r="J55" s="5" t="str">
        <f>IFERROR(__xludf.DUMMYFUNCTION("GOOGLETRANSLATE(D55, ""en"", ""zh"")"),"A) 小型紧凑型运动")</f>
        <v>A) 小型紧凑型运动</v>
      </c>
      <c r="K55" s="5" t="str">
        <f>IFERROR(__xludf.DUMMYFUNCTION("GOOGLETRANSLATE(E55, ""en"", ""zh"")"),"#VALUE!")</f>
        <v>#VALUE!</v>
      </c>
    </row>
    <row r="56">
      <c r="A56" s="8">
        <v>55.0</v>
      </c>
      <c r="B56" s="18" t="s">
        <v>2368</v>
      </c>
      <c r="C56" s="18" t="s">
        <v>2369</v>
      </c>
      <c r="D56" s="18" t="s">
        <v>1991</v>
      </c>
      <c r="H56" s="5" t="str">
        <f>IFERROR(__xludf.DUMMYFUNCTION("GOOGLETRANSLATE(B56, ""en"", ""zh"")"),"孙式太极拳融合了以下元素：")</f>
        <v>孙式太极拳融合了以下元素：</v>
      </c>
      <c r="I56" s="5" t="str">
        <f>IFERROR(__xludf.DUMMYFUNCTION("GOOGLETRANSLATE(C56, ""en"", ""zh"")"),"A) 形意拳 B) 八卦掌 C) 太极拳 D) A 和 B 都是")</f>
        <v>A) 形意拳 B) 八卦掌 C) 太极拳 D) A 和 B 都是</v>
      </c>
      <c r="J56" s="5" t="str">
        <f>IFERROR(__xludf.DUMMYFUNCTION("GOOGLETRANSLATE(D56, ""en"", ""zh"")"),"D) A 和 B 都对")</f>
        <v>D) A 和 B 都对</v>
      </c>
      <c r="K56" s="5" t="str">
        <f>IFERROR(__xludf.DUMMYFUNCTION("GOOGLETRANSLATE(E56, ""en"", ""zh"")"),"#VALUE!")</f>
        <v>#VALUE!</v>
      </c>
    </row>
    <row r="57">
      <c r="A57" s="8">
        <v>56.0</v>
      </c>
      <c r="B57" s="18" t="s">
        <v>2370</v>
      </c>
      <c r="C57" s="18" t="s">
        <v>2371</v>
      </c>
      <c r="D57" s="18" t="s">
        <v>2372</v>
      </c>
      <c r="H57" s="5" t="str">
        <f>IFERROR(__xludf.DUMMYFUNCTION("GOOGLETRANSLATE(B57, ""en"", ""zh"")"),"太极拳应用于哪种养生方法？")</f>
        <v>太极拳应用于哪种养生方法？</v>
      </c>
      <c r="I57" s="5" t="str">
        <f>IFERROR(__xludf.DUMMYFUNCTION("GOOGLETRANSLATE(C57, ""en"", ""zh"")"),"A) 传统中医 B) 瑜伽 C) 普拉提 D) 有氧运动")</f>
        <v>A) 传统中医 B) 瑜伽 C) 普拉提 D) 有氧运动</v>
      </c>
      <c r="J57" s="5" t="str">
        <f>IFERROR(__xludf.DUMMYFUNCTION("GOOGLETRANSLATE(D57, ""en"", ""zh"")"),"A) 传统中医")</f>
        <v>A) 传统中医</v>
      </c>
      <c r="K57" s="5" t="str">
        <f>IFERROR(__xludf.DUMMYFUNCTION("GOOGLETRANSLATE(E57, ""en"", ""zh"")"),"#VALUE!")</f>
        <v>#VALUE!</v>
      </c>
    </row>
    <row r="58">
      <c r="A58" s="8">
        <v>57.0</v>
      </c>
      <c r="B58" s="18" t="s">
        <v>2373</v>
      </c>
      <c r="C58" s="18" t="s">
        <v>2374</v>
      </c>
      <c r="D58" s="18" t="s">
        <v>1299</v>
      </c>
      <c r="H58" s="5" t="str">
        <f>IFERROR(__xludf.DUMMYFUNCTION("GOOGLETRANSLATE(B58, ""en"", ""zh"")"),"太极拳有助于改善：")</f>
        <v>太极拳有助于改善：</v>
      </c>
      <c r="I58" s="5" t="str">
        <f>IFERROR(__xludf.DUMMYFUNCTION("GOOGLETRANSLATE(C58, ""en"", ""zh"")"),"A) 平衡能力 B) 灵活性 C) 精神集中力 D) 以上全部")</f>
        <v>A) 平衡能力 B) 灵活性 C) 精神集中力 D) 以上全部</v>
      </c>
      <c r="J58" s="5" t="str">
        <f>IFERROR(__xludf.DUMMYFUNCTION("GOOGLETRANSLATE(D58, ""en"", ""zh"")"),"D) 以上所有选项")</f>
        <v>D) 以上所有选项</v>
      </c>
      <c r="K58" s="5" t="str">
        <f>IFERROR(__xludf.DUMMYFUNCTION("GOOGLETRANSLATE(E58, ""en"", ""zh"")"),"#VALUE!")</f>
        <v>#VALUE!</v>
      </c>
    </row>
    <row r="59">
      <c r="A59" s="8">
        <v>58.0</v>
      </c>
      <c r="B59" s="18" t="s">
        <v>2375</v>
      </c>
      <c r="C59" s="18" t="s">
        <v>2376</v>
      </c>
      <c r="D59" s="18" t="s">
        <v>1299</v>
      </c>
      <c r="H59" s="5" t="str">
        <f>IFERROR(__xludf.DUMMYFUNCTION("GOOGLETRANSLATE(B59, ""en"", ""zh"")"),"太极拳传统上是由以下人群练习的：")</f>
        <v>太极拳传统上是由以下人群练习的：</v>
      </c>
      <c r="I59" s="5" t="str">
        <f>IFERROR(__xludf.DUMMYFUNCTION("GOOGLETRANSLATE(C59, ""en"", ""zh"")"),"A) 学者 B) 士兵 C) 僧侣 D) 以上所有")</f>
        <v>A) 学者 B) 士兵 C) 僧侣 D) 以上所有</v>
      </c>
      <c r="J59" s="5" t="str">
        <f>IFERROR(__xludf.DUMMYFUNCTION("GOOGLETRANSLATE(D59, ""en"", ""zh"")"),"D) 以上所有选项")</f>
        <v>D) 以上所有选项</v>
      </c>
      <c r="K59" s="5" t="str">
        <f>IFERROR(__xludf.DUMMYFUNCTION("GOOGLETRANSLATE(E59, ""en"", ""zh"")"),"#VALUE!")</f>
        <v>#VALUE!</v>
      </c>
    </row>
    <row r="60">
      <c r="A60" s="8">
        <v>59.0</v>
      </c>
      <c r="B60" s="18" t="s">
        <v>2377</v>
      </c>
      <c r="C60" s="18" t="s">
        <v>2378</v>
      </c>
      <c r="D60" s="18" t="s">
        <v>1299</v>
      </c>
      <c r="H60" s="5" t="str">
        <f>IFERROR(__xludf.DUMMYFUNCTION("GOOGLETRANSLATE(B60, ""en"", ""zh"")"),"太极拳套路可以这样练习：")</f>
        <v>太极拳套路可以这样练习：</v>
      </c>
      <c r="I60" s="5" t="str">
        <f>IFERROR(__xludf.DUMMYFUNCTION("GOOGLETRANSLATE(C60, ""en"", ""zh"")"),"A) 单独 B) 双人 C) 小组 D) 以上所有选项")</f>
        <v>A) 单独 B) 双人 C) 小组 D) 以上所有选项</v>
      </c>
      <c r="J60" s="5" t="str">
        <f>IFERROR(__xludf.DUMMYFUNCTION("GOOGLETRANSLATE(D60, ""en"", ""zh"")"),"D) 以上所有选项")</f>
        <v>D) 以上所有选项</v>
      </c>
      <c r="K60" s="5" t="str">
        <f>IFERROR(__xludf.DUMMYFUNCTION("GOOGLETRANSLATE(E60, ""en"", ""zh"")"),"#VALUE!")</f>
        <v>#VALUE!</v>
      </c>
    </row>
    <row r="61">
      <c r="A61" s="8">
        <v>60.0</v>
      </c>
      <c r="B61" s="18" t="s">
        <v>2379</v>
      </c>
      <c r="C61" s="18" t="s">
        <v>2380</v>
      </c>
      <c r="D61" s="18" t="s">
        <v>2381</v>
      </c>
      <c r="H61" s="5" t="str">
        <f>IFERROR(__xludf.DUMMYFUNCTION("GOOGLETRANSLATE(B61, ""en"", ""zh"")"),"太极拳强调哪种呼吸方式？")</f>
        <v>太极拳强调哪种呼吸方式？</v>
      </c>
      <c r="I61" s="5" t="str">
        <f>IFERROR(__xludf.DUMMYFUNCTION("GOOGLETRANSLATE(C61, ""en"", ""zh"")"),"A) 深而可控 B) 快速 C) 浅 D) 不规则")</f>
        <v>A) 深而可控 B) 快速 C) 浅 D) 不规则</v>
      </c>
      <c r="J61" s="5" t="str">
        <f>IFERROR(__xludf.DUMMYFUNCTION("GOOGLETRANSLATE(D61, ""en"", ""zh"")"),"A) 深层且受控")</f>
        <v>A) 深层且受控</v>
      </c>
      <c r="K61" s="5" t="str">
        <f>IFERROR(__xludf.DUMMYFUNCTION("GOOGLETRANSLATE(E61, ""en"", ""zh"")"),"#VALUE!")</f>
        <v>#VALUE!</v>
      </c>
    </row>
    <row r="62">
      <c r="A62" s="8">
        <v>61.0</v>
      </c>
      <c r="B62" s="18" t="s">
        <v>2382</v>
      </c>
      <c r="C62" s="18" t="s">
        <v>2383</v>
      </c>
      <c r="D62" s="18" t="s">
        <v>2384</v>
      </c>
      <c r="H62" s="5" t="str">
        <f>IFERROR(__xludf.DUMMYFUNCTION("GOOGLETRANSLATE(B62, ""en"", ""zh"")"),"太极拳的“意念”侧重于：")</f>
        <v>太极拳的“意念”侧重于：</v>
      </c>
      <c r="I62" s="5" t="str">
        <f>IFERROR(__xludf.DUMMYFUNCTION("GOOGLETRANSLATE(C62, ""en"", ""zh"")"),"A) 心理素质 B) 体能 C) 杂技技巧 D) 速度")</f>
        <v>A) 心理素质 B) 体能 C) 杂技技巧 D) 速度</v>
      </c>
      <c r="J62" s="5" t="str">
        <f>IFERROR(__xludf.DUMMYFUNCTION("GOOGLETRANSLATE(D62, ""en"", ""zh"")"),"A) 心理意识")</f>
        <v>A) 心理意识</v>
      </c>
      <c r="K62" s="5" t="str">
        <f>IFERROR(__xludf.DUMMYFUNCTION("GOOGLETRANSLATE(E62, ""en"", ""zh"")"),"#VALUE!")</f>
        <v>#VALUE!</v>
      </c>
    </row>
    <row r="63">
      <c r="A63" s="8">
        <v>62.0</v>
      </c>
      <c r="B63" s="18" t="s">
        <v>2385</v>
      </c>
      <c r="C63" s="18" t="s">
        <v>2386</v>
      </c>
      <c r="D63" s="18" t="s">
        <v>1299</v>
      </c>
      <c r="H63" s="5" t="str">
        <f>IFERROR(__xludf.DUMMYFUNCTION("GOOGLETRANSLATE(B63, ""en"", ""zh"")"),"太极拳被认为是中国哪项文化遗产的一部分？")</f>
        <v>太极拳被认为是中国哪项文化遗产的一部分？</v>
      </c>
      <c r="I63" s="5" t="str">
        <f>IFERROR(__xludf.DUMMYFUNCTION("GOOGLETRANSLATE(C63, ""en"", ""zh"")"),"A) 武术 B) 体育锻炼 C) 健康实践 D) 以上全部")</f>
        <v>A) 武术 B) 体育锻炼 C) 健康实践 D) 以上全部</v>
      </c>
      <c r="J63" s="5" t="str">
        <f>IFERROR(__xludf.DUMMYFUNCTION("GOOGLETRANSLATE(D63, ""en"", ""zh"")"),"D) 以上所有选项")</f>
        <v>D) 以上所有选项</v>
      </c>
      <c r="K63" s="5" t="str">
        <f>IFERROR(__xludf.DUMMYFUNCTION("GOOGLETRANSLATE(E63, ""en"", ""zh"")"),"#VALUE!")</f>
        <v>#VALUE!</v>
      </c>
    </row>
    <row r="64">
      <c r="A64" s="8">
        <v>63.0</v>
      </c>
      <c r="B64" s="18" t="s">
        <v>2387</v>
      </c>
      <c r="C64" s="18" t="s">
        <v>2388</v>
      </c>
      <c r="D64" s="18" t="s">
        <v>2389</v>
      </c>
      <c r="H64" s="5" t="str">
        <f>IFERROR(__xludf.DUMMYFUNCTION("GOOGLETRANSLATE(B64, ""en"", ""zh"")"),"太极拳“推手”发展：")</f>
        <v>太极拳“推手”发展：</v>
      </c>
      <c r="I64" s="5" t="str">
        <f>IFERROR(__xludf.DUMMYFUNCTION("GOOGLETRANSLATE(C64, ""en"", ""zh"")"),"A) 对力的敏感性 B) 仅力量 C) 仅柔韧性 D) 仅速度")</f>
        <v>A) 对力的敏感性 B) 仅力量 C) 仅柔韧性 D) 仅速度</v>
      </c>
      <c r="J64" s="5" t="str">
        <f>IFERROR(__xludf.DUMMYFUNCTION("GOOGLETRANSLATE(D64, ""en"", ""zh"")"),"A) 对力的敏感性")</f>
        <v>A) 对力的敏感性</v>
      </c>
      <c r="K64" s="5" t="str">
        <f>IFERROR(__xludf.DUMMYFUNCTION("GOOGLETRANSLATE(E64, ""en"", ""zh"")"),"#VALUE!")</f>
        <v>#VALUE!</v>
      </c>
    </row>
    <row r="65">
      <c r="A65" s="8">
        <v>64.0</v>
      </c>
      <c r="B65" s="18" t="s">
        <v>2390</v>
      </c>
      <c r="C65" s="18" t="s">
        <v>2391</v>
      </c>
      <c r="D65" s="18" t="s">
        <v>2392</v>
      </c>
      <c r="H65" s="5" t="str">
        <f>IFERROR(__xludf.DUMMYFUNCTION("GOOGLETRANSLATE(B65, ""en"", ""zh"")"),"陈式太极拳包括：")</f>
        <v>陈式太极拳包括：</v>
      </c>
      <c r="I65" s="5" t="str">
        <f>IFERROR(__xludf.DUMMYFUNCTION("GOOGLETRANSLATE(C65, ""en"", ""zh"")"),"A) 螺旋运动 B) 仅冥想 C) 仅武器 D) 仅杂技")</f>
        <v>A) 螺旋运动 B) 仅冥想 C) 仅武器 D) 仅杂技</v>
      </c>
      <c r="J65" s="5" t="str">
        <f>IFERROR(__xludf.DUMMYFUNCTION("GOOGLETRANSLATE(D65, ""en"", ""zh"")"),"A) 螺旋运动")</f>
        <v>A) 螺旋运动</v>
      </c>
      <c r="K65" s="5" t="str">
        <f>IFERROR(__xludf.DUMMYFUNCTION("GOOGLETRANSLATE(E65, ""en"", ""zh"")"),"#VALUE!")</f>
        <v>#VALUE!</v>
      </c>
    </row>
    <row r="66">
      <c r="A66" s="8">
        <v>65.0</v>
      </c>
      <c r="B66" s="18" t="s">
        <v>2393</v>
      </c>
      <c r="C66" s="18" t="s">
        <v>348</v>
      </c>
      <c r="D66" s="18" t="s">
        <v>30</v>
      </c>
      <c r="H66" s="5" t="str">
        <f>IFERROR(__xludf.DUMMYFUNCTION("GOOGLETRANSLATE(B66, ""en"", ""zh"")"),"杨氏太极拳在以下地区最为流行：")</f>
        <v>杨氏太极拳在以下地区最为流行：</v>
      </c>
      <c r="I66" s="5" t="str">
        <f>IFERROR(__xludf.DUMMYFUNCTION("GOOGLETRANSLATE(C66, ""en"", ""zh"")"),"A) 中国 B) 日本 C) 韩国 D) 越南")</f>
        <v>A) 中国 B) 日本 C) 韩国 D) 越南</v>
      </c>
      <c r="J66" s="5" t="str">
        <f>IFERROR(__xludf.DUMMYFUNCTION("GOOGLETRANSLATE(D66, ""en"", ""zh"")"),"A) 中国")</f>
        <v>A) 中国</v>
      </c>
      <c r="K66" s="5" t="str">
        <f>IFERROR(__xludf.DUMMYFUNCTION("GOOGLETRANSLATE(E66, ""en"", ""zh"")"),"#VALUE!")</f>
        <v>#VALUE!</v>
      </c>
    </row>
    <row r="67">
      <c r="A67" s="8">
        <v>66.0</v>
      </c>
      <c r="B67" s="18" t="s">
        <v>2394</v>
      </c>
      <c r="C67" s="18" t="s">
        <v>2395</v>
      </c>
      <c r="D67" s="18" t="s">
        <v>2396</v>
      </c>
      <c r="H67" s="5" t="str">
        <f>IFERROR(__xludf.DUMMYFUNCTION("GOOGLETRANSLATE(B67, ""en"", ""zh"")"),"太极拳包含多少种主要流派？")</f>
        <v>太极拳包含多少种主要流派？</v>
      </c>
      <c r="I67" s="5" t="str">
        <f>IFERROR(__xludf.DUMMYFUNCTION("GOOGLETRANSLATE(C67, ""en"", ""zh"")"),"A) 陈、杨、武、孙 B) 少林、武当、八卦、形意 C) 北、南、​​西、东 D) 功夫、武术、气功、太极")</f>
        <v>A) 陈、杨、武、孙 B) 少林、武当、八卦、形意 C) 北、南、​​西、东 D) 功夫、武术、气功、太极</v>
      </c>
      <c r="J67" s="5" t="str">
        <f>IFERROR(__xludf.DUMMYFUNCTION("GOOGLETRANSLATE(D67, ""en"", ""zh"")"),"A) 陈、杨、吴、孙")</f>
        <v>A) 陈、杨、吴、孙</v>
      </c>
      <c r="K67" s="5" t="str">
        <f>IFERROR(__xludf.DUMMYFUNCTION("GOOGLETRANSLATE(E67, ""en"", ""zh"")"),"#VALUE!")</f>
        <v>#VALUE!</v>
      </c>
    </row>
    <row r="68">
      <c r="A68" s="8">
        <v>67.0</v>
      </c>
      <c r="B68" s="18" t="s">
        <v>2397</v>
      </c>
      <c r="C68" s="18" t="s">
        <v>2398</v>
      </c>
      <c r="D68" s="18" t="s">
        <v>1299</v>
      </c>
      <c r="H68" s="5" t="str">
        <f>IFERROR(__xludf.DUMMYFUNCTION("GOOGLETRANSLATE(B68, ""en"", ""zh"")"),"太极拳的哲学包括：")</f>
        <v>太极拳的哲学包括：</v>
      </c>
      <c r="I68" s="5" t="str">
        <f>IFERROR(__xludf.DUMMYFUNCTION("GOOGLETRANSLATE(C68, ""en"", ""zh"")"),"A) 阴阳平衡 B) 无为 C) 与自然和谐 D) 以上全部")</f>
        <v>A) 阴阳平衡 B) 无为 C) 与自然和谐 D) 以上全部</v>
      </c>
      <c r="J68" s="5" t="str">
        <f>IFERROR(__xludf.DUMMYFUNCTION("GOOGLETRANSLATE(D68, ""en"", ""zh"")"),"D) 以上所有选项")</f>
        <v>D) 以上所有选项</v>
      </c>
      <c r="K68" s="5" t="str">
        <f>IFERROR(__xludf.DUMMYFUNCTION("GOOGLETRANSLATE(E68, ""en"", ""zh"")"),"#VALUE!")</f>
        <v>#VALUE!</v>
      </c>
    </row>
    <row r="69">
      <c r="A69" s="8">
        <v>68.0</v>
      </c>
      <c r="B69" s="18" t="s">
        <v>2399</v>
      </c>
      <c r="C69" s="18" t="s">
        <v>2400</v>
      </c>
      <c r="D69" s="18" t="s">
        <v>1299</v>
      </c>
      <c r="H69" s="5" t="str">
        <f>IFERROR(__xludf.DUMMYFUNCTION("GOOGLETRANSLATE(B69, ""en"", ""zh"")"),"太极拳有助于预防：")</f>
        <v>太极拳有助于预防：</v>
      </c>
      <c r="I69" s="5" t="str">
        <f>IFERROR(__xludf.DUMMYFUNCTION("GOOGLETRANSLATE(C69, ""en"", ""zh"")"),"A) 老年人跌倒 B) 心血管问题 C) 压力 D) 以上所有选项")</f>
        <v>A) 老年人跌倒 B) 心血管问题 C) 压力 D) 以上所有选项</v>
      </c>
      <c r="J69" s="5" t="str">
        <f>IFERROR(__xludf.DUMMYFUNCTION("GOOGLETRANSLATE(D69, ""en"", ""zh"")"),"D) 以上所有选项")</f>
        <v>D) 以上所有选项</v>
      </c>
      <c r="K69" s="5" t="str">
        <f>IFERROR(__xludf.DUMMYFUNCTION("GOOGLETRANSLATE(E69, ""en"", ""zh"")"),"#VALUE!")</f>
        <v>#VALUE!</v>
      </c>
    </row>
    <row r="70">
      <c r="A70" s="8">
        <v>69.0</v>
      </c>
      <c r="B70" s="18" t="s">
        <v>2401</v>
      </c>
      <c r="C70" s="18" t="s">
        <v>2402</v>
      </c>
      <c r="D70" s="18" t="s">
        <v>1299</v>
      </c>
      <c r="H70" s="5" t="str">
        <f>IFERROR(__xludf.DUMMYFUNCTION("GOOGLETRANSLATE(B70, ""en"", ""zh"")"),"太极拳包含以下器械套路：")</f>
        <v>太极拳包含以下器械套路：</v>
      </c>
      <c r="I70" s="5" t="str">
        <f>IFERROR(__xludf.DUMMYFUNCTION("GOOGLETRANSLATE(C70, ""en"", ""zh"")"),"A) 剑 B) 矛 C) 扇子 D) 以上全部")</f>
        <v>A) 剑 B) 矛 C) 扇子 D) 以上全部</v>
      </c>
      <c r="J70" s="5" t="str">
        <f>IFERROR(__xludf.DUMMYFUNCTION("GOOGLETRANSLATE(D70, ""en"", ""zh"")"),"D) 以上所有选项")</f>
        <v>D) 以上所有选项</v>
      </c>
      <c r="K70" s="5" t="str">
        <f>IFERROR(__xludf.DUMMYFUNCTION("GOOGLETRANSLATE(E70, ""en"", ""zh"")"),"#VALUE!")</f>
        <v>#VALUE!</v>
      </c>
    </row>
    <row r="71">
      <c r="A71" s="8">
        <v>70.0</v>
      </c>
      <c r="B71" s="18" t="s">
        <v>2403</v>
      </c>
      <c r="C71" s="18" t="s">
        <v>2404</v>
      </c>
      <c r="D71" s="18" t="s">
        <v>2405</v>
      </c>
      <c r="H71" s="5" t="str">
        <f>IFERROR(__xludf.DUMMYFUNCTION("GOOGLETRANSLATE(B71, ""en"", ""zh"")"),"太极拳的动作通常被描述为：")</f>
        <v>太极拳的动作通常被描述为：</v>
      </c>
      <c r="I71" s="5" t="str">
        <f>IFERROR(__xludf.DUMMYFUNCTION("GOOGLETRANSLATE(C71, ""en"", ""zh"")"),"A) 连续流畅的 B) 急促快速的 C) 爆发式的 D) 静止的")</f>
        <v>A) 连续流畅的 B) 急促快速的 C) 爆发式的 D) 静止的</v>
      </c>
      <c r="J71" s="5" t="str">
        <f>IFERROR(__xludf.DUMMYFUNCTION("GOOGLETRANSLATE(D71, ""en"", ""zh"")"),"A) 连续流动")</f>
        <v>A) 连续流动</v>
      </c>
      <c r="K71" s="5" t="str">
        <f>IFERROR(__xludf.DUMMYFUNCTION("GOOGLETRANSLATE(E71, ""en"", ""zh"")"),"#VALUE!")</f>
        <v>#VALUE!</v>
      </c>
    </row>
    <row r="72">
      <c r="A72" s="8">
        <v>71.0</v>
      </c>
      <c r="B72" s="18" t="s">
        <v>2406</v>
      </c>
      <c r="C72" s="18" t="s">
        <v>2407</v>
      </c>
      <c r="D72" s="18" t="s">
        <v>2408</v>
      </c>
      <c r="H72" s="5" t="str">
        <f>IFERROR(__xludf.DUMMYFUNCTION("GOOGLETRANSLATE(B72, ""en"", ""zh"")"),"太极拳可分为：")</f>
        <v>太极拳可分为：</v>
      </c>
      <c r="I72" s="5" t="str">
        <f>IFERROR(__xludf.DUMMYFUNCTION("GOOGLETRANSLATE(C72, ""en"", ""zh"")"),"A) 内家拳 B) 外家拳 C) 舞蹈 D) 仅限体育")</f>
        <v>A) 内家拳 B) 外家拳 C) 舞蹈 D) 仅限体育</v>
      </c>
      <c r="J72" s="5" t="str">
        <f>IFERROR(__xludf.DUMMYFUNCTION("GOOGLETRANSLATE(D72, ""en"", ""zh"")"),"A) 内家拳")</f>
        <v>A) 内家拳</v>
      </c>
      <c r="K72" s="5" t="str">
        <f>IFERROR(__xludf.DUMMYFUNCTION("GOOGLETRANSLATE(E72, ""en"", ""zh"")"),"#VALUE!")</f>
        <v>#VALUE!</v>
      </c>
    </row>
    <row r="73">
      <c r="A73" s="8">
        <v>72.0</v>
      </c>
      <c r="B73" s="18" t="s">
        <v>2409</v>
      </c>
      <c r="C73" s="18" t="s">
        <v>2410</v>
      </c>
      <c r="D73" s="18" t="s">
        <v>1299</v>
      </c>
      <c r="H73" s="5" t="str">
        <f>IFERROR(__xludf.DUMMYFUNCTION("GOOGLETRANSLATE(B73, ""en"", ""zh"")"),"太极拳哲学提倡：")</f>
        <v>太极拳哲学提倡：</v>
      </c>
      <c r="I73" s="5" t="str">
        <f>IFERROR(__xludf.DUMMYFUNCTION("GOOGLETRANSLATE(C73, ""en"", ""zh"")"),"A) 放松 B) 耐心 C) 正念 D) 以上全部")</f>
        <v>A) 放松 B) 耐心 C) 正念 D) 以上全部</v>
      </c>
      <c r="J73" s="5" t="str">
        <f>IFERROR(__xludf.DUMMYFUNCTION("GOOGLETRANSLATE(D73, ""en"", ""zh"")"),"D) 以上所有选项")</f>
        <v>D) 以上所有选项</v>
      </c>
      <c r="K73" s="5" t="str">
        <f>IFERROR(__xludf.DUMMYFUNCTION("GOOGLETRANSLATE(E73, ""en"", ""zh"")"),"#VALUE!")</f>
        <v>#VALUE!</v>
      </c>
    </row>
    <row r="74">
      <c r="A74" s="8">
        <v>73.0</v>
      </c>
      <c r="B74" s="18" t="s">
        <v>2411</v>
      </c>
      <c r="C74" s="18" t="s">
        <v>2412</v>
      </c>
      <c r="D74" s="18" t="s">
        <v>2413</v>
      </c>
      <c r="H74" s="5" t="str">
        <f>IFERROR(__xludf.DUMMYFUNCTION("GOOGLETRANSLATE(B74, ""en"", ""zh"")"),"太极拳在以下时期风靡全球：")</f>
        <v>太极拳在以下时期风靡全球：</v>
      </c>
      <c r="I74" s="5" t="str">
        <f>IFERROR(__xludf.DUMMYFUNCTION("GOOGLETRANSLATE(C74, ""en"", ""zh"")"),"A) 中国移民 B) 功夫电影 C) 奥运会参与 D) 文化节")</f>
        <v>A) 中国移民 B) 功夫电影 C) 奥运会参与 D) 文化节</v>
      </c>
      <c r="J74" s="5" t="str">
        <f>IFERROR(__xludf.DUMMYFUNCTION("GOOGLETRANSLATE(D74, ""en"", ""zh"")"),"A) 中国移民")</f>
        <v>A) 中国移民</v>
      </c>
      <c r="K74" s="5" t="str">
        <f>IFERROR(__xludf.DUMMYFUNCTION("GOOGLETRANSLATE(E74, ""en"", ""zh"")"),"#VALUE!")</f>
        <v>#VALUE!</v>
      </c>
    </row>
    <row r="75">
      <c r="A75" s="8">
        <v>74.0</v>
      </c>
      <c r="B75" s="18" t="s">
        <v>2414</v>
      </c>
      <c r="C75" s="18" t="s">
        <v>2415</v>
      </c>
      <c r="D75" s="18" t="s">
        <v>2416</v>
      </c>
      <c r="H75" s="5" t="str">
        <f>IFERROR(__xludf.DUMMYFUNCTION("GOOGLETRANSLATE(B75, ""en"", ""zh"")"),"太极拳的“陈式”风格包括：")</f>
        <v>太极拳的“陈式”风格包括：</v>
      </c>
      <c r="I75" s="5" t="str">
        <f>IFERROR(__xludf.DUMMYFUNCTION("GOOGLETRANSLATE(C75, ""en"", ""zh"")"),"A) 快慢交替 B) 仅缓慢运动 C) 仅冥想 D) 仅使用武器")</f>
        <v>A) 快慢交替 B) 仅缓慢运动 C) 仅冥想 D) 仅使用武器</v>
      </c>
      <c r="J75" s="5" t="str">
        <f>IFERROR(__xludf.DUMMYFUNCTION("GOOGLETRANSLATE(D75, ""en"", ""zh"")"),"A) 快慢交替")</f>
        <v>A) 快慢交替</v>
      </c>
      <c r="K75" s="5" t="str">
        <f>IFERROR(__xludf.DUMMYFUNCTION("GOOGLETRANSLATE(E75, ""en"", ""zh"")"),"#VALUE!")</f>
        <v>#VALUE!</v>
      </c>
    </row>
    <row r="76">
      <c r="A76" s="17">
        <v>75.0</v>
      </c>
      <c r="B76" s="18" t="s">
        <v>2417</v>
      </c>
      <c r="C76" s="18" t="s">
        <v>2418</v>
      </c>
      <c r="D76" s="18" t="s">
        <v>1299</v>
      </c>
      <c r="H76" s="5" t="str">
        <f>IFERROR(__xludf.DUMMYFUNCTION("GOOGLETRANSLATE(B76, ""en"", ""zh"")"),"太极拳的养生之道强调：")</f>
        <v>太极拳的养生之道强调：</v>
      </c>
      <c r="I76" s="5" t="str">
        <f>IFERROR(__xludf.DUMMYFUNCTION("GOOGLETRANSLATE(C76, ""en"", ""zh"")"),"A) 气功修炼 B) 体能训练 C) 武术运用 D) 以上全部")</f>
        <v>A) 气功修炼 B) 体能训练 C) 武术运用 D) 以上全部</v>
      </c>
      <c r="J76" s="5" t="str">
        <f>IFERROR(__xludf.DUMMYFUNCTION("GOOGLETRANSLATE(D76, ""en"", ""zh"")"),"D) 以上所有选项")</f>
        <v>D) 以上所有选项</v>
      </c>
      <c r="K76" s="5" t="str">
        <f>IFERROR(__xludf.DUMMYFUNCTION("GOOGLETRANSLATE(E76, ""en"", ""zh"")"),"#VALUE!")</f>
        <v>#VALUE!</v>
      </c>
    </row>
    <row r="77">
      <c r="A77" s="17">
        <v>76.0</v>
      </c>
      <c r="B77" s="18" t="s">
        <v>2419</v>
      </c>
      <c r="C77" s="18" t="s">
        <v>2420</v>
      </c>
      <c r="D77" s="18" t="s">
        <v>2421</v>
      </c>
      <c r="H77" s="5" t="str">
        <f>IFERROR(__xludf.DUMMYFUNCTION("GOOGLETRANSLATE(B77, ""en"", ""zh"")"),"太极拳动作常模仿：")</f>
        <v>太极拳动作常模仿：</v>
      </c>
      <c r="I77" s="5" t="str">
        <f>IFERROR(__xludf.DUMMYFUNCTION("GOOGLETRANSLATE(C77, ""en"", ""zh"")"),"A) 动物 B) 人类 C) 自然 D) A 和 C 都是")</f>
        <v>A) 动物 B) 人类 C) 自然 D) A 和 C 都是</v>
      </c>
      <c r="J77" s="5" t="str">
        <f>IFERROR(__xludf.DUMMYFUNCTION("GOOGLETRANSLATE(D77, ""en"", ""zh"")"),"D) A 和 C 都对")</f>
        <v>D) A 和 C 都对</v>
      </c>
      <c r="K77" s="5" t="str">
        <f>IFERROR(__xludf.DUMMYFUNCTION("GOOGLETRANSLATE(E77, ""en"", ""zh"")"),"#VALUE!")</f>
        <v>#VALUE!</v>
      </c>
    </row>
    <row r="78">
      <c r="A78" s="17">
        <v>77.0</v>
      </c>
      <c r="B78" s="18" t="s">
        <v>2422</v>
      </c>
      <c r="C78" s="18" t="s">
        <v>2423</v>
      </c>
      <c r="D78" s="18" t="s">
        <v>1299</v>
      </c>
      <c r="H78" s="5" t="str">
        <f>IFERROR(__xludf.DUMMYFUNCTION("GOOGLETRANSLATE(B78, ""en"", ""zh"")"),"现代太极拳的套路主要用于：")</f>
        <v>现代太极拳的套路主要用于：</v>
      </c>
      <c r="I78" s="5" t="str">
        <f>IFERROR(__xludf.DUMMYFUNCTION("GOOGLETRANSLATE(C78, ""en"", ""zh"")"),"A) 健康 B) 竞技 C) 武术训练 D) 以上所有")</f>
        <v>A) 健康 B) 竞技 C) 武术训练 D) 以上所有</v>
      </c>
      <c r="J78" s="5" t="str">
        <f>IFERROR(__xludf.DUMMYFUNCTION("GOOGLETRANSLATE(D78, ""en"", ""zh"")"),"D) 以上所有选项")</f>
        <v>D) 以上所有选项</v>
      </c>
      <c r="K78" s="5" t="str">
        <f>IFERROR(__xludf.DUMMYFUNCTION("GOOGLETRANSLATE(E78, ""en"", ""zh"")"),"#VALUE!")</f>
        <v>#VALUE!</v>
      </c>
    </row>
    <row r="79">
      <c r="A79" s="17">
        <v>78.0</v>
      </c>
      <c r="B79" s="18" t="s">
        <v>2424</v>
      </c>
      <c r="C79" s="18" t="s">
        <v>2425</v>
      </c>
      <c r="D79" s="18" t="s">
        <v>1299</v>
      </c>
      <c r="H79" s="5" t="str">
        <f>IFERROR(__xludf.DUMMYFUNCTION("GOOGLETRANSLATE(B79, ""en"", ""zh"")"),"太极拳最初是为了以下目的而创立的：")</f>
        <v>太极拳最初是为了以下目的而创立的：</v>
      </c>
      <c r="I79" s="5" t="str">
        <f>IFERROR(__xludf.DUMMYFUNCTION("GOOGLETRANSLATE(C79, ""en"", ""zh"")"),"A) 防御 B) 健康 C) 精神修炼 D) 以上全部")</f>
        <v>A) 防御 B) 健康 C) 精神修炼 D) 以上全部</v>
      </c>
      <c r="J79" s="5" t="str">
        <f>IFERROR(__xludf.DUMMYFUNCTION("GOOGLETRANSLATE(D79, ""en"", ""zh"")"),"D) 以上所有选项")</f>
        <v>D) 以上所有选项</v>
      </c>
      <c r="K79" s="5" t="str">
        <f>IFERROR(__xludf.DUMMYFUNCTION("GOOGLETRANSLATE(E79, ""en"", ""zh"")"),"#VALUE!")</f>
        <v>#VALUE!</v>
      </c>
    </row>
    <row r="80">
      <c r="A80" s="17">
        <v>79.0</v>
      </c>
      <c r="B80" s="18" t="s">
        <v>2426</v>
      </c>
      <c r="C80" s="18" t="s">
        <v>2427</v>
      </c>
      <c r="D80" s="18" t="s">
        <v>1299</v>
      </c>
      <c r="H80" s="5" t="str">
        <f>IFERROR(__xludf.DUMMYFUNCTION("GOOGLETRANSLATE(B80, ""en"", ""zh"")"),"太极拳的动作重点在于：")</f>
        <v>太极拳的动作重点在于：</v>
      </c>
      <c r="I80" s="5" t="str">
        <f>IFERROR(__xludf.DUMMYFUNCTION("GOOGLETRANSLATE(C80, ""en"", ""zh"")"),"A) 放松 B) 协调性 C) 力量 D) 以上所有")</f>
        <v>A) 放松 B) 协调性 C) 力量 D) 以上所有</v>
      </c>
      <c r="J80" s="5" t="str">
        <f>IFERROR(__xludf.DUMMYFUNCTION("GOOGLETRANSLATE(D80, ""en"", ""zh"")"),"D) 以上所有选项")</f>
        <v>D) 以上所有选项</v>
      </c>
      <c r="K80" s="5" t="str">
        <f>IFERROR(__xludf.DUMMYFUNCTION("GOOGLETRANSLATE(E80, ""en"", ""zh"")"),"#VALUE!")</f>
        <v>#VALUE!</v>
      </c>
    </row>
    <row r="81">
      <c r="A81" s="17">
        <v>80.0</v>
      </c>
      <c r="B81" s="18" t="s">
        <v>2428</v>
      </c>
      <c r="C81" s="18" t="s">
        <v>2429</v>
      </c>
      <c r="D81" s="18" t="s">
        <v>1299</v>
      </c>
      <c r="H81" s="5" t="str">
        <f>IFERROR(__xludf.DUMMYFUNCTION("GOOGLETRANSLATE(B81, ""en"", ""zh"")"),"太极拳的历史发展受到以下因素的影响：")</f>
        <v>太极拳的历史发展受到以下因素的影响：</v>
      </c>
      <c r="I81" s="5" t="str">
        <f>IFERROR(__xludf.DUMMYFUNCTION("GOOGLETRANSLATE(C81, ""en"", ""zh"")"),"A) 道家哲学 B) 儒家伦理 C) 中医 D) 以上全部")</f>
        <v>A) 道家哲学 B) 儒家伦理 C) 中医 D) 以上全部</v>
      </c>
      <c r="J81" s="5" t="str">
        <f>IFERROR(__xludf.DUMMYFUNCTION("GOOGLETRANSLATE(D81, ""en"", ""zh"")"),"D) 以上所有选项")</f>
        <v>D) 以上所有选项</v>
      </c>
      <c r="K81" s="5" t="str">
        <f>IFERROR(__xludf.DUMMYFUNCTION("GOOGLETRANSLATE(E81, ""en"", ""zh"")"),"#VALUE!")</f>
        <v>#VALUE!</v>
      </c>
    </row>
    <row r="82">
      <c r="A82" s="17">
        <v>81.0</v>
      </c>
      <c r="B82" s="18" t="s">
        <v>2430</v>
      </c>
      <c r="C82" s="18" t="s">
        <v>2431</v>
      </c>
      <c r="D82" s="18" t="s">
        <v>1299</v>
      </c>
      <c r="H82" s="5" t="str">
        <f>IFERROR(__xludf.DUMMYFUNCTION("GOOGLETRANSLATE(B82, ""en"", ""zh"")"),"太极拳练习可改善：")</f>
        <v>太极拳练习可改善：</v>
      </c>
      <c r="I82" s="5" t="str">
        <f>IFERROR(__xludf.DUMMYFUNCTION("GOOGLETRANSLATE(C82, ""en"", ""zh"")"),"A) 身心协调 B) 呼吸控制 C) 平衡 D) 以上全部")</f>
        <v>A) 身心协调 B) 呼吸控制 C) 平衡 D) 以上全部</v>
      </c>
      <c r="J82" s="5" t="str">
        <f>IFERROR(__xludf.DUMMYFUNCTION("GOOGLETRANSLATE(D82, ""en"", ""zh"")"),"D) 以上所有选项")</f>
        <v>D) 以上所有选项</v>
      </c>
      <c r="K82" s="5" t="str">
        <f>IFERROR(__xludf.DUMMYFUNCTION("GOOGLETRANSLATE(E82, ""en"", ""zh"")"),"#VALUE!")</f>
        <v>#VALUE!</v>
      </c>
    </row>
    <row r="83">
      <c r="A83" s="17">
        <v>82.0</v>
      </c>
      <c r="B83" s="18" t="s">
        <v>2432</v>
      </c>
      <c r="C83" s="18" t="s">
        <v>2433</v>
      </c>
      <c r="D83" s="18" t="s">
        <v>2328</v>
      </c>
      <c r="H83" s="5" t="str">
        <f>IFERROR(__xludf.DUMMYFUNCTION("GOOGLETRANSLATE(B83, ""en"", ""zh"")"),"太极拳的剑式被称为：")</f>
        <v>太极拳的剑式被称为：</v>
      </c>
      <c r="I83" s="5" t="str">
        <f>IFERROR(__xludf.DUMMYFUNCTION("GOOGLETRANSLATE(C83, ""en"", ""zh"")"),"A) 太极剑 B) 套路 C) 气功 D) 剑法")</f>
        <v>A) 太极剑 B) 套路 C) 气功 D) 剑法</v>
      </c>
      <c r="J83" s="5" t="str">
        <f>IFERROR(__xludf.DUMMYFUNCTION("GOOGLETRANSLATE(D83, ""en"", ""zh"")"),"A) 太极剑")</f>
        <v>A) 太极剑</v>
      </c>
      <c r="K83" s="5" t="str">
        <f>IFERROR(__xludf.DUMMYFUNCTION("GOOGLETRANSLATE(E83, ""en"", ""zh"")"),"#VALUE!")</f>
        <v>#VALUE!</v>
      </c>
    </row>
    <row r="84">
      <c r="A84" s="17">
        <v>83.0</v>
      </c>
      <c r="B84" s="18" t="s">
        <v>2434</v>
      </c>
      <c r="C84" s="18" t="s">
        <v>2435</v>
      </c>
      <c r="D84" s="18" t="s">
        <v>1299</v>
      </c>
      <c r="H84" s="5" t="str">
        <f>IFERROR(__xludf.DUMMYFUNCTION("GOOGLETRANSLATE(B84, ""en"", ""zh"")"),"太极拳的理念鼓励：")</f>
        <v>太极拳的理念鼓励：</v>
      </c>
      <c r="I84" s="5" t="str">
        <f>IFERROR(__xludf.DUMMYFUNCTION("GOOGLETRANSLATE(C84, ""en"", ""zh"")"),"A) 与自然和谐相处 B) 耐心 C) 用心行动 D) 以上所有")</f>
        <v>A) 与自然和谐相处 B) 耐心 C) 用心行动 D) 以上所有</v>
      </c>
      <c r="J84" s="5" t="str">
        <f>IFERROR(__xludf.DUMMYFUNCTION("GOOGLETRANSLATE(D84, ""en"", ""zh"")"),"D) 以上所有选项")</f>
        <v>D) 以上所有选项</v>
      </c>
      <c r="K84" s="5" t="str">
        <f>IFERROR(__xludf.DUMMYFUNCTION("GOOGLETRANSLATE(E84, ""en"", ""zh"")"),"#VALUE!")</f>
        <v>#VALUE!</v>
      </c>
    </row>
    <row r="85">
      <c r="A85" s="17">
        <v>84.0</v>
      </c>
      <c r="B85" s="18" t="s">
        <v>2436</v>
      </c>
      <c r="C85" s="18" t="s">
        <v>2437</v>
      </c>
      <c r="D85" s="18" t="s">
        <v>1299</v>
      </c>
      <c r="H85" s="5" t="str">
        <f>IFERROR(__xludf.DUMMYFUNCTION("GOOGLETRANSLATE(B85, ""en"", ""zh"")"),"太极拳促进：")</f>
        <v>太极拳促进：</v>
      </c>
      <c r="I85" s="5" t="str">
        <f>IFERROR(__xludf.DUMMYFUNCTION("GOOGLETRANSLATE(C85, ""en"", ""zh"")"),"A) 长寿 B) 思维清晰 C) 身体健康 D) 以上所有")</f>
        <v>A) 长寿 B) 思维清晰 C) 身体健康 D) 以上所有</v>
      </c>
      <c r="J85" s="5" t="str">
        <f>IFERROR(__xludf.DUMMYFUNCTION("GOOGLETRANSLATE(D85, ""en"", ""zh"")"),"D) 以上所有选项")</f>
        <v>D) 以上所有选项</v>
      </c>
      <c r="K85" s="5" t="str">
        <f>IFERROR(__xludf.DUMMYFUNCTION("GOOGLETRANSLATE(E85, ""en"", ""zh"")"),"#VALUE!")</f>
        <v>#VALUE!</v>
      </c>
    </row>
    <row r="86">
      <c r="A86" s="17">
        <v>85.0</v>
      </c>
      <c r="B86" s="18" t="s">
        <v>2438</v>
      </c>
      <c r="C86" s="18" t="s">
        <v>2439</v>
      </c>
      <c r="D86" s="18" t="s">
        <v>2440</v>
      </c>
      <c r="H86" s="5" t="str">
        <f>IFERROR(__xludf.DUMMYFUNCTION("GOOGLETRANSLATE(B86, ""en"", ""zh"")"),"太极“阳”派强调：")</f>
        <v>太极“阳”派强调：</v>
      </c>
      <c r="I86" s="5" t="str">
        <f>IFERROR(__xludf.DUMMYFUNCTION("GOOGLETRANSLATE(C86, ""en"", ""zh"")"),"A) 大幅度、缓慢、优雅的动作 B) 快速、爆发性的动作 C) 仅使用武器 D) 仅冥想")</f>
        <v>A) 大幅度、缓慢、优雅的动作 B) 快速、爆发性的动作 C) 仅使用武器 D) 仅冥想</v>
      </c>
      <c r="J86" s="5" t="str">
        <f>IFERROR(__xludf.DUMMYFUNCTION("GOOGLETRANSLATE(D86, ""en"", ""zh"")"),"A) 大幅度、缓慢、优美的动作")</f>
        <v>A) 大幅度、缓慢、优美的动作</v>
      </c>
      <c r="K86" s="5" t="str">
        <f>IFERROR(__xludf.DUMMYFUNCTION("GOOGLETRANSLATE(E86, ""en"", ""zh"")"),"#VALUE!")</f>
        <v>#VALUE!</v>
      </c>
    </row>
    <row r="87">
      <c r="A87" s="17">
        <v>86.0</v>
      </c>
      <c r="B87" s="18" t="s">
        <v>2365</v>
      </c>
      <c r="C87" s="18" t="s">
        <v>2441</v>
      </c>
      <c r="D87" s="18" t="s">
        <v>2442</v>
      </c>
      <c r="H87" s="5" t="str">
        <f>IFERROR(__xludf.DUMMYFUNCTION("GOOGLETRANSLATE(B87, ""en"", ""zh"")"),"吴式太极拳的特点是：")</f>
        <v>吴式太极拳的特点是：</v>
      </c>
      <c r="I87" s="5" t="str">
        <f>IFERROR(__xludf.DUMMYFUNCTION("GOOGLETRANSLATE(C87, ""en"", ""zh"")"),"A) 紧凑的动作 B) 高跳 C) 长踢 D) 杂技")</f>
        <v>A) 紧凑的动作 B) 高跳 C) 长踢 D) 杂技</v>
      </c>
      <c r="J87" s="5" t="str">
        <f>IFERROR(__xludf.DUMMYFUNCTION("GOOGLETRANSLATE(D87, ""en"", ""zh"")"),"A) 紧凑型运动")</f>
        <v>A) 紧凑型运动</v>
      </c>
      <c r="K87" s="5" t="str">
        <f>IFERROR(__xludf.DUMMYFUNCTION("GOOGLETRANSLATE(E87, ""en"", ""zh"")"),"#VALUE!")</f>
        <v>#VALUE!</v>
      </c>
    </row>
    <row r="88">
      <c r="A88" s="17">
        <v>87.0</v>
      </c>
      <c r="B88" s="18" t="s">
        <v>2443</v>
      </c>
      <c r="C88" s="18" t="s">
        <v>2444</v>
      </c>
      <c r="D88" s="18" t="s">
        <v>2445</v>
      </c>
      <c r="H88" s="5" t="str">
        <f>IFERROR(__xludf.DUMMYFUNCTION("GOOGLETRANSLATE(B88, ""en"", ""zh"")"),"孙氏太极拳融合了哪些武术元素？")</f>
        <v>孙氏太极拳融合了哪些武术元素？</v>
      </c>
      <c r="I88" s="5" t="str">
        <f>IFERROR(__xludf.DUMMYFUNCTION("GOOGLETRANSLATE(C88, ""en"", ""zh"")"),"A) 形意拳和八卦掌 B) 仅少林拳 C) 仅武当拳 D) 仅太极拳")</f>
        <v>A) 形意拳和八卦掌 B) 仅少林拳 C) 仅武当拳 D) 仅太极拳</v>
      </c>
      <c r="J88" s="5" t="str">
        <f>IFERROR(__xludf.DUMMYFUNCTION("GOOGLETRANSLATE(D88, ""en"", ""zh"")"),"A) 形意拳和八卦掌")</f>
        <v>A) 形意拳和八卦掌</v>
      </c>
      <c r="K88" s="5" t="str">
        <f>IFERROR(__xludf.DUMMYFUNCTION("GOOGLETRANSLATE(E88, ""en"", ""zh"")"),"#VALUE!")</f>
        <v>#VALUE!</v>
      </c>
    </row>
    <row r="89">
      <c r="A89" s="17">
        <v>88.0</v>
      </c>
      <c r="B89" s="18" t="s">
        <v>2446</v>
      </c>
      <c r="C89" s="18" t="s">
        <v>2447</v>
      </c>
      <c r="D89" s="18" t="s">
        <v>2448</v>
      </c>
      <c r="H89" s="5" t="str">
        <f>IFERROR(__xludf.DUMMYFUNCTION("GOOGLETRANSLATE(B89, ""en"", ""zh"")"),"太极拳“推手”的练习方式如下：")</f>
        <v>太极拳“推手”的练习方式如下：</v>
      </c>
      <c r="I89" s="5" t="str">
        <f>IFERROR(__xludf.DUMMYFUNCTION("GOOGLETRANSLATE(C89, ""en"", ""zh"")"),"A) 双人 B) 单人 C) 仅限团体 D) 仅限使用武器")</f>
        <v>A) 双人 B) 单人 C) 仅限团体 D) 仅限使用武器</v>
      </c>
      <c r="J89" s="5" t="str">
        <f>IFERROR(__xludf.DUMMYFUNCTION("GOOGLETRANSLATE(D89, ""en"", ""zh"")"),"A) 成对")</f>
        <v>A) 成对</v>
      </c>
      <c r="K89" s="5" t="str">
        <f>IFERROR(__xludf.DUMMYFUNCTION("GOOGLETRANSLATE(E89, ""en"", ""zh"")"),"#VALUE!")</f>
        <v>#VALUE!</v>
      </c>
    </row>
    <row r="90">
      <c r="A90" s="17">
        <v>89.0</v>
      </c>
      <c r="B90" s="18" t="s">
        <v>2317</v>
      </c>
      <c r="C90" s="18" t="s">
        <v>2449</v>
      </c>
      <c r="D90" s="18" t="s">
        <v>2450</v>
      </c>
      <c r="H90" s="5" t="str">
        <f>IFERROR(__xludf.DUMMYFUNCTION("GOOGLETRANSLATE(B90, ""en"", ""zh"")"),"太极拳动作强调：")</f>
        <v>太极拳动作强调：</v>
      </c>
      <c r="I90" s="5" t="str">
        <f>IFERROR(__xludf.DUMMYFUNCTION("GOOGLETRANSLATE(C90, ""en"", ""zh"")"),"A) 连续流动 B) 突然爆发 C) 爆发式跳跃 D) 静态姿势")</f>
        <v>A) 连续流动 B) 突然爆发 C) 爆发式跳跃 D) 静态姿势</v>
      </c>
      <c r="J90" s="5" t="str">
        <f>IFERROR(__xludf.DUMMYFUNCTION("GOOGLETRANSLATE(D90, ""en"", ""zh"")"),"A) 连续流")</f>
        <v>A) 连续流</v>
      </c>
      <c r="K90" s="5" t="str">
        <f>IFERROR(__xludf.DUMMYFUNCTION("GOOGLETRANSLATE(E90, ""en"", ""zh"")"),"#VALUE!")</f>
        <v>#VALUE!</v>
      </c>
    </row>
    <row r="91">
      <c r="A91" s="17">
        <v>90.0</v>
      </c>
      <c r="B91" s="18" t="s">
        <v>2451</v>
      </c>
      <c r="C91" s="18" t="s">
        <v>2452</v>
      </c>
      <c r="D91" s="18" t="s">
        <v>2453</v>
      </c>
      <c r="H91" s="5" t="str">
        <f>IFERROR(__xludf.DUMMYFUNCTION("GOOGLETRANSLATE(B91, ""en"", ""zh"")"),"太极拳在西方的普及得益于：")</f>
        <v>太极拳在西方的普及得益于：</v>
      </c>
      <c r="I91" s="5" t="str">
        <f>IFERROR(__xludf.DUMMYFUNCTION("GOOGLETRANSLATE(C91, ""en"", ""zh"")"),"A) 中国移民 B) 功夫电影 C) 奥运会表演 D) 网络视频")</f>
        <v>A) 中国移民 B) 功夫电影 C) 奥运会表演 D) 网络视频</v>
      </c>
      <c r="J91" s="5" t="str">
        <f>IFERROR(__xludf.DUMMYFUNCTION("GOOGLETRANSLATE(D91, ""en"", ""zh"")"),"A) 中国移民")</f>
        <v>A) 中国移民</v>
      </c>
      <c r="K91" s="5" t="str">
        <f>IFERROR(__xludf.DUMMYFUNCTION("GOOGLETRANSLATE(E91, ""en"", ""zh"")"),"#VALUE!")</f>
        <v>#VALUE!</v>
      </c>
    </row>
    <row r="92">
      <c r="A92" s="17">
        <v>91.0</v>
      </c>
      <c r="B92" s="18" t="s">
        <v>2454</v>
      </c>
      <c r="C92" s="18" t="s">
        <v>2455</v>
      </c>
      <c r="D92" s="18" t="s">
        <v>2456</v>
      </c>
      <c r="H92" s="5" t="str">
        <f>IFERROR(__xludf.DUMMYFUNCTION("GOOGLETRANSLATE(B92, ""en"", ""zh"")"),"太极拳“陈式”包括：")</f>
        <v>太极拳“陈式”包括：</v>
      </c>
      <c r="I92" s="5" t="str">
        <f>IFERROR(__xludf.DUMMYFUNCTION("GOOGLETRANSLATE(C92, ""en"", ""zh"")"),"A) 慢速和快速动作交替进行 B) 仅慢速动作 C) 仅武器练习 D) 仅冥想")</f>
        <v>A) 慢速和快速动作交替进行 B) 仅慢速动作 C) 仅武器练习 D) 仅冥想</v>
      </c>
      <c r="J92" s="5" t="str">
        <f>IFERROR(__xludf.DUMMYFUNCTION("GOOGLETRANSLATE(D92, ""en"", ""zh"")"),"A) 慢速和快速交替运动")</f>
        <v>A) 慢速和快速交替运动</v>
      </c>
      <c r="K92" s="5" t="str">
        <f>IFERROR(__xludf.DUMMYFUNCTION("GOOGLETRANSLATE(E92, ""en"", ""zh"")"),"#VALUE!")</f>
        <v>#VALUE!</v>
      </c>
    </row>
    <row r="93">
      <c r="A93" s="17">
        <v>92.0</v>
      </c>
      <c r="B93" s="18" t="s">
        <v>2457</v>
      </c>
      <c r="C93" s="18" t="s">
        <v>2458</v>
      </c>
      <c r="D93" s="18" t="s">
        <v>2459</v>
      </c>
      <c r="H93" s="5" t="str">
        <f>IFERROR(__xludf.DUMMYFUNCTION("GOOGLETRANSLATE(B93, ""en"", ""zh"")"),"太极拳“吴式”起源于哪个省份？")</f>
        <v>太极拳“吴式”起源于哪个省份？</v>
      </c>
      <c r="I93" s="5" t="str">
        <f>IFERROR(__xludf.DUMMYFUNCTION("GOOGLETRANSLATE(C93, ""en"", ""zh"")"),"A) 河北 B) 河南 C) 广东 D) 福建")</f>
        <v>A) 河北 B) 河南 C) 广东 D) 福建</v>
      </c>
      <c r="J93" s="5" t="str">
        <f>IFERROR(__xludf.DUMMYFUNCTION("GOOGLETRANSLATE(D93, ""en"", ""zh"")"),"A)河北")</f>
        <v>A)河北</v>
      </c>
      <c r="K93" s="5" t="str">
        <f>IFERROR(__xludf.DUMMYFUNCTION("GOOGLETRANSLATE(E93, ""en"", ""zh"")"),"#VALUE!")</f>
        <v>#VALUE!</v>
      </c>
    </row>
    <row r="94">
      <c r="A94" s="17">
        <v>93.0</v>
      </c>
      <c r="B94" s="18" t="s">
        <v>2342</v>
      </c>
      <c r="C94" s="18" t="s">
        <v>2343</v>
      </c>
      <c r="D94" s="18" t="s">
        <v>2460</v>
      </c>
      <c r="H94" s="5" t="str">
        <f>IFERROR(__xludf.DUMMYFUNCTION("GOOGLETRANSLATE(B94, ""en"", ""zh"")"),"太极拳套路也称为：")</f>
        <v>太极拳套路也称为：</v>
      </c>
      <c r="I94" s="5" t="str">
        <f>IFERROR(__xludf.DUMMYFUNCTION("GOOGLETRANSLATE(C94, ""en"", ""zh"")"),"A) 套路 B) 型 C) 套路 D) 练习")</f>
        <v>A) 套路 B) 型 C) 套路 D) 练习</v>
      </c>
      <c r="J94" s="5" t="str">
        <f>IFERROR(__xludf.DUMMYFUNCTION("GOOGLETRANSLATE(D94, ""en"", ""zh"")"),"C) 套路")</f>
        <v>C) 套路</v>
      </c>
      <c r="K94" s="5" t="str">
        <f>IFERROR(__xludf.DUMMYFUNCTION("GOOGLETRANSLATE(E94, ""en"", ""zh"")"),"#VALUE!")</f>
        <v>#VALUE!</v>
      </c>
    </row>
    <row r="95">
      <c r="A95" s="17">
        <v>94.0</v>
      </c>
      <c r="B95" s="18" t="s">
        <v>2461</v>
      </c>
      <c r="C95" s="18" t="s">
        <v>2462</v>
      </c>
      <c r="D95" s="18" t="s">
        <v>2463</v>
      </c>
      <c r="H95" s="5" t="str">
        <f>IFERROR(__xludf.DUMMYFUNCTION("GOOGLETRANSLATE(B95, ""en"", ""zh"")"),"太极拳强调的是哪种内力概念？")</f>
        <v>太极拳强调的是哪种内力概念？</v>
      </c>
      <c r="I95" s="5" t="str">
        <f>IFERROR(__xludf.DUMMYFUNCTION("GOOGLETRANSLATE(C95, ""en"", ""zh"")"),"A) 气 B) 普拉纳 C) 气 D) 气")</f>
        <v>A) 气 B) 普拉纳 C) 气 D) 气</v>
      </c>
      <c r="J95" s="5" t="str">
        <f>IFERROR(__xludf.DUMMYFUNCTION("GOOGLETRANSLATE(D95, ""en"", ""zh"")"),"A) 气")</f>
        <v>A) 气</v>
      </c>
      <c r="K95" s="5" t="str">
        <f>IFERROR(__xludf.DUMMYFUNCTION("GOOGLETRANSLATE(E95, ""en"", ""zh"")"),"#VALUE!")</f>
        <v>#VALUE!</v>
      </c>
    </row>
    <row r="96">
      <c r="A96" s="17">
        <v>95.0</v>
      </c>
      <c r="B96" s="18" t="s">
        <v>2419</v>
      </c>
      <c r="C96" s="18" t="s">
        <v>2464</v>
      </c>
      <c r="D96" s="18" t="s">
        <v>1991</v>
      </c>
      <c r="H96" s="5" t="str">
        <f>IFERROR(__xludf.DUMMYFUNCTION("GOOGLETRANSLATE(B96, ""en"", ""zh"")"),"太极拳动作常模仿：")</f>
        <v>太极拳动作常模仿：</v>
      </c>
      <c r="I96" s="5" t="str">
        <f>IFERROR(__xludf.DUMMYFUNCTION("GOOGLETRANSLATE(C96, ""en"", ""zh"")"),"A) 动物 B) 自然 C) 人类 D) A 和 B 都是")</f>
        <v>A) 动物 B) 自然 C) 人类 D) A 和 B 都是</v>
      </c>
      <c r="J96" s="5" t="str">
        <f>IFERROR(__xludf.DUMMYFUNCTION("GOOGLETRANSLATE(D96, ""en"", ""zh"")"),"D) A 和 B 都对")</f>
        <v>D) A 和 B 都对</v>
      </c>
      <c r="K96" s="5" t="str">
        <f>IFERROR(__xludf.DUMMYFUNCTION("GOOGLETRANSLATE(E96, ""en"", ""zh"")"),"#VALUE!")</f>
        <v>#VALUE!</v>
      </c>
    </row>
    <row r="97">
      <c r="A97" s="17">
        <v>96.0</v>
      </c>
      <c r="B97" s="18" t="s">
        <v>2399</v>
      </c>
      <c r="C97" s="18" t="s">
        <v>2400</v>
      </c>
      <c r="D97" s="18" t="s">
        <v>1299</v>
      </c>
      <c r="H97" s="5" t="str">
        <f>IFERROR(__xludf.DUMMYFUNCTION("GOOGLETRANSLATE(B97, ""en"", ""zh"")"),"太极拳有助于预防：")</f>
        <v>太极拳有助于预防：</v>
      </c>
      <c r="I97" s="5" t="str">
        <f>IFERROR(__xludf.DUMMYFUNCTION("GOOGLETRANSLATE(C97, ""en"", ""zh"")"),"A) 老年人跌倒 B) 心血管问题 C) 压力 D) 以上所有选项")</f>
        <v>A) 老年人跌倒 B) 心血管问题 C) 压力 D) 以上所有选项</v>
      </c>
      <c r="J97" s="5" t="str">
        <f>IFERROR(__xludf.DUMMYFUNCTION("GOOGLETRANSLATE(D97, ""en"", ""zh"")"),"D) 以上所有选项")</f>
        <v>D) 以上所有选项</v>
      </c>
      <c r="K97" s="5" t="str">
        <f>IFERROR(__xludf.DUMMYFUNCTION("GOOGLETRANSLATE(E97, ""en"", ""zh"")"),"#VALUE!")</f>
        <v>#VALUE!</v>
      </c>
    </row>
    <row r="98">
      <c r="A98" s="17">
        <v>97.0</v>
      </c>
      <c r="B98" s="18" t="s">
        <v>2377</v>
      </c>
      <c r="C98" s="18" t="s">
        <v>2465</v>
      </c>
      <c r="D98" s="18" t="s">
        <v>1299</v>
      </c>
      <c r="H98" s="5" t="str">
        <f>IFERROR(__xludf.DUMMYFUNCTION("GOOGLETRANSLATE(B98, ""en"", ""zh"")"),"太极拳套路可以这样练习：")</f>
        <v>太极拳套路可以这样练习：</v>
      </c>
      <c r="I98" s="5" t="str">
        <f>IFERROR(__xludf.DUMMYFUNCTION("GOOGLETRANSLATE(C98, ""en"", ""zh"")"),"A) 个人 B) 双人 C) 小组 D) 以上全部")</f>
        <v>A) 个人 B) 双人 C) 小组 D) 以上全部</v>
      </c>
      <c r="J98" s="5" t="str">
        <f>IFERROR(__xludf.DUMMYFUNCTION("GOOGLETRANSLATE(D98, ""en"", ""zh"")"),"D) 以上所有选项")</f>
        <v>D) 以上所有选项</v>
      </c>
      <c r="K98" s="5" t="str">
        <f>IFERROR(__xludf.DUMMYFUNCTION("GOOGLETRANSLATE(E98, ""en"", ""zh"")"),"#VALUE!")</f>
        <v>#VALUE!</v>
      </c>
    </row>
    <row r="99">
      <c r="A99" s="17">
        <v>98.0</v>
      </c>
      <c r="B99" s="18" t="s">
        <v>2466</v>
      </c>
      <c r="C99" s="18" t="s">
        <v>2467</v>
      </c>
      <c r="D99" s="18" t="s">
        <v>2468</v>
      </c>
      <c r="H99" s="5" t="str">
        <f>IFERROR(__xludf.DUMMYFUNCTION("GOOGLETRANSLATE(B99, ""en"", ""zh"")"),"太极拳的“一”是指：")</f>
        <v>太极拳的“一”是指：</v>
      </c>
      <c r="I99" s="5" t="str">
        <f>IFERROR(__xludf.DUMMYFUNCTION("GOOGLETRANSLATE(C99, ""en"", ""zh"")"),"A) 意念 B) 体能 C) 高踢腿 D) 杂技")</f>
        <v>A) 意念 B) 体能 C) 高踢腿 D) 杂技</v>
      </c>
      <c r="J99" s="5" t="str">
        <f>IFERROR(__xludf.DUMMYFUNCTION("GOOGLETRANSLATE(D99, ""en"", ""zh"")"),"A) 意念")</f>
        <v>A) 意念</v>
      </c>
      <c r="K99" s="5" t="str">
        <f>IFERROR(__xludf.DUMMYFUNCTION("GOOGLETRANSLATE(E99, ""en"", ""zh"")"),"#VALUE!")</f>
        <v>#VALUE!</v>
      </c>
    </row>
    <row r="100">
      <c r="A100" s="17">
        <v>99.0</v>
      </c>
      <c r="B100" s="18" t="s">
        <v>2326</v>
      </c>
      <c r="C100" s="18" t="s">
        <v>2433</v>
      </c>
      <c r="D100" s="18" t="s">
        <v>2328</v>
      </c>
      <c r="H100" s="5" t="str">
        <f>IFERROR(__xludf.DUMMYFUNCTION("GOOGLETRANSLATE(B100, ""en"", ""zh"")"),"太极剑术练习被称为：")</f>
        <v>太极剑术练习被称为：</v>
      </c>
      <c r="I100" s="5" t="str">
        <f>IFERROR(__xludf.DUMMYFUNCTION("GOOGLETRANSLATE(C100, ""en"", ""zh"")"),"A) 太极剑 B) 套路 C) 气功 D) 剑法")</f>
        <v>A) 太极剑 B) 套路 C) 气功 D) 剑法</v>
      </c>
      <c r="J100" s="5" t="str">
        <f>IFERROR(__xludf.DUMMYFUNCTION("GOOGLETRANSLATE(D100, ""en"", ""zh"")"),"A) 太极剑")</f>
        <v>A) 太极剑</v>
      </c>
      <c r="K100" s="5" t="str">
        <f>IFERROR(__xludf.DUMMYFUNCTION("GOOGLETRANSLATE(E100, ""en"", ""zh"")"),"#VALUE!")</f>
        <v>#VALUE!</v>
      </c>
    </row>
    <row r="101">
      <c r="A101" s="17">
        <v>100.0</v>
      </c>
      <c r="B101" s="18" t="s">
        <v>2469</v>
      </c>
      <c r="C101" s="18" t="s">
        <v>2346</v>
      </c>
      <c r="D101" s="18" t="s">
        <v>1299</v>
      </c>
      <c r="H101" s="5" t="str">
        <f>IFERROR(__xludf.DUMMYFUNCTION("GOOGLETRANSLATE(B101, ""en"", ""zh"")"),"太极拳手部技巧包括：")</f>
        <v>太极拳手部技巧包括：</v>
      </c>
      <c r="I101" s="5" t="str">
        <f>IFERROR(__xludf.DUMMYFUNCTION("GOOGLETRANSLATE(C101, ""en"", ""zh"")"),"A) 张开的手掌 B) 握紧的手掌 C) 掌击 D) 以上全部")</f>
        <v>A) 张开的手掌 B) 握紧的手掌 C) 掌击 D) 以上全部</v>
      </c>
      <c r="J101" s="5" t="str">
        <f>IFERROR(__xludf.DUMMYFUNCTION("GOOGLETRANSLATE(D101, ""en"", ""zh"")"),"D) 以上所有选项")</f>
        <v>D) 以上所有选项</v>
      </c>
      <c r="K101" s="5" t="str">
        <f>IFERROR(__xludf.DUMMYFUNCTION("GOOGLETRANSLATE(E101, ""en"", ""zh"")"),"#VALUE!")</f>
        <v>#VALUE!</v>
      </c>
    </row>
    <row r="102">
      <c r="A102" s="17">
        <v>101.0</v>
      </c>
      <c r="B102" s="18" t="s">
        <v>2436</v>
      </c>
      <c r="C102" s="18" t="s">
        <v>2470</v>
      </c>
      <c r="D102" s="18" t="s">
        <v>1299</v>
      </c>
      <c r="H102" s="5" t="str">
        <f>IFERROR(__xludf.DUMMYFUNCTION("GOOGLETRANSLATE(B102, ""en"", ""zh"")"),"太极拳促进：")</f>
        <v>太极拳促进：</v>
      </c>
      <c r="I102" s="5" t="str">
        <f>IFERROR(__xludf.DUMMYFUNCTION("GOOGLETRANSLATE(C102, ""en"", ""zh"")"),"A) 健康 B) 冥想 C) 自卫 D) 以上全部")</f>
        <v>A) 健康 B) 冥想 C) 自卫 D) 以上全部</v>
      </c>
      <c r="J102" s="5" t="str">
        <f>IFERROR(__xludf.DUMMYFUNCTION("GOOGLETRANSLATE(D102, ""en"", ""zh"")"),"D) 以上所有选项")</f>
        <v>D) 以上所有选项</v>
      </c>
      <c r="K102" s="5" t="str">
        <f>IFERROR(__xludf.DUMMYFUNCTION("GOOGLETRANSLATE(E102, ""en"", ""zh"")"),"#VALUE!")</f>
        <v>#VALUE!</v>
      </c>
    </row>
    <row r="103">
      <c r="A103" s="17">
        <v>102.0</v>
      </c>
      <c r="B103" s="18" t="s">
        <v>2471</v>
      </c>
      <c r="C103" s="18" t="s">
        <v>2398</v>
      </c>
      <c r="D103" s="18" t="s">
        <v>1299</v>
      </c>
      <c r="H103" s="5" t="str">
        <f>IFERROR(__xludf.DUMMYFUNCTION("GOOGLETRANSLATE(B103, ""en"", ""zh"")"),"太极拳的哲学强调：")</f>
        <v>太极拳的哲学强调：</v>
      </c>
      <c r="I103" s="5" t="str">
        <f>IFERROR(__xludf.DUMMYFUNCTION("GOOGLETRANSLATE(C103, ""en"", ""zh"")"),"A) 阴阳平衡 B) 无为 C) 与自然和谐 D) 以上全部")</f>
        <v>A) 阴阳平衡 B) 无为 C) 与自然和谐 D) 以上全部</v>
      </c>
      <c r="J103" s="5" t="str">
        <f>IFERROR(__xludf.DUMMYFUNCTION("GOOGLETRANSLATE(D103, ""en"", ""zh"")"),"D) 以上所有选项")</f>
        <v>D) 以上所有选项</v>
      </c>
      <c r="K103" s="5" t="str">
        <f>IFERROR(__xludf.DUMMYFUNCTION("GOOGLETRANSLATE(E103, ""en"", ""zh"")"),"#VALUE!")</f>
        <v>#VALUE!</v>
      </c>
    </row>
    <row r="104">
      <c r="A104" s="17">
        <v>103.0</v>
      </c>
      <c r="B104" s="18" t="s">
        <v>2472</v>
      </c>
      <c r="C104" s="18" t="s">
        <v>2425</v>
      </c>
      <c r="D104" s="18" t="s">
        <v>1299</v>
      </c>
      <c r="H104" s="5" t="str">
        <f>IFERROR(__xludf.DUMMYFUNCTION("GOOGLETRANSLATE(B104, ""en"", ""zh"")"),"太极拳最初起源于：")</f>
        <v>太极拳最初起源于：</v>
      </c>
      <c r="I104" s="5" t="str">
        <f>IFERROR(__xludf.DUMMYFUNCTION("GOOGLETRANSLATE(C104, ""en"", ""zh"")"),"A) 防御 B) 健康 C) 精神修炼 D) 以上全部")</f>
        <v>A) 防御 B) 健康 C) 精神修炼 D) 以上全部</v>
      </c>
      <c r="J104" s="5" t="str">
        <f>IFERROR(__xludf.DUMMYFUNCTION("GOOGLETRANSLATE(D104, ""en"", ""zh"")"),"D) 以上所有选项")</f>
        <v>D) 以上所有选项</v>
      </c>
      <c r="K104" s="5" t="str">
        <f>IFERROR(__xludf.DUMMYFUNCTION("GOOGLETRANSLATE(E104, ""en"", ""zh"")"),"#VALUE!")</f>
        <v>#VALUE!</v>
      </c>
    </row>
    <row r="105">
      <c r="A105" s="17">
        <v>104.0</v>
      </c>
      <c r="B105" s="18" t="s">
        <v>2473</v>
      </c>
      <c r="C105" s="18" t="s">
        <v>2429</v>
      </c>
      <c r="D105" s="18" t="s">
        <v>1299</v>
      </c>
      <c r="H105" s="5" t="str">
        <f>IFERROR(__xludf.DUMMYFUNCTION("GOOGLETRANSLATE(B105, ""en"", ""zh"")"),"太极拳受到以下因素的影响：")</f>
        <v>太极拳受到以下因素的影响：</v>
      </c>
      <c r="I105" s="5" t="str">
        <f>IFERROR(__xludf.DUMMYFUNCTION("GOOGLETRANSLATE(C105, ""en"", ""zh"")"),"A) 道家哲学 B) 儒家伦理 C) 中医 D) 以上全部")</f>
        <v>A) 道家哲学 B) 儒家伦理 C) 中医 D) 以上全部</v>
      </c>
      <c r="J105" s="5" t="str">
        <f>IFERROR(__xludf.DUMMYFUNCTION("GOOGLETRANSLATE(D105, ""en"", ""zh"")"),"D) 以上所有选项")</f>
        <v>D) 以上所有选项</v>
      </c>
      <c r="K105" s="5" t="str">
        <f>IFERROR(__xludf.DUMMYFUNCTION("GOOGLETRANSLATE(E105, ""en"", ""zh"")"),"#VALUE!")</f>
        <v>#VALUE!</v>
      </c>
    </row>
    <row r="106">
      <c r="A106" s="17">
        <v>105.0</v>
      </c>
      <c r="B106" s="18" t="s">
        <v>2474</v>
      </c>
      <c r="C106" s="18" t="s">
        <v>2475</v>
      </c>
      <c r="D106" s="18" t="s">
        <v>1299</v>
      </c>
      <c r="H106" s="5" t="str">
        <f>IFERROR(__xludf.DUMMYFUNCTION("GOOGLETRANSLATE(B106, ""en"", ""zh"")"),"太极拳的益处：")</f>
        <v>太极拳的益处：</v>
      </c>
      <c r="I106" s="5" t="str">
        <f>IFERROR(__xludf.DUMMYFUNCTION("GOOGLETRANSLATE(C106, ""en"", ""zh"")"),"A) 平衡能力 B) 协调能力 C) 精神集中力 D) 以上全部")</f>
        <v>A) 平衡能力 B) 协调能力 C) 精神集中力 D) 以上全部</v>
      </c>
      <c r="J106" s="5" t="str">
        <f>IFERROR(__xludf.DUMMYFUNCTION("GOOGLETRANSLATE(D106, ""en"", ""zh"")"),"D) 以上所有选项")</f>
        <v>D) 以上所有选项</v>
      </c>
      <c r="K106" s="5" t="str">
        <f>IFERROR(__xludf.DUMMYFUNCTION("GOOGLETRANSLATE(E106, ""en"", ""zh"")"),"#VALUE!")</f>
        <v>#VALUE!</v>
      </c>
    </row>
    <row r="107">
      <c r="A107" s="17">
        <v>106.0</v>
      </c>
      <c r="B107" s="18" t="s">
        <v>2476</v>
      </c>
      <c r="C107" s="18" t="s">
        <v>2402</v>
      </c>
      <c r="D107" s="18" t="s">
        <v>1299</v>
      </c>
      <c r="H107" s="5" t="str">
        <f>IFERROR(__xludf.DUMMYFUNCTION("GOOGLETRANSLATE(B107, ""en"", ""zh"")"),"太极拳可以包括哪些武器？")</f>
        <v>太极拳可以包括哪些武器？</v>
      </c>
      <c r="I107" s="5" t="str">
        <f>IFERROR(__xludf.DUMMYFUNCTION("GOOGLETRANSLATE(C107, ""en"", ""zh"")"),"A) 剑 B) 矛 C) 扇子 D) 以上全部")</f>
        <v>A) 剑 B) 矛 C) 扇子 D) 以上全部</v>
      </c>
      <c r="J107" s="5" t="str">
        <f>IFERROR(__xludf.DUMMYFUNCTION("GOOGLETRANSLATE(D107, ""en"", ""zh"")"),"D) 以上所有选项")</f>
        <v>D) 以上所有选项</v>
      </c>
      <c r="K107" s="5" t="str">
        <f>IFERROR(__xludf.DUMMYFUNCTION("GOOGLETRANSLATE(E107, ""en"", ""zh"")"),"#VALUE!")</f>
        <v>#VALUE!</v>
      </c>
    </row>
    <row r="108">
      <c r="A108" s="17">
        <v>107.0</v>
      </c>
      <c r="B108" s="18" t="s">
        <v>2436</v>
      </c>
      <c r="C108" s="18" t="s">
        <v>2437</v>
      </c>
      <c r="D108" s="18" t="s">
        <v>1299</v>
      </c>
      <c r="H108" s="5" t="str">
        <f>IFERROR(__xludf.DUMMYFUNCTION("GOOGLETRANSLATE(B108, ""en"", ""zh"")"),"太极拳促进：")</f>
        <v>太极拳促进：</v>
      </c>
      <c r="I108" s="5" t="str">
        <f>IFERROR(__xludf.DUMMYFUNCTION("GOOGLETRANSLATE(C108, ""en"", ""zh"")"),"A) 长寿 B) 思维清晰 C) 身体健康 D) 以上所有")</f>
        <v>A) 长寿 B) 思维清晰 C) 身体健康 D) 以上所有</v>
      </c>
      <c r="J108" s="5" t="str">
        <f>IFERROR(__xludf.DUMMYFUNCTION("GOOGLETRANSLATE(D108, ""en"", ""zh"")"),"D) 以上所有选项")</f>
        <v>D) 以上所有选项</v>
      </c>
      <c r="K108" s="5" t="str">
        <f>IFERROR(__xludf.DUMMYFUNCTION("GOOGLETRANSLATE(E108, ""en"", ""zh"")"),"#VALUE!")</f>
        <v>#VALUE!</v>
      </c>
    </row>
    <row r="109">
      <c r="A109" s="17">
        <v>108.0</v>
      </c>
      <c r="B109" s="18" t="s">
        <v>2477</v>
      </c>
      <c r="C109" s="18" t="s">
        <v>2478</v>
      </c>
      <c r="D109" s="18" t="s">
        <v>2479</v>
      </c>
      <c r="H109" s="5" t="str">
        <f>IFERROR(__xludf.DUMMYFUNCTION("GOOGLETRANSLATE(B109, ""en"", ""zh"")"),"太极拳套路可分为以下几类：")</f>
        <v>太极拳套路可分为以下几类：</v>
      </c>
      <c r="I109" s="5" t="str">
        <f>IFERROR(__xludf.DUMMYFUNCTION("GOOGLETRANSLATE(C109, ""en"", ""zh"")"),"A) 内家拳 B) 外家拳 C) 舞蹈 D) 仅限体育")</f>
        <v>A) 内家拳 B) 外家拳 C) 舞蹈 D) 仅限体育</v>
      </c>
      <c r="J109" s="5" t="str">
        <f>IFERROR(__xludf.DUMMYFUNCTION("GOOGLETRANSLATE(D109, ""en"", ""zh"")"),"A) 内家拳")</f>
        <v>A) 内家拳</v>
      </c>
      <c r="K109" s="5" t="str">
        <f>IFERROR(__xludf.DUMMYFUNCTION("GOOGLETRANSLATE(E109, ""en"", ""zh"")"),"#VALUE!")</f>
        <v>#VALUE!</v>
      </c>
    </row>
    <row r="110">
      <c r="A110" s="17">
        <v>109.0</v>
      </c>
      <c r="B110" s="18" t="s">
        <v>2480</v>
      </c>
      <c r="C110" s="18" t="s">
        <v>2481</v>
      </c>
      <c r="D110" s="18" t="s">
        <v>1299</v>
      </c>
      <c r="H110" s="5" t="str">
        <f>IFERROR(__xludf.DUMMYFUNCTION("GOOGLETRANSLATE(B110, ""en"", ""zh"")"),"太极拳缓慢的动作有助于：")</f>
        <v>太极拳缓慢的动作有助于：</v>
      </c>
      <c r="I110" s="5" t="str">
        <f>IFERROR(__xludf.DUMMYFUNCTION("GOOGLETRANSLATE(C110, ""en"", ""zh"")"),"A) 促进气血运行 B) 改善平衡 C) 减轻压力 D) 以上全部")</f>
        <v>A) 促进气血运行 B) 改善平衡 C) 减轻压力 D) 以上全部</v>
      </c>
      <c r="J110" s="5" t="str">
        <f>IFERROR(__xludf.DUMMYFUNCTION("GOOGLETRANSLATE(D110, ""en"", ""zh"")"),"D) 以上所有选项")</f>
        <v>D) 以上所有选项</v>
      </c>
      <c r="K110" s="5" t="str">
        <f>IFERROR(__xludf.DUMMYFUNCTION("GOOGLETRANSLATE(E110, ""en"", ""zh"")"),"#VALUE!")</f>
        <v>#VALUE!</v>
      </c>
    </row>
    <row r="111">
      <c r="A111" s="17">
        <v>110.0</v>
      </c>
      <c r="B111" s="18" t="s">
        <v>2482</v>
      </c>
      <c r="C111" s="18" t="s">
        <v>2410</v>
      </c>
      <c r="D111" s="18" t="s">
        <v>1299</v>
      </c>
      <c r="H111" s="5" t="str">
        <f>IFERROR(__xludf.DUMMYFUNCTION("GOOGLETRANSLATE(B111, ""en"", ""zh"")"),"太极拳哲学提倡：")</f>
        <v>太极拳哲学提倡：</v>
      </c>
      <c r="I111" s="5" t="str">
        <f>IFERROR(__xludf.DUMMYFUNCTION("GOOGLETRANSLATE(C111, ""en"", ""zh"")"),"A) 放松 B) 耐心 C) 正念 D) 以上全部")</f>
        <v>A) 放松 B) 耐心 C) 正念 D) 以上全部</v>
      </c>
      <c r="J111" s="5" t="str">
        <f>IFERROR(__xludf.DUMMYFUNCTION("GOOGLETRANSLATE(D111, ""en"", ""zh"")"),"D) 以上所有选项")</f>
        <v>D) 以上所有选项</v>
      </c>
      <c r="K111" s="5" t="str">
        <f>IFERROR(__xludf.DUMMYFUNCTION("GOOGLETRANSLATE(E111, ""en"", ""zh"")"),"#VALUE!")</f>
        <v>#VALUE!</v>
      </c>
    </row>
    <row r="112">
      <c r="A112" s="17">
        <v>111.0</v>
      </c>
      <c r="B112" s="18" t="s">
        <v>2483</v>
      </c>
      <c r="C112" s="18" t="s">
        <v>2360</v>
      </c>
      <c r="D112" s="18" t="s">
        <v>2361</v>
      </c>
      <c r="H112" s="5" t="str">
        <f>IFERROR(__xludf.DUMMYFUNCTION("GOOGLETRANSLATE(B112, ""en"", ""zh"")"),"太极拳“陈式”创始人：")</f>
        <v>太极拳“陈式”创始人：</v>
      </c>
      <c r="I112" s="5" t="str">
        <f>IFERROR(__xludf.DUMMYFUNCTION("GOOGLETRANSLATE(C112, ""en"", ""zh"")"),"A) 陈望庭 B) 杨露禅 C) 吴玉祥 D) 孙禄堂")</f>
        <v>A) 陈望庭 B) 杨露禅 C) 吴玉祥 D) 孙禄堂</v>
      </c>
      <c r="J112" s="5" t="str">
        <f>IFERROR(__xludf.DUMMYFUNCTION("GOOGLETRANSLATE(D112, ""en"", ""zh"")"),"A) 陈望亭")</f>
        <v>A) 陈望亭</v>
      </c>
      <c r="K112" s="5" t="str">
        <f>IFERROR(__xludf.DUMMYFUNCTION("GOOGLETRANSLATE(E112, ""en"", ""zh"")"),"#VALUE!")</f>
        <v>#VALUE!</v>
      </c>
    </row>
    <row r="113">
      <c r="A113" s="17">
        <v>112.0</v>
      </c>
      <c r="B113" s="18" t="s">
        <v>2484</v>
      </c>
      <c r="C113" s="18" t="s">
        <v>2316</v>
      </c>
      <c r="D113" s="18" t="s">
        <v>2284</v>
      </c>
      <c r="H113" s="5" t="str">
        <f>IFERROR(__xludf.DUMMYFUNCTION("GOOGLETRANSLATE(B113, ""en"", ""zh"")"),"太极“阳”派创始人：")</f>
        <v>太极“阳”派创始人：</v>
      </c>
      <c r="I113" s="5" t="str">
        <f>IFERROR(__xludf.DUMMYFUNCTION("GOOGLETRANSLATE(C113, ""en"", ""zh"")"),"A) 杨露禅 B) 陈望庭 C) 吴玉祥 D) 孙禄堂")</f>
        <v>A) 杨露禅 B) 陈望庭 C) 吴玉祥 D) 孙禄堂</v>
      </c>
      <c r="J113" s="5" t="str">
        <f>IFERROR(__xludf.DUMMYFUNCTION("GOOGLETRANSLATE(D113, ""en"", ""zh"")"),"A) 杨露婵")</f>
        <v>A) 杨露婵</v>
      </c>
      <c r="K113" s="5" t="str">
        <f>IFERROR(__xludf.DUMMYFUNCTION("GOOGLETRANSLATE(E113, ""en"", ""zh"")"),"#VALUE!")</f>
        <v>#VALUE!</v>
      </c>
    </row>
    <row r="114">
      <c r="A114" s="17">
        <v>113.0</v>
      </c>
      <c r="B114" s="18" t="s">
        <v>2485</v>
      </c>
      <c r="C114" s="18" t="s">
        <v>2486</v>
      </c>
      <c r="D114" s="18" t="s">
        <v>2487</v>
      </c>
      <c r="H114" s="5" t="str">
        <f>IFERROR(__xludf.DUMMYFUNCTION("GOOGLETRANSLATE(B114, ""en"", ""zh"")"),"太极拳“武”派创始人：")</f>
        <v>太极拳“武”派创始人：</v>
      </c>
      <c r="I114" s="5" t="str">
        <f>IFERROR(__xludf.DUMMYFUNCTION("GOOGLETRANSLATE(C114, ""en"", ""zh"")"),"A) 吴全友 B) 陈望庭 C) 杨露禅 D) 孙禄堂")</f>
        <v>A) 吴全友 B) 陈望庭 C) 杨露禅 D) 孙禄堂</v>
      </c>
      <c r="J114" s="5" t="str">
        <f>IFERROR(__xludf.DUMMYFUNCTION("GOOGLETRANSLATE(D114, ""en"", ""zh"")"),"A) 吴全友")</f>
        <v>A) 吴全友</v>
      </c>
      <c r="K114" s="5" t="str">
        <f>IFERROR(__xludf.DUMMYFUNCTION("GOOGLETRANSLATE(E114, ""en"", ""zh"")"),"#VALUE!")</f>
        <v>#VALUE!</v>
      </c>
    </row>
    <row r="115">
      <c r="A115" s="17">
        <v>114.0</v>
      </c>
      <c r="B115" s="18" t="s">
        <v>2488</v>
      </c>
      <c r="C115" s="18" t="s">
        <v>2489</v>
      </c>
      <c r="D115" s="18" t="s">
        <v>2490</v>
      </c>
      <c r="H115" s="5" t="str">
        <f>IFERROR(__xludf.DUMMYFUNCTION("GOOGLETRANSLATE(B115, ""en"", ""zh"")"),"太极“太阳”式创始人：")</f>
        <v>太极“太阳”式创始人：</v>
      </c>
      <c r="I115" s="5" t="str">
        <f>IFERROR(__xludf.DUMMYFUNCTION("GOOGLETRANSLATE(C115, ""en"", ""zh"")"),"A) 孙禄堂 B) 杨露禅 C) 吴全友 D) 陈望庭")</f>
        <v>A) 孙禄堂 B) 杨露禅 C) 吴全友 D) 陈望庭</v>
      </c>
      <c r="J115" s="5" t="str">
        <f>IFERROR(__xludf.DUMMYFUNCTION("GOOGLETRANSLATE(D115, ""en"", ""zh"")"),"A) 孙禄堂")</f>
        <v>A) 孙禄堂</v>
      </c>
      <c r="K115" s="5" t="str">
        <f>IFERROR(__xludf.DUMMYFUNCTION("GOOGLETRANSLATE(E115, ""en"", ""zh"")"),"#VALUE!")</f>
        <v>#VALUE!</v>
      </c>
    </row>
    <row r="116">
      <c r="A116" s="17">
        <v>115.0</v>
      </c>
      <c r="B116" s="18" t="s">
        <v>2491</v>
      </c>
      <c r="C116" s="18" t="s">
        <v>2492</v>
      </c>
      <c r="D116" s="18" t="s">
        <v>1299</v>
      </c>
      <c r="H116" s="5" t="str">
        <f>IFERROR(__xludf.DUMMYFUNCTION("GOOGLETRANSLATE(B116, ""en"", ""zh"")"),"太极拳有助于培养：")</f>
        <v>太极拳有助于培养：</v>
      </c>
      <c r="I116" s="5" t="str">
        <f>IFERROR(__xludf.DUMMYFUNCTION("GOOGLETRANSLATE(C116, ""en"", ""zh"")"),"A) 力量 B) 敏捷性 C) 气和精神集中力 D) 以上全部")</f>
        <v>A) 力量 B) 敏捷性 C) 气和精神集中力 D) 以上全部</v>
      </c>
      <c r="J116" s="5" t="str">
        <f>IFERROR(__xludf.DUMMYFUNCTION("GOOGLETRANSLATE(D116, ""en"", ""zh"")"),"D) 以上所有选项")</f>
        <v>D) 以上所有选项</v>
      </c>
      <c r="K116" s="5" t="str">
        <f>IFERROR(__xludf.DUMMYFUNCTION("GOOGLETRANSLATE(E116, ""en"", ""zh"")"),"#VALUE!")</f>
        <v>#VALUE!</v>
      </c>
    </row>
    <row r="117">
      <c r="A117" s="17">
        <v>116.0</v>
      </c>
      <c r="B117" s="18" t="s">
        <v>2493</v>
      </c>
      <c r="C117" s="18" t="s">
        <v>2494</v>
      </c>
      <c r="D117" s="18" t="s">
        <v>2495</v>
      </c>
      <c r="H117" s="5" t="str">
        <f>IFERROR(__xludf.DUMMYFUNCTION("GOOGLETRANSLATE(B117, ""en"", ""zh"")"),"太极拳强调：")</f>
        <v>太极拳强调：</v>
      </c>
      <c r="I117" s="5" t="str">
        <f>IFERROR(__xludf.DUMMYFUNCTION("GOOGLETRANSLATE(C117, ""en"", ""zh"")"),"A) 流畅过渡 B) 重击 C) 杂技动作 D) 纯武器练习")</f>
        <v>A) 流畅过渡 B) 重击 C) 杂技动作 D) 纯武器练习</v>
      </c>
      <c r="J117" s="5" t="str">
        <f>IFERROR(__xludf.DUMMYFUNCTION("GOOGLETRANSLATE(D117, ""en"", ""zh"")"),"A) 平滑过渡")</f>
        <v>A) 平滑过渡</v>
      </c>
      <c r="K117" s="5" t="str">
        <f>IFERROR(__xludf.DUMMYFUNCTION("GOOGLETRANSLATE(E117, ""en"", ""zh"")"),"#VALUE!")</f>
        <v>#VALUE!</v>
      </c>
    </row>
    <row r="118">
      <c r="A118" s="17">
        <v>117.0</v>
      </c>
      <c r="B118" s="18" t="s">
        <v>2496</v>
      </c>
      <c r="C118" s="18" t="s">
        <v>2497</v>
      </c>
      <c r="D118" s="18" t="s">
        <v>1299</v>
      </c>
      <c r="H118" s="5" t="str">
        <f>IFERROR(__xludf.DUMMYFUNCTION("GOOGLETRANSLATE(B118, ""en"", ""zh"")"),"太极拳可用于：")</f>
        <v>太极拳可用于：</v>
      </c>
      <c r="I118" s="5" t="str">
        <f>IFERROR(__xludf.DUMMYFUNCTION("GOOGLETRANSLATE(C118, ""en"", ""zh"")"),"A) 武术应用 B) 健康改善 C) 冥想 D) 以上所有")</f>
        <v>A) 武术应用 B) 健康改善 C) 冥想 D) 以上所有</v>
      </c>
      <c r="J118" s="5" t="str">
        <f>IFERROR(__xludf.DUMMYFUNCTION("GOOGLETRANSLATE(D118, ""en"", ""zh"")"),"D) 以上所有选项")</f>
        <v>D) 以上所有选项</v>
      </c>
      <c r="K118" s="5" t="str">
        <f>IFERROR(__xludf.DUMMYFUNCTION("GOOGLETRANSLATE(E118, ""en"", ""zh"")"),"#VALUE!")</f>
        <v>#VALUE!</v>
      </c>
    </row>
    <row r="119">
      <c r="A119" s="17">
        <v>118.0</v>
      </c>
      <c r="B119" s="18" t="s">
        <v>2498</v>
      </c>
      <c r="C119" s="18" t="s">
        <v>2499</v>
      </c>
      <c r="D119" s="18" t="s">
        <v>1299</v>
      </c>
      <c r="H119" s="5" t="str">
        <f>IFERROR(__xludf.DUMMYFUNCTION("GOOGLETRANSLATE(B119, ""en"", ""zh"")"),"太极拳提倡以下方面的平衡：")</f>
        <v>太极拳提倡以下方面的平衡：</v>
      </c>
      <c r="I119" s="5" t="str">
        <f>IFERROR(__xludf.DUMMYFUNCTION("GOOGLETRANSLATE(C119, ""en"", ""zh"")"),"A) 身心 B) 速度与爆发力 C) 力量与柔韧性 D) 以上所有")</f>
        <v>A) 身心 B) 速度与爆发力 C) 力量与柔韧性 D) 以上所有</v>
      </c>
      <c r="J119" s="5" t="str">
        <f>IFERROR(__xludf.DUMMYFUNCTION("GOOGLETRANSLATE(D119, ""en"", ""zh"")"),"D) 以上所有选项")</f>
        <v>D) 以上所有选项</v>
      </c>
      <c r="K119" s="5" t="str">
        <f>IFERROR(__xludf.DUMMYFUNCTION("GOOGLETRANSLATE(E119, ""en"", ""zh"")"),"#VALUE!")</f>
        <v>#VALUE!</v>
      </c>
    </row>
    <row r="120">
      <c r="A120" s="17">
        <v>119.0</v>
      </c>
      <c r="B120" s="18" t="s">
        <v>2500</v>
      </c>
      <c r="C120" s="18" t="s">
        <v>2501</v>
      </c>
      <c r="D120" s="18" t="s">
        <v>2502</v>
      </c>
      <c r="H120" s="5" t="str">
        <f>IFERROR(__xludf.DUMMYFUNCTION("GOOGLETRANSLATE(B120, ""en"", ""zh"")"),"太极拳的动作可以描述为：")</f>
        <v>太极拳的动作可以描述为：</v>
      </c>
      <c r="I120" s="5" t="str">
        <f>IFERROR(__xludf.DUMMYFUNCTION("GOOGLETRANSLATE(C120, ""en"", ""zh"")"),"A) 流动且连续的 B) 爆发性的 C) 断断续续的 D) 静止的")</f>
        <v>A) 流动且连续的 B) 爆发性的 C) 断断续续的 D) 静止的</v>
      </c>
      <c r="J120" s="5" t="str">
        <f>IFERROR(__xludf.DUMMYFUNCTION("GOOGLETRANSLATE(D120, ""en"", ""zh"")"),"A) 流动且连续")</f>
        <v>A) 流动且连续</v>
      </c>
      <c r="K120" s="5" t="str">
        <f>IFERROR(__xludf.DUMMYFUNCTION("GOOGLETRANSLATE(E120, ""en"", ""zh"")"),"#VALUE!")</f>
        <v>#VALUE!</v>
      </c>
    </row>
    <row r="121">
      <c r="A121" s="17">
        <v>120.0</v>
      </c>
      <c r="B121" s="18" t="s">
        <v>2350</v>
      </c>
      <c r="C121" s="18" t="s">
        <v>2503</v>
      </c>
      <c r="D121" s="18" t="s">
        <v>1299</v>
      </c>
      <c r="H121" s="5" t="str">
        <f>IFERROR(__xludf.DUMMYFUNCTION("GOOGLETRANSLATE(B121, ""en"", ""zh"")"),"太极拳的健康益处包括：")</f>
        <v>太极拳的健康益处包括：</v>
      </c>
      <c r="I121" s="5" t="str">
        <f>IFERROR(__xludf.DUMMYFUNCTION("GOOGLETRANSLATE(C121, ""en"", ""zh"")"),"A) 减轻压力 B) 改善血液循环 C) 增强平衡能力 D) 以上所有选项")</f>
        <v>A) 减轻压力 B) 改善血液循环 C) 增强平衡能力 D) 以上所有选项</v>
      </c>
      <c r="J121" s="5" t="str">
        <f>IFERROR(__xludf.DUMMYFUNCTION("GOOGLETRANSLATE(D121, ""en"", ""zh"")"),"D) 以上所有选项")</f>
        <v>D) 以上所有选项</v>
      </c>
      <c r="K121" s="5" t="str">
        <f>IFERROR(__xludf.DUMMYFUNCTION("GOOGLETRANSLATE(E121, ""en"", ""zh"")"),"#VALUE!")</f>
        <v>#VALUE!</v>
      </c>
    </row>
    <row r="122">
      <c r="A122" s="17">
        <v>121.0</v>
      </c>
      <c r="B122" s="18" t="s">
        <v>2504</v>
      </c>
      <c r="C122" s="18" t="s">
        <v>2505</v>
      </c>
      <c r="D122" s="18" t="s">
        <v>2336</v>
      </c>
      <c r="H122" s="5" t="str">
        <f>IFERROR(__xludf.DUMMYFUNCTION("GOOGLETRANSLATE(B122, ""en"", ""zh"")"),"太极拳强调“柔克刚”，体现了哪种哲学思想？")</f>
        <v>太极拳强调“柔克刚”，体现了哪种哲学思想？</v>
      </c>
      <c r="I122" s="5" t="str">
        <f>IFERROR(__xludf.DUMMYFUNCTION("GOOGLETRANSLATE(C122, ""en"", ""zh"")"),"A) 阴阳学说 B) 儒家思想 C) 佛教 D) 法家思想")</f>
        <v>A) 阴阳学说 B) 儒家思想 C) 佛教 D) 法家思想</v>
      </c>
      <c r="J122" s="5" t="str">
        <f>IFERROR(__xludf.DUMMYFUNCTION("GOOGLETRANSLATE(D122, ""en"", ""zh"")"),"A）阴阳")</f>
        <v>A）阴阳</v>
      </c>
      <c r="K122" s="5" t="str">
        <f>IFERROR(__xludf.DUMMYFUNCTION("GOOGLETRANSLATE(E122, ""en"", ""zh"")"),"#VALUE!")</f>
        <v>#VALUE!</v>
      </c>
    </row>
    <row r="123">
      <c r="A123" s="17">
        <v>122.0</v>
      </c>
      <c r="B123" s="18" t="s">
        <v>2506</v>
      </c>
      <c r="C123" s="18" t="s">
        <v>2507</v>
      </c>
      <c r="D123" s="18" t="s">
        <v>1299</v>
      </c>
      <c r="H123" s="5" t="str">
        <f>IFERROR(__xludf.DUMMYFUNCTION("GOOGLETRANSLATE(B123, ""en"", ""zh"")"),"太极拳注重内功，这与哪些外功武术形成对比？")</f>
        <v>太极拳注重内功，这与哪些外功武术形成对比？</v>
      </c>
      <c r="I123" s="5" t="str">
        <f>IFERROR(__xludf.DUMMYFUNCTION("GOOGLETRANSLATE(C123, ""en"", ""zh"")"),"A) 少林 B) 空手道 C) 跆拳道 D) 以上全部")</f>
        <v>A) 少林 B) 空手道 C) 跆拳道 D) 以上全部</v>
      </c>
      <c r="J123" s="5" t="str">
        <f>IFERROR(__xludf.DUMMYFUNCTION("GOOGLETRANSLATE(D123, ""en"", ""zh"")"),"D) 以上所有选项")</f>
        <v>D) 以上所有选项</v>
      </c>
      <c r="K123" s="5" t="str">
        <f>IFERROR(__xludf.DUMMYFUNCTION("GOOGLETRANSLATE(E123, ""en"", ""zh"")"),"#VALUE!")</f>
        <v>#VALUE!</v>
      </c>
    </row>
    <row r="124">
      <c r="A124" s="17">
        <v>123.0</v>
      </c>
      <c r="B124" s="18" t="s">
        <v>2508</v>
      </c>
      <c r="C124" s="18" t="s">
        <v>2509</v>
      </c>
      <c r="D124" s="18" t="s">
        <v>1299</v>
      </c>
      <c r="H124" s="5" t="str">
        <f>IFERROR(__xludf.DUMMYFUNCTION("GOOGLETRANSLATE(B124, ""en"", ""zh"")"),"太极拳最初的目的包括训练：")</f>
        <v>太极拳最初的目的包括训练：</v>
      </c>
      <c r="I124" s="5" t="str">
        <f>IFERROR(__xludf.DUMMYFUNCTION("GOOGLETRANSLATE(C124, ""en"", ""zh"")"),"A) 自卫 B) 健康 C) 冥想 D) 以上全部")</f>
        <v>A) 自卫 B) 健康 C) 冥想 D) 以上全部</v>
      </c>
      <c r="J124" s="5" t="str">
        <f>IFERROR(__xludf.DUMMYFUNCTION("GOOGLETRANSLATE(D124, ""en"", ""zh"")"),"D) 以上所有选项")</f>
        <v>D) 以上所有选项</v>
      </c>
      <c r="K124" s="5" t="str">
        <f>IFERROR(__xludf.DUMMYFUNCTION("GOOGLETRANSLATE(E124, ""en"", ""zh"")"),"#VALUE!")</f>
        <v>#VALUE!</v>
      </c>
    </row>
    <row r="125">
      <c r="A125" s="17">
        <v>124.0</v>
      </c>
      <c r="B125" s="18" t="s">
        <v>2510</v>
      </c>
      <c r="C125" s="18" t="s">
        <v>2511</v>
      </c>
      <c r="D125" s="18" t="s">
        <v>2512</v>
      </c>
      <c r="H125" s="5" t="str">
        <f>IFERROR(__xludf.DUMMYFUNCTION("GOOGLETRANSLATE(B125, ""en"", ""zh"")"),"太极拳的健康益处主要在以下方面进行了研究：")</f>
        <v>太极拳的健康益处主要在以下方面进行了研究：</v>
      </c>
      <c r="I125" s="5" t="str">
        <f>IFERROR(__xludf.DUMMYFUNCTION("GOOGLETRANSLATE(C125, ""en"", ""zh"")"),"A) 老年人口 B) 儿童 C) 运动员 D) 士兵")</f>
        <v>A) 老年人口 B) 儿童 C) 运动员 D) 士兵</v>
      </c>
      <c r="J125" s="5" t="str">
        <f>IFERROR(__xludf.DUMMYFUNCTION("GOOGLETRANSLATE(D125, ""en"", ""zh"")"),"A) 老年人口")</f>
        <v>A) 老年人口</v>
      </c>
      <c r="K125" s="5" t="str">
        <f>IFERROR(__xludf.DUMMYFUNCTION("GOOGLETRANSLATE(E125, ""en"", ""zh"")"),"#VALUE!")</f>
        <v>#VALUE!</v>
      </c>
    </row>
    <row r="126">
      <c r="A126" s="17">
        <v>125.0</v>
      </c>
      <c r="B126" s="18" t="s">
        <v>2513</v>
      </c>
      <c r="C126" s="18" t="s">
        <v>2514</v>
      </c>
      <c r="D126" s="18" t="s">
        <v>2515</v>
      </c>
      <c r="H126" s="5" t="str">
        <f>IFERROR(__xludf.DUMMYFUNCTION("GOOGLETRANSLATE(B126, ""en"", ""zh"")"),"太极拳通过以下方式促进协调性：")</f>
        <v>太极拳通过以下方式促进协调性：</v>
      </c>
      <c r="I126" s="5" t="str">
        <f>IFERROR(__xludf.DUMMYFUNCTION("GOOGLETRANSLATE(C126, ""en"", ""zh"")"),"A) 缓慢、谨慎的动作 B) 高速攻击 C) 杂技动作 D) 仅使用武器")</f>
        <v>A) 缓慢、谨慎的动作 B) 高速攻击 C) 杂技动作 D) 仅使用武器</v>
      </c>
      <c r="J126" s="5" t="str">
        <f>IFERROR(__xludf.DUMMYFUNCTION("GOOGLETRANSLATE(D126, ""en"", ""zh"")"),"A) 缓慢、谨慎的动作")</f>
        <v>A) 缓慢、谨慎的动作</v>
      </c>
      <c r="K126" s="5" t="str">
        <f>IFERROR(__xludf.DUMMYFUNCTION("GOOGLETRANSLATE(E126, ""en"", ""zh"")"),"#VALUE!")</f>
        <v>#VALUE!</v>
      </c>
    </row>
    <row r="127">
      <c r="A127" s="17">
        <v>126.0</v>
      </c>
      <c r="B127" s="18" t="s">
        <v>2516</v>
      </c>
      <c r="C127" s="18" t="s">
        <v>2517</v>
      </c>
      <c r="D127" s="18" t="s">
        <v>2344</v>
      </c>
      <c r="H127" s="5" t="str">
        <f>IFERROR(__xludf.DUMMYFUNCTION("GOOGLETRANSLATE(B127, ""en"", ""zh"")"),"太极拳中的“套路”是指：")</f>
        <v>太极拳中的“套路”是指：</v>
      </c>
      <c r="I127" s="5" t="str">
        <f>IFERROR(__xludf.DUMMYFUNCTION("GOOGLETRANSLATE(C127, ""en"", ""zh"")"),"A）套路 B）武器 C）对练 D）冥想")</f>
        <v>A）套路 B）武器 C）对练 D）冥想</v>
      </c>
      <c r="J127" s="5" t="str">
        <f>IFERROR(__xludf.DUMMYFUNCTION("GOOGLETRANSLATE(D127, ""en"", ""zh"")"),"A) 表格")</f>
        <v>A) 表格</v>
      </c>
      <c r="K127" s="5" t="str">
        <f>IFERROR(__xludf.DUMMYFUNCTION("GOOGLETRANSLATE(E127, ""en"", ""zh"")"),"#VALUE!")</f>
        <v>#VALUE!</v>
      </c>
    </row>
    <row r="128">
      <c r="A128" s="17">
        <v>127.0</v>
      </c>
      <c r="B128" s="18" t="s">
        <v>2518</v>
      </c>
      <c r="C128" s="18" t="s">
        <v>2519</v>
      </c>
      <c r="D128" s="18" t="s">
        <v>2520</v>
      </c>
      <c r="H128" s="5" t="str">
        <f>IFERROR(__xludf.DUMMYFUNCTION("GOOGLETRANSLATE(B128, ""en"", ""zh"")"),"太极拳套路通常持续：")</f>
        <v>太极拳套路通常持续：</v>
      </c>
      <c r="I128" s="5" t="str">
        <f>IFERROR(__xludf.DUMMYFUNCTION("GOOGLETRANSLATE(C128, ""en"", ""zh"")"),"A) 10-20分钟 B) 1-2小时 C) 5分钟 D) 3-5小时")</f>
        <v>A) 10-20分钟 B) 1-2小时 C) 5分钟 D) 3-5小时</v>
      </c>
      <c r="J128" s="5" t="str">
        <f>IFERROR(__xludf.DUMMYFUNCTION("GOOGLETRANSLATE(D128, ""en"", ""zh"")"),"A) 10-20分钟")</f>
        <v>A) 10-20分钟</v>
      </c>
      <c r="K128" s="5" t="str">
        <f>IFERROR(__xludf.DUMMYFUNCTION("GOOGLETRANSLATE(E128, ""en"", ""zh"")"),"#VALUE!")</f>
        <v>#VALUE!</v>
      </c>
    </row>
    <row r="129">
      <c r="A129" s="17">
        <v>128.0</v>
      </c>
      <c r="B129" s="18" t="s">
        <v>2521</v>
      </c>
      <c r="C129" s="18" t="s">
        <v>2522</v>
      </c>
      <c r="D129" s="18" t="s">
        <v>1347</v>
      </c>
      <c r="H129" s="5" t="str">
        <f>IFERROR(__xludf.DUMMYFUNCTION("GOOGLETRANSLATE(B129, ""en"", ""zh"")"),"太极拳可以这样练习：")</f>
        <v>太极拳可以这样练习：</v>
      </c>
      <c r="I129" s="5" t="str">
        <f>IFERROR(__xludf.DUMMYFUNCTION("GOOGLETRANSLATE(C129, ""en"", ""zh"")"),"A) 室内 B) 室外 C) A 和 B 均可 D) 仅限体育馆")</f>
        <v>A) 室内 B) 室外 C) A 和 B 均可 D) 仅限体育馆</v>
      </c>
      <c r="J129" s="5" t="str">
        <f>IFERROR(__xludf.DUMMYFUNCTION("GOOGLETRANSLATE(D129, ""en"", ""zh"")"),"C) A 和 B 都对")</f>
        <v>C) A 和 B 都对</v>
      </c>
      <c r="K129" s="5" t="str">
        <f>IFERROR(__xludf.DUMMYFUNCTION("GOOGLETRANSLATE(E129, ""en"", ""zh"")"),"#VALUE!")</f>
        <v>#VALUE!</v>
      </c>
    </row>
    <row r="130">
      <c r="A130" s="17">
        <v>129.0</v>
      </c>
      <c r="B130" s="18" t="s">
        <v>2523</v>
      </c>
      <c r="C130" s="18" t="s">
        <v>2524</v>
      </c>
      <c r="D130" s="18" t="s">
        <v>1299</v>
      </c>
      <c r="H130" s="5" t="str">
        <f>IFERROR(__xludf.DUMMYFUNCTION("GOOGLETRANSLATE(B130, ""en"", ""zh"")"),"太极拳动作旨在增强：")</f>
        <v>太极拳动作旨在增强：</v>
      </c>
      <c r="I130" s="5" t="str">
        <f>IFERROR(__xludf.DUMMYFUNCTION("GOOGLETRANSLATE(C130, ""en"", ""zh"")"),"A) 气血运行 B) 体力 C) 精神集中力 D) 以上全部")</f>
        <v>A) 气血运行 B) 体力 C) 精神集中力 D) 以上全部</v>
      </c>
      <c r="J130" s="5" t="str">
        <f>IFERROR(__xludf.DUMMYFUNCTION("GOOGLETRANSLATE(D130, ""en"", ""zh"")"),"D) 以上所有选项")</f>
        <v>D) 以上所有选项</v>
      </c>
      <c r="K130" s="5" t="str">
        <f>IFERROR(__xludf.DUMMYFUNCTION("GOOGLETRANSLATE(E130, ""en"", ""zh"")"),"#VALUE!")</f>
        <v>#VALUE!</v>
      </c>
    </row>
    <row r="131">
      <c r="A131" s="17">
        <v>130.0</v>
      </c>
      <c r="B131" s="18" t="s">
        <v>2525</v>
      </c>
      <c r="C131" s="18" t="s">
        <v>2526</v>
      </c>
      <c r="D131" s="18" t="s">
        <v>2392</v>
      </c>
      <c r="H131" s="5" t="str">
        <f>IFERROR(__xludf.DUMMYFUNCTION("GOOGLETRANSLATE(B131, ""en"", ""zh"")"),"陈式太极拳的特点是：")</f>
        <v>陈式太极拳的特点是：</v>
      </c>
      <c r="I131" s="5" t="str">
        <f>IFERROR(__xludf.DUMMYFUNCTION("GOOGLETRANSLATE(C131, ""en"", ""zh"")"),"A) 螺旋式运动 B) 仅冥想 C) 仅使用武器 D) 仅缓慢运动")</f>
        <v>A) 螺旋式运动 B) 仅冥想 C) 仅使用武器 D) 仅缓慢运动</v>
      </c>
      <c r="J131" s="5" t="str">
        <f>IFERROR(__xludf.DUMMYFUNCTION("GOOGLETRANSLATE(D131, ""en"", ""zh"")"),"A) 螺旋运动")</f>
        <v>A) 螺旋运动</v>
      </c>
      <c r="K131" s="5" t="str">
        <f>IFERROR(__xludf.DUMMYFUNCTION("GOOGLETRANSLATE(E131, ""en"", ""zh"")"),"#VALUE!")</f>
        <v>#VALUE!</v>
      </c>
    </row>
    <row r="132">
      <c r="A132" s="17">
        <v>131.0</v>
      </c>
      <c r="B132" s="18" t="s">
        <v>2527</v>
      </c>
      <c r="C132" s="18" t="s">
        <v>348</v>
      </c>
      <c r="D132" s="18" t="s">
        <v>30</v>
      </c>
      <c r="H132" s="5" t="str">
        <f>IFERROR(__xludf.DUMMYFUNCTION("GOOGLETRANSLATE(B132, ""en"", ""zh"")"),"太极拳“杨式”最常见于：")</f>
        <v>太极拳“杨式”最常见于：</v>
      </c>
      <c r="I132" s="5" t="str">
        <f>IFERROR(__xludf.DUMMYFUNCTION("GOOGLETRANSLATE(C132, ""en"", ""zh"")"),"A) 中国 B) 日本 C) 韩国 D) 越南")</f>
        <v>A) 中国 B) 日本 C) 韩国 D) 越南</v>
      </c>
      <c r="J132" s="5" t="str">
        <f>IFERROR(__xludf.DUMMYFUNCTION("GOOGLETRANSLATE(D132, ""en"", ""zh"")"),"A) 中国")</f>
        <v>A) 中国</v>
      </c>
      <c r="K132" s="5" t="str">
        <f>IFERROR(__xludf.DUMMYFUNCTION("GOOGLETRANSLATE(E132, ""en"", ""zh"")"),"#VALUE!")</f>
        <v>#VALUE!</v>
      </c>
    </row>
    <row r="133">
      <c r="A133" s="17">
        <v>132.0</v>
      </c>
      <c r="B133" s="18" t="s">
        <v>2528</v>
      </c>
      <c r="C133" s="18" t="s">
        <v>2529</v>
      </c>
      <c r="D133" s="18" t="s">
        <v>2530</v>
      </c>
      <c r="H133" s="5" t="str">
        <f>IFERROR(__xludf.DUMMYFUNCTION("GOOGLETRANSLATE(B133, ""en"", ""zh"")"),"太极拳起源于哪个历史时期？")</f>
        <v>太极拳起源于哪个历史时期？</v>
      </c>
      <c r="I133" s="5" t="str">
        <f>IFERROR(__xludf.DUMMYFUNCTION("GOOGLETRANSLATE(C133, ""en"", ""zh"")"),"A) 明朝 B) 清朝 C) 唐朝 D) 宋朝")</f>
        <v>A) 明朝 B) 清朝 C) 唐朝 D) 宋朝</v>
      </c>
      <c r="J133" s="5" t="str">
        <f>IFERROR(__xludf.DUMMYFUNCTION("GOOGLETRANSLATE(D133, ""en"", ""zh"")"),"A) 明朝")</f>
        <v>A) 明朝</v>
      </c>
      <c r="K133" s="5" t="str">
        <f>IFERROR(__xludf.DUMMYFUNCTION("GOOGLETRANSLATE(E133, ""en"", ""zh"")"),"#VALUE!")</f>
        <v>#VALUE!</v>
      </c>
    </row>
    <row r="134">
      <c r="A134" s="17">
        <v>133.0</v>
      </c>
      <c r="B134" s="18" t="s">
        <v>2531</v>
      </c>
      <c r="C134" s="18" t="s">
        <v>2532</v>
      </c>
      <c r="D134" s="18" t="s">
        <v>1299</v>
      </c>
      <c r="H134" s="5" t="str">
        <f>IFERROR(__xludf.DUMMYFUNCTION("GOOGLETRANSLATE(B134, ""en"", ""zh"")"),"太极拳练习包括：")</f>
        <v>太极拳练习包括：</v>
      </c>
      <c r="I134" s="5" t="str">
        <f>IFERROR(__xludf.DUMMYFUNCTION("GOOGLETRANSLATE(C134, ""en"", ""zh"")"),"A) 姿势 B) 呼吸控制 C) 注意力集中 D) 以上全部")</f>
        <v>A) 姿势 B) 呼吸控制 C) 注意力集中 D) 以上全部</v>
      </c>
      <c r="J134" s="5" t="str">
        <f>IFERROR(__xludf.DUMMYFUNCTION("GOOGLETRANSLATE(D134, ""en"", ""zh"")"),"D) 以上所有选项")</f>
        <v>D) 以上所有选项</v>
      </c>
      <c r="K134" s="5" t="str">
        <f>IFERROR(__xludf.DUMMYFUNCTION("GOOGLETRANSLATE(E134, ""en"", ""zh"")"),"#VALUE!")</f>
        <v>#VALUE!</v>
      </c>
    </row>
    <row r="135">
      <c r="A135" s="17">
        <v>134.0</v>
      </c>
      <c r="B135" s="18" t="s">
        <v>2533</v>
      </c>
      <c r="C135" s="18" t="s">
        <v>2534</v>
      </c>
      <c r="D135" s="18" t="s">
        <v>2389</v>
      </c>
      <c r="H135" s="5" t="str">
        <f>IFERROR(__xludf.DUMMYFUNCTION("GOOGLETRANSLATE(B135, ""en"", ""zh"")"),"太极拳的“推手”有所改进：")</f>
        <v>太极拳的“推手”有所改进：</v>
      </c>
      <c r="I135" s="5" t="str">
        <f>IFERROR(__xludf.DUMMYFUNCTION("GOOGLETRANSLATE(C135, ""en"", ""zh"")"),"A) 对力的敏感性 B) 速度 C) 杂技技巧 D) 仅柔韧性")</f>
        <v>A) 对力的敏感性 B) 速度 C) 杂技技巧 D) 仅柔韧性</v>
      </c>
      <c r="J135" s="5" t="str">
        <f>IFERROR(__xludf.DUMMYFUNCTION("GOOGLETRANSLATE(D135, ""en"", ""zh"")"),"A) 对力的敏感性")</f>
        <v>A) 对力的敏感性</v>
      </c>
      <c r="K135" s="5" t="str">
        <f>IFERROR(__xludf.DUMMYFUNCTION("GOOGLETRANSLATE(E135, ""en"", ""zh"")"),"#VALUE!")</f>
        <v>#VALUE!</v>
      </c>
    </row>
    <row r="136">
      <c r="A136" s="17">
        <v>135.0</v>
      </c>
      <c r="B136" s="18" t="s">
        <v>2535</v>
      </c>
      <c r="C136" s="18" t="s">
        <v>2536</v>
      </c>
      <c r="D136" s="18" t="s">
        <v>1347</v>
      </c>
      <c r="H136" s="5" t="str">
        <f>IFERROR(__xludf.DUMMYFUNCTION("GOOGLETRANSLATE(B136, ""en"", ""zh"")"),"太极拳的拳法包括：")</f>
        <v>太极拳的拳法包括：</v>
      </c>
      <c r="I136" s="5" t="str">
        <f>IFERROR(__xludf.DUMMYFUNCTION("GOOGLETRANSLATE(C136, ""en"", ""zh"")"),"A) 单人套路 B) 双人练习 C) A 和 B 均是 D) 仅武器套路")</f>
        <v>A) 单人套路 B) 双人练习 C) A 和 B 均是 D) 仅武器套路</v>
      </c>
      <c r="J136" s="5" t="str">
        <f>IFERROR(__xludf.DUMMYFUNCTION("GOOGLETRANSLATE(D136, ""en"", ""zh"")"),"C) A 和 B 都对")</f>
        <v>C) A 和 B 都对</v>
      </c>
      <c r="K136" s="5" t="str">
        <f>IFERROR(__xludf.DUMMYFUNCTION("GOOGLETRANSLATE(E136, ""en"", ""zh"")"),"#VALUE!")</f>
        <v>#VALUE!</v>
      </c>
    </row>
    <row r="137">
      <c r="A137" s="6">
        <v>136.0</v>
      </c>
      <c r="B137" s="18" t="s">
        <v>2537</v>
      </c>
      <c r="C137" s="18" t="s">
        <v>2538</v>
      </c>
      <c r="D137" s="18" t="s">
        <v>2539</v>
      </c>
      <c r="H137" s="5" t="str">
        <f>IFERROR(__xludf.DUMMYFUNCTION("GOOGLETRANSLATE(B137, ""en"", ""zh"")"),"太极拳有时也被称为：")</f>
        <v>太极拳有时也被称为：</v>
      </c>
      <c r="I137" s="5" t="str">
        <f>IFERROR(__xludf.DUMMYFUNCTION("GOOGLETRANSLATE(C137, ""en"", ""zh"")"),"A) 动态冥想 B) 搏击舞 C) 武术芭蕾 D) 瑜伽")</f>
        <v>A) 动态冥想 B) 搏击舞 C) 武术芭蕾 D) 瑜伽</v>
      </c>
      <c r="J137" s="5" t="str">
        <f>IFERROR(__xludf.DUMMYFUNCTION("GOOGLETRANSLATE(D137, ""en"", ""zh"")"),"A) 动态冥想")</f>
        <v>A) 动态冥想</v>
      </c>
      <c r="K137" s="5" t="str">
        <f>IFERROR(__xludf.DUMMYFUNCTION("GOOGLETRANSLATE(E137, ""en"", ""zh"")"),"#VALUE!")</f>
        <v>#VALUE!</v>
      </c>
    </row>
    <row r="138">
      <c r="A138" s="6">
        <v>137.0</v>
      </c>
      <c r="B138" s="18" t="s">
        <v>2540</v>
      </c>
      <c r="C138" s="18" t="s">
        <v>2541</v>
      </c>
      <c r="D138" s="18" t="s">
        <v>2445</v>
      </c>
      <c r="H138" s="5" t="str">
        <f>IFERROR(__xludf.DUMMYFUNCTION("GOOGLETRANSLATE(B138, ""en"", ""zh"")"),"太极拳“孙式”受以下因素影响：")</f>
        <v>太极拳“孙式”受以下因素影响：</v>
      </c>
      <c r="I138" s="5" t="str">
        <f>IFERROR(__xludf.DUMMYFUNCTION("GOOGLETRANSLATE(C138, ""en"", ""zh"")"),"A) 形意拳和八卦 B) 少林 C) 武当 D) 武式")</f>
        <v>A) 形意拳和八卦 B) 少林 C) 武当 D) 武式</v>
      </c>
      <c r="J138" s="5" t="str">
        <f>IFERROR(__xludf.DUMMYFUNCTION("GOOGLETRANSLATE(D138, ""en"", ""zh"")"),"A) 形意拳和八卦掌")</f>
        <v>A) 形意拳和八卦掌</v>
      </c>
      <c r="K138" s="5" t="str">
        <f>IFERROR(__xludf.DUMMYFUNCTION("GOOGLETRANSLATE(E138, ""en"", ""zh"")"),"#VALUE!")</f>
        <v>#VALUE!</v>
      </c>
    </row>
    <row r="139">
      <c r="A139" s="6">
        <v>138.0</v>
      </c>
      <c r="B139" s="18" t="s">
        <v>2542</v>
      </c>
      <c r="C139" s="18" t="s">
        <v>2543</v>
      </c>
      <c r="D139" s="18" t="s">
        <v>2463</v>
      </c>
      <c r="H139" s="5" t="str">
        <f>IFERROR(__xludf.DUMMYFUNCTION("GOOGLETRANSLATE(B139, ""en"", ""zh"")"),"太极拳的内力被称为：")</f>
        <v>太极拳的内力被称为：</v>
      </c>
      <c r="I139" s="5" t="str">
        <f>IFERROR(__xludf.DUMMYFUNCTION("GOOGLETRANSLATE(C139, ""en"", ""zh"")"),"A) 气 B) 气 C) 普拉那 D) 气")</f>
        <v>A) 气 B) 气 C) 普拉那 D) 气</v>
      </c>
      <c r="J139" s="5" t="str">
        <f>IFERROR(__xludf.DUMMYFUNCTION("GOOGLETRANSLATE(D139, ""en"", ""zh"")"),"A) 气")</f>
        <v>A) 气</v>
      </c>
      <c r="K139" s="5" t="str">
        <f>IFERROR(__xludf.DUMMYFUNCTION("GOOGLETRANSLATE(E139, ""en"", ""zh"")"),"#VALUE!")</f>
        <v>#VALUE!</v>
      </c>
    </row>
    <row r="140">
      <c r="A140" s="6">
        <v>139.0</v>
      </c>
      <c r="B140" s="18" t="s">
        <v>2544</v>
      </c>
      <c r="C140" s="18" t="s">
        <v>2545</v>
      </c>
      <c r="D140" s="18" t="s">
        <v>1299</v>
      </c>
      <c r="H140" s="5" t="str">
        <f>IFERROR(__xludf.DUMMYFUNCTION("GOOGLETRANSLATE(B140, ""en"", ""zh"")"),"太极拳的手部姿势对于以下方面很重要：")</f>
        <v>太极拳的手部姿势对于以下方面很重要：</v>
      </c>
      <c r="I140" s="5" t="str">
        <f>IFERROR(__xludf.DUMMYFUNCTION("GOOGLETRANSLATE(C140, ""en"", ""zh"")"),"A) 平衡 B) 能量流动 C) 精确度 D) 以上全部")</f>
        <v>A) 平衡 B) 能量流动 C) 精确度 D) 以上全部</v>
      </c>
      <c r="J140" s="5" t="str">
        <f>IFERROR(__xludf.DUMMYFUNCTION("GOOGLETRANSLATE(D140, ""en"", ""zh"")"),"D) 以上所有选项")</f>
        <v>D) 以上所有选项</v>
      </c>
      <c r="K140" s="5" t="str">
        <f>IFERROR(__xludf.DUMMYFUNCTION("GOOGLETRANSLATE(E140, ""en"", ""zh"")"),"#VALUE!")</f>
        <v>#VALUE!</v>
      </c>
    </row>
    <row r="141">
      <c r="A141" s="6">
        <v>140.0</v>
      </c>
      <c r="B141" s="18" t="s">
        <v>2546</v>
      </c>
      <c r="C141" s="18" t="s">
        <v>2547</v>
      </c>
      <c r="D141" s="18" t="s">
        <v>1299</v>
      </c>
      <c r="H141" s="5" t="str">
        <f>IFERROR(__xludf.DUMMYFUNCTION("GOOGLETRANSLATE(B141, ""en"", ""zh"")"),"太极剑练习有助于培养：")</f>
        <v>太极剑练习有助于培养：</v>
      </c>
      <c r="I141" s="5" t="str">
        <f>IFERROR(__xludf.DUMMYFUNCTION("GOOGLETRANSLATE(C141, ""en"", ""zh"")"),"A) 精确性 B) 流畅性 C) 协调性 D) 以上所有")</f>
        <v>A) 精确性 B) 流畅性 C) 协调性 D) 以上所有</v>
      </c>
      <c r="J141" s="5" t="str">
        <f>IFERROR(__xludf.DUMMYFUNCTION("GOOGLETRANSLATE(D141, ""en"", ""zh"")"),"D) 以上所有选项")</f>
        <v>D) 以上所有选项</v>
      </c>
      <c r="K141" s="5" t="str">
        <f>IFERROR(__xludf.DUMMYFUNCTION("GOOGLETRANSLATE(E141, ""en"", ""zh"")"),"#VALUE!")</f>
        <v>#VALUE!</v>
      </c>
    </row>
    <row r="142">
      <c r="A142" s="6">
        <v>141.0</v>
      </c>
      <c r="B142" s="18" t="s">
        <v>2548</v>
      </c>
      <c r="C142" s="18" t="s">
        <v>2549</v>
      </c>
      <c r="D142" s="18" t="s">
        <v>1299</v>
      </c>
      <c r="H142" s="5" t="str">
        <f>IFERROR(__xludf.DUMMYFUNCTION("GOOGLETRANSLATE(B142, ""en"", ""zh"")"),"太极拳套路是通过以下方式传承下来的：")</f>
        <v>太极拳套路是通过以下方式传承下来的：</v>
      </c>
      <c r="I142" s="5" t="str">
        <f>IFERROR(__xludf.DUMMYFUNCTION("GOOGLETRANSLATE(C142, ""en"", ""zh"")"),"A) 传承 B) 书面手册 C) 口头传授 D) 以上全部")</f>
        <v>A) 传承 B) 书面手册 C) 口头传授 D) 以上全部</v>
      </c>
      <c r="J142" s="5" t="str">
        <f>IFERROR(__xludf.DUMMYFUNCTION("GOOGLETRANSLATE(D142, ""en"", ""zh"")"),"D) 以上所有选项")</f>
        <v>D) 以上所有选项</v>
      </c>
      <c r="K142" s="5" t="str">
        <f>IFERROR(__xludf.DUMMYFUNCTION("GOOGLETRANSLATE(E142, ""en"", ""zh"")"),"#VALUE!")</f>
        <v>#VALUE!</v>
      </c>
    </row>
    <row r="143">
      <c r="A143" s="6">
        <v>142.0</v>
      </c>
      <c r="B143" s="18" t="s">
        <v>2550</v>
      </c>
      <c r="C143" s="18" t="s">
        <v>2551</v>
      </c>
      <c r="D143" s="18" t="s">
        <v>2552</v>
      </c>
      <c r="H143" s="5" t="str">
        <f>IFERROR(__xludf.DUMMYFUNCTION("GOOGLETRANSLATE(B143, ""en"", ""zh"")"),"太极拳被认为是：")</f>
        <v>太极拳被认为是：</v>
      </c>
      <c r="I143" s="5" t="str">
        <f>IFERROR(__xludf.DUMMYFUNCTION("GOOGLETRANSLATE(C143, ""en"", ""zh"")"),"A) 中国非物质文化遗产 B) 奥林匹克运动项目 C) 日本武术 D) 仅舞蹈")</f>
        <v>A) 中国非物质文化遗产 B) 奥林匹克运动项目 C) 日本武术 D) 仅舞蹈</v>
      </c>
      <c r="J143" s="5" t="str">
        <f>IFERROR(__xludf.DUMMYFUNCTION("GOOGLETRANSLATE(D143, ""en"", ""zh"")"),"A) 中国非物质文化遗产")</f>
        <v>A) 中国非物质文化遗产</v>
      </c>
      <c r="K143" s="5" t="str">
        <f>IFERROR(__xludf.DUMMYFUNCTION("GOOGLETRANSLATE(E143, ""en"", ""zh"")"),"#VALUE!")</f>
        <v>#VALUE!</v>
      </c>
    </row>
    <row r="144">
      <c r="A144" s="6">
        <v>143.0</v>
      </c>
      <c r="B144" s="18" t="s">
        <v>2553</v>
      </c>
      <c r="C144" s="18" t="s">
        <v>2554</v>
      </c>
      <c r="D144" s="18" t="s">
        <v>1299</v>
      </c>
      <c r="H144" s="5" t="str">
        <f>IFERROR(__xludf.DUMMYFUNCTION("GOOGLETRANSLATE(B144, ""en"", ""zh"")"),"太极拳的动作旨在培养：")</f>
        <v>太极拳的动作旨在培养：</v>
      </c>
      <c r="I144" s="5" t="str">
        <f>IFERROR(__xludf.DUMMYFUNCTION("GOOGLETRANSLATE(C144, ""en"", ""zh"")"),"A) 身心和谐 B) 柔韧性 C) 平衡感 D) 以上全部")</f>
        <v>A) 身心和谐 B) 柔韧性 C) 平衡感 D) 以上全部</v>
      </c>
      <c r="J144" s="5" t="str">
        <f>IFERROR(__xludf.DUMMYFUNCTION("GOOGLETRANSLATE(D144, ""en"", ""zh"")"),"D) 以上所有选项")</f>
        <v>D) 以上所有选项</v>
      </c>
      <c r="K144" s="5" t="str">
        <f>IFERROR(__xludf.DUMMYFUNCTION("GOOGLETRANSLATE(E144, ""en"", ""zh"")"),"#VALUE!")</f>
        <v>#VALUE!</v>
      </c>
    </row>
  </sheetData>
  <drawing r:id="rId1"/>
  <tableParts count="2">
    <tablePart r:id="rId4"/>
    <tablePart r:id="rId5"/>
  </tableParts>
</worksheet>
</file>
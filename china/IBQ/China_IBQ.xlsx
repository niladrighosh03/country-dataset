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i_chi" sheetId="1" r:id="rId4"/>
    <sheet state="visible" name="cuju" sheetId="2" r:id="rId5"/>
    <sheet state="visible" name="Dragon_boat_racing" sheetId="3" r:id="rId6"/>
    <sheet state="visible" name="go" sheetId="4" r:id="rId7"/>
    <sheet state="visible" name="gianzi" sheetId="5" r:id="rId8"/>
    <sheet state="visible" name="kung_fu" sheetId="6" r:id="rId9"/>
  </sheets>
  <definedNames/>
  <calcPr/>
</workbook>
</file>

<file path=xl/sharedStrings.xml><?xml version="1.0" encoding="utf-8"?>
<sst xmlns="http://schemas.openxmlformats.org/spreadsheetml/2006/main" count="5808" uniqueCount="3250">
  <si>
    <t>Image Namez</t>
  </si>
  <si>
    <t>Serial No.z</t>
  </si>
  <si>
    <t>Questionz</t>
  </si>
  <si>
    <t>Option 1z</t>
  </si>
  <si>
    <t>Option 2z</t>
  </si>
  <si>
    <t>Option 3z</t>
  </si>
  <si>
    <t>Option 4z</t>
  </si>
  <si>
    <t>Correct Answerz</t>
  </si>
  <si>
    <t>Descriptionz</t>
  </si>
  <si>
    <t>Image Name</t>
  </si>
  <si>
    <t>Serial No.</t>
  </si>
  <si>
    <t>Question</t>
  </si>
  <si>
    <t>Option 1</t>
  </si>
  <si>
    <t>Option 2</t>
  </si>
  <si>
    <t>Option 3</t>
  </si>
  <si>
    <t>Option 4</t>
  </si>
  <si>
    <t>Options</t>
  </si>
  <si>
    <t>Correct Answer</t>
  </si>
  <si>
    <t>Description</t>
  </si>
  <si>
    <t>tai_chi_8.jpg</t>
  </si>
  <si>
    <t>What type of sword is the practitioner using?</t>
  </si>
  <si>
    <t>Katana</t>
  </si>
  <si>
    <t>Jian</t>
  </si>
  <si>
    <t>Sabre</t>
  </si>
  <si>
    <t>Scimitar</t>
  </si>
  <si>
    <t>The sword used in Tai Chi is traditionally a Jian, a straight, double-edged Chinese sword, as opposed to a curved blade like a katana or sabre.</t>
  </si>
  <si>
    <t>The practitioner is performing a posture known for its balance and stability. What is this posture called?</t>
  </si>
  <si>
    <t>Horse Stance</t>
  </si>
  <si>
    <t>Bow Stance</t>
  </si>
  <si>
    <t>Crane Stance</t>
  </si>
  <si>
    <t>Empty Stance</t>
  </si>
  <si>
    <t>The practitioner is in a Bow Stance (Gong Bu), a fundamental posture in Tai Chi characterized by a forward weight shift and a bent front leg.</t>
  </si>
  <si>
    <t>(A) 马步 (B) 弓步 (C) 起重机姿态 (D) 空位</t>
  </si>
  <si>
    <t>What is the likely purpose of the red tassel attached to the sword?</t>
  </si>
  <si>
    <t>Decoration and aesthetics</t>
  </si>
  <si>
    <t>To improve grip</t>
  </si>
  <si>
    <t>To mark the balance point</t>
  </si>
  <si>
    <t>To provide visual feedback on the sword's movement and speed</t>
  </si>
  <si>
    <t>The tassel is used to provide visual feedback to the practitioner, helping them understand the flow and rhythm of the sword's movement, and indicating if the movement is smooth or jerky.</t>
  </si>
  <si>
    <t>(A) 装饰与美学 (B) 为了提高握力 (C) 为了标记平衡点 (D) 为了提供关于剑的运动和速度的视觉反馈</t>
  </si>
  <si>
    <t>Based on the background, where is this Tai Chi session likely taking place?</t>
  </si>
  <si>
    <t>A dense forest</t>
  </si>
  <si>
    <t>An urban rooftop or elevated platform</t>
  </si>
  <si>
    <t>An indoor studio</t>
  </si>
  <si>
    <t>A sandy beach</t>
  </si>
  <si>
    <t>The image shows a paved surface with a railing and buildings in the distance, suggesting an elevated outdoor location like a rooftop or balcony overlooking a city.</t>
  </si>
  <si>
    <t>(A) 一片茂密的森林 (B) 城市屋顶或高架平台 (C) 室内工作室 (D) 沙滩</t>
  </si>
  <si>
    <t>The clothing worn by the practitioner is typical for Tai Chi. What is it called?</t>
  </si>
  <si>
    <t>Kimono</t>
  </si>
  <si>
    <t>Gi</t>
  </si>
  <si>
    <t>Hanfu</t>
  </si>
  <si>
    <t>Tai Chi Uniform (I Fu)</t>
  </si>
  <si>
    <t>The traditional attire for practicing Tai Chi is a loose-fitting uniform called an I Fu or Tai Chi uniform, designed for comfort and unrestricted movement.</t>
  </si>
  <si>
    <t>(A) 和服 (B) 吉 (C) 汉服 (D) 太极服（I Fu）</t>
  </si>
  <si>
    <t>tai_chi_11.jpg</t>
  </si>
  <si>
    <t>What is the collective activity shown in the image?</t>
  </si>
  <si>
    <t>A protest march</t>
  </si>
  <si>
    <t>A meditation session</t>
  </si>
  <si>
    <t>A group performance or class</t>
  </si>
  <si>
    <t>A running race</t>
  </si>
  <si>
    <t>The image shows a large group of people in similar attire performing synchronized movements, which is characteristic of a Tai Chi group practice or performance.</t>
  </si>
  <si>
    <t>(A) 抗议游行 (B) 冥想课程 (C) 集体表演或课程 (D) 一场跑步比赛</t>
  </si>
  <si>
    <t>Based on the participants' demographics, what is a key benefit often associated with Tai Chi?</t>
  </si>
  <si>
    <t>A high-intensity cardio workout</t>
  </si>
  <si>
    <t>Building muscle mass</t>
  </si>
  <si>
    <t>Improving balance and mobility in older adults</t>
  </si>
  <si>
    <t>Competitive fighting</t>
  </si>
  <si>
    <t>Tai Chi is well-known for its gentle movements and focus on balance, making it a popular and effective practice for improving mobility and stability, particularly among older populations.</t>
  </si>
  <si>
    <t>(A) 高强度有氧运动 (B) 增加肌肉量 (C) 改善老年人的平衡能力和活动能力 (D) 竞技格斗</t>
  </si>
  <si>
    <t>The participants are wearing loose-fitting white uniforms. What is the primary reason for this type of clothing?</t>
  </si>
  <si>
    <t>To make them feel light</t>
  </si>
  <si>
    <t>For aesthetic uniformity</t>
  </si>
  <si>
    <t>To allow for fluid and unrestricted movement</t>
  </si>
  <si>
    <t>To signify a specific rank</t>
  </si>
  <si>
    <t>Loose-fitting clothing is essential for Tai Chi as it allows the body to move freely and without restriction, which is crucial for performing the slow, continuous movements correctly.</t>
  </si>
  <si>
    <t>(A) 为了让他们感到轻松 (B) 为了美观统一 (C) 为了实现流畅、不受限制的运动 (D) 表示特定等级</t>
  </si>
  <si>
    <t>What is the overall atmosphere conveyed by the synchronized movements of the group?</t>
  </si>
  <si>
    <t>Aggression and competition</t>
  </si>
  <si>
    <t>Calmness and collective harmony</t>
  </si>
  <si>
    <t>Chaos and disorder</t>
  </si>
  <si>
    <t>Intense physical effort</t>
  </si>
  <si>
    <t>The synchronized, slow, and fluid movements of the large group create a sense of collective harmony and a calm, tranquil atmosphere.</t>
  </si>
  <si>
    <t>(A) 侵略性和竞争 (B) 平静与集体和谐 (C) 混乱与无序 (D) 剧烈的体力消耗</t>
  </si>
  <si>
    <t>This type of large-scale group practice is most commonly seen in which country?</t>
  </si>
  <si>
    <t>Japan</t>
  </si>
  <si>
    <t>South Korea</t>
  </si>
  <si>
    <t>China</t>
  </si>
  <si>
    <t>Vietnam</t>
  </si>
  <si>
    <t>Large-scale group Tai Chi practice in public parks is a very common cultural and daily activity in China, often done in the mornings.</t>
  </si>
  <si>
    <t>(A) 日本 (B) 韩国 (C) 中国 (D) 越南</t>
  </si>
  <si>
    <t>tai_chi_19.jpg</t>
  </si>
  <si>
    <t>Based on the setting, what is a likely advantage of practicing Tai Chi here?</t>
  </si>
  <si>
    <t>The soft sand provides a cushioned surface</t>
  </si>
  <si>
    <t>The sound of the waves helps with focus</t>
  </si>
  <si>
    <t>The proximity to water is purifying</t>
  </si>
  <si>
    <t>The open space and natural sounds aid in relaxation and mindfulness</t>
  </si>
  <si>
    <t>Practicing Tai Chi in a serene natural setting like a beach, with the sounds of the ocean and an open horizon, can enhance the meditative and calming aspects of the practice.</t>
  </si>
  <si>
    <t>(A) 柔软的沙子提供了缓冲表面。 (B) 海浪声有助于集中注意力。 (C) 靠近水源具有净化作用 (D) 开阔的空间和自然的声音有助于放松和集中注意力。</t>
  </si>
  <si>
    <t>What is the purpose of the open hand posture seen in the image?</t>
  </si>
  <si>
    <t>To signal a greeting</t>
  </si>
  <si>
    <t>To show an open-hand strike</t>
  </si>
  <si>
    <t>To receive and guide energy</t>
  </si>
  <si>
    <t>To measure the distance to the water</t>
  </si>
  <si>
    <t>In Tai Chi, the open hand is often used to symbolize a posture of "receiving" or "guiding" energy (Qi), which is a core concept in the practice.</t>
  </si>
  <si>
    <t>(A) 表示问候 (B) 展示一次张开的手掌击打 (C) 接收和引导能量 (D) 测量到水的距离</t>
  </si>
  <si>
    <t>The practitioner is wearing a specific type of clothing. How is this choice related to the practice of Tai Chi?</t>
  </si>
  <si>
    <t>It protects against the sun</t>
  </si>
  <si>
    <t>It signifies a spiritual belief</t>
  </si>
  <si>
    <t>It's a standard uniform for all martial arts</t>
  </si>
  <si>
    <t>The loose fabric supports the fluid, non-forceful nature of the movements</t>
  </si>
  <si>
    <t>Tai Chi emphasizes smooth, continuous, and non-forceful movements, and the loose, flowing clothing complements this by not restricting the body in any way.</t>
  </si>
  <si>
    <t>(A) 它可以防晒。 (B) 它象征着一种精神信仰 (C) 这是所有武术的标准制服 (D) 宽松的面料衬托出动作的流畅性和柔和性。</t>
  </si>
  <si>
    <t>The practitioner's facial expression and posture suggest what state of mind?</t>
  </si>
  <si>
    <t>Agitation</t>
  </si>
  <si>
    <t>High concentration and peacefulness</t>
  </si>
  <si>
    <t>Confusion</t>
  </si>
  <si>
    <t>Fatigue</t>
  </si>
  <si>
    <t>The practitioner's focused gaze, calm posture, and serene environment collectively suggest a state of deep concentration and peacefulness, central to Tai Chi's meditative nature.</t>
  </si>
  <si>
    <t>(A) 搅动 (B) 高度专注与平静 (C) 困惑 (D) 疲劳</t>
  </si>
  <si>
    <t>What is the benefit of performing Tai Chi outdoors, as shown in the image?</t>
  </si>
  <si>
    <t>It's a competitive advantage</t>
  </si>
  <si>
    <t>It improves cardiovascular health</t>
  </si>
  <si>
    <t>It connects the practitioner with nature and natural energies</t>
  </si>
  <si>
    <t>It's a way to show off skills</t>
  </si>
  <si>
    <t>Practicing Tai Chi outdoors, particularly in a natural setting, is believed to enhance the connection to nature and a person's inner energy flow (Qi).</t>
  </si>
  <si>
    <t>(A) 这是竞争优势 (B) 它能改善心血管健康 (C) 它将修行者与自然和自然能量联系起来。 (D) 这是一种炫耀技能的方式</t>
  </si>
  <si>
    <t>tai_chi_43.jpg</t>
  </si>
  <si>
    <t>What kind of ambiance does the soft, diffused lighting and natural background create?</t>
  </si>
  <si>
    <t>A tense, competitive atmosphere</t>
  </si>
  <si>
    <t>A vibrant, high-energy environment</t>
  </si>
  <si>
    <t>A tranquil and meditative mood</t>
  </si>
  <si>
    <t>A cold, distant feeling</t>
  </si>
  <si>
    <t>The soft lighting, green trees, and blurred background give the image a calm, tranquil, and almost spiritual feel, perfect for a meditative practice like Tai Chi.</t>
  </si>
  <si>
    <t>(A) 紧张、竞争的氛围 (B) 充满活力、高能量的环境 (C) 宁静而冥想的情绪 (D) 一种冰冷、疏离的感觉</t>
  </si>
  <si>
    <t>The practitioner's stance shows a lowered center of gravity. What is the purpose of this in Tai Chi?</t>
  </si>
  <si>
    <t>To make it easier to jump</t>
  </si>
  <si>
    <t>To increase speed</t>
  </si>
  <si>
    <t>To improve balance and stability</t>
  </si>
  <si>
    <t>To make the stance look more intimidating</t>
  </si>
  <si>
    <t>Lowering the center of gravity by bending the knees and settling into a stance is fundamental to Tai Chi, as it significantly enhances balance, stability, and root.</t>
  </si>
  <si>
    <t>(A) 为了更容易跳跃 (B) 为了提高速度 (C) 为了改善平衡性和稳定性 (D) 为了让姿势看起来更具威慑力</t>
  </si>
  <si>
    <t>What does the practitioner's focused gaze suggest about the practice?</t>
  </si>
  <si>
    <t>It's a performance for an audience</t>
  </si>
  <si>
    <t>It requires deep concentration and mindfulness</t>
  </si>
  <si>
    <t>He is looking for a partner</t>
  </si>
  <si>
    <t>It's a form of physical exercise only</t>
  </si>
  <si>
    <t>The focused gaze and calm expression indicate that Tai Chi is a practice of mindfulness, requiring deep mental engagement and concentration on each movement.</t>
  </si>
  <si>
    <t>(A) 这是一场面向观众的表演。 (B) 它需要高度集中注意力和正念。 (C) 他正在寻找伴侣 (D) 它只是一种体育锻炼形式。</t>
  </si>
  <si>
    <t>The clothing is dark and simple. What does this suggest about the focus of the practice?</t>
  </si>
  <si>
    <t>It is an aggressive form of martial arts</t>
  </si>
  <si>
    <t>It's meant to be flashy and attention-grabbing</t>
  </si>
  <si>
    <t>The focus is on the internal movements, not external appearance</t>
  </si>
  <si>
    <t>It's a modern style of clothing</t>
  </si>
  <si>
    <t>The simple, dark clothing is non-distracting, directing the focus away from external appearances and towards the internal feelings, energy flow, and the subtle movements of the body.</t>
  </si>
  <si>
    <t>(A) 它是一种极具攻击性的武术形式 (B) 它旨在引人注目，引人注目。 (C) 重点在于内部运动，而非外部表现。 (D) 这是一种现代风格的服装。</t>
  </si>
  <si>
    <t>The practitioner is performing a posture that involves both hands. What concept is this motion demonstrating?</t>
  </si>
  <si>
    <t>Striking a target</t>
  </si>
  <si>
    <t>Block and parry</t>
  </si>
  <si>
    <t>The interplay of yin and yang</t>
  </si>
  <si>
    <t>Stretching the muscles</t>
  </si>
  <si>
    <t>Many Tai Chi movements, like this one, involve two hands moving in opposition or in a complementary manner, symbolizing the yin-yang concept of balanced and harmonious forces.</t>
  </si>
  <si>
    <t>(A) 击中目标 (B) 格挡和招架 (C) 阴阳的相互作用 (D) 拉伸肌肉</t>
  </si>
  <si>
    <t>tai_chi_16.jpg</t>
  </si>
  <si>
    <t>What is the most prominent visual element of this image?</t>
  </si>
  <si>
    <t>The color of the uniforms</t>
  </si>
  <si>
    <t>The background architecture</t>
  </si>
  <si>
    <t>The elevated hands of the main practitioner</t>
  </si>
  <si>
    <t>The red carpet</t>
  </si>
  <si>
    <t>The image is composed in a way that draws the eye to the central practitioner, whose hands are raised high, making her the focal point of the photo.</t>
  </si>
  <si>
    <t>(A) 制服的颜色 (B) 背景架构 (C) 主执业者高举的双手 (D) 红毯</t>
  </si>
  <si>
    <t>Why do the practitioners wear uniforms of the same color?</t>
  </si>
  <si>
    <t>It's a requirement for membership</t>
  </si>
  <si>
    <t>It signifies a spiritual commitment</t>
  </si>
  <si>
    <t>It creates visual unity and a sense of community</t>
  </si>
  <si>
    <t>It's a traditional family custom</t>
  </si>
  <si>
    <t>Wearing matching uniforms helps create a sense of unity and community among the practitioners and makes the group look cohesive during a public performance.</t>
  </si>
  <si>
    <t>(A) 这是会员资格的必要条件。 (B) 它象征着一种精神上的奉献。 (C) 它营造了视觉上的统一性和社区感。 (D) 这是家族的传统习俗</t>
  </si>
  <si>
    <t>The movements shown, with raised hands, are often associated with what?</t>
  </si>
  <si>
    <t>Reaching for an object</t>
  </si>
  <si>
    <t>Pushing against an imaginary force</t>
  </si>
  <si>
    <t>A final pose</t>
  </si>
  <si>
    <t>A welcoming gesture</t>
  </si>
  <si>
    <t>Many Tai Chi movements involve pushing or "press" postures, where the practitioner extends their hands as if pushing against a soft but resistant force.</t>
  </si>
  <si>
    <t>(A) 伸手去拿物体 (B) 对抗一股假想的力量 (C) 最终姿势 (D) 一个友好的姿态</t>
  </si>
  <si>
    <t>Given the large group and formal setting, what event might this be?</t>
  </si>
  <si>
    <t>A daily morning class</t>
  </si>
  <si>
    <t>A martial arts competition</t>
  </si>
  <si>
    <t>A special public performance or demonstration</t>
  </si>
  <si>
    <t>A private workshop</t>
  </si>
  <si>
    <t>The scale of the group, the matching uniforms, the red carpet, and the presence of a notable background suggest this is a formal public event rather than a casual daily practice.</t>
  </si>
  <si>
    <t>(A) 每日晨间课程 (B) 一场武术比赛 (C) 一场特别的公开表演或示威活动 (D) 私人工作室</t>
  </si>
  <si>
    <t>What is the purpose of the open palms in the practitioners' hand gestures?</t>
  </si>
  <si>
    <t>To signify an unarmed state</t>
  </si>
  <si>
    <t>To show readiness for combat</t>
  </si>
  <si>
    <t>To absorb energy</t>
  </si>
  <si>
    <t>To show balance and open-mindedness</t>
  </si>
  <si>
    <t>Open palms are common in Tai Chi, representing not just a lack of aggression but also a posture of openness, balance, and receptivity to energy and the environment.</t>
  </si>
  <si>
    <t>(A) 表示一个非武装国家 (B) 为展现战斗准备 (C) 吸收能量 (D) 展现平衡和开放的心态</t>
  </si>
  <si>
    <t>tai_chi_44.jpg</t>
  </si>
  <si>
    <t>What is the activity being performed in this image?</t>
  </si>
  <si>
    <t>A gymnastics routine</t>
  </si>
  <si>
    <t>A wrestling match</t>
  </si>
  <si>
    <t>A Judo throw</t>
  </si>
  <si>
    <t>A Tai Chi push-hands drill</t>
  </si>
  <si>
    <t>The image clearly shows one person throwing another using their hip, which is a classic Judo throwing technique, not a Tai Chi movement.</t>
  </si>
  <si>
    <t>(A) 一套体操动作 (B) 一场摔跤比赛 (C) 柔道投技 (D) 太极推手练习</t>
  </si>
  <si>
    <t>How does this activity differ from traditional Tai Chi?</t>
  </si>
  <si>
    <t>It uses weapons</t>
  </si>
  <si>
    <t>It is a cooperative activity</t>
  </si>
  <si>
    <t>It is a martial art</t>
  </si>
  <si>
    <t>It is a high-impact, competitive sport with a focus on throws</t>
  </si>
  <si>
    <t>Unlike the slow, gentle movements of Tai Chi, this activity is a dynamic, competitive sport with explosive movements and a focus on throwing an opponent, making it distinctly different.</t>
  </si>
  <si>
    <t>(A) 它使用武器 (B) 这是一项合作活动 (C) 它是一种武术 (D) 这是一项高强度、竞争激烈的运动，以投掷为重点。</t>
  </si>
  <si>
    <t>The clothing worn by the participants is known as what?</t>
  </si>
  <si>
    <t>Tai Chi uniform</t>
  </si>
  <si>
    <t>Dobok</t>
  </si>
  <si>
    <t>The uniform worn by Judo and other Japanese martial arts practitioners is called a Gi.</t>
  </si>
  <si>
    <t>(A) 和服 (B) 吉 (C) 太极服 (D) 多博克</t>
  </si>
  <si>
    <t>Which martial art's name translates to "the gentle way"?</t>
  </si>
  <si>
    <t>Tai Chi</t>
  </si>
  <si>
    <t>Judo</t>
  </si>
  <si>
    <t>Karate</t>
  </si>
  <si>
    <t>Kung Fu</t>
  </si>
  <si>
    <t>The name Judo translates from Japanese to "the gentle way," which refers to the principle of using an opponent's momentum against them rather than brute force.</t>
  </si>
  <si>
    <t>(A) 太极 (B) 柔道 (C) 空手道 (D) 功夫</t>
  </si>
  <si>
    <t>What is a core principle demonstrated by the action in this photo, which is also a concept in some internal martial arts?</t>
  </si>
  <si>
    <t>brute strength</t>
  </si>
  <si>
    <t>linear power</t>
  </si>
  <si>
    <t>yielding to overcome force</t>
  </si>
  <si>
    <t>rigid defense</t>
  </si>
  <si>
    <t>The technique shown in the image involves yielding to the opponent's force to unbalance and throw them, a principle that is also central to many internal martial arts like Tai Chi.</t>
  </si>
  <si>
    <t>(A) 蛮力 (B) 线性功率 (C) 屈服于力量 (D) 严密防御</t>
  </si>
  <si>
    <t>tai_chi_36.jpg</t>
  </si>
  <si>
    <t>The practitioners are performing synchronized movements. What does this indicate about the practice?</t>
  </si>
  <si>
    <t>It is a dance routine</t>
  </si>
  <si>
    <t>It follows a pre-set form or sequence of movements</t>
  </si>
  <si>
    <t>It's an improvisational exercise</t>
  </si>
  <si>
    <t>It is a competitive sport</t>
  </si>
  <si>
    <t>Tai Chi is practiced using "forms" or sequences of movements that are memorized and performed in a specific order, which is why the movements are synchronized.</t>
  </si>
  <si>
    <t>(A) 这是一套舞蹈动作。 (B) 它遵循预先设定的动作形式或顺序。 (C) 这是一次即兴练习 (D) 这是一项竞技运动。</t>
  </si>
  <si>
    <t>Based on the setting, what time of day is this likely taking place?</t>
  </si>
  <si>
    <t>Late at night</t>
  </si>
  <si>
    <t>The middle of the afternoon</t>
  </si>
  <si>
    <t>Early morning or late afternoon</t>
  </si>
  <si>
    <t>During a midday lunch break</t>
  </si>
  <si>
    <t>The soft, golden lighting suggests either early morning or late afternoon, a common time for outdoor Tai Chi practice to avoid the midday sun and heat.</t>
  </si>
  <si>
    <t>(A) 深夜 (B) 下午中段 (C) 清晨或傍晚 (D) 午休时间</t>
  </si>
  <si>
    <t>The participants are spaced evenly apart. What is the reason for this?</t>
  </si>
  <si>
    <t>To avoid bumping into each other and to allow for full range of motion</t>
  </si>
  <si>
    <t>To create a specific visual pattern</t>
  </si>
  <si>
    <t>To signal a physical distance</t>
  </si>
  <si>
    <t>To follow social distancing rules</t>
  </si>
  <si>
    <t>Proper spacing is crucial in a group setting to ensure that each practitioner has enough room to perform all movements fully without making contact with others.</t>
  </si>
  <si>
    <t>(A) 为了避免相互碰撞并允许充分的活动范围 (B) 创建特定的视觉图案 (C) 表示物理距离 (D) 遵守社交距离规则</t>
  </si>
  <si>
    <t>What is a key benefit of this type of group practice?</t>
  </si>
  <si>
    <t>It promotes social interaction and community</t>
  </si>
  <si>
    <t>It provides a more challenging workout</t>
  </si>
  <si>
    <t>It requires more strenuous effort</t>
  </si>
  <si>
    <t>It is more effective for weight loss</t>
  </si>
  <si>
    <t>Group practice fosters a sense of community and provides a social outlet for participants, which is a significant benefit beyond the physical exercise.</t>
  </si>
  <si>
    <t>(A) 它促进了社会互动和社区建设。 (B) 它提供了一种更具挑战性的锻炼方式。 (C) 这需要付出更大的努力。 (D) 它对减肥更有效</t>
  </si>
  <si>
    <t>The posture with extended arms suggests what core principle of Tai Chi?</t>
  </si>
  <si>
    <t>Holding a weapon</t>
  </si>
  <si>
    <t>Pushing away a force</t>
  </si>
  <si>
    <t>The concept of "listening" with the hands</t>
  </si>
  <si>
    <t>The principle of extension and relaxation</t>
  </si>
  <si>
    <t>Extending the arms slowly and with control demonstrates the Tai Chi principle of reaching outwards while maintaining a state of deep relaxation, promoting the flow of energy.</t>
  </si>
  <si>
    <t>(A) 手持武器 (B) 推开一股力量 (C) 用手“聆听”的概念 (D) 伸展和松弛原理</t>
  </si>
  <si>
    <t>tai_chi_21.jpg</t>
  </si>
  <si>
    <t>The woman in the foreground is in a posture that emphasizes which principle of Tai Chi?</t>
  </si>
  <si>
    <t>Rooting</t>
  </si>
  <si>
    <t>Jumping</t>
  </si>
  <si>
    <t>Kicking</t>
  </si>
  <si>
    <t>Punching</t>
  </si>
  <si>
    <t>The posture, with a low center of gravity and a wide stance, shows the principle of rooting, where the practitioner feels connected and stable, as if rooted to the ground.</t>
  </si>
  <si>
    <t>(A) 生根 (B) 跳跃 (C) 踢 (D) 冲孔</t>
  </si>
  <si>
    <t>The background shows a diverse group of people. What does this suggest about Tai Chi?</t>
  </si>
  <si>
    <t>It is only practiced by professionals</t>
  </si>
  <si>
    <t>It is an inclusive practice accessible to many</t>
  </si>
  <si>
    <t>It is a new form of exercise</t>
  </si>
  <si>
    <t>The presence of a diverse group of people in the background shows that Tai Chi is a highly inclusive practice, accessible to people of different ages, genders, and fitness levels.</t>
  </si>
  <si>
    <t>(A) 这是一项竞技运动。 (B) 只有专业人士才会这样做。 (C) 这是一种包容性很强的做法，许多人都可以参与。 (D) 这是一种新的运动形式</t>
  </si>
  <si>
    <t>The setting is a park or public space. Why is this a common location for Tai Chi?</t>
  </si>
  <si>
    <t>It's the only place with enough space</t>
  </si>
  <si>
    <t>It's a way to practice without cost</t>
  </si>
  <si>
    <t>It allows the practitioner to connect with nature and community</t>
  </si>
  <si>
    <t>It's a requirement from instructors</t>
  </si>
  <si>
    <t>Public parks are ideal for Tai Chi as they provide ample space and allow practitioners to enjoy fresh air and the company of others in a community setting.</t>
  </si>
  <si>
    <t>(A) 这是唯一有足够空间的地方 (B) 这是一种无需花费任何成本的练习方式。 (C) 它使修行者能够与自然和社区建立联系。 (D) 这是老师的要求。</t>
  </si>
  <si>
    <t>What is the likely purpose of the practitioner’s gaze?</t>
  </si>
  <si>
    <t>To check her form in a mirror</t>
  </si>
  <si>
    <t>To watch her surroundings</t>
  </si>
  <si>
    <t>To focus on a single point to aid in concentration</t>
  </si>
  <si>
    <t>To look at the camera</t>
  </si>
  <si>
    <t>A steady, focused gaze is a technique used in Tai Chi and other meditative practices to aid in mental focus and concentration, blocking out distractions.</t>
  </si>
  <si>
    <t>(A) 对着镜子检查她的姿势 (B) 观察周围环境 (C) 专注于一点有助于集中注意力 (D) 看向镜头</t>
  </si>
  <si>
    <t>The practitioner's posture is slow and controlled. What is a primary health benefit of this type of movement?</t>
  </si>
  <si>
    <t>A high-calorie burn</t>
  </si>
  <si>
    <t>Improved cardiovascular health</t>
  </si>
  <si>
    <t>Enhanced balance, flexibility, and coordination</t>
  </si>
  <si>
    <t>Increased muscle mass</t>
  </si>
  <si>
    <t>The slow, deliberate movements of Tai Chi are excellent for improving balance, increasing flexibility, and enhancing coordination, which are key health benefits.</t>
  </si>
  <si>
    <t>(A) 高热量燃烧 (B) 心血管健康改善 (C) 增强平衡能力、灵活性和协调性 (D) 肌肉量增加</t>
  </si>
  <si>
    <t>tai_chi_7.jpg</t>
  </si>
  <si>
    <t>The practitioner is facing away from the viewer. What is the likely reason for this?</t>
  </si>
  <si>
    <t>To protect her identity</t>
  </si>
  <si>
    <t>To emphasize the landscape</t>
  </si>
  <si>
    <t>To show the specific back posture</t>
  </si>
  <si>
    <t>To allow the viewer to focus on the form itself without distraction from the face</t>
  </si>
  <si>
    <t>By facing away, the image directs the viewer's attention to the posture, the lines of the body, and the relationship between the form and the surrounding landscape, without the distraction of facial expression.</t>
  </si>
  <si>
    <t>(A) 为了保护她的身份 (B) 为了突出景观 (C) 为了展示具体的背部姿势 (D) 使观者能够专注于造型本身，而不会被面部分散注意力。</t>
  </si>
  <si>
    <t>What does the silhouette of the practitioner against the sunset suggest?</t>
  </si>
  <si>
    <t>It's a late-night practice</t>
  </si>
  <si>
    <t>It's a morning practice</t>
  </si>
  <si>
    <t>It's a solitary, reflective practice</t>
  </si>
  <si>
    <t>It's a practice for a large group</t>
  </si>
  <si>
    <t>The single practitioner and the serene sunset lighting create a feeling of peace and solitude, suggesting a personal, introspective practice rather than a group activity.</t>
  </si>
  <si>
    <t>(A) 这是一项深夜练习 (B) 这是晨练。 (C) 这是一种独自进行的反思性实践。 (D) 这是大型团体的练习。</t>
  </si>
  <si>
    <t>The practitioner's form shows one hand raised and the other extended forward. What is this a classic representation of?</t>
  </si>
  <si>
    <t>The Tai Chi symbol</t>
  </si>
  <si>
    <t>A defensive block</t>
  </si>
  <si>
    <t>The concept of "separating" and "gathering"</t>
  </si>
  <si>
    <t>A striking motion</t>
  </si>
  <si>
    <t>Many Tai Chi movements involve one hand moving up or out while the other moves down or in, symbolizing the simultaneous actions of separating (dispelling) and gathering energy, a core concept in Tai Chi.</t>
  </si>
  <si>
    <t>(A) 太极符号 (B) 防守阵型 (C) “分离”与“聚集”的概念 (D) 一个引人注目的动作</t>
  </si>
  <si>
    <t>The clothing appears to be made of light, flowing fabric. What does this fabric choice help with?</t>
  </si>
  <si>
    <t>It makes the person warmer</t>
  </si>
  <si>
    <t>It's a fashion statement</t>
  </si>
  <si>
    <t>It complements the fluid, continuous movements</t>
  </si>
  <si>
    <t>The light, flowing fabric of the clothing moves with the body, visually complementing the graceful and continuous nature of Tai Chi movements.</t>
  </si>
  <si>
    <t>(A) 它使人感到温暖 (B) 这是一种时尚宣言 (C) 它与流畅、连续的动作相得益彰。 (D) 它象征着一种精神信仰</t>
  </si>
  <si>
    <t>What is a core principle shown in the practitioner's posture, with one leg forward and bent?</t>
  </si>
  <si>
    <t>Aggressive footwork</t>
  </si>
  <si>
    <t>A high-energy workout</t>
  </si>
  <si>
    <t>A stable foundation with weight distributed</t>
  </si>
  <si>
    <t>A jumping motion</t>
  </si>
  <si>
    <t>The bent front leg and extended back leg create a strong, stable foundation, which is essential for proper weight distribution and balance in Tai Chi.</t>
  </si>
  <si>
    <t>(A) 积极的步法 (B) 高强度锻炼 (C) 重量分布均匀的稳定地基 (D) 跳跃动作</t>
  </si>
  <si>
    <t>tai_chi_33.jpg</t>
  </si>
  <si>
    <t>What is the main subject of the image?</t>
  </si>
  <si>
    <t>A single practitioner in a black uniform</t>
  </si>
  <si>
    <t>A crowd of onlookers</t>
  </si>
  <si>
    <t>A group of people stretching</t>
  </si>
  <si>
    <t>Although others are in the background, the main subject is the man in the foreground wearing the black Tai Chi uniform, who is in sharp focus.</t>
  </si>
  <si>
    <t>(A) 一位身穿黑色制服的执业者 (B) 一群围观者 (C) 一群人伸展身体 (D) 一场武术比赛</t>
  </si>
  <si>
    <t>The practitioner's stance is low and wide. What is the primary purpose of this?</t>
  </si>
  <si>
    <t>To make the practitioner look shorter</t>
  </si>
  <si>
    <t>To demonstrate advanced flexibility</t>
  </si>
  <si>
    <t>To build a strong base and improve leg strength</t>
  </si>
  <si>
    <t>To prepare for a sprint</t>
  </si>
  <si>
    <t>A low, wide stance is fundamental to Tai Chi, as it strengthens the legs and core, providing a stable foundation and building what is known as "root."</t>
  </si>
  <si>
    <t>(A) 为了让从业者看起来更矮 (B) 为了展示高级灵活性 (C) 夯实基础，增强腿部力量 (D) 为冲刺做准备</t>
  </si>
  <si>
    <t>What does the uniform color (black with red trim) signify in this context?</t>
  </si>
  <si>
    <t>It is a common uniform color for Tai Chi, but does not have a specific meaning.</t>
  </si>
  <si>
    <t>It signifies a high rank</t>
  </si>
  <si>
    <t>It is the official uniform of a specific school or style</t>
  </si>
  <si>
    <t>It signifies a different martial art</t>
  </si>
  <si>
    <t>While some schools may use colors to signify specific affiliations, black is a very common and traditional uniform color in Tai Chi, often chosen for its simple elegance and classic look.</t>
  </si>
  <si>
    <t>(A) 这是太极拳中常见的制服颜色，但并没有什么特殊含义。 (B) 它象征着高等级 (C) 这是特定学校或风格的官方制服。 (D) 它代表着一种不同的武术。</t>
  </si>
  <si>
    <t>The hands of the main practitioner are in a circular motion. What does this motion represent in Tai Chi?</t>
  </si>
  <si>
    <t>A form of attack</t>
  </si>
  <si>
    <t>The flow of energy and the principle of yielding</t>
  </si>
  <si>
    <t>The act of grabbing</t>
  </si>
  <si>
    <t>A signal to others</t>
  </si>
  <si>
    <t>Circular motions are central to Tai Chi, representing the continuous flow of energy (Qi) and the principle of yielding to an opponent's force by redirecting it in a circular path.</t>
  </si>
  <si>
    <t>(A) 一种攻击形式 (B) 能量流动与屈服原理 (C) 抓取行为 (D) 向他人发出信号</t>
  </si>
  <si>
    <t>The practitioner is in a park-like setting. This is a common scene in which country's culture?</t>
  </si>
  <si>
    <t>Brazil</t>
  </si>
  <si>
    <t>Russia</t>
  </si>
  <si>
    <t>The scene of people practicing Tai Chi in a public park is a quintessential part of daily life and public culture in China.</t>
  </si>
  <si>
    <t>(A) 日本 (B) 巴西 (C) 中国 (D) 俄罗斯</t>
  </si>
  <si>
    <t>tai_chi_45.jpg</t>
  </si>
  <si>
    <t>What is the likely age range of the group of people practicing Tai Chi in the image?</t>
  </si>
  <si>
    <t>Teenagers</t>
  </si>
  <si>
    <t>Young adults</t>
  </si>
  <si>
    <t>Middle-aged individuals</t>
  </si>
  <si>
    <t>Elderly individuals</t>
  </si>
  <si>
    <t>Based on their gray hair and general appearance, the people in the image are most likely elderly, which is a common demographic for Tai Chi practitioners due to the practice's health benefits.</t>
  </si>
  <si>
    <t>(A) 青少年 (B) 青年人 (C) 中年人 (D) 老年人</t>
  </si>
  <si>
    <t>The main practitioner's clothing is what is traditionally worn for Tai Chi. What are its key features?</t>
  </si>
  <si>
    <t>It is tight-fitting to show muscle definition.</t>
  </si>
  <si>
    <t>It is loose and flowing to allow for full range of motion.</t>
  </si>
  <si>
    <t>It is made of thick, heavy fabric for warmth.</t>
  </si>
  <si>
    <t>It is brightly colored for visibility.</t>
  </si>
  <si>
    <t>Tai Chi uniforms are characteristically loose-fitting and made of lightweight fabric to ensure comfort and unrestricted movement during practice.</t>
  </si>
  <si>
    <t>(A) 它采用紧身设计，凸显肌肉线条。 (B) 它宽松飘逸，可以让你活动自如。 (C) 它采用厚重保暖的面料制成。 (D) 它的颜色鲜艳，便于辨认。</t>
  </si>
  <si>
    <t>Based on the setting, what is a likely reason this group is practicing here?</t>
  </si>
  <si>
    <t>The presence of a stage for performance.</t>
  </si>
  <si>
    <t>The natural surroundings provide a peaceful atmosphere.</t>
  </si>
  <si>
    <t>The area is designed for high-impact sports.</t>
  </si>
  <si>
    <t>The ground is slippery for a challenge.</t>
  </si>
  <si>
    <t>Practicing Tai Chi in a natural setting like a park with trees contributes to the calm and meditative aspect of the exercise.</t>
  </si>
  <si>
    <t>(A) 设有表演舞台。 (B) 自然环境营造出宁静祥和的氛围。 (C) 该区域专为高强度运动而设计。 (D) 地面湿滑，充满挑战。</t>
  </si>
  <si>
    <t>The practitioner in the foreground has a strong, low stance. What does this posture help to improve?</t>
  </si>
  <si>
    <t>Jumping ability</t>
  </si>
  <si>
    <t>Cardiovascular fitness</t>
  </si>
  <si>
    <t>Leg strength and balance</t>
  </si>
  <si>
    <t>Upper body muscle mass</t>
  </si>
  <si>
    <t>The low stance, or "horse stance" in many forms, is crucial for building a strong foundation, improving leg strength, and enhancing balance.</t>
  </si>
  <si>
    <t>(A) 跳跃能力 (B) 心血管健康 (C) 腿部力量和平衡 (D) 上半身肌肉质量</t>
  </si>
  <si>
    <t>What is the primary purpose of the slow, deliberate movements seen in this Tai Chi practice?</t>
  </si>
  <si>
    <t>To create a beautiful visual effect.</t>
  </si>
  <si>
    <t>To build explosive power and speed.</t>
  </si>
  <si>
    <t>To cultivate internal energy and mental focus.</t>
  </si>
  <si>
    <t>To cool down after a strenuous workout.</t>
  </si>
  <si>
    <t>The slow, controlled movements of Tai Chi are designed to help practitioners focus on their breath and internal energy (Qi), promoting a state of mental calm and mindfulness.</t>
  </si>
  <si>
    <t>(A) 创造美丽的视觉效果。 (B) 增强爆发力和速度。 (C) 培养内在能量和精神专注力。 (D) 剧烈运动后放松身心。</t>
  </si>
  <si>
    <t>tai_chi_51.jpg</t>
  </si>
  <si>
    <t>What does the diversity of the group in the image suggest about Tai Chi?</t>
  </si>
  <si>
    <t>It is a practice exclusive to specific ethnic groups.</t>
  </si>
  <si>
    <t>It is a practice for people from all backgrounds.</t>
  </si>
  <si>
    <t>It is a practice only for those with a high level of fitness.</t>
  </si>
  <si>
    <t>It is a practice only for specific age groups.</t>
  </si>
  <si>
    <t>The image shows people of different ages, genders, and ethnicities practicing together, demonstrating that Tai Chi is a widely accessible and inclusive activity.</t>
  </si>
  <si>
    <t>(A) 这是特定族群特有的习俗。 (B) 它适合所有背景的人练习。 (C) 这种锻炼方式只适合体能水平很高的人。 (D) 这种做法只适用于特定年龄段的人群。</t>
  </si>
  <si>
    <t>What is the purpose of the hand position, with the palm facing forward?</t>
  </si>
  <si>
    <t>It is a welcoming gesture.</t>
  </si>
  <si>
    <t>It is a striking motion.</t>
  </si>
  <si>
    <t>It is a defensive block.</t>
  </si>
  <si>
    <t>It is a posture to "push" or "press" an imaginary force.</t>
  </si>
  <si>
    <t>This hand posture is a fundamental Tai Chi movement, often called "push hands," where the practitioner applies gentle pressure as if pushing an imaginary opponent or force away.</t>
  </si>
  <si>
    <t>(A) 这是一个表示欢迎的举动。 (B) 这是一个引人注目的动作。 (C) 这是一个防守阻挡动作。 (D) 这是一种“推”或“按”想象中的力量的姿势。</t>
  </si>
  <si>
    <t>Why might the practitioners be wearing a watch or fitness tracker?</t>
  </si>
  <si>
    <t>To track their steps and calories burned.</t>
  </si>
  <si>
    <t>To time their movements.</t>
  </si>
  <si>
    <t>To signal the start and end of the session.</t>
  </si>
  <si>
    <t>To monitor their heart rate and overall health metrics.</t>
  </si>
  <si>
    <t>Modern practitioners often use fitness trackers to monitor biometric data like heart rate, which can show the subtle cardiovascular benefits of Tai Chi.</t>
  </si>
  <si>
    <t>(A) 记录他们的步数和消耗的卡路里。 (B) 把握他们的行动时机。 (C) 用于标记会议的开始和结束。 (D) 监测他们的心率和整体健康指标。</t>
  </si>
  <si>
    <t>The practitioners are in a relaxed, outdoor setting. What benefit does this offer?</t>
  </si>
  <si>
    <t>It allows for more difficult poses.</t>
  </si>
  <si>
    <t>It's a quiet environment for deep concentration.</t>
  </si>
  <si>
    <t>It offers a chance to get some fresh air and vitamin D.</t>
  </si>
  <si>
    <t>It provides a competitive environment.</t>
  </si>
  <si>
    <t>Practicing Tai Chi outdoors provides the added benefits of fresh air, sunlight (which provides vitamin D), and a connection with nature, which enhances the practice's overall well-being.</t>
  </si>
  <si>
    <t>(A) 它可以摆出更难的姿势。 (B) 这里环境安静，适合深度集中注意力。 (C) 它提供了一个呼吸新鲜空气和补充维生素D的机会。 (D) 它提供了一个竞争环境。</t>
  </si>
  <si>
    <t>What is the primary focus of the man in the foreground?</t>
  </si>
  <si>
    <t>His surroundings</t>
  </si>
  <si>
    <t>His instructor</t>
  </si>
  <si>
    <t>His own hands</t>
  </si>
  <si>
    <t>His feet</t>
  </si>
  <si>
    <t>The man's intense gaze is directed at his hands, indicating a focus on the precise movements and the internal energy (Qi) that Tai Chi movements are meant to guide.</t>
  </si>
  <si>
    <t>(A) 他的周围环境 (B) 他的教练 (C) 他自己的双手 (D) 他的脚</t>
  </si>
  <si>
    <t>tai_chi_77.jpg</t>
  </si>
  <si>
    <t>What is a notable characteristic of the environment in the image?</t>
  </si>
  <si>
    <t>A serene, rural landscape</t>
  </si>
  <si>
    <t>A modern urban setting</t>
  </si>
  <si>
    <t>The background of the image shows a body of water and several high-rise buildings, indicating that the practice is taking place in an urban, city environment.</t>
  </si>
  <si>
    <t>(A) 一片茂密的森林 (B) 宁静的乡村景色 (C) 现代都市环境 (D) 室内工作室</t>
  </si>
  <si>
    <t>The practitioner is in a posture with one leg forward and bent. What is this posture called?</t>
  </si>
  <si>
    <t>Cat Stance</t>
  </si>
  <si>
    <t>The practitioner is in a classic Bow Stance, which is one of the most common and fundamental stances in Tai Chi, emphasizing balance and stability.</t>
  </si>
  <si>
    <t>(A) 起重机姿态 (B) 马步 (C) 弓步 (D) 猫站姿</t>
  </si>
  <si>
    <t>What does the practitioner's posture, with her hands at chest level, represent?</t>
  </si>
  <si>
    <t>A fighting position</t>
  </si>
  <si>
    <t>A prayer pose</t>
  </si>
  <si>
    <t>The beginning of a form</t>
  </si>
  <si>
    <t>A "holding the ball" posture to contain energy</t>
  </si>
  <si>
    <t>The "holding the ball" posture is a foundational movement in Tai Chi, symbolizing the gathering of internal energy (Qi) and preparing for the next motion in a form.</t>
  </si>
  <si>
    <t>(A) 战斗姿势 (B) 祈祷姿势 (C) 表格的开头 (D) 持球姿势以控制能量</t>
  </si>
  <si>
    <t>The practitioner is alone in the frame. What does this suggest about the practice?</t>
  </si>
  <si>
    <t>It is a private class.</t>
  </si>
  <si>
    <t>It is a formal performance.</t>
  </si>
  <si>
    <t>It is a solitary and meditative exercise.</t>
  </si>
  <si>
    <t>It is a physical test.</t>
  </si>
  <si>
    <t>The image of a single person practicing Tai Chi in a serene setting suggests a solitary and reflective practice focused on personal well-being and meditation.</t>
  </si>
  <si>
    <t>(A) 这是一门私人课程。 (B) 这是一场正式演出。 (C) 这是一项独自进行的冥想练习。 (D) 这是一项体能测试。</t>
  </si>
  <si>
    <t>The clear blue sky and bright sunlight indicate what?</t>
  </si>
  <si>
    <t>The weather is likely cold and windy.</t>
  </si>
  <si>
    <t>The weather is likely warm and pleasant.</t>
  </si>
  <si>
    <t>It is a cloudy day.</t>
  </si>
  <si>
    <t>It is late evening.</t>
  </si>
  <si>
    <t>The bright sunlight and lack of clouds suggest a pleasant day, which is an ideal condition for outdoor exercise like Tai Chi.</t>
  </si>
  <si>
    <t>(A) 天气可能寒冷多风。 (B) 天气可能温暖宜人。 (C) 今天是阴天。 (D) 已是深夜。</t>
  </si>
  <si>
    <t>tai_chi_70.jpg</t>
  </si>
  <si>
    <t>The image shows practitioners with a city skyline in the background. What city is this likely to be?</t>
  </si>
  <si>
    <t>New York City</t>
  </si>
  <si>
    <t>London</t>
  </si>
  <si>
    <t>Shanghai</t>
  </si>
  <si>
    <t>Paris</t>
  </si>
  <si>
    <t>The distinctive silhouette of the Oriental Pearl Tower in the background is a famous landmark in Shanghai, China, making it the likely location.</t>
  </si>
  <si>
    <t>(A) 纽约市 (B) 伦敦 (C) 上海 (D) 巴黎</t>
  </si>
  <si>
    <t>One practitioner is shown lifting their leg. What does this motion demonstrate?</t>
  </si>
  <si>
    <t>A running motion</t>
  </si>
  <si>
    <t>A kicking technique</t>
  </si>
  <si>
    <t>The importance of balance</t>
  </si>
  <si>
    <t>The start of a high-impact jump</t>
  </si>
  <si>
    <t>Lifting the leg in this manner demonstrates the high level of balance required in Tai Chi, as the practitioner must shift all their weight to one leg while maintaining stability.</t>
  </si>
  <si>
    <t>(A) 跑步动作 (B) 踢腿技巧 (C) 平衡的重要性 (D) 高冲击力跳跃的开始</t>
  </si>
  <si>
    <t>What is the purpose of the dark clothing and silhouette effect against the light?</t>
  </si>
  <si>
    <t>To obscure the faces of the practitioners.</t>
  </si>
  <si>
    <t>To make them look more dramatic.</t>
  </si>
  <si>
    <t>To highlight the shape and flow of their movements.</t>
  </si>
  <si>
    <t>To make them look smaller.</t>
  </si>
  <si>
    <t>The silhouette effect emphasizes the postures and graceful flow of the movements, making the form itself the focal point rather than individual practitioners.</t>
  </si>
  <si>
    <t>(A) 遮蔽从业者的面容。 (B) 为了使它们看起来更具戏剧性。 (C) 为了突出他们动作的形状和流畅性。 (D) 为了使它们看起来更小。</t>
  </si>
  <si>
    <t>What is a key benefit of practicing in a group in this kind of urban setting?</t>
  </si>
  <si>
    <t>It allows for competitive practice.</t>
  </si>
  <si>
    <t>It provides a sense of community and shared purpose.</t>
  </si>
  <si>
    <t>It's a more challenging environment.</t>
  </si>
  <si>
    <t>It is only done for tourist performances.</t>
  </si>
  <si>
    <t>Practicing Tai Chi in a large group, especially in a public space, fosters a sense of community and a shared, peaceful purpose in a busy urban environment.</t>
  </si>
  <si>
    <t>(A) 它允许进行竞争性练习。 (B) 它能带来社区感和共同目标感。 (C) 这是一个更具挑战性的环境。 (D) 这只是为了迎合游客而进行的表演。</t>
  </si>
  <si>
    <t>The postures are low and grounded. What is the benefit of this?</t>
  </si>
  <si>
    <t>It makes the workout more intense.</t>
  </si>
  <si>
    <t>It is a preparation for a fast movement.</t>
  </si>
  <si>
    <t>It helps to build strength and stability from the ground up.</t>
  </si>
  <si>
    <t>It is a form of stretching.</t>
  </si>
  <si>
    <t>The low, grounded stances are designed to build a strong base, or "root," which is essential for balance and for generating power from the legs and core.</t>
  </si>
  <si>
    <t>(A) 它能增强锻炼强度。 (B) 这是为快速行动做准备。 (C) 它有助于从基础做起，增强力量和稳定性。 (D) 这是一种拉伸运动。</t>
  </si>
  <si>
    <t>tai_chi_65.jpg</t>
  </si>
  <si>
    <t>What are the men in the foreground and background wearing?</t>
  </si>
  <si>
    <t>Kimonos</t>
  </si>
  <si>
    <t>Kung Fu uniforms</t>
  </si>
  <si>
    <t>Monk's robes</t>
  </si>
  <si>
    <t>Casual clothing</t>
  </si>
  <si>
    <t>The practitioners are wearing traditional monk's robes (or similar attire), which is consistent with the martial arts training often associated with Buddhist monasteries, like the Shaolin Temple.</t>
  </si>
  <si>
    <t>(A) 和服 (B) 功夫服 (C) 僧袍 (D) 休闲服装</t>
  </si>
  <si>
    <t>What is a key distinction between the martial art shown here and Tai Chi?</t>
  </si>
  <si>
    <t>The focus on high-impact, external movements.</t>
  </si>
  <si>
    <t>The use of weapons.</t>
  </si>
  <si>
    <t>The reliance on internal energy.</t>
  </si>
  <si>
    <t>The practice is done in a group.</t>
  </si>
  <si>
    <t>The stances shown are from Kung Fu, which often focuses on external, dynamic, and explosive movements, a contrast to the slow, gentle, and internal focus of Tai Chi.</t>
  </si>
  <si>
    <t>(A) 注重高强度、外向型运动。 (B) 使用武器。 (C) 对内能的依赖。 (D) 练习以小组形式进行。</t>
  </si>
  <si>
    <t>What is the likely role of the man in the yellow robes standing behind the others?</t>
  </si>
  <si>
    <t>A spectator</t>
  </si>
  <si>
    <t>A student</t>
  </si>
  <si>
    <t>An instructor or master</t>
  </si>
  <si>
    <t>A tourist</t>
  </si>
  <si>
    <t>The man in the yellow robes is observing the other practitioners with a watchful eye, suggesting he is a senior practitioner, instructor, or master overseeing their training.</t>
  </si>
  <si>
    <t>(A) 一名旁观者 (B) 一名学生 (C) 导师或大师 (D) 一位游客</t>
  </si>
  <si>
    <t>What is the probable location of this training session?</t>
  </si>
  <si>
    <t>A modern gym</t>
  </si>
  <si>
    <t>An urban park</t>
  </si>
  <si>
    <t>A traditional Chinese martial arts temple or school</t>
  </si>
  <si>
    <t>A public square</t>
  </si>
  <si>
    <t>The backdrop of traditional Chinese architecture and artwork, along with the monk-like attire, suggests the training is taking place at a traditional martial arts temple or school.</t>
  </si>
  <si>
    <t>(A) 一家现代化的健身房 (B) 城市公园 (C) 一座传统的中国武术寺庙或学校 (D) 公共广场</t>
  </si>
  <si>
    <t>The students are in a low, wide stance. What is the main purpose of this stance in this martial art?</t>
  </si>
  <si>
    <t>To appear more intimidating.</t>
  </si>
  <si>
    <t>To stretch the inner thighs.</t>
  </si>
  <si>
    <t>To build a strong and stable foundation for powerful movements.</t>
  </si>
  <si>
    <t>To demonstrate their flexibility.</t>
  </si>
  <si>
    <t>The horse stance is a fundamental building block in many Kung Fu styles, used to develop powerful leg muscles, build a strong core, and provide stability.</t>
  </si>
  <si>
    <t>(A) 为了显得更具威慑力。 (B) 拉伸大腿内侧。 (C) 为强有力的行动奠定坚实稳定的基础。 (D) 为了展现他们的灵活性。</t>
  </si>
  <si>
    <t>tai_chi_83.jpg</t>
  </si>
  <si>
    <t>The practitioner is holding a long, straight weapon. What is this called in Chinese martial arts?</t>
  </si>
  <si>
    <t>A spear</t>
  </si>
  <si>
    <t>A bo staff</t>
  </si>
  <si>
    <t>A sword</t>
  </si>
  <si>
    <t>A Jian</t>
  </si>
  <si>
    <t>The long weapon with a distinctive blade and red tassels is a spear (Qiang), a common weapon in Chinese martial arts demonstrations.</t>
  </si>
  <si>
    <t>(A) 一支长矛 (B) 一根棍子 (C) 一把剑 (D) 简</t>
  </si>
  <si>
    <t>What is the overall aesthetic of the clothing and performance?</t>
  </si>
  <si>
    <t>Simple and subtle</t>
  </si>
  <si>
    <t>Traditional and understated</t>
  </si>
  <si>
    <t>Colorful and dramatic</t>
  </si>
  <si>
    <t>Casual and informal</t>
  </si>
  <si>
    <t>The practitioner's vibrant pink and gold uniform, along with the dynamic pose, suggests a colorful and dramatic performance, typical of competitive martial arts like Wushu.</t>
  </si>
  <si>
    <t>(A) 简洁而微妙 (B) 传统而低调 (C) 色彩斑斓，引人入胜 (D) 休闲非正式</t>
  </si>
  <si>
    <t>What is the purpose of the long red tassels on the spear?</t>
  </si>
  <si>
    <t>To improve the grip.</t>
  </si>
  <si>
    <t>To provide a decorative element.</t>
  </si>
  <si>
    <t>To add weight to the tip.</t>
  </si>
  <si>
    <t>To act as a counterweight and provide visual flair.</t>
  </si>
  <si>
    <t>The tassels add to the visual spectacle of the performance, providing a flowing trail that emphasizes the speed and circular motion of the spear.</t>
  </si>
  <si>
    <t>(A) 为了增强抓握力。 (B) 起到装饰作用。 (C) 增加尖端重量。 (D) 起到平衡作用并提供视觉美感。</t>
  </si>
  <si>
    <t>The setting appears to be an arena with a blue mat. What does this suggest about the context?</t>
  </si>
  <si>
    <t>It is a casual practice.</t>
  </si>
  <si>
    <t>It is a public demonstration.</t>
  </si>
  <si>
    <t>It is a martial arts competition or performance.</t>
  </si>
  <si>
    <t>It is a workshop.</t>
  </si>
  <si>
    <t>The setting, with its specific mat, stage, and formal attire, is consistent with a competitive martial arts event, such as a Wushu competition.</t>
  </si>
  <si>
    <t>(A) 这是一种非正式的做法。 (B) 这是一场公开示威活动。 (C) 这是一场武术比赛或表演。 (D) 这是一个研讨会。</t>
  </si>
  <si>
    <t>The practitioner's focus is on what?</t>
  </si>
  <si>
    <t>The crowd</t>
  </si>
  <si>
    <t>The weapon</t>
  </si>
  <si>
    <t>The opponent</t>
  </si>
  <si>
    <t>The photographer</t>
  </si>
  <si>
    <t>Her intense gaze is directed at the spear, demonstrating the high level of concentration and control required to wield the weapon with precision during a performance.</t>
  </si>
  <si>
    <t>(A) 人群 (B) 武器 (C) 对手 (D) 摄影师</t>
  </si>
  <si>
    <t>tai_chi_84.jpg</t>
  </si>
  <si>
    <t>The practitioner is holding a straight sword. What is this type of sword known as?</t>
  </si>
  <si>
    <t>Rapier</t>
  </si>
  <si>
    <t>The sword is a Jian, a straight, double-edged Chinese sword, commonly used in Tai Chi and other Chinese martial arts.</t>
  </si>
  <si>
    <t>(A) 武士刀 (B) 军刀 (C) 建 (D) 细剑</t>
  </si>
  <si>
    <t>The practitioner is in a low, wide stance. What is the name for this fundamental Tai Chi stance?</t>
  </si>
  <si>
    <t>The wide, symmetrical stance with both feet parallel is a Horse Stance, a foundational posture used for building leg strength and stability.</t>
  </si>
  <si>
    <t>(A) 马步 (B) 起重机姿态 (C) 空位 (D) 弓步</t>
  </si>
  <si>
    <t>The background is a solid blue mat with a white line. What does this background imply about the setting?</t>
  </si>
  <si>
    <t>It is an outdoor park.</t>
  </si>
  <si>
    <t>It is an indoor studio for practice.</t>
  </si>
  <si>
    <t>It is a competitive arena.</t>
  </si>
  <si>
    <t>It is a theater stage.</t>
  </si>
  <si>
    <t>The solid blue color and white line are standard features of a competition mat used for martial arts, indicating that this is a formal or competitive event.</t>
  </si>
  <si>
    <t>(A) 这是一个露天公园。 (B) 这是一个室内练习室。 (C) 这是一个竞争激烈的领域。 (D) 这是一个舞台。</t>
  </si>
  <si>
    <t>The practitioner's uniform has what type of design?</t>
  </si>
  <si>
    <t>Modern and Western</t>
  </si>
  <si>
    <t>Simple and plain</t>
  </si>
  <si>
    <t>Ornate with traditional embroidery</t>
  </si>
  <si>
    <t>Military-style</t>
  </si>
  <si>
    <t>The white uniform features intricate, traditional Chinese embroidery, which is a common design for competitive Wushu or Tai Chi uniforms.</t>
  </si>
  <si>
    <t>(A) 现代和西方 (B) 简单明了 (C) 饰以传统刺绣 (D) 军事风格</t>
  </si>
  <si>
    <t>What is the practitioner’s gaze focused on?</t>
  </si>
  <si>
    <t>The audience</t>
  </si>
  <si>
    <t>Her feet</t>
  </si>
  <si>
    <t>The tip of the sword</t>
  </si>
  <si>
    <t>An opponent</t>
  </si>
  <si>
    <t>The practitioner is focusing her gaze on the tip of the sword, a common technique to maintain concentration and control during a weapon form performance.</t>
  </si>
  <si>
    <t>(A) 观众 (B) 她的脚 (C) 剑尖 (D) 对手</t>
  </si>
  <si>
    <t>tai_chi_79.jpg</t>
  </si>
  <si>
    <t>What is the most prominent feature of the group's attire in this image?</t>
  </si>
  <si>
    <t>Their footwear</t>
  </si>
  <si>
    <t>Their belts</t>
  </si>
  <si>
    <t>Their red and black uniforms</t>
  </si>
  <si>
    <t>Their hairstyle</t>
  </si>
  <si>
    <t>The most striking feature is the color and style of the uniforms, which are red with black trim, a common color scheme in some Tai Chi and Kung Fu schools.</t>
  </si>
  <si>
    <t>(A) 他们的鞋子 (B) 他们的腰带 (C) 他们的红黑制服 (D) 他们的发型</t>
  </si>
  <si>
    <t>Based on the setting, what kind of location is this?</t>
  </si>
  <si>
    <t>An outdoor park</t>
  </si>
  <si>
    <t>A formal competition arena</t>
  </si>
  <si>
    <t>An indoor studio or training hall</t>
  </si>
  <si>
    <t>The image shows a smooth wooden floor, a fire exit sign, and a large open space, which are all characteristics of an indoor martial arts or dance studio.</t>
  </si>
  <si>
    <t>(A) 户外公园 (B) 正式的比赛场地 (C) 公共广场 (D) 室内工作室或训练厅</t>
  </si>
  <si>
    <t>The group is performing similar movements. What does this indicate?</t>
  </si>
  <si>
    <t>It is a new dance trend.</t>
  </si>
  <si>
    <t>It is a synchronized warm-up.</t>
  </si>
  <si>
    <t>They are following a form taught by an instructor.</t>
  </si>
  <si>
    <t>It is a free-form, creative exercise.</t>
  </si>
  <si>
    <t>The synchronized movements indicate that the group is practicing a specific Tai Chi form or sequence, likely under the guidance of an instructor.</t>
  </si>
  <si>
    <t>(A) 这是一种新的舞蹈潮流。 (B) 这是同步热身。 (C) 他们正在按照老师教的形式进行练习。 (D) 这是一项自由发挥的创意练习。</t>
  </si>
  <si>
    <t>What is a likely reason for the variety of ages in the class?</t>
  </si>
  <si>
    <t>Tai Chi is easy to learn for everyone.</t>
  </si>
  <si>
    <t>It's a family activity.</t>
  </si>
  <si>
    <t>Tai Chi is adaptable to different fitness levels and ages.</t>
  </si>
  <si>
    <t>The class is only for beginners.</t>
  </si>
  <si>
    <t>Tai Chi's gentle, low-impact nature makes it an ideal exercise for people of all ages and fitness levels, promoting an inclusive environment.</t>
  </si>
  <si>
    <t>(A) 太极拳简单易学，人人都能学会。 (B) 这是一项家庭活动。 (C) 太极拳适合不同体能水平和年龄段的人练习。 (D) 本课程仅面向初学者。</t>
  </si>
  <si>
    <t>What is the purpose of the extended, open-hand posture?</t>
  </si>
  <si>
    <t>To show a greeting.</t>
  </si>
  <si>
    <t>To signify readiness to fight.</t>
  </si>
  <si>
    <t>To represent a "push" or "press" movement.</t>
  </si>
  <si>
    <t>To catch an object.</t>
  </si>
  <si>
    <t>The open hand, palm forward, is a classic Tai Chi posture used to represent the application of force in a soft, internal push, without a closed fist or strike.</t>
  </si>
  <si>
    <t>(A) 表示问候。 (B) 表示已做好战斗准备。 (C) 表示“推”或“压”的动作。 (D) 接住物体。</t>
  </si>
  <si>
    <t>tai_chi_46.jpg</t>
  </si>
  <si>
    <t>What is the overall atmosphere conveyed by the group's posture?</t>
  </si>
  <si>
    <t>Competitive and aggressive</t>
  </si>
  <si>
    <t>Energetic and fast-paced</t>
  </si>
  <si>
    <t>Calm and relaxed</t>
  </si>
  <si>
    <t>Confused and disorganized</t>
  </si>
  <si>
    <t>The people are moving slowly and deliberately, with focused but relaxed postures, suggesting a calm and peaceful group exercise.</t>
  </si>
  <si>
    <t>(A) 具有竞争力和进取心 (B) 充满活力且节奏快 (C) 平静放松 (D) 混乱且无序</t>
  </si>
  <si>
    <t>What type of setting are the practitioners in?</t>
  </si>
  <si>
    <t>A city street</t>
  </si>
  <si>
    <t>A botanical garden or park</t>
  </si>
  <si>
    <t>A school gymnasium</t>
  </si>
  <si>
    <t>A shopping mall</t>
  </si>
  <si>
    <t>The background features lush greenery, trees, and a wooden fence, indicating that the practice is taking place in a natural, outdoor park or garden setting.</t>
  </si>
  <si>
    <t>(A) 一条城市街道 (B) 植物园或公园 (C) 学校体育馆 (D) 购物中心</t>
  </si>
  <si>
    <t>Why is the man in the white shirt's stance a key element of Tai Chi practice?</t>
  </si>
  <si>
    <t>It is a high-impact cardio pose.</t>
  </si>
  <si>
    <t>It demonstrates his strength.</t>
  </si>
  <si>
    <t>It shows the balance and weight-shifting required in the form.</t>
  </si>
  <si>
    <t>It is a simple resting pose.</t>
  </si>
  <si>
    <t>The man's posture, with one leg bent and the weight shifted, exemplifies the Tai Chi principle of weight-shifting, which is essential for flow, balance, and stability.</t>
  </si>
  <si>
    <t>(A) 这是一个高强度的有氧运动姿势。 (B) 这展现了他的实力。 (C) 它展现了这种姿势所需的平衡和重心转移。 (D) 这是一个简单的休息姿势。</t>
  </si>
  <si>
    <t>What is the likely purpose of the group practicing together?</t>
  </si>
  <si>
    <t>To compete with each other.</t>
  </si>
  <si>
    <t>To socialize and practice a shared interest.</t>
  </si>
  <si>
    <t>To show their skills to an audience.</t>
  </si>
  <si>
    <t>To prepare for a competition.</t>
  </si>
  <si>
    <t>This informal group setting suggests that the people are gathering to socialize and collectively enjoy the health and social benefits of Tai Chi.</t>
  </si>
  <si>
    <t>(A) 相互竞争。 (B) 社交和从事共同的兴趣爱好。 (C) 向观众展示他们的技能。 (D) 为比赛做准备。</t>
  </si>
  <si>
    <t>What is the key difference between the person in the Tai Chi uniform and the other practitioners?</t>
  </si>
  <si>
    <t>Only one is an instructor.</t>
  </si>
  <si>
    <t>The uniform signifies a formal or traditional approach to the practice.</t>
  </si>
  <si>
    <t>The uniform provides better mobility.</t>
  </si>
  <si>
    <t>Only one is an experienced practitioner.</t>
  </si>
  <si>
    <t>While anyone can practice, the individual wearing a traditional Tai Chi uniform may be an instructor or an experienced practitioner who adheres to the more formal aspects of the practice.</t>
  </si>
  <si>
    <t>(A) 只有一位是教师。 (B) 统一的着装表明了这种做法的正式性或传统性。 (C) 制服提供了更好的行动灵活性。 (D) 只有一位是经验丰富的从业者。</t>
  </si>
  <si>
    <t>tai_chi_75.jpg</t>
  </si>
  <si>
    <t>The movements of his hands and body</t>
  </si>
  <si>
    <t>The movements of his partners</t>
  </si>
  <si>
    <t>The man's downward gaze is focused on his own hands and the posture of his body, which is a key part of the meditative and self-reflective nature of Tai Chi.</t>
  </si>
  <si>
    <t>(A) 他的周围环境 (B) 他的教练 (C) 他的手和身体的动作 (D) 他的伙伴们的行动</t>
  </si>
  <si>
    <t>What is the significance of the towel around the man's neck?</t>
  </si>
  <si>
    <t>It is a fashion accessory.</t>
  </si>
  <si>
    <t>It is a sign of a strenuous workout.</t>
  </si>
  <si>
    <t>It is used to wipe away sweat after physical exertion.</t>
  </si>
  <si>
    <t>It is a ceremonial item.</t>
  </si>
  <si>
    <t>The presence of a towel suggests that while Tai Chi is a gentle exercise, it can still lead to perspiration, indicating a physical workout.</t>
  </si>
  <si>
    <t>(A) 它是一种时尚配饰。 (B) 这是剧烈运动的标志。 (C) 它用于运动后擦去汗水。 (D) 这是礼仪用品。</t>
  </si>
  <si>
    <t>The practitioners are in a relaxed, open-air setting. What benefit does this offer?</t>
  </si>
  <si>
    <t>It's a way to avoid gym fees.</t>
  </si>
  <si>
    <t>It promotes better breathing and mental clarity.</t>
  </si>
  <si>
    <t>It provides a venue for competitions.</t>
  </si>
  <si>
    <t>It's the only place Tai Chi can be practiced.</t>
  </si>
  <si>
    <t>Practicing in an open-air environment with fresh air is believed to enhance the breathing exercises and meditative aspects of Tai Chi, promoting greater mental clarity and well-being.</t>
  </si>
  <si>
    <t>(A) 这是避免支付健身房会员费的一种方法。 (B) 它有助于改善呼吸和提升思维清晰度。 (C) 它为比赛提供场地。 (D) 这是唯一可以练习太极拳的地方。</t>
  </si>
  <si>
    <t>What is a likely reason for the practitioners' relaxed posture?</t>
  </si>
  <si>
    <t>They are tired.</t>
  </si>
  <si>
    <t>They are not taking the exercise seriously.</t>
  </si>
  <si>
    <t>They are focused on fluidity and grace, not tension.</t>
  </si>
  <si>
    <t>They are cooling down after a run.</t>
  </si>
  <si>
    <t>Tai Chi emphasizes relaxation and fluidity (Sung), and practitioners consciously avoid muscle tension to allow for the smooth flow of energy and movements.</t>
  </si>
  <si>
    <t>(A) 他们很累。 (B) 他们没有认真对待这次锻炼。 (C) 他们注重的是流畅性和优雅，而不是紧张感。 (D) 他们跑步后正在降温。</t>
  </si>
  <si>
    <t>The hands are held in a cupped position. What is this posture a symbol of?</t>
  </si>
  <si>
    <t>Holding a ball</t>
  </si>
  <si>
    <t>Receiving an object</t>
  </si>
  <si>
    <t>A striking posture</t>
  </si>
  <si>
    <t>This posture, common in Tai Chi, symbolizes the practitioner "holding a ball," representing the gathering and circulation of internal energy before a movement.</t>
  </si>
  <si>
    <t>(A) 手里拿着一个球 (B) 接收一个物体 (C) 引人注目的姿势 (D) 防守阵型</t>
  </si>
  <si>
    <t>cuju_12.jpg</t>
  </si>
  <si>
    <t>What is the game being played in this image?</t>
  </si>
  <si>
    <t>Modern soccer</t>
  </si>
  <si>
    <t>Japanese Kemari</t>
  </si>
  <si>
    <t>Chinese Cuju</t>
  </si>
  <si>
    <t>English Football</t>
  </si>
  <si>
    <t>The image shows a ceremonial form of kickball with multiple players in traditional clothing, a style of game known as Kemari, which originated in Japan and is related to the Chinese Cuju.</t>
  </si>
  <si>
    <t>What is the most noticeable difference between the game in the image and modern soccer?</t>
  </si>
  <si>
    <t>The ball is smaller.</t>
  </si>
  <si>
    <t>The goal is a hoop.</t>
  </si>
  <si>
    <t>The players are in traditional attire.</t>
  </si>
  <si>
    <t>The game's objective is to keep the ball in the air without touching the ground.</t>
  </si>
  <si>
    <t>The objective of Kemari, unlike modern soccer, is not to score a goal but to cooperatively keep the ball airborne for as long as possible using only the feet.</t>
  </si>
  <si>
    <t>(A) 球变小了。 (B) 目标是一个篮筐。 (C) 球员们身着传统服饰。 (D) 比赛的目标是让球保持在空中而不落地。</t>
  </si>
  <si>
    <t>What does the heavy snowfall suggest about the climate and the event?</t>
  </si>
  <si>
    <t>The game is a winter festival tradition.</t>
  </si>
  <si>
    <t>The players prefer cold weather.</t>
  </si>
  <si>
    <t>The game is an indoor sport.</t>
  </si>
  <si>
    <t>The event is very rare.</t>
  </si>
  <si>
    <t>The snow indicates that this traditional game is likely part of a winter festival or an annual event, and the players are performing it despite the weather.</t>
  </si>
  <si>
    <t>(A) 这项游戏是冬季节日的传统活动。 (B) 球员们更喜欢寒冷的天气。 (C) 这项运动是室内运动。 (D) 这种情况非常罕见。</t>
  </si>
  <si>
    <t>Based on the architectural style in the background, where is this event likely taking place?</t>
  </si>
  <si>
    <t>Korea</t>
  </si>
  <si>
    <t>The distinct architectural style, including the red and white pagodas, is a signature feature of traditional Japanese temples and shrines, not Chinese architecture.</t>
  </si>
  <si>
    <t>(A) 中国 (B) 日本 (C) 韩国 (D) 越南</t>
  </si>
  <si>
    <t>What is the purpose of the long, loose-fitting robes the players are wearing?</t>
  </si>
  <si>
    <t>To restrict their movement for a challenge.</t>
  </si>
  <si>
    <t>They are ceremonial attire for this traditional event.</t>
  </si>
  <si>
    <t>To provide warmth.</t>
  </si>
  <si>
    <t>To signify their rank.</t>
  </si>
  <si>
    <t>The players are wearing ceremonial robes typical of a traditional event, which emphasizes the ritualistic and cultural importance of the game rather than its athletic efficiency.</t>
  </si>
  <si>
    <t>(A) 为了限制他们的行动，发起挑战。 (B) 这是参加这项传统活动的礼服。 (C) 为了保暖。 (D) 为了表明他们的等级。</t>
  </si>
  <si>
    <t>cuju_14.jpg</t>
  </si>
  <si>
    <t>What is the central activity depicted in this ancient Chinese painting?</t>
  </si>
  <si>
    <t>A battle scene</t>
  </si>
  <si>
    <t>A royal banquet</t>
  </si>
  <si>
    <t>A game of polo</t>
  </si>
  <si>
    <t>A game of Cuju</t>
  </si>
  <si>
    <t>The painting shows people kicking a ball toward poles with a net, a historical form of Cuju, the precursor to modern soccer.</t>
  </si>
  <si>
    <t>(A) 战斗场景 (B) 皇家宴会 (C) 一场马球比赛 (D) 蹴鞠游戏</t>
  </si>
  <si>
    <t>What is the primary setting of this scene?</t>
  </si>
  <si>
    <t>A village marketplace</t>
  </si>
  <si>
    <t>A military training ground</t>
  </si>
  <si>
    <t>A royal courtyard</t>
  </si>
  <si>
    <t>A mountainous landscape</t>
  </si>
  <si>
    <t>The presence of a palace-like structure with ornate roofs and a formal, enclosed field suggests that the game is being played within a royal or aristocratic courtyard.</t>
  </si>
  <si>
    <t>(A) 乡村集市 (B) 军事训练场 (C) 皇家庭院 (D) 山峦叠嶂</t>
  </si>
  <si>
    <t>What is the significance of the two goals with banners?</t>
  </si>
  <si>
    <t>They are simple decorations.</t>
  </si>
  <si>
    <t>They represent teams.</t>
  </si>
  <si>
    <t>They are used to mark the field.</t>
  </si>
  <si>
    <t>They are the targets for scoring points.</t>
  </si>
  <si>
    <t>In this form of Cuju, the goals were often simple structures with a net or banner, and the objective was to kick the ball through the opening to score.</t>
  </si>
  <si>
    <t>(A) 它们是简单的装饰品。 (B) 他们代表各个团队。 (C) 它们用于标记场地。 (D) 他们是得分的目标。</t>
  </si>
  <si>
    <t>The man in the center is using a stick. What does this suggest about the game?</t>
  </si>
  <si>
    <t>It is a hybrid of different sports.</t>
  </si>
  <si>
    <t>It is a different sport entirely.</t>
  </si>
  <si>
    <t>The rules are flexible and vary</t>
  </si>
  <si>
    <t>The stick is a ceremonial object.</t>
  </si>
  <si>
    <t>The man's use of a stick shows that Cuju rules were not uniform across all periods and could incorporate different elements or be played in various forms.</t>
  </si>
  <si>
    <t>(A) 它是多种运动的混合体。 (B) 这完全是另一种运动。 (C) 规则灵活多变 (D) 这根棍子是礼仪用品。</t>
  </si>
  <si>
    <t>What does this painting indicate about the status of Cuju in ancient China?</t>
  </si>
  <si>
    <t>It was a game for the common people.</t>
  </si>
  <si>
    <t>It was a popular activity among the elite and in the royal court.</t>
  </si>
  <si>
    <t>It was a military training exercise.</t>
  </si>
  <si>
    <t>It was a competitive sport with professional players.</t>
  </si>
  <si>
    <t>The lavish setting and the attire of the players suggest that Cuju was a popular pastime among the upper class and even the emperor's court.</t>
  </si>
  <si>
    <t>(A) 这是款面向普通大众的游戏。 (B) 这在上流社会和皇室中曾是一项很受欢迎的活动。 (C) 这是一次军事训练演习。 (D) 这是一项竞技性很强的运动，参赛选手都是职业选手。</t>
  </si>
  <si>
    <t>cuju_19.jpg</t>
  </si>
  <si>
    <t>What is the primary activity taking place in this image?</t>
  </si>
  <si>
    <t>A game of hockey</t>
  </si>
  <si>
    <t>A royal hunting party</t>
  </si>
  <si>
    <t>A polo match</t>
  </si>
  <si>
    <t>This is a zoomed-in section of the previous painting, showing a game of Cuju, an ancient Chinese sport.</t>
  </si>
  <si>
    <t>(A) 一场冰球比赛 (B) 皇家狩猎队 (C) 蹴鞠游戏 (D) 一场马球比赛</t>
  </si>
  <si>
    <t>The men in the painting are wearing what type of attire?</t>
  </si>
  <si>
    <t>Everyday peasant clothing</t>
  </si>
  <si>
    <t>Military uniforms</t>
  </si>
  <si>
    <t>Formal robes</t>
  </si>
  <si>
    <t>Modern sportswear</t>
  </si>
  <si>
    <t>The men are dressed in formal robes and hats, indicating their high social status and the formal nature of the event.</t>
  </si>
  <si>
    <t>(A) 日常农夫服装 (B) 军装 (C) 正式礼服 (D) 现代运动服</t>
  </si>
  <si>
    <t>The man in the orange robe is in a position to strike the ball. What does this suggest about the style of play?</t>
  </si>
  <si>
    <t>The game is aggressive and physical.</t>
  </si>
  <si>
    <t>The game is a slow-paced ceremonial ritual.</t>
  </si>
  <si>
    <t>The game involves striking the ball with an object.</t>
  </si>
  <si>
    <t>The game is a solo exercise.</t>
  </si>
  <si>
    <t>The man's posture, with the stick raised and positioned to hit the ball, shows that this variation of Cuju was not exclusively played with the feet.</t>
  </si>
  <si>
    <t>(A) 比赛节奏快，对抗性强。 (B) 这场游戏是一种节奏缓慢的仪式。 (C) 游戏内容是用物体击球。 (D) 这款游戏是单人游戏。</t>
  </si>
  <si>
    <t>What is the significance of the small red flags on the field?</t>
  </si>
  <si>
    <t>They are team markers.</t>
  </si>
  <si>
    <t>They act as obstacles for the players.</t>
  </si>
  <si>
    <t>They are goalposts or targets.</t>
  </si>
  <si>
    <t>The small flags serve as markers for the goals or targets, which players aim to get the ball through to score points.</t>
  </si>
  <si>
    <t>(A) 它们是球队标记物。 (B) 它们是简单的装饰品。 (C) 它们会成为球员的障碍。 (D) 它们是球门柱或目标。</t>
  </si>
  <si>
    <t>What can be inferred about the game's social aspect from this painting?</t>
  </si>
  <si>
    <t>It was a private event for a single family.</t>
  </si>
  <si>
    <t>It was a large, public spectacle.</t>
  </si>
  <si>
    <t>It was a form of entertainment and recreation for royalty.</t>
  </si>
  <si>
    <t>It was a competitive sport with a professional league.</t>
  </si>
  <si>
    <t>The painting depicts Cuju being played in a formal court setting with attendants, suggesting it was a form of refined entertainment for the royal court.</t>
  </si>
  <si>
    <t>(A) 这是一场为单个家庭举办的私人活动。 (B) 这是一场盛大的公开活动。 (C) 这是皇室的一种娱乐和休闲方式。 (D) 这是一项竞技性很强的运动，有职业联赛。</t>
  </si>
  <si>
    <t>cuju_6.jpg</t>
  </si>
  <si>
    <t>The image shows a modern-day recreation of a historical sport. What is the sport?</t>
  </si>
  <si>
    <t>American Football</t>
  </si>
  <si>
    <t>The image shows players in traditional clothing playing a ball game, which is a modern revival of Cuju, the ancient Chinese precursor to soccer.</t>
  </si>
  <si>
    <t>(A) 现代足球 (B) 中国蹴鞠 (C) 日本菖蒲 (D) 美式橄榄球</t>
  </si>
  <si>
    <t>What is a notable difference between the players on the left and the players on the right?</t>
  </si>
  <si>
    <t>One team is playing by modern rules, and the other is not.</t>
  </si>
  <si>
    <t>One team is in traditional attire, and the other is in a mix of modern and traditional attire.</t>
  </si>
  <si>
    <t>One team is using a different ball.</t>
  </si>
  <si>
    <t>One team is wearing a uniform and the other is not.</t>
  </si>
  <si>
    <t>The players on the right are dressed in traditional Chinese Cuju attire, while the two players on the left are wearing modern casual sportswear, creating a visual contrast.</t>
  </si>
  <si>
    <t>(A) 一支球队按照现代规则比赛，另一支球队则没有。 (B) 一支队伍身着传统服饰，另一支队伍则身着现代与传统服饰混搭的服装。 (C) 其中一支球队使用的是不同的比赛用球。 (D) 一支队伍穿着队服，另一支队伍没有。</t>
  </si>
  <si>
    <t>What does this recreation suggest about the cultural significance of Cuju today?</t>
  </si>
  <si>
    <t>It has been forgotten.</t>
  </si>
  <si>
    <t>It is still practiced as a competitive sport.</t>
  </si>
  <si>
    <t>It is a historical and cultural tradition that is celebrated.</t>
  </si>
  <si>
    <t>It is an indoor sport.</t>
  </si>
  <si>
    <t>The public performance with traditional costumes indicates that Cuju is being preserved and celebrated as an important part of China's cultural heritage.</t>
  </si>
  <si>
    <t>(A) 它已被遗忘。 (B) 它至今仍作为一项竞技运动进行。 (C) 这是一个值得庆祝的历史文化传统。 (D) 这是一项室内运动。</t>
  </si>
  <si>
    <t>What is the purpose of the square painted on the ground?</t>
  </si>
  <si>
    <t>It is an outline for the playing field.</t>
  </si>
  <si>
    <t>It is a boundary for the players.</t>
  </si>
  <si>
    <t>It is a goal line for scoring.</t>
  </si>
  <si>
    <t>It is a symbol of a historical event.</t>
  </si>
  <si>
    <t>The white lines on the pavement mark the boundaries for the playing area, as would be used in a formal sports demonstration.</t>
  </si>
  <si>
    <t>(A) 这是比赛场地的轮廓图。 (B) 这是球员们必须遵守的界限。 (C) 这是得分的球门线。 (D) 它是历史事件的象征。</t>
  </si>
  <si>
    <t>The two modern players are of different ethnicities. What does this suggest about the event?</t>
  </si>
  <si>
    <t>It is a competition between different countries.</t>
  </si>
  <si>
    <t>It is a cultural exchange event.</t>
  </si>
  <si>
    <t>It is a professional match.</t>
  </si>
  <si>
    <t>It is a friendly, casual game.</t>
  </si>
  <si>
    <t>The mix of traditional and modern clothing, along with the diversity of the players, suggests a cultural exchange or public demonstration rather than a formal, traditional match.</t>
  </si>
  <si>
    <t>(A) 这是一场不同国家之间的比赛。 (B) 这是一次文化交流活动。 (C) 这是一场职业比赛。 (D) 这是一款轻松友好的休闲游戏。</t>
  </si>
  <si>
    <t>cuju_7.jpg</t>
  </si>
  <si>
    <t>What is the primary activity depicted in this painting?</t>
  </si>
  <si>
    <t>A game of golf</t>
  </si>
  <si>
    <t>A game of archery</t>
  </si>
  <si>
    <t>A game of Chuwan</t>
  </si>
  <si>
    <t>A game of cricket</t>
  </si>
  <si>
    <t>The image shows two individuals playing a game involving a ball and sticks to hit it toward a goal or target, which is characteristic of Chuwan, a game similar to golf or croquet.</t>
  </si>
  <si>
    <t>(A) 一场高尔夫球赛 (B) 射箭游戏 (C) 楚万棋 (D) 一场板球比赛</t>
  </si>
  <si>
    <t>What is the purpose of the vase-like object on the ground?</t>
  </si>
  <si>
    <t>It is a drinking vessel.</t>
  </si>
  <si>
    <t>It is a decorative ornament.</t>
  </si>
  <si>
    <t>It is a target or a goal.</t>
  </si>
  <si>
    <t>It is a placeholder for the ball.</t>
  </si>
  <si>
    <t>The vase, along with the long sticks and the ball, acts as a target or a hole in a game similar to modern-day golf or croquet, where the objective is to hit the ball into it.</t>
  </si>
  <si>
    <t>(A) 这是一个饮水器皿。 (B) 它是一种装饰品。 (C) 它是目标或目的。 (D) 这是用来放置球的占位符。</t>
  </si>
  <si>
    <t>What is the overall atmosphere conveyed by the two figures?</t>
  </si>
  <si>
    <t>Aggressive and competitive</t>
  </si>
  <si>
    <t>Playful and leisurely</t>
  </si>
  <si>
    <t>Serious and ceremonial</t>
  </si>
  <si>
    <t>Intense and focused</t>
  </si>
  <si>
    <t>The relaxed postures and slightly comical facial expressions of the two figures suggest that the game is a leisurely, playful pastime rather than a serious competition.</t>
  </si>
  <si>
    <t>(A) 积极进取，富有竞争力 (B) 轻松自在 (C) 严肃而庄重的 (D) 专注而投入</t>
  </si>
  <si>
    <t>The figures are wearing what type of clothing?</t>
  </si>
  <si>
    <t>Simple peasant clothing</t>
  </si>
  <si>
    <t>Formal military wear</t>
  </si>
  <si>
    <t>Traditional Han Chinese robes</t>
  </si>
  <si>
    <t>Modern clothing</t>
  </si>
  <si>
    <t>The loose-fitting robes are a style of traditional Han Chinese clothing, indicating that the scene is set in ancient or imperial China.</t>
  </si>
  <si>
    <t>(A) 简朴的农夫服装 (B) 正式军装 (C) 传统汉服 (D) 现代服装</t>
  </si>
  <si>
    <t>What can be inferred about the social status of the players?</t>
  </si>
  <si>
    <t>They are of low social status.</t>
  </si>
  <si>
    <t>They are farmers.</t>
  </si>
  <si>
    <t>They are of a higher social class.</t>
  </si>
  <si>
    <t>They are soldiers.</t>
  </si>
  <si>
    <t>The clean, well-maintained robes and the lack of a strenuous setting suggest that this game was a pastime for a wealthy or elite class, who did not perform manual labor.</t>
  </si>
  <si>
    <t>(A) 他们的社会地位很低。 (B) 他们是农民。 (C) 他们属于较高的社会阶层。 (D) 他们是士兵。</t>
  </si>
  <si>
    <t>cuju_16.jpg</t>
  </si>
  <si>
    <t>What is the primary activity shown in the image?</t>
  </si>
  <si>
    <t>A military parade</t>
  </si>
  <si>
    <t>A Cuju exhibition or training session</t>
  </si>
  <si>
    <t>A martial arts demonstration</t>
  </si>
  <si>
    <t>The image shows a group of people in traditional Cuju attire practicing with a ball, indicating a Cuju exhibition or training session.</t>
  </si>
  <si>
    <t>(A) 阅兵式 (B) 一套体操动作 (C) 蹴鞠展览或训练课程 (D) 武术表演</t>
  </si>
  <si>
    <t>What is the person in the foreground doing with the ball?</t>
  </si>
  <si>
    <t>He is juggling it with his head.</t>
  </si>
  <si>
    <t>He is catching it with his hands.</t>
  </si>
  <si>
    <t>He is kicking it into a goal.</t>
  </si>
  <si>
    <t>He is bouncing it on his back.</t>
  </si>
  <si>
    <t>The person in the foreground is kicking the ball upwards with their foot, demonstrating a technique to keep the ball in the air, a key skill in many forms of Cuju.</t>
  </si>
  <si>
    <t>(A) 他正忙得焦头烂额。 (B) 他正用手接住它。 (C) 他正把球踢进球门。 (D) 他正把它放在背上颠来颠去。</t>
  </si>
  <si>
    <t>The group is on a modern playing field. What does this suggest about the event?</t>
  </si>
  <si>
    <t>It is an official competitive match.</t>
  </si>
  <si>
    <t>It is a performance for a historical film.</t>
  </si>
  <si>
    <t>It is a modern-day revival of an ancient sport.</t>
  </si>
  <si>
    <t>It is an informal practice.</t>
  </si>
  <si>
    <t>The presence of an artificial turf field, modern lighting, and a banner in the background indicates that this is a contemporary event celebrating the historical sport of Cuju.</t>
  </si>
  <si>
    <t>(A) 这是一场正式的比赛。 (B) 这是为一部历史电影进行的表演。 (C) 这是对一项古老运动的现代复兴。 (D) 这是一种非正式的做法。</t>
  </si>
  <si>
    <t>What is the purpose of the two lines of people?</t>
  </si>
  <si>
    <t>They are spectators.</t>
  </si>
  <si>
    <t>They are waiting for their turn to play.</t>
  </si>
  <si>
    <t>They are two opposing teams.</t>
  </si>
  <si>
    <t>They are acting as a ceremonial guard.</t>
  </si>
  <si>
    <t>The players are divided into two distinct lines, one in red and one in blue, suggesting that they are two competing teams in a Cuju match or demonstration.</t>
  </si>
  <si>
    <t>(A) 他们是旁观者。 (B) 他们正在等待轮到自己上场。 (C) 他们是两支对立的队伍。 (D) 他们担任仪仗队成员。</t>
  </si>
  <si>
    <t>What is a notable difference between this form of Cuju and modern soccer?</t>
  </si>
  <si>
    <t>The use of hands is allowed.</t>
  </si>
  <si>
    <t>The game is played without a referee.</t>
  </si>
  <si>
    <t>It is played without a formal goal.</t>
  </si>
  <si>
    <t>The focus is on acrobatic skills and ball control, not scoring goals.</t>
  </si>
  <si>
    <t>In this Cuju exhibition, the focus is on a single player demonstrating high-level ball-handling and acrobatic skills, which is a key element of some historical Cuju forms, unlike the goal-oriented nature of modern soccer.</t>
  </si>
  <si>
    <t>(A) 允许使用双手。 (B) 比赛没有裁判。 (C) 它没有正式的目标。 (D) 重点在于杂技技巧和控球能力，而不是进球。</t>
  </si>
  <si>
    <t>cuju_23.jpg</t>
  </si>
  <si>
    <t>What is the main activity depicted in this complex painting?</t>
  </si>
  <si>
    <t>A horse race</t>
  </si>
  <si>
    <t>The painting shows many people on horseback, camels, and a large crowd, which suggests a large-scale event like a royal hunting party.</t>
  </si>
  <si>
    <t>(A) 阅兵式 (B) 一场赛马 (C) 一场摔跤比赛 (D) 皇家狩猎队</t>
  </si>
  <si>
    <t>What is a notable feature of the group of men sitting on the left?</t>
  </si>
  <si>
    <t>They are wearing modern attire.</t>
  </si>
  <si>
    <t>They are wearing traditional military uniforms.</t>
  </si>
  <si>
    <t>They are of high social status, likely nobles or officials.</t>
  </si>
  <si>
    <t>They are performing a ritual dance.</t>
  </si>
  <si>
    <t>The group of men are sitting on a lavishly decorated rug and are in a position of authority, suggesting they are elite officials or nobility observing the events.</t>
  </si>
  <si>
    <t>(A) 他们穿着现代服装。 (B) 他们身穿传统军装。 (C) 他们社会地位很高，很可能是贵族或官员。 (D) 他们正在表演一种仪式舞蹈。</t>
  </si>
  <si>
    <t>What is a key element of the painting that indicates a cultural event?</t>
  </si>
  <si>
    <t>The presence of animals</t>
  </si>
  <si>
    <t>The natural landscape</t>
  </si>
  <si>
    <t>The large gathering of people</t>
  </si>
  <si>
    <t>The inclusion of different activities, such as wrestling and archery.</t>
  </si>
  <si>
    <t>The painting depicts various forms of entertainment, including a wrestling match in the center and what appears to be a ball game, indicating a festival or grand cultural event with a variety of activities.</t>
  </si>
  <si>
    <t>(A) 动物的存在 (B) 自然景观 (C) 大批人群 (D) 包括摔跤和射箭等不同的活动。</t>
  </si>
  <si>
    <t>What does the diverse group of people suggest about the event?</t>
  </si>
  <si>
    <t>It is a celebration for a single ethnic group.</t>
  </si>
  <si>
    <t>It is an official gathering for different groups.</t>
  </si>
  <si>
    <t>It is an informal gathering of friends.</t>
  </si>
  <si>
    <t>It is a military exercise.</t>
  </si>
  <si>
    <t>The painting shows people of different ethnicities, with varied clothing styles and hats, suggesting that this event is a formal gathering or celebration that brings together different ethnic groups.</t>
  </si>
  <si>
    <t>(A) 这是为单一民族群体举办的庆祝活动。 (B) 这是不同团体的一次官方聚会。 (C) 这是一次朋友间的非正式聚会。 (D) 这是一次军事演习。</t>
  </si>
  <si>
    <t>The large tents and presence of camels and horses suggest what kind of setting?</t>
  </si>
  <si>
    <t>A formal, permanent palace</t>
  </si>
  <si>
    <t>An urban street market</t>
  </si>
  <si>
    <t>A remote military encampment</t>
  </si>
  <si>
    <t>A temporary encampment for a grand excursion</t>
  </si>
  <si>
    <t>The presence of large tents and camels suggests a temporary setup, likely for a large-scale event or excursion, which would be typical for a royal hunting party.</t>
  </si>
  <si>
    <t>(A) 一座正式的、永久性的宫殿 (B) 城市街头市场 (C) 一个偏远的军事营地 (D) 为一次盛大的远足活动而设立的临时营地</t>
  </si>
  <si>
    <t>cuju_39.jpg</t>
  </si>
  <si>
    <t>What is the main object in the center of the image?</t>
  </si>
  <si>
    <t>A trophy</t>
  </si>
  <si>
    <t>A traditional Cuju goal</t>
  </si>
  <si>
    <t>A ceremonial archway</t>
  </si>
  <si>
    <t>A modern soccer goal</t>
  </si>
  <si>
    <t>The intricate, red and gold structure in the center, which resembles a traditional Chinese gate with a hoop, is a replica of a Cuju goal.</t>
  </si>
  <si>
    <t>(A) 奖杯 (B) 蹴鞠的传统进球 (C) 仪式拱门 (D) 现代足球门</t>
  </si>
  <si>
    <t>What does the Cuju goal indicate about the style of the game being played?</t>
  </si>
  <si>
    <t>The game is about kicking the ball to a teammate.</t>
  </si>
  <si>
    <t>The game is about kicking the ball through a high hoop.</t>
  </si>
  <si>
    <t>The game is about scoring a goal in a wide net.</t>
  </si>
  <si>
    <t>The game is about kicking the ball into a small, circular target on the ground.</t>
  </si>
  <si>
    <t>In this form of Cuju, the objective is to kick the ball through a small, elevated hoop to score, as opposed to a traditional wide soccer goal.</t>
  </si>
  <si>
    <t>(A) 游戏内容是将球踢给队友。 (B) 游戏内容是将球踢过一个高高的圆环。 (C) 游戏的目标是将球射入宽阔的球门。 (D) 游戏的目标是将球踢入地面上的小圆形目标中。</t>
  </si>
  <si>
    <t>What is a notable contrast between the players' attire and the playing field?</t>
  </si>
  <si>
    <t>The players are in modern attire on a grass field.</t>
  </si>
  <si>
    <t>The players are in traditional attire on an artificial turf field.</t>
  </si>
  <si>
    <t>The players are in military uniforms on a dirt field.</t>
  </si>
  <si>
    <t>The players are in casual clothes on a concrete field.</t>
  </si>
  <si>
    <t>The players are dressed in traditional Chinese Cuju robes, but the game is being played on a modern artificial turf field, creating a stark contrast.</t>
  </si>
  <si>
    <t>(A) 球员们身着现代服装，在草地上比赛。 (B) 球员们身着传统服饰，在人造草坪球场上比赛。 (C) 球员们身穿军装，在泥土地场上比赛。 (D) 球员们身着便服，在水泥球场上比赛。</t>
  </si>
  <si>
    <t>The two groups of players are separated by the goal. What does this suggest about the competition?</t>
  </si>
  <si>
    <t>The game is a solo performance.</t>
  </si>
  <si>
    <t>The game is a two-team competition.</t>
  </si>
  <si>
    <t>The groups are spectators.</t>
  </si>
  <si>
    <t>The groups are part of a single training session.</t>
  </si>
  <si>
    <t>The players are divided into two distinct groups, one in red and one in blue, positioned on opposite sides of the goal, indicating that they are two competing teams.</t>
  </si>
  <si>
    <t>(A) 这场游戏是单人表演。 (B) 这是一场两队对抗的比赛。 (C) 这些团体都是旁观者。 (D) 这些小组隶属于同一个培训课程。</t>
  </si>
  <si>
    <t>What is the primary purpose of this event?</t>
  </si>
  <si>
    <t>A professional sports tournament.</t>
  </si>
  <si>
    <t>A friendly, informal game.</t>
  </si>
  <si>
    <t>A historical and cultural exhibition.</t>
  </si>
  <si>
    <t>A training session for a modern team.</t>
  </si>
  <si>
    <t>The traditional attire, the historically accurate Cuju goal, and the presence of a banner with Chinese characters suggest that this is a public exhibition or cultural event to showcase the historical sport.</t>
  </si>
  <si>
    <t>(A) 一项职业体育赛事。 (B) 一场轻松友好的非正式游戏。 (C) 历史文化展览。 (D) 为现代团队举办的训练课程。</t>
  </si>
  <si>
    <t>cuju_2.jpg</t>
  </si>
  <si>
    <t>What is the primary activity taking place in the image?</t>
  </si>
  <si>
    <t>A performance of Chinese opera.</t>
  </si>
  <si>
    <t>A demonstration of a traditional sport.</t>
  </si>
  <si>
    <t>A festival with a parade.</t>
  </si>
  <si>
    <t>A kung fu exhibition.</t>
  </si>
  <si>
    <t>The image shows men in traditional clothing playing a ball game with a ceremonial goal, which is a demonstration of Cuju, an ancient Chinese sport.</t>
  </si>
  <si>
    <t>(A) 一场中国戏曲表演。 (B) 传统体育运动的演示。 (C) 有游行的节日。 (D) 功夫表演。</t>
  </si>
  <si>
    <t>What does the goalpost structure indicate about this form of Cuju?</t>
  </si>
  <si>
    <t>It is a modern innovation.</t>
  </si>
  <si>
    <t>It is a replica of a historical goal.</t>
  </si>
  <si>
    <t>It is a type of ceremonial archway.</t>
  </si>
  <si>
    <t>It is a simple net.</t>
  </si>
  <si>
    <t>The large, red, and ornate structure with a central hoop is a modern-day replica of a goal used in historical forms of Cuju, known as "solo goal Cuju" or "double goal Cuju".</t>
  </si>
  <si>
    <t>(A) 这是一项现代创新。 (B) 它是历史球门的复制品。 (C) 它是一种仪式用拱门。 (D) 这是一个简单的网。</t>
  </si>
  <si>
    <t>What is a key feature of the playing field?</t>
  </si>
  <si>
    <t>It is a modern, artificial turf field.</t>
  </si>
  <si>
    <t>It is a grassy, outdoor field.</t>
  </si>
  <si>
    <t>It is a historical, indoor arena.</t>
  </si>
  <si>
    <t>It is a paved courtyard with traditional Chinese architecture.</t>
  </si>
  <si>
    <t>The players are on a paved surface surrounded by traditional Chinese buildings, which provides a historically accurate backdrop for the Cuju demonstration.</t>
  </si>
  <si>
    <t>(A) 这是一个现代化的、人造草坪球场。 (B) 这是一片绿草茵茵的户外场地。 (C) 这是一个历史悠久的室内体育馆。 (D) 这是一个铺砌石板的庭院，具有传统的中国建筑风格。</t>
  </si>
  <si>
    <t>What is the role of the crowd in the background?</t>
  </si>
  <si>
    <t>They are other players.</t>
  </si>
  <si>
    <t>They are judges.</t>
  </si>
  <si>
    <t>They are waiting for their turn.</t>
  </si>
  <si>
    <t>The people in the background, including both adults and children, are watching the game, indicating that they are an audience or spectators for the public demonstration.</t>
  </si>
  <si>
    <t>(A) 他们是旁观者。 (B) 他们是其他玩家。 (C) 他们是法官。 (D) 他们都在等待轮到自己。</t>
  </si>
  <si>
    <t>What is the main difference between this form of Cuju and modern soccer?</t>
  </si>
  <si>
    <t>Cuju is played with a smaller ball.</t>
  </si>
  <si>
    <t>The primary objective is to get the ball through a hoop, not a wide net.</t>
  </si>
  <si>
    <t>Cuju is a team sport with no limits on the number of players.</t>
  </si>
  <si>
    <t>Cuju is played without using feet.</t>
  </si>
  <si>
    <t>In modern soccer, the objective is to score in a wide net, whereas this Cuju form's objective is to kick the ball through a small, elevated hoop.</t>
  </si>
  <si>
    <t>(A) 蹴鞠使用的是较小的球。 (B) 主要目标是将球投进篮筐，而不是投进大网。 (C) 蹴鞠是一项团队运动，对参赛人数没有限制。 (D) 蹴鞠是一种不用脚踢的舞蹈。</t>
  </si>
  <si>
    <t>cuju_34.jpg</t>
  </si>
  <si>
    <t>What is the most prominent feature of the image?</t>
  </si>
  <si>
    <t>A single player in a uniform.</t>
  </si>
  <si>
    <t>A line of players with soccer balls.</t>
  </si>
  <si>
    <t>A soccer field with a goal.</t>
  </si>
  <si>
    <t>A crowd of spectators.</t>
  </si>
  <si>
    <t>The image shows a long line of uniformed players, each in the process of heading a soccer ball, making the repetition of players and balls the most prominent visual feature.</t>
  </si>
  <si>
    <t>(A) 一名身穿球衣的球员。 (B) 一排球员手持足球。 (C) 一个带有球门的足球场。 (D) 一群观众。</t>
  </si>
  <si>
    <t>What does the activity in the image represent?</t>
  </si>
  <si>
    <t>A game of catch.</t>
  </si>
  <si>
    <t>A warm-up for a soccer match.</t>
  </si>
  <si>
    <t>A training drill for modern soccer.</t>
  </si>
  <si>
    <t>A historical Cuju demonstration.</t>
  </si>
  <si>
    <t>The players are wearing modern soccer uniforms and are performing a synchronized training drill to practice ball control and heading, which is a modern soccer technique, not a Cuju demonstration.</t>
  </si>
  <si>
    <t>(A) 玩接球游戏。 (B) 足球比赛前的热身。 (C) 现代足球训练方法。 (D) 一场具有历史意义的蹴鞠表演。</t>
  </si>
  <si>
    <t>The players are all wearing the same uniform. What does this suggest?</t>
  </si>
  <si>
    <t>They are a team or a sports academy.</t>
  </si>
  <si>
    <t>They are from the same family.</t>
  </si>
  <si>
    <t>They are a group of friends.</t>
  </si>
  <si>
    <t>They are professional players.</t>
  </si>
  <si>
    <t>The matching uniforms indicate that the players are part of an organized group, such as a sports team, school team, or academy.</t>
  </si>
  <si>
    <t>(A) 他们是一个团队或一个体育学院。 (B) 他们是同一家族的成员。 (C) 他们是一群朋友。 (D) 他们是职业球员。</t>
  </si>
  <si>
    <t>The image shows a group of young people. What is the significance of this?</t>
  </si>
  <si>
    <t>It suggests that soccer is only for children.</t>
  </si>
  <si>
    <t>It shows the growing popularity of soccer among youth in China.</t>
  </si>
  <si>
    <t>It's a school competition.</t>
  </si>
  <si>
    <t>It's a professional team.</t>
  </si>
  <si>
    <t>The image highlights the contemporary focus on developing youth talent in modern soccer in China, a legacy of the ancient sport of Cuju.</t>
  </si>
  <si>
    <t>(A) 这暗示足球只是儿童的运动。 (B) 这说明足球在中国青少年中越来越受欢迎。 (C) 这是一场校内比赛。 (D) 这是一支专业的团队。</t>
  </si>
  <si>
    <t>What is the main difference between this activity and a traditional game of Cuju?</t>
  </si>
  <si>
    <t>The use of a modern ball.</t>
  </si>
  <si>
    <t>The focus on heading and teamwork.</t>
  </si>
  <si>
    <t>The use of a team uniform.</t>
  </si>
  <si>
    <t>All of the above.</t>
  </si>
  <si>
    <t>This image showcases modern soccer, which differs from traditional Cuju in its use of a modern ball, a focus on heading (which was less common in Cuju), and the concept of a formalized team with uniforms.</t>
  </si>
  <si>
    <t>(A) 使用现代球。 (B) 注重领导和团队合作。 (C) 使用团队制服。 (D) 上述所有的。</t>
  </si>
  <si>
    <t>cuju_42.jpg</t>
  </si>
  <si>
    <t>What is the item shown in the image?</t>
  </si>
  <si>
    <t>A baseball</t>
  </si>
  <si>
    <t>A historic artifact of an ancient sport</t>
  </si>
  <si>
    <t>A trophy for a modern competition</t>
  </si>
  <si>
    <t>A bowling ball</t>
  </si>
  <si>
    <t>The item is a replica of a historical Cuju ball, which is an artifact related to the ancient Chinese sport, often used in museum displays or exhibitions.</t>
  </si>
  <si>
    <t>(A) 棒球 (B) 一件古代体育运动的历史文物 (C) 现代比赛的奖杯 (D) 保龄球</t>
  </si>
  <si>
    <t>What is the ball's unique construction made of?</t>
  </si>
  <si>
    <t>A hollow rubber core</t>
  </si>
  <si>
    <t>A modern synthetic material</t>
  </si>
  <si>
    <t>A stitched leather or hide covering</t>
  </si>
  <si>
    <t>A wooden core with metal studs</t>
  </si>
  <si>
    <t>The ball is made of what appears to be stitched leather or hide, a historical method of crafting balls that were used in ancient sports.</t>
  </si>
  <si>
    <t>(A) 空心橡胶芯 (B) 一种现代合成材料 (C) 缝合的皮革或兽皮 (D) 木质芯材，带有金属铆钉</t>
  </si>
  <si>
    <t>What is the significance of the text on the base?</t>
  </si>
  <si>
    <t>It is a brand name.</t>
  </si>
  <si>
    <t>It is a historical record of the ball's use.</t>
  </si>
  <si>
    <t>It states that the city of Zibo Linzi is the origin of football.</t>
  </si>
  <si>
    <t>It is a dedication to a famous player.</t>
  </si>
  <si>
    <t>The text on the base says "Football originates here - Zibo Linzi", referencing the Chinese city that has been officially recognized by FIFA as the birthplace of Cuju and, by extension, the world's oldest form of soccer.</t>
  </si>
  <si>
    <t>(A) 这是一个品牌名称。 (B) 这是关于球的使用历史的记录。 (C) 文中指出，淄博临子市是足球的发源地。 (D) 这是献给一位著名球员的致敬之作。</t>
  </si>
  <si>
    <t>What can be inferred about the ball's design?</t>
  </si>
  <si>
    <t>It was made to be lightweight and durable.</t>
  </si>
  <si>
    <t>It was designed for modern, high-speed games.</t>
  </si>
  <si>
    <t>It was a solid, heavy ball.</t>
  </si>
  <si>
    <t>It was made for ceremonial use only.</t>
  </si>
  <si>
    <t>The intricate stitching and material suggest that the ball was crafted to be lightweight, allowing it to be easily kicked and kept in the air, a key aspect of Cuju.</t>
  </si>
  <si>
    <t>(A) 它的设计兼顾了轻便和耐用性。 (B) 它是为现代高速游戏而设计的。 (C) 那是一个结实、沉重的球。 (D) 它仅用于仪式用途。</t>
  </si>
  <si>
    <t>What is the purpose of this object today?</t>
  </si>
  <si>
    <t>To be used in modern games.</t>
  </si>
  <si>
    <t>To serve as a historical and cultural symbol.</t>
  </si>
  <si>
    <t>To be sold as a toy.</t>
  </si>
  <si>
    <t>To be used in scientific research.</t>
  </si>
  <si>
    <t>Today, replicas like this are used to symbolize the historical origins of soccer and are often displayed in cultural or sports-related museums.</t>
  </si>
  <si>
    <t>(A) 用于现代游戏。 (B) 作为历史文化象征。 (C) 将作为玩具出售。 (D) 用于科学研究。</t>
  </si>
  <si>
    <t>cuju_45.jpg</t>
  </si>
  <si>
    <t>What is the key objective of the player's movement?</t>
  </si>
  <si>
    <t>To strike the ball with his fist.</t>
  </si>
  <si>
    <t>To kick the ball through the elevated hoop.</t>
  </si>
  <si>
    <t>To perform a defensive block.</t>
  </si>
  <si>
    <t>To dribble the ball on the ground.</t>
  </si>
  <si>
    <t>The player is positioned to kick the ball with his foot, aiming to pass it through the small hoop in the center of the goal structure, which is the objective in this form of Cuju.</t>
  </si>
  <si>
    <t>(A) 用拳头击球。 (B) 将球踢过高架篮筐。 (C) 进行防守性阻挡。 (D) 在地面上运球。</t>
  </si>
  <si>
    <t>What does the crowd in the background suggest about the event?</t>
  </si>
  <si>
    <t>It is a small, private gathering.</t>
  </si>
  <si>
    <t>It is a popular public demonstration.</t>
  </si>
  <si>
    <t>It is a formal, competitive tournament.</t>
  </si>
  <si>
    <t>It is a training session.</t>
  </si>
  <si>
    <t>The large group of spectators in the background, including many people watching from different angles, indicates that this is a public and popular event.</t>
  </si>
  <si>
    <t>(A) 这是一个小型私人聚会。 (B) 这是一场很受欢迎的公众示威活动。 (C) 这是一项正式的、具有竞争性的锦标赛。 (D) 这是一次培训课程。</t>
  </si>
  <si>
    <t>The players are wearing specific attire. What does it represent?</t>
  </si>
  <si>
    <t>Their military rank.</t>
  </si>
  <si>
    <t>Their social status.</t>
  </si>
  <si>
    <t>The festive and traditional nature of the event.</t>
  </si>
  <si>
    <t>Their team affiliation.</t>
  </si>
  <si>
    <t>The brightly colored, ornate, and loose-fitting clothing is a key part of the festive and traditional attire for Cuju demonstrations and performances.</t>
  </si>
  <si>
    <t>(A) 他们的军衔。 (B) 他们的社会地位。 (C) 活动的喜庆性和传统性。 (D) 他们的团队归属。</t>
  </si>
  <si>
    <t>How does this form of Cuju differ from modern soccer?</t>
  </si>
  <si>
    <t>It is a team sport.</t>
  </si>
  <si>
    <t>The goal is a high hoop, not a wide net.</t>
  </si>
  <si>
    <t>It is played without a referee.</t>
  </si>
  <si>
    <t>It uses a smaller ball.</t>
  </si>
  <si>
    <t>Unlike modern soccer, which uses a wide net as a goal, this form of Cuju uses an elevated hoop as the target, requiring a different set of skills and strategies.</t>
  </si>
  <si>
    <t>(A) 这是一项团队运动。 (B) 目标是高高的篮筐，而不是宽阔的球网。 (C) 比赛没有裁判。 (D) 它使用较小的球。</t>
  </si>
  <si>
    <t>cuju_50.jpg</t>
  </si>
  <si>
    <t>What is the most prominent feature of the Cuju goalpost?</t>
  </si>
  <si>
    <t>It is made of metal.</t>
  </si>
  <si>
    <t>It has a net on it.</t>
  </si>
  <si>
    <t>It is made of a lightweight material.</t>
  </si>
  <si>
    <t>It has a circular hoop at the top.</t>
  </si>
  <si>
    <t>The goalpost is a tall structure with a circular hoop in the center, which serves as the target for scoring in this form of Cuju.</t>
  </si>
  <si>
    <t>(A) 它是由金属制成的。 (B) 它上面有一张网。 (C) 它由轻质材料制成。 (D) 它的顶部有一个圆形环。</t>
  </si>
  <si>
    <t>The players are in a grassy, open field. What does this suggest about the playing environment?</t>
  </si>
  <si>
    <t>It is a modern, professional stadium.</t>
  </si>
  <si>
    <t>It is a park or a recreational area.</t>
  </si>
  <si>
    <t>It is a historical palace ground.</t>
  </si>
  <si>
    <t>It is a military training ground.</t>
  </si>
  <si>
    <t>The natural grass and trees in the background, along with the informal setting, suggest that the game is being played in a park or recreational area.</t>
  </si>
  <si>
    <t>(A) 这是一个现代化、专业的体育场。 (B) 这是一个公园或休闲区。 (C) 这里是一处历史悠久的宫殿遗址。 (D) 这是一个军事训练场。</t>
  </si>
  <si>
    <t>The players are dressed in what kind of attire?</t>
  </si>
  <si>
    <t>Casual sports clothes.</t>
  </si>
  <si>
    <t>Formal suits.</t>
  </si>
  <si>
    <t>Ceremonial Chinese robes.</t>
  </si>
  <si>
    <t>Everyday clothing.</t>
  </si>
  <si>
    <t>The players are wearing loose-fitting, decorated robes with specific headdresses, which are examples of traditional ceremonial Chinese robes for this type of event.</t>
  </si>
  <si>
    <t>(A) 休闲运动服。 (B) 正装。 (C) 中国传统礼服。 (D) 日常服装。</t>
  </si>
  <si>
    <t>What is the purpose of the flags and banners being carried by some players?</t>
  </si>
  <si>
    <t>They are to show the team's ranking.</t>
  </si>
  <si>
    <t>They are decorative elements for the performance.</t>
  </si>
  <si>
    <t>They are used as weapons.</t>
  </si>
  <si>
    <t>The banners and flags, decorated with traditional motifs, are used to add to the visual spectacle of the demonstration, rather than being functional parts of the game.</t>
  </si>
  <si>
    <t>(A) 它们用于标记场地。 (B) 它们用来显示球队的排名。 (C) 它们是表演中的装饰元素。 (D) 它们被用作武器。</t>
  </si>
  <si>
    <t>What is the main objective of the game in this image?</t>
  </si>
  <si>
    <t>To kick the ball as high as possible.</t>
  </si>
  <si>
    <t>To keep the ball in the air.</t>
  </si>
  <si>
    <t>To kick the ball through the hoop.</t>
  </si>
  <si>
    <t>To tackle an opponent.</t>
  </si>
  <si>
    <t>The player is in the process of kicking the ball towards the goalpost, with the clear objective of getting it through the central hoop to score.</t>
  </si>
  <si>
    <t>(A) 尽可能把球踢得高。 (B) 让球保持在空中。 (C) 将球踢过篮筐。 (D) 擒抱对手。</t>
  </si>
  <si>
    <t>cuju_54.jpg</t>
  </si>
  <si>
    <t>What is the central object being held in the image?</t>
  </si>
  <si>
    <t>A modern soccer ball.</t>
  </si>
  <si>
    <t>A historical Cuju ball.</t>
  </si>
  <si>
    <t>A woven basket.</t>
  </si>
  <si>
    <t>A decorative ornament.</t>
  </si>
  <si>
    <t>The object is a historical Cuju ball, made of woven materials, which is a key item in the ancient Chinese sport.</t>
  </si>
  <si>
    <t>(A) 现代足球。 (B) 一场具有历史意义的蹴鞠舞会。 (C) 一个编织篮。 (D) 装饰品。</t>
  </si>
  <si>
    <t>The person is holding the ball, not kicking it. What does this suggest about the context?</t>
  </si>
  <si>
    <t>He is a spectator.</t>
  </si>
  <si>
    <t>He is a player who has just finished the game.</t>
  </si>
  <si>
    <t>He is portraying a character in a historical drama.</t>
  </si>
  <si>
    <t>He is a referee.</t>
  </si>
  <si>
    <t>The person's perfect posture, theatrical makeup, and stylized hair and clothing are all characteristic of an actor in a historical drama or movie, not a real-life player.</t>
  </si>
  <si>
    <t>(A) 他是一名旁观者。 (B) 他是一名刚刚结束比赛的玩家。 (C) 他在一部历史剧中扮演一个角色。 (D) 他是裁判。</t>
  </si>
  <si>
    <t>What does the character's clothing and appearance suggest about his social status?</t>
  </si>
  <si>
    <t>He is a commoner.</t>
  </si>
  <si>
    <t>He is a military general.</t>
  </si>
  <si>
    <t>He is a person of high social standing, possibly a noble.</t>
  </si>
  <si>
    <t>He is a simple merchant.</t>
  </si>
  <si>
    <t>The character's fine clothing, elaborate headdress, and elegant demeanor suggest that he is portraying a person of high social standing, like a noble or official from a historical period.</t>
  </si>
  <si>
    <t>(A) 他是个平民。 (B) 他是一位将军。 (C) 他出身高贵，可能是贵族。 (D) 他只是个普通的商人。</t>
  </si>
  <si>
    <t>What can be inferred about the ball's construction?</t>
  </si>
  <si>
    <t>It is made of a single piece of wood.</t>
  </si>
  <si>
    <t>It is a simple, modern plastic ball.</t>
  </si>
  <si>
    <t>It is made from woven strips of material.</t>
  </si>
  <si>
    <t>It is made of solid leather.</t>
  </si>
  <si>
    <t>The visible texture and pattern on the ball show that it is made from woven strips of a material like bamboo or rattan, a common construction for Cuju balls in some historical periods.</t>
  </si>
  <si>
    <t>(A) 它由一整块木头制成。 (B) 这是一个简单、现代的塑料球。 (C) 它由编织的布条制成。 (D) 它由结实的皮革制成。</t>
  </si>
  <si>
    <t>What is a likely reason for recreating this historical scene?</t>
  </si>
  <si>
    <t>For a commercial.</t>
  </si>
  <si>
    <t>To film a historical drama or movie.</t>
  </si>
  <si>
    <t>To serve as a museum exhibit.</t>
  </si>
  <si>
    <t>To train for a real Cuju match.</t>
  </si>
  <si>
    <t>The professional lighting, makeup, and costumes strongly suggest that this is a scene being filmed for a historical drama or movie set in ancient China.</t>
  </si>
  <si>
    <t>(A) 用于商业用途。 (B) 拍摄历史剧或电影。 (C) 用作博物馆展品。 (D) 为真正的蹴鞠比赛进行训练。</t>
  </si>
  <si>
    <t>cuju_55.jpg</t>
  </si>
  <si>
    <t>What is the location of the Cuju game?</t>
  </si>
  <si>
    <t>A modern sports arena.</t>
  </si>
  <si>
    <t>An outdoor park.</t>
  </si>
  <si>
    <t>A historical building courtyard.</t>
  </si>
  <si>
    <t>An indoor studio.</t>
  </si>
  <si>
    <t>The players are on a grassy area surrounded by traditional Chinese buildings and a high wall, suggesting the event is taking place in a courtyard of a historical building.</t>
  </si>
  <si>
    <t>(A) 一座现代化的体育场馆。 (B) 一个户外公园。 (C) 历史建筑庭院。 (D) 室内工作室。</t>
  </si>
  <si>
    <t>What is a key feature of the Cuju goalpost?</t>
  </si>
  <si>
    <t>It is designed for easy portability.</t>
  </si>
  <si>
    <t>It is a permanent structure.</t>
  </si>
  <si>
    <t>It is made of concrete.</t>
  </si>
  <si>
    <t>It has a wide net.</t>
  </si>
  <si>
    <t>The goalpost is on wheels, indicating that it is a mobile, portable structure, which can be easily moved for different demonstrations or events.</t>
  </si>
  <si>
    <t>(A) 它设计便于携带。 (B) 这是一座永久性建筑。 (C) 它是由混凝土制成的。 (D) 它有一张大网。</t>
  </si>
  <si>
    <t>What can be inferred about the players' attire?</t>
  </si>
  <si>
    <t>It is casual and for everyday use.</t>
  </si>
  <si>
    <t>It is modern sports gear.</t>
  </si>
  <si>
    <t>It is traditional, possibly from a historical period like the Ming or Qing dynasty.</t>
  </si>
  <si>
    <t>It is a military uniform.</t>
  </si>
  <si>
    <t>The players are wearing blue and red robes with specific hats and sashes, which are typical of traditional Chinese clothing from specific historical dynasties.</t>
  </si>
  <si>
    <t>(A) 它休闲百搭，适合日常穿着。 (B) 这是现代运动装备。 (C) 这是传统习俗，可能源自明朝或清朝等历史时期。 (D) 这是一套军装。</t>
  </si>
  <si>
    <t>The players are in different positions. What does this suggest?</t>
  </si>
  <si>
    <t>They are in the middle of a game or demonstration.</t>
  </si>
  <si>
    <t>They are posing for a picture.</t>
  </si>
  <si>
    <t>They are stretching before the game.</t>
  </si>
  <si>
    <t>The players' postures, with some actively engaged in kicking and others observing, indicate that a game or demonstration is in progress, not a static event.</t>
  </si>
  <si>
    <t>(A) 他们正在进行比赛或演示。 (B) 他们都在等待轮到自己。 (C) 他们正在摆姿势拍照。 (D) 他们在赛前做拉伸运动。</t>
  </si>
  <si>
    <t>What is the primary purpose of the two different goal holes?</t>
  </si>
  <si>
    <t>They represent two different teams.</t>
  </si>
  <si>
    <t>They are for two different games.</t>
  </si>
  <si>
    <t>They are of different sizes for different levels of difficulty.</t>
  </si>
  <si>
    <t>They are purely decorative.</t>
  </si>
  <si>
    <t>The goal structure has two holes, one larger than the other, suggesting that they might be used for different skill levels or scoring purposes in the game.</t>
  </si>
  <si>
    <t>(A) 他们代表两支不同的队伍。 (B) 它们用于两款不同的游戏。 (C) 它们尺寸各异，难度级别也不同。 (D) 它们纯粹是装饰品。</t>
  </si>
  <si>
    <t>cuju_66.jpg</t>
  </si>
  <si>
    <t>The people in the image are wearing face masks. What does this suggest about the time period?</t>
  </si>
  <si>
    <t>It is set in the 19th century.</t>
  </si>
  <si>
    <t>It is a modern-day event.</t>
  </si>
  <si>
    <t>It is a futuristic event.</t>
  </si>
  <si>
    <t>It is an ancient event.</t>
  </si>
  <si>
    <t>The use of face masks is a clear indicator that the image was taken during a modern time, likely during or after the COVID-19 pandemic.</t>
  </si>
  <si>
    <t>(A) 故事背景设定在19世纪。 (B) 这是一件现代事件。 (C) 这是一场充满未来感的盛事。 (D) 这是一个古老的事件。</t>
  </si>
  <si>
    <t>What is the main activity shown in the image?</t>
  </si>
  <si>
    <t>A protest march.</t>
  </si>
  <si>
    <t>A performance of a traditional sport.</t>
  </si>
  <si>
    <t>A parade.</t>
  </si>
  <si>
    <t>A military drill.</t>
  </si>
  <si>
    <t>The image shows people in traditional attire and a Cuju goalpost, indicating a public performance of a traditional Chinese sport.</t>
  </si>
  <si>
    <t>(A) 抗议游行。 (B) 一场传统体育表演。 (C) 游行。 (D) 军事演习。</t>
  </si>
  <si>
    <t>What is the setting of this performance?</t>
  </si>
  <si>
    <t>A rural village.</t>
  </si>
  <si>
    <t>A palace courtyard.</t>
  </si>
  <si>
    <t>A city wall or an elevated platform.</t>
  </si>
  <si>
    <t>The background features a brick wall, city skyline, and a high vantage point, suggesting that the event is taking place on a city wall or a high platform overlooking an urban area.</t>
  </si>
  <si>
    <t>(A) 一个乡村。 (B) 宫殿庭院。 (C) 城墙或高台。 (D) 室内工作室。</t>
  </si>
  <si>
    <t>The practitioner in the center is holding a ball. What is the ball made of?</t>
  </si>
  <si>
    <t>Rubber.</t>
  </si>
  <si>
    <t>Plastic.</t>
  </si>
  <si>
    <t>Woven straw or bamboo.</t>
  </si>
  <si>
    <t>Solid wood.</t>
  </si>
  <si>
    <t>The ball has a visible woven pattern, indicating it is made of traditional materials like straw or bamboo, consistent with historical Cuju balls.</t>
  </si>
  <si>
    <t>(A) 橡皮。 (B) 塑料。 (C) 编织的稻草或竹子。 (D) 实木。</t>
  </si>
  <si>
    <t>What is the purpose of the elaborate costumes and goalposts?</t>
  </si>
  <si>
    <t>They are for a formal competition.</t>
  </si>
  <si>
    <t>They are for a public cultural exhibition.</t>
  </si>
  <si>
    <t>They are for a movie scene.</t>
  </si>
  <si>
    <t>They are part of a religious ceremony.</t>
  </si>
  <si>
    <t>The traditional attire, along with the detailed goalpost and public setting, suggests that the purpose is to showcase Chinese history and culture to an audience.</t>
  </si>
  <si>
    <t>(A) 它们用于正式比赛。 (B) 它们将用于公共文化展览。 (C) 它们用于电影场景。 (D) 它们是宗教仪式的一部分。</t>
  </si>
  <si>
    <t>cuju_77.jpg</t>
  </si>
  <si>
    <t>A rugby game.</t>
  </si>
  <si>
    <t>A soccer game.</t>
  </si>
  <si>
    <t>A Cuju match.</t>
  </si>
  <si>
    <t>A basketball game.</t>
  </si>
  <si>
    <t>The players are wearing modern soccer uniforms and are playing on a grass field with a modern soccer ball, indicating that they are playing a modern soccer game, not Cuju.</t>
  </si>
  <si>
    <t>(A) 一场橄榄球比赛。 (B) 一场足球比赛。 (C) 蹴鞠比赛。 (D) 一场篮球比赛。</t>
  </si>
  <si>
    <t>How does this activity differ from traditional Cuju?</t>
  </si>
  <si>
    <t>It is played with a different type of ball.</t>
  </si>
  <si>
    <t>The attire is modern and athletic.</t>
  </si>
  <si>
    <t>The focus is on tackling and scoring goals in a net.</t>
  </si>
  <si>
    <t>Modern soccer, as shown here, is fundamentally different from Cuju in its use of a modern ball, athletic attire, and a focus on tackling and scoring goals in a large net, which was not always the case in Cuju.</t>
  </si>
  <si>
    <t>(A) 它使用的是不同类型的球。 (B) 服装风格现代且运动。 (C) 重点在于拦截和射门得分。 (D) 上述所有的。</t>
  </si>
  <si>
    <t>What is a notable feature of the players' attire?</t>
  </si>
  <si>
    <t>They are wearing traditional robes.</t>
  </si>
  <si>
    <t>They are wearing modern soccer uniforms.</t>
  </si>
  <si>
    <t>They are wearing business suits.</t>
  </si>
  <si>
    <t>They are wearing military gear.</t>
  </si>
  <si>
    <t>The players are wearing shorts, jerseys, socks, and cleats, which are the standard modern soccer uniforms.</t>
  </si>
  <si>
    <t>(A) 他们身穿传统长袍。 (B) 他们穿着现代足球服。 (C) 他们穿着商务套装。 (D) 他们身穿军装。</t>
  </si>
  <si>
    <t>What does this image suggest about the popularity of soccer in China today?</t>
  </si>
  <si>
    <t>It has been replaced by traditional sports.</t>
  </si>
  <si>
    <t>It is a niche sport.</t>
  </si>
  <si>
    <t>It is a popular sport, particularly among young people.</t>
  </si>
  <si>
    <t>It is a declining sport.</t>
  </si>
  <si>
    <t>The image of young, enthusiastic players engaging in a modern soccer game indicates that the sport has a strong and growing following in China today.</t>
  </si>
  <si>
    <t>(A) 它已被传统体育运动所取代。 (B) 这是一项小众运动。 (C) 这项运动很受欢迎，尤其受到年轻人的喜爱。 (D) 这是一项日渐衰落的运动。</t>
  </si>
  <si>
    <t>What is the relationship between this activity and Cuju?</t>
  </si>
  <si>
    <t>They are the same sport.</t>
  </si>
  <si>
    <t>Cuju is a modern version of this activity.</t>
  </si>
  <si>
    <t>This is a historical re-enactment of Cuju.</t>
  </si>
  <si>
    <t>Cuju is considered the historical ancestor of this modern sport.</t>
  </si>
  <si>
    <t>Cuju is historically recognized as the ancient Chinese precursor to modern soccer, making it the historical ancestor of the sport shown in the image.</t>
  </si>
  <si>
    <t>(A) 它们属于同一项运动。 (B) 蹴鞠是这项运动的现代版本。 (C) 这是对蹴鞠的历史重现。 (D) 蹴鞠被认为是这项现代运动的历史起源。</t>
  </si>
  <si>
    <t>cuju_81.jpg</t>
  </si>
  <si>
    <t>A military parade on ice.</t>
  </si>
  <si>
    <t>A figure skating performance.</t>
  </si>
  <si>
    <t>A traditional sport on ice skates.</t>
  </si>
  <si>
    <t>An ice hockey game.</t>
  </si>
  <si>
    <t>The image shows people in traditional, stylized historical clothing and armor, carrying flags and wearing roller skates, suggesting a performance of a traditional sport or a parade on skates.</t>
  </si>
  <si>
    <t>(A) 冰上阅兵。 (B) 一场花样滑冰表演。 (C) 一项传统的冰上运动。 (D) 一场冰球比赛。</t>
  </si>
  <si>
    <t>The players are wearing skates. What is the type of skates they are using?</t>
  </si>
  <si>
    <t>Ice skates.</t>
  </si>
  <si>
    <t>Inline roller skates.</t>
  </si>
  <si>
    <t>Quad skates.</t>
  </si>
  <si>
    <t>Rollerblades.</t>
  </si>
  <si>
    <t>The players are wearing skates with a single line of wheels, which are inline roller skates.</t>
  </si>
  <si>
    <t>(A) 冰刀。 (B) 直排轮滑鞋。 (C) 四轮滑冰鞋。 (D) 轮滑鞋。</t>
  </si>
  <si>
    <t>The players' attire resembles what historical period?</t>
  </si>
  <si>
    <t>Ancient Roman soldiers.</t>
  </si>
  <si>
    <t>Medieval European knights.</t>
  </si>
  <si>
    <t>Traditional Chinese military attire.</t>
  </si>
  <si>
    <t>Japanese samurai warriors.</t>
  </si>
  <si>
    <t>The stylized armor, helmets, and banners are reminiscent of traditional Chinese military attire from various dynasties.</t>
  </si>
  <si>
    <t>(A) 古罗马士兵。 (B) 中世纪欧洲骑士。 (C) 中国传统军服。 (D) 日本武士。</t>
  </si>
  <si>
    <t>The setting is on what type of surface?</t>
  </si>
  <si>
    <t>An ice rink.</t>
  </si>
  <si>
    <t>A paved road.</t>
  </si>
  <si>
    <t>An ice-covered surface, likely a frozen lake or river.</t>
  </si>
  <si>
    <t>An indoor roller rink.</t>
  </si>
  <si>
    <t>The surface is white and has visible cracks, suggesting a frozen body of water, which would be a venue for winter festivals and performances.</t>
  </si>
  <si>
    <t>(A) 一个溜冰场。 (B) 一条铺好的道路。 (C) 冰封的表面，可能是冰冻的湖泊或河流。 (D) 室内轮滑场。</t>
  </si>
  <si>
    <t>What can be inferred about the cultural context of this performance?</t>
  </si>
  <si>
    <t>It is a modern sporting event.</t>
  </si>
  <si>
    <t>It is a traditional winter festival or historical re-enactment.</t>
  </si>
  <si>
    <t>It is a military training exercise.</t>
  </si>
  <si>
    <t>The combination of traditional historical costumes and the winter setting suggests that this is a historical re-enactment or performance that is part of a winter cultural festival.</t>
  </si>
  <si>
    <t>(A) 这是一项现代体育赛事。 (B) 这是一个传统的冬季节日或历史重现活动。 (C) 这是一次军事训练演习。 (D) 这是一种非正式的做法。</t>
  </si>
  <si>
    <t>cuju_89.jpg</t>
  </si>
  <si>
    <t>What is the central activity shown in the image?</t>
  </si>
  <si>
    <t>A group of children playing a game.</t>
  </si>
  <si>
    <t>A crowd watching a performance.</t>
  </si>
  <si>
    <t>A public art installation.</t>
  </si>
  <si>
    <t>A photo shoot.</t>
  </si>
  <si>
    <t>The image shows children actively engaged with a ball and the goalpost, indicating that they are playing a game or participating in an interactive demonstration.</t>
  </si>
  <si>
    <t>(A) 一群孩子在玩游戏。 (B) 一群人正在观看演出。 (C) 公共艺术装置。 (D) 一次摄影活动。</t>
  </si>
  <si>
    <t>The children are playing a variation of what historical sport?</t>
  </si>
  <si>
    <t>Chinese hacky-sack.</t>
  </si>
  <si>
    <t>Cuju.</t>
  </si>
  <si>
    <t>Chinese shuttlecock.</t>
  </si>
  <si>
    <t>Modern soccer.</t>
  </si>
  <si>
    <t>The children are playing with a traditional Cuju goalpost and a ball, indicating a modern, interactive version of the ancient sport of Cuju.</t>
  </si>
  <si>
    <t>(A) 中国式沙包。 (B) 蹴鞠。 (C) 中国羽毛球。 (D) 现代足球。</t>
  </si>
  <si>
    <t>What is a notable difference between the children's attire and the attire of the adults in the background?</t>
  </si>
  <si>
    <t>The children are in traditional Chinese robes.</t>
  </si>
  <si>
    <t>The children are in modern, casual clothing.</t>
  </si>
  <si>
    <t>The children are in military uniforms.</t>
  </si>
  <si>
    <t>The children are in formal attire.</t>
  </si>
  <si>
    <t>The children are wearing everyday clothing like t-shirts and jeans, which contrasts with the adults in the background who are wearing traditional robes.</t>
  </si>
  <si>
    <t>(A) 孩子们身穿中国传统长袍。 (B) 孩子们穿着时尚休闲的服装。 (C) 孩子们身穿军装。 (D) 孩子们都穿着正式服装。</t>
  </si>
  <si>
    <t>What does this image suggest about the contemporary role of Cuju?</t>
  </si>
  <si>
    <t>It is an educational tool to teach children about history.</t>
  </si>
  <si>
    <t>It is a professional sport for children.</t>
  </si>
  <si>
    <t>It is a competitive sport for adults.</t>
  </si>
  <si>
    <t>It is a forgotten sport.</t>
  </si>
  <si>
    <t>The image shows a public demonstration where children are encouraged to participate, suggesting that the sport is being used as a fun, educational tool to teach about Chinese history and culture.</t>
  </si>
  <si>
    <t>(A) 它是一种教孩子了解历史的教育工具。 (B) 这是一项面向儿童的职业体育运动。 (C) 这是一项成人竞技运动。 (D) 这是一项被遗忘的运动。</t>
  </si>
  <si>
    <t>The goal is a high hoop with a net. What does this indicate about the style of play?</t>
  </si>
  <si>
    <t>The game is focused on ground passes.</t>
  </si>
  <si>
    <t>The game is focused on kicking the ball through a high target.</t>
  </si>
  <si>
    <t>The game is focused on running fast.</t>
  </si>
  <si>
    <t>The game is focused on physical contact.</t>
  </si>
  <si>
    <t>The high hoop with a net is a classic feature of one of the main forms of Cuju, where players would try to kick the ball through the hoop to score.</t>
  </si>
  <si>
    <t>(A) 这款游戏以地面传球为主。 (B) 游戏的目标是将球踢过高处的目标。 (C) 这款游戏注重的是快速奔跑。 (D) 这项运动注重身体接触。</t>
  </si>
  <si>
    <t>dragon_boat_racing_1.jpg</t>
  </si>
  <si>
    <t>What is the main event shown in the image?</t>
  </si>
  <si>
    <t>A rowing competition</t>
  </si>
  <si>
    <t>A fishing trip</t>
  </si>
  <si>
    <t>A canoe race</t>
  </si>
  <si>
    <t>A dragon boat race</t>
  </si>
  <si>
    <t>The image shows multiple boats with dragon-head prows and large teams of paddlers, which are all characteristics of a dragon boat race.</t>
  </si>
  <si>
    <t>What is the purpose of the person beating the large drum in the boat?</t>
  </si>
  <si>
    <t>To entertain the crowd</t>
  </si>
  <si>
    <t>To keep time and synchronize the paddlers' strokes</t>
  </si>
  <si>
    <t>To signal the start of the race</t>
  </si>
  <si>
    <t>To steer the boat</t>
  </si>
  <si>
    <t>The drummer's primary role is to set a steady rhythm for the paddlers, ensuring that the entire team's strokes are synchronized for maximum speed and efficiency.</t>
  </si>
  <si>
    <t>(A) 为了娱乐观众 (B) 为了保持节奏并同步桨手的划桨动作 (C) 标志着比赛开始 (D) 掌舵</t>
  </si>
  <si>
    <t>What is a notable feature of the boats' design?</t>
  </si>
  <si>
    <t>They are made of plastic.</t>
  </si>
  <si>
    <t>They have a traditional dragon head and tail.</t>
  </si>
  <si>
    <t>They are small and lightweight.</t>
  </si>
  <si>
    <t>They are powered by an engine.</t>
  </si>
  <si>
    <t>The boats have intricately carved and painted dragon heads at the front and tails at the back, which is a traditional and ceremonial feature of these boats.</t>
  </si>
  <si>
    <t>(A) 它们是由塑料制成的。 (B) 它们有着传统的龙头和龙尾。 (C) 它们体积小、重量轻。 (D) 它们由发动机驱动。</t>
  </si>
  <si>
    <t>The teams are wearing what type of attire?</t>
  </si>
  <si>
    <t>Formal uniforms</t>
  </si>
  <si>
    <t>Life jackets and sports jerseys</t>
  </si>
  <si>
    <t>Wetsuits</t>
  </si>
  <si>
    <t>The paddlers are wearing sports jerseys and brightly colored life jackets, which are worn for safety and team identification.</t>
  </si>
  <si>
    <t>(A) 休闲服装 (B) 正式制服 (C) 救生衣和运动衫 (D) 潜水服</t>
  </si>
  <si>
    <t>What does the intense effort of the paddlers suggest about the race?</t>
  </si>
  <si>
    <t>It is a leisurely activity.</t>
  </si>
  <si>
    <t>It is a highly competitive and physically demanding sport.</t>
  </si>
  <si>
    <t>It is a slow, ceremonial procession.</t>
  </si>
  <si>
    <t>It is a team-building exercise.</t>
  </si>
  <si>
    <t>The forward lean, powerful paddle strokes, and focused expressions of the paddlers indicate that this is a race that requires a high level of physical exertion and teamwork.</t>
  </si>
  <si>
    <t>(A) 这是一项休闲活动。 (B) 这是一项竞争非常激烈且对体能要求很高的运动。 (C) 这是一个缓慢而庄严的游行队伍。 (D) 这是一次团队建设活动。</t>
  </si>
  <si>
    <t>dragon_boat_racing_2.jpg</t>
  </si>
  <si>
    <t>What is the primary focus of the image?</t>
  </si>
  <si>
    <t>The water splashing from the oars</t>
  </si>
  <si>
    <t>The team's coordinated paddling effort</t>
  </si>
  <si>
    <t>The scenic background</t>
  </si>
  <si>
    <t>The design of the boat</t>
  </si>
  <si>
    <t>The image is a close-up shot that highlights the synchronized motions of the paddlers, capturing the unified effort of the team.</t>
  </si>
  <si>
    <t>(A) 桨叶溅起的水花 (B) 团队的协调划桨努力 (C) 风景优美的背景 (D) 船的设计</t>
  </si>
  <si>
    <t>The paddles are all entering and exiting the water at the same time. What does this indicate?</t>
  </si>
  <si>
    <t>The team is disorganized.</t>
  </si>
  <si>
    <t>The team is in perfect sync.</t>
  </si>
  <si>
    <t>The team is at a slow pace.</t>
  </si>
  <si>
    <t>The team is about to stop.</t>
  </si>
  <si>
    <t>The synchronized entry and exit of the paddles from the water show that the team is paddling in perfect unison, which is crucial for maximizing the boat's speed.</t>
  </si>
  <si>
    <t>(A) 团队组织混乱。 (B) 团队配合得天衣无缝。 (C) 团队进展缓慢。 (D) 球队即将停止比赛。</t>
  </si>
  <si>
    <t>What is the purpose of the person wearing the blue life jacket?</t>
  </si>
  <si>
    <t>They are the captain of the boat.</t>
  </si>
  <si>
    <t>They are the coach.</t>
  </si>
  <si>
    <t>They are a safety diver.</t>
  </si>
  <si>
    <t>They are a spectator.</t>
  </si>
  <si>
    <t>The person wearing a different colored life jacket might be the captain or a leader, possibly a steersperson, guiding the team.</t>
  </si>
  <si>
    <t>(A) 他们是船长。 (B) 他们是教练。 (C) 他们是安全潜水员。 (D) 他们是旁观者。</t>
  </si>
  <si>
    <t>The waves and splashes coming off the side of the boat suggest what?</t>
  </si>
  <si>
    <t>The boat is sinking.</t>
  </si>
  <si>
    <t>The boat is moving at a slow speed.</t>
  </si>
  <si>
    <t>The boat is stationary.</t>
  </si>
  <si>
    <t>The boat is moving at a very high speed.</t>
  </si>
  <si>
    <t>The significant waves and splashing water indicate the boat's high velocity and the power being generated by the synchronized strokes of the paddlers.</t>
  </si>
  <si>
    <t>(A) 船正在下沉。 (B) 船速很慢。 (C) 船静止不动。 (D) 船速非常快。</t>
  </si>
  <si>
    <t>The paddlers are leaning forward and pulling back with their arms. What does this motion help with?</t>
  </si>
  <si>
    <t>Balancing the boat.</t>
  </si>
  <si>
    <t>Cooling themselves down.</t>
  </si>
  <si>
    <t>Generating power and propulsion.</t>
  </si>
  <si>
    <t>Steering the boat.</t>
  </si>
  <si>
    <t>The coordinated forward-and-back motion of the paddlers, with their arms and bodies, is what generates the power to propel the heavy boat forward.</t>
  </si>
  <si>
    <t>(A) 保持船身平衡。 (B) 让自己冷静下来。 (C) 产生动力和推进力。 (D) 掌舵。</t>
  </si>
  <si>
    <t>dragon_boat_racing_4.jpg</t>
  </si>
  <si>
    <t>What is the role of the person at the very front of the boat?</t>
  </si>
  <si>
    <t>The steersperson</t>
  </si>
  <si>
    <t>The lead drummer</t>
  </si>
  <si>
    <t>The coach</t>
  </si>
  <si>
    <t>The spectator</t>
  </si>
  <si>
    <t>The person at the front is seated next to a drum and is holding a drumstick, indicating their role as the lead drummer, who sets the pace for the paddlers.</t>
  </si>
  <si>
    <t>(A) 舵手 (B) 首席鼓手 (C) 教练 (D) 旁观者</t>
  </si>
  <si>
    <t>The paddlers are leaning far forward and low to the water. What is the reason for this posture?</t>
  </si>
  <si>
    <t>To avoid the wind.</t>
  </si>
  <si>
    <t>To get a deeper, more powerful stroke.</t>
  </si>
  <si>
    <t>To rest.</t>
  </si>
  <si>
    <t>To steer the boat.</t>
  </si>
  <si>
    <t>Leaning forward allows the paddlers to reach further, placing their paddles deeper into the water at the beginning of the stroke to generate more force.</t>
  </si>
  <si>
    <t>(A) 为了避风。 (B) 为了获得更深、更有力的击球效果。 (C) 休息。 (D) 掌舵。</t>
  </si>
  <si>
    <t>The race is taking place on what kind of body of water?</t>
  </si>
  <si>
    <t>An ocean</t>
  </si>
  <si>
    <t>A river or lake</t>
  </si>
  <si>
    <t>A swimming pool</t>
  </si>
  <si>
    <t>A canal</t>
  </si>
  <si>
    <t>The wide, open body of water with natural shorelines in the background suggests that the race is taking place on a river or a large lake.</t>
  </si>
  <si>
    <t>(A) 海洋 (B) 河流或湖泊 (C) 游泳池 (D) 一条运河</t>
  </si>
  <si>
    <t>What is the purpose of the life jackets worn by all the participants?</t>
  </si>
  <si>
    <t>To identify their team.</t>
  </si>
  <si>
    <t>To keep them warm.</t>
  </si>
  <si>
    <t>To ensure safety in case of an accident.</t>
  </si>
  <si>
    <t>To make them look professional.</t>
  </si>
  <si>
    <t>Life jackets are mandatory safety equipment in dragon boat racing to prevent drowning in the event of a capsize or a paddler falling out of the boat.</t>
  </si>
  <si>
    <t>(A) 确定他们的团队。 (B) 为了给他们保暖。 (C) 为了确保发生意外时的安全。 (D) 为了让他们看起来很专业。</t>
  </si>
  <si>
    <t>What is a notable feature of the boat designs in this image?</t>
  </si>
  <si>
    <t>They are identical.</t>
  </si>
  <si>
    <t>They are all painted with a dragon pattern.</t>
  </si>
  <si>
    <t>They are all painted in a different color.</t>
  </si>
  <si>
    <t>They are all of a different size.</t>
  </si>
  <si>
    <t>Each boat has a unique dragon head and a painted body with a traditional scaly pattern, which is a key aesthetic of dragon boats.</t>
  </si>
  <si>
    <t>(A) 它们完全相同。 (B) 它们都被涂上了龙的图案。 (C) 它们都被涂成了不同的颜色。 (D) 它们的大小各不相同。</t>
  </si>
  <si>
    <t>dragon_boat_racing_5.jpg</t>
  </si>
  <si>
    <t>What is the overall setting of the image?</t>
  </si>
  <si>
    <t>A small, informal gathering.</t>
  </si>
  <si>
    <t>A major, well-attended sports competition.</t>
  </si>
  <si>
    <t>A military training exercise.</t>
  </si>
  <si>
    <t>A casual practice session.</t>
  </si>
  <si>
    <t>The large number of boats, the crowd of spectators in the background, and the official banners suggest that this is a large-scale, formal sports competition.</t>
  </si>
  <si>
    <t>(A) 小型非正式聚会。 (B) 一场盛大的、观众众多的体育赛事。 (C) 一次军事训练演习。 (D) 一次轻松的练习。</t>
  </si>
  <si>
    <t>What is the purpose of the colored buoys in the water?</t>
  </si>
  <si>
    <t>To show the depth of the water.</t>
  </si>
  <si>
    <t>To mark the lanes and the race course.</t>
  </si>
  <si>
    <t>To serve as a resting place for the boats.</t>
  </si>
  <si>
    <t>To act as obstacles.</t>
  </si>
  <si>
    <t>The buoys are used to create distinct lanes for each boat, ensuring that the race is fair and that the boats do not interfere with one another.</t>
  </si>
  <si>
    <t>(A) 显示水深。 (B) 用于标示赛道和比赛路线。 (C) 用作船只的停泊处。 (D) 充当障碍物。</t>
  </si>
  <si>
    <t>What can be inferred about the teams from their uniforms?</t>
  </si>
  <si>
    <t>They are all from the same country.</t>
  </si>
  <si>
    <t>They are all professionals.</t>
  </si>
  <si>
    <t>They are from different teams, as indicated by their different uniform colors.</t>
  </si>
  <si>
    <t>They are all wearing casual clothing.</t>
  </si>
  <si>
    <t>The teams are wearing uniforms of different colors, such as blue and white, which is the standard way to identify different teams in a competition.</t>
  </si>
  <si>
    <t>(A) 他们都来自同一个国家。 (B) 他们都是专业人士。 (C) 他们来自不同的队伍，从他们不同的队服颜色就能看出来。 (D) 他们都穿着休闲服装。</t>
  </si>
  <si>
    <t>What is the role of the person at the back of each boat, standing up?</t>
  </si>
  <si>
    <t>The drummer</t>
  </si>
  <si>
    <t>The team captain</t>
  </si>
  <si>
    <t>The person standing at the stern of the boat is the steersperson, who uses a long oar to steer and guide the boat along the race course.</t>
  </si>
  <si>
    <t>(A) 教练 (B) 舵手 (C) 鼓手 (D) 队长</t>
  </si>
  <si>
    <t>The race is taking place in what type of environment?</t>
  </si>
  <si>
    <t>A narrow river</t>
  </si>
  <si>
    <t>A large open lake or waterway</t>
  </si>
  <si>
    <t>A man-made pool</t>
  </si>
  <si>
    <t>The ocean</t>
  </si>
  <si>
    <t>The wide expanse of water, surrounded by trees and a crowd-filled shoreline, indicates a large lake or a wide waterway.</t>
  </si>
  <si>
    <t>(A) 一条狭窄的河流 (B) 一个大型的开阔湖泊或水道 (C) 人工泳池 (D) 海洋</t>
  </si>
  <si>
    <t>dragon_boat_racing_6.jpg</t>
  </si>
  <si>
    <t>What is a notable difference in the design of the two boats?</t>
  </si>
  <si>
    <t>One is a modern boat and the other is a historical replica.</t>
  </si>
  <si>
    <t>One has a dragon head and the other does not.</t>
  </si>
  <si>
    <t>One is larger than the other.</t>
  </si>
  <si>
    <t>One is for racing and the other is for transport.</t>
  </si>
  <si>
    <t>The boat in the foreground has a decorative dragon head and tail, while the boat in the background has a more simple, flat-fronted design.</t>
  </si>
  <si>
    <t>(A) 一艘是现代船只，另一艘是历史复制品。 (B) 一个有龙头，另一个没有。 (C) 其中一个比另一个大。 (D) 一个用于赛车，另一个用于运输。</t>
  </si>
  <si>
    <t>What can be inferred about the location of this race?</t>
  </si>
  <si>
    <t>It is a modern, urban river.</t>
  </si>
  <si>
    <t>It is a large lake.</t>
  </si>
  <si>
    <t>It is a rural river.</t>
  </si>
  <si>
    <t>It is an indoor stadium.</t>
  </si>
  <si>
    <t>The muddy water, simple wooden docks, and natural surroundings suggest a less-developed, more rural river setting.</t>
  </si>
  <si>
    <t>(A) 这是一条现代化的城市河流。 (B) 这是一个大湖。 (C) 这是一条乡村河流。 (D) 这是一个室内体育馆。</t>
  </si>
  <si>
    <t>What is the purpose of the people in the boat in the middle of the river?</t>
  </si>
  <si>
    <t>They are a safety crew or officials.</t>
  </si>
  <si>
    <t>They are part of the race.</t>
  </si>
  <si>
    <t>They are selling goods.</t>
  </si>
  <si>
    <t>The people in the small, motorized boat are likely race officials or a safety crew monitoring the race and ensuring the course is clear.</t>
  </si>
  <si>
    <t>(A) 他们是旁观者。 (B) 他们是安全人员或工作人员。 (C) 他们也是比赛的一部分。 (D) 他们在售卖商品。</t>
  </si>
  <si>
    <t>The two people in the foreground are likely what?</t>
  </si>
  <si>
    <t>Athletes</t>
  </si>
  <si>
    <t>Spectators</t>
  </si>
  <si>
    <t>Race officials</t>
  </si>
  <si>
    <t>Judges</t>
  </si>
  <si>
    <t>The two people in the foreground, with their heads and shoulders, are in the position of observers, looking down on the race, indicating they are spectators.</t>
  </si>
  <si>
    <t>(A) 运动员 (B) 观众 (C) 赛事官员 (D) 法官</t>
  </si>
  <si>
    <t>The bright, sunny weather and the presence of a crowd suggest what?</t>
  </si>
  <si>
    <t>It is a major festival or community event.</t>
  </si>
  <si>
    <t>It is a serious competition.</t>
  </si>
  <si>
    <t>It is a professional sports game.</t>
  </si>
  <si>
    <t>It is a private party.</t>
  </si>
  <si>
    <t>The festive atmosphere, with a crowd gathered on the banks and bright weather, points to the race being a part of a larger community festival or celebration.</t>
  </si>
  <si>
    <t>(A) 这是一个大型节日或社区活动。 (B) 这是一场激烈的比赛。 (C) 这是一场职业体育比赛。 (D) 这是一场私人聚会。</t>
  </si>
  <si>
    <t>dragon_boat_racing_10.jpg</t>
  </si>
  <si>
    <t>What is the main action shown in the image?</t>
  </si>
  <si>
    <t>Paddles being held above the water.</t>
  </si>
  <si>
    <t>Paddles are being used to steer the boat.</t>
  </si>
  <si>
    <t>The synchronized entry of paddles into the water.</t>
  </si>
  <si>
    <t>The paddles are being used as a brake.</t>
  </si>
  <si>
    <t>The image captures the moment when multiple paddlers' paddles simultaneously enter the water, which is the key to generating forward momentum.</t>
  </si>
  <si>
    <t>(A) 桨被举过水面。 (B) 船是用桨来控制方向的。 (C) 桨叶同步入水。 (D) 拨片被用作刹车。</t>
  </si>
  <si>
    <t>What does the water splashing on the side of the boat signify?</t>
  </si>
  <si>
    <t>The boat is moving at high speed.</t>
  </si>
  <si>
    <t>The water is choppy.</t>
  </si>
  <si>
    <t>The visible spray of water on the side of the boat is a visual indicator of the powerful, synchronized strokes propelling the boat forward at a high velocity.</t>
  </si>
  <si>
    <t>(A) 船正在下沉。 (B) 船正在高速行驶。 (C) 船静止不动。 (D) 水面波涛汹涌。</t>
  </si>
  <si>
    <t>What is the purpose of the design painted on the side of the boat?</t>
  </si>
  <si>
    <t>To make the boat more streamlined.</t>
  </si>
  <si>
    <t>To represent the scales of a dragon.</t>
  </si>
  <si>
    <t>To provide a grip for the paddlers.</t>
  </si>
  <si>
    <t>To indicate the team's ranking.</t>
  </si>
  <si>
    <t>The repeating blue and white pattern on the boat's side is a stylized artistic representation of dragon scales, a traditional design element.</t>
  </si>
  <si>
    <t>(A) 使船体更加流线型。 (B) 用来表现龙鳞。 (C) 为划桨者提供抓握点。 (D) 用于表示球队排名。</t>
  </si>
  <si>
    <t>The paddlers are wearing gloves. What is the reason for this?</t>
  </si>
  <si>
    <t>To keep their hands warm.</t>
  </si>
  <si>
    <t>To protect their hands from blisters.</t>
  </si>
  <si>
    <t>To improve their grip on the paddle.</t>
  </si>
  <si>
    <t>To signify their team.</t>
  </si>
  <si>
    <t>Paddlers wear gloves to prevent blisters and calluses that can result from the friction of repetitive paddling motions against the paddle handle.</t>
  </si>
  <si>
    <t>(A) 为了保持双手温暖。 (B) 为了保护双手免受水泡之苦。 (C) 为了提高他们握桨的力度。 (D) 为了表明他们的团队。</t>
  </si>
  <si>
    <t>What is the most important element for the team's success, as highlighted in this image?</t>
  </si>
  <si>
    <t>The strength of the individual paddlers.</t>
  </si>
  <si>
    <t>The boat's design.</t>
  </si>
  <si>
    <t>The perfect synchronization of the paddlers.</t>
  </si>
  <si>
    <t>The weather conditions.</t>
  </si>
  <si>
    <t>The image emphasizes the synchronized paddling of the team, which is the most critical element for generating the force needed to win a race.</t>
  </si>
  <si>
    <t>(A) 每位桨手的实力。 (B) 船的设计。 (C) 桨手们配合得天衣无缝。 (D) 天气状况。</t>
  </si>
  <si>
    <t>dragon_boat_racing_25.jpg</t>
  </si>
  <si>
    <t>What is the most notable element of this image?</t>
  </si>
  <si>
    <t>The serious expressions of the competitors.</t>
  </si>
  <si>
    <t>The high level of competition.</t>
  </si>
  <si>
    <t>The casual and festive atmosphere before a race.</t>
  </si>
  <si>
    <t>The traditional setting.</t>
  </si>
  <si>
    <t>The people are smiling, taking a selfie, and sitting in their boats, suggesting a relaxed, pre-race atmosphere, which is a key part of the festivities.</t>
  </si>
  <si>
    <t>(A) 参赛选手们表情严肃。 (B) 竞争非常激烈。 (C) 赛前轻松愉快的氛围。 (D) 传统风格。</t>
  </si>
  <si>
    <t>The boat has the numbers "4" and "6" on it. What does this indicate?</t>
  </si>
  <si>
    <t>The boat number and lane number.</t>
  </si>
  <si>
    <t>The number of paddlers.</t>
  </si>
  <si>
    <t>The race time.</t>
  </si>
  <si>
    <t>The team's score.</t>
  </si>
  <si>
    <t>The numbers are used to identify the boat and its assigned lane for the race, helping officials and spectators track the teams.</t>
  </si>
  <si>
    <t>(A) 船号和航道号。 (B) 划桨者人数。 (C) 比赛时间。 (D) 球队得分。</t>
  </si>
  <si>
    <t>What does the presence of international paddlers suggest about the sport?</t>
  </si>
  <si>
    <t>It is a new sport.</t>
  </si>
  <si>
    <t>It is a localized, regional sport.</t>
  </si>
  <si>
    <t>It has become a popular, international sport.</t>
  </si>
  <si>
    <t>It is only popular in China.</t>
  </si>
  <si>
    <t>The presence of a diverse group, including a person taking a selfie, indicates that the sport has gained global popularity and is enjoyed by people from different cultures.</t>
  </si>
  <si>
    <t>(A) 这是一项新兴运动。 (B) 这是一项地方性的、区域性的体育运动。 (C) 它已成为一项广受欢迎的国际运动。 (D) 它只在中国流行。</t>
  </si>
  <si>
    <t>What is the function of the person at the front of the boat with the drum?</t>
  </si>
  <si>
    <t>They are the coxswain.</t>
  </si>
  <si>
    <t>They are the drummer.</t>
  </si>
  <si>
    <t>They are the steersperson.</t>
  </si>
  <si>
    <t>The person sitting at the front of the boat is positioned next to a drum, indicating their role as the drummer, who sets the pace.</t>
  </si>
  <si>
    <t>(A) 他们是旁观者。 (B) 他们是舵手。 (C) 他们是鼓手。 (D) 他们是掌舵人。</t>
  </si>
  <si>
    <t>The boats are adorned with what traditional element?</t>
  </si>
  <si>
    <t>Flags and banners.</t>
  </si>
  <si>
    <t>Ornate dragon heads and tails.</t>
  </si>
  <si>
    <t>Modern logos.</t>
  </si>
  <si>
    <t>Team slogans.</t>
  </si>
  <si>
    <t>The boats have intricately carved and brightly painted dragon heads, which are the most defining feature of these traditional vessels.</t>
  </si>
  <si>
    <t>(A) 旗帜和横幅。 (B) 精美的龙头和龙尾。 (C) 现代标志。 (D) 团队口号。</t>
  </si>
  <si>
    <t>dragon_boat_racing_27.jpg</t>
  </si>
  <si>
    <t>A rowing exhibition.</t>
  </si>
  <si>
    <t>A professional dragon boat race.</t>
  </si>
  <si>
    <t>A recreational boating event.</t>
  </si>
  <si>
    <t>A team-building exercise.</t>
  </si>
  <si>
    <t>The image shows multiple teams in their boats, with officials and banners, suggesting a large-scale, formal dragon boat race.</t>
  </si>
  <si>
    <t>(A) 一场赛艇表演。 (B) 专业龙舟比赛。 (C) 一项休闲划船活动。 (D) 团队建设活动。</t>
  </si>
  <si>
    <t>What does the number on the side of each boat represent?</t>
  </si>
  <si>
    <t>The number of people in the boat.</t>
  </si>
  <si>
    <t>The boat's lane number.</t>
  </si>
  <si>
    <t>The team's rank.</t>
  </si>
  <si>
    <t>The team's age.</t>
  </si>
  <si>
    <t>The large numbers painted on the side of each boat, such as "4" and "5", are used to clearly identify each boat's designated lane during the race.</t>
  </si>
  <si>
    <t>(A) 船上的人数。 (B) 船只的航道编号。 (C) 球队排名。 (D) 球队的年龄。</t>
  </si>
  <si>
    <t>What is the role of the person standing on the front platform of the boats?</t>
  </si>
  <si>
    <t>The steersperson.</t>
  </si>
  <si>
    <t>The coach.</t>
  </si>
  <si>
    <t>The drummer.</t>
  </si>
  <si>
    <t>The team captain.</t>
  </si>
  <si>
    <t>The person standing on the front of the boat is in a position to strike the drum, indicating they are the drummer, who sets the rhythm for the team.</t>
  </si>
  <si>
    <t>(A) 舵手。 (B) 教练。 (C) 鼓手。 (D) 队长。</t>
  </si>
  <si>
    <t>What is the steersperson's role?</t>
  </si>
  <si>
    <t>To guide and steer the boat.</t>
  </si>
  <si>
    <t>To motivate the team.</t>
  </si>
  <si>
    <t>To cheer on the spectators.</t>
  </si>
  <si>
    <t>To make sure the team stays in sync.</t>
  </si>
  <si>
    <t>The steersperson, located at the back of the boat, uses a long oar to control the direction of the boat, ensuring it stays in its lane and moves in a straight line.</t>
  </si>
  <si>
    <t>(A) 引导和掌舵。 (B) 激励团队。 (C) 为观众加油。 (D) 确保团队步调一致。</t>
  </si>
  <si>
    <t>The people in the boats are wearing what for safety?</t>
  </si>
  <si>
    <t>Sun hats and life jackets.</t>
  </si>
  <si>
    <t>Sunglasses and life vests.</t>
  </si>
  <si>
    <t>Safety helmets and life jackets.</t>
  </si>
  <si>
    <t>Life jackets and sports uniforms.</t>
  </si>
  <si>
    <t>All the participants are wearing life jackets for safety and sun hats to protect them from the sun, which is common in outdoor water sports.</t>
  </si>
  <si>
    <t>(A) 遮阳帽和救生衣。 (B) 太阳镜和救生衣。 (C) 安全头盔和救生衣。 (D) 救生衣和运动服。</t>
  </si>
  <si>
    <t>dragon_boat_racing_36.jpg</t>
  </si>
  <si>
    <t>What is the perspective from which this image was taken?</t>
  </si>
  <si>
    <t>From the water.</t>
  </si>
  <si>
    <t>From the shoreline.</t>
  </si>
  <si>
    <t>From above, looking down on the boat.</t>
  </si>
  <si>
    <t>From a different boat.</t>
  </si>
  <si>
    <t>The image is an overhead shot that provides a unique perspective, looking directly down at the paddlers in the boat.</t>
  </si>
  <si>
    <t>(A) 从水中。 (B) 从海岸线上。 (C) 从上方俯视船只。 (D) 来自另一艘船。</t>
  </si>
  <si>
    <t>What is the function of the person in the yellow shirt in the center of the boat?</t>
  </si>
  <si>
    <t>The person in the center of the boat is sitting behind a drum, indicating their role as the drummer, who provides the cadence for the team.</t>
  </si>
  <si>
    <t>The paddlers are positioned symmetrically on both sides of the boat. What does this suggest?</t>
  </si>
  <si>
    <t>They are competing against each other.</t>
  </si>
  <si>
    <t>They are trying to keep the boat balanced.</t>
  </si>
  <si>
    <t>They are not rowing.</t>
  </si>
  <si>
    <t>They are racing in two separate teams.</t>
  </si>
  <si>
    <t>The symmetrical arrangement of the paddlers on either side is essential for keeping the boat balanced and moving in a straight line.</t>
  </si>
  <si>
    <t>(A) 他们之间存在竞争关系。 (B) 他们正努力保持船的平衡。 (C) 他们没有在划船。 (D) 他们分别代表两支不同的队伍参赛。</t>
  </si>
  <si>
    <t>The paddlers are leaning forward and in a deep squat position. What is the purpose of this posture?</t>
  </si>
  <si>
    <t>To generate maximum power from their legs and core.</t>
  </si>
  <si>
    <t>To avoid getting wet.</t>
  </si>
  <si>
    <t>To signal the end of the race.</t>
  </si>
  <si>
    <t>The deep, forward lean and squatting posture allow the paddlers to engage their entire body, particularly their legs and core, to generate powerful, explosive strokes.</t>
  </si>
  <si>
    <t>(A) 休息。 (B) 为了最大限度地发挥腿部和核心力量。 (C) 为了避免弄湿。 (D) 标志着比赛结束。</t>
  </si>
  <si>
    <t>What is the purpose of the boat's design without a dragon head?</t>
  </si>
  <si>
    <t>It is a replica of an ancient boat.</t>
  </si>
  <si>
    <t>It is a modern, faster racing boat.</t>
  </si>
  <si>
    <t>It is a training boat.</t>
  </si>
  <si>
    <t>It is a boat used for a different purpose.</t>
  </si>
  <si>
    <t>This particular boat is a simplified version without the elaborate dragon head and tail, suggesting it may be a training boat or a less formal racing boat.</t>
  </si>
  <si>
    <t>(A) 它是古代船只的复制品。 (B) 这是一艘现代化的、速度更快的赛艇。 (C) 这是一艘训练艇。 (D) 这是一艘用途不同的船。</t>
  </si>
  <si>
    <t>dragon_boat_racing_45.jpg</t>
  </si>
  <si>
    <t>A natural river.</t>
  </si>
  <si>
    <t>A modern urban canal or waterway.</t>
  </si>
  <si>
    <t>A large, open lake.</t>
  </si>
  <si>
    <t>An artificial pool.</t>
  </si>
  <si>
    <t>The presence of modern buildings, bridges, and concrete walls along the riverbank indicates that the race is taking place in a modern urban canal or waterway.</t>
  </si>
  <si>
    <t>(A) 一条天然河流。 (B) 现代化的城市运河或水道。 (C) 一个开阔的大湖。 (D) 人工游泳池。</t>
  </si>
  <si>
    <t>What is the most prominent visual element of this race?</t>
  </si>
  <si>
    <t>The number of boats competing.</t>
  </si>
  <si>
    <t>The colors of the teams.</t>
  </si>
  <si>
    <t>The speed of the boats.</t>
  </si>
  <si>
    <t>The number of spectators.</t>
  </si>
  <si>
    <t>The most striking visual element is the contrast between the three different teams, each wearing a distinct uniform color (red, blue, and red again), making it easy to identify them.</t>
  </si>
  <si>
    <t>(A) 参赛船只的数量。 (B) 各队队服颜色。 (C) 船的速度。 (D) 观众人数。</t>
  </si>
  <si>
    <t>What is the function of the person at the back of each boat, steering with a long oar?</t>
  </si>
  <si>
    <t>The person at the back of the boat, who is standing and controlling the boat's direction with a long oar, is the steersperson.</t>
  </si>
  <si>
    <t>(A) 队长。 (B) 鼓手。 (C) 舵手。 (D) 教练。</t>
  </si>
  <si>
    <t>The boats are moving in separate lanes. What does this indicate?</t>
  </si>
  <si>
    <t>The teams are competing against each other.</t>
  </si>
  <si>
    <t>They are on a friendly outing.</t>
  </si>
  <si>
    <t>They are a single team.</t>
  </si>
  <si>
    <t>They are in a practice session.</t>
  </si>
  <si>
    <t>The boats are racing side-by-side in separate lanes, which is the standard setup for a dragon boat race competition.</t>
  </si>
  <si>
    <t>(A) 各队之间正在进行比赛。 (B) 他们正在进行一次友好的郊游。 (C) 他们是一个团队。 (D) 他们正在进行训练。</t>
  </si>
  <si>
    <t>What is the significance of the flags on the poles along the shoreline?</t>
  </si>
  <si>
    <t>They are for decoration.</t>
  </si>
  <si>
    <t>They are the flags of different countries.</t>
  </si>
  <si>
    <t>They are flags for the race officials.</t>
  </si>
  <si>
    <t>They mark the race course and finish line.</t>
  </si>
  <si>
    <t>The flags, along with the spectator stands, are used to clearly mark the race course and the finish line for both the competitors and the spectators.</t>
  </si>
  <si>
    <t>(A) 它们是用来装饰的。 (B) 它们是不同国家的国旗。 (C) 这些是给赛事官员用的旗帜。 (D) 它们标示着比赛路线和终点线。</t>
  </si>
  <si>
    <t>dragon_boat_racing_53.jpg</t>
  </si>
  <si>
    <t>A competitive dragon boat race.</t>
  </si>
  <si>
    <t>A practice session for a race.</t>
  </si>
  <si>
    <t>A recreational boating trip.</t>
  </si>
  <si>
    <t>A river parade.</t>
  </si>
  <si>
    <t>The image shows multiple boats in a side-by-side competition, with each boat having a number and a distinct team, indicating a formal race.</t>
  </si>
  <si>
    <t>(A) 一场激烈的龙舟比赛。 (B) 赛前练习赛。 (C) 一次休闲划船之旅。 (D) 河上游行。</t>
  </si>
  <si>
    <t>What is a notable feature of the boats' design in this race?</t>
  </si>
  <si>
    <t>They are all identical in color.</t>
  </si>
  <si>
    <t>They have simplified, different-colored heads instead of traditional dragon heads.</t>
  </si>
  <si>
    <t>The boats have simplified, single-colored heads instead of the elaborate, traditional dragon heads, which is common in modern, professional racing boats.</t>
  </si>
  <si>
    <t>(A) 它们的颜色都一样。 (B) 它们都被涂上了龙的图案。 (C) 它们的大小各不相同。 (D) 它们没有采用传统的龙头造型，而是采用了更简洁、颜色各异的头部造型。</t>
  </si>
  <si>
    <t>The lane number for the race.</t>
  </si>
  <si>
    <t>The boat's speed.</t>
  </si>
  <si>
    <t>The large numbers on the side of each boat, such as "2" and "3," are used to designate the boat's specific lane in the race.</t>
  </si>
  <si>
    <t>(A) 船上的人数。 (B) 比赛的赛道编号。 (C) 球队排名。 (D) 船的速度。</t>
  </si>
  <si>
    <t>The paddlers are leaning far forward. What is the purpose of this posture?</t>
  </si>
  <si>
    <t>To rest their arms.</t>
  </si>
  <si>
    <t>To stretch their backs.</t>
  </si>
  <si>
    <t>To generate a longer and more powerful stroke.</t>
  </si>
  <si>
    <t>To cool themselves down.</t>
  </si>
  <si>
    <t>Leaning forward allows the paddlers to reach further, enabling a longer stroke and generating more power to propel the boat.</t>
  </si>
  <si>
    <t>(A) 让手臂休息一下。 (B) 伸展一下背部。 (C) 为了产生更长、更有力的击球。 (D) 为了让自己冷静下来。</t>
  </si>
  <si>
    <t>What is the role of the person at the back of each boat who is seated on a raised seat?</t>
  </si>
  <si>
    <t>The person seated at the back is in a position to steer the boat, indicating their role as the steersperson or helm.</t>
  </si>
  <si>
    <t>(A) 教练。 (B) 鼓手。 (C) 舵手。 (D) 队长。</t>
  </si>
  <si>
    <t>dragon_boat_racing_61.jpg</t>
  </si>
  <si>
    <t>What is the most prominent feature of the boats in the image?</t>
  </si>
  <si>
    <t>Their long, thin shape.</t>
  </si>
  <si>
    <t>The vibrant, decorative dragon heads.</t>
  </si>
  <si>
    <t>The large number of paddlers.</t>
  </si>
  <si>
    <t>The flags on the boats.</t>
  </si>
  <si>
    <t>The boats have large, intricately carved and painted dragon heads with open mouths, fangs, and horns, which are the most prominent and traditional features.</t>
  </si>
  <si>
    <t>(A) 它们形状细长。 (B) 色彩鲜艳、装饰精美的龙头。 (C) 大量的划桨者。 (D) 船上的旗帜。</t>
  </si>
  <si>
    <t>What is the overall atmosphere conveyed by the image?</t>
  </si>
  <si>
    <t>A tense, quiet competition.</t>
  </si>
  <si>
    <t>A casual, leisurely boat ride.</t>
  </si>
  <si>
    <t>A vibrant, celebratory festival.</t>
  </si>
  <si>
    <t>A military parade.</t>
  </si>
  <si>
    <t>The bright colors of the boats, the festive attire of the spectators, and the crowded, lively background suggest a vibrant festival rather than a solemn or purely competitive event.</t>
  </si>
  <si>
    <t>(A) 一场紧张而平静的比赛。 (B) 轻松惬意的乘船之旅。 (C) 一个充满活力、喜庆的节日。 (D) 阅兵式。</t>
  </si>
  <si>
    <t>What is the purpose of the long hair-like tassels on the dragon heads?</t>
  </si>
  <si>
    <t>They are part of the boat's steering mechanism.</t>
  </si>
  <si>
    <t>They are purely for decoration.</t>
  </si>
  <si>
    <t>They are a traditional decorative and ceremonial element.</t>
  </si>
  <si>
    <t>They are used to improve the boat's speed.</t>
  </si>
  <si>
    <t>The tassels are a classic decorative element in traditional dragon boat design, adding to the grandeur and cultural significance of the boats.</t>
  </si>
  <si>
    <t>(A) 它们是船只转向机构的一部分。 (B) 它们纯粹是装饰品。 (C) 它们是传统的装饰和礼仪元素。 (D) 它们用于提高船速。</t>
  </si>
  <si>
    <t>What is the role of the people who are not paddling?</t>
  </si>
  <si>
    <t>They are coaches.</t>
  </si>
  <si>
    <t>They are race officials.</t>
  </si>
  <si>
    <t>They are drummers or steerspersons.</t>
  </si>
  <si>
    <t>The people who are not paddling are likely the drummers (seated at the front) and the steerspersons (seated at the back), who have non-paddling roles in the boat.</t>
  </si>
  <si>
    <t>(A) 他们是旁观者。 (B) 他们是教练。 (C) 他们是赛事官员。 (D) 他们是鼓手或舵手。</t>
  </si>
  <si>
    <t>What is the key to winning a dragon boat race?</t>
  </si>
  <si>
    <t>The synchronization and teamwork of the paddlers.</t>
  </si>
  <si>
    <t>The weight of the boat.</t>
  </si>
  <si>
    <t>Dragon boat racing is a team sport where success depends on the paddlers working in unison, with synchronized strokes and a shared rhythm, to achieve maximum speed.</t>
  </si>
  <si>
    <t>(A) 每位桨手的实力。 (B) 船上的人数。 (C) 桨手们的同步性和团队合作。 (D) 船的重量。</t>
  </si>
  <si>
    <t>dragon_boat_racing_62.jpg</t>
  </si>
  <si>
    <t>What is the most notable element of the setting in the image?</t>
  </si>
  <si>
    <t>A natural, rural river.</t>
  </si>
  <si>
    <t>A modern, urban city with a waterway.</t>
  </si>
  <si>
    <t>A man-made lake.</t>
  </si>
  <si>
    <t>An artificial indoor arena.</t>
  </si>
  <si>
    <t>The background shows a futuristic, glass building and other modern skyscrapers, indicating that the race is taking place in a modern urban environment.</t>
  </si>
  <si>
    <t>(A) 一条天然的乡村河流。 (B) 一座拥有水道的现代化都市。 (C) 人工湖。 (D) 一座人工室内竞技场。</t>
  </si>
  <si>
    <t>What does the number on the side of the boats represent?</t>
  </si>
  <si>
    <t>The number "3" on one of the boats signifies its designated lane number for the race, a standard practice in competitive racing.</t>
  </si>
  <si>
    <t>(A) 球队得分。 (B) 船上的人数。 (C) 船只的航道编号。 (D) 球队排名。</t>
  </si>
  <si>
    <t>What can be inferred about the race from the clear blue sky and bright weather?</t>
  </si>
  <si>
    <t>The race is taking place at night.</t>
  </si>
  <si>
    <t>The race has been postponed.</t>
  </si>
  <si>
    <t>The weather is a key factor in the competition.</t>
  </si>
  <si>
    <t>The conditions are ideal for an outdoor event.</t>
  </si>
  <si>
    <t>The bright sunlight and clear sky indicate that the weather is favorable, which is important for an outdoor water sport like dragon boat racing.</t>
  </si>
  <si>
    <t>(A) 比赛在夜间举行。 (B) 比赛已延期。 (C) 天气是影响比赛的关键因素。 (D) 这里条件非常适合举办户外活动。</t>
  </si>
  <si>
    <t>What is the primary purpose of the small boats in the background?</t>
  </si>
  <si>
    <t>They are for personal use.</t>
  </si>
  <si>
    <t>They are for recreational purposes.</t>
  </si>
  <si>
    <t>They are to ensure the safety of the boats.</t>
  </si>
  <si>
    <t>They are to help spectators.</t>
  </si>
  <si>
    <t>The smaller, inflatable boats and other small vessels in the background are likely safety boats or official boats used to monitor the race and assist in case of an emergency.</t>
  </si>
  <si>
    <t>(A) 它们是供个人使用。 (B) 它们仅用于娱乐目的。 (C) 他们的职责是确保船只安全。 (D) 他们是来帮助观众的。</t>
  </si>
  <si>
    <t>The paddlers are in synchronized motion. What is the benefit of this?</t>
  </si>
  <si>
    <t>It makes the boats look more attractive.</t>
  </si>
  <si>
    <t>It is a traditional requirement.</t>
  </si>
  <si>
    <t>It is a competitive advantage for speed.</t>
  </si>
  <si>
    <t>It makes the boat easier to turn.</t>
  </si>
  <si>
    <t>Synchronized paddling, where all team members pull at the same time, generates the most efficient and powerful thrust, giving the team a competitive advantage.</t>
  </si>
  <si>
    <t>(A) 它让船只看起来更具吸引力。 (B) 这是传统要求。 (C) 这是速度方面的竞争优势。 (D) 这样船更容易转弯。</t>
  </si>
  <si>
    <t>dragon_boat_racing_66.jpg</t>
  </si>
  <si>
    <t>A dragon boat race.</t>
  </si>
  <si>
    <t>A training session.</t>
  </si>
  <si>
    <t>A team-building activity.</t>
  </si>
  <si>
    <t>The image shows multiple boats with dragon heads, drummers, and large teams of paddlers, which is a clear indication of a dragon boat race.</t>
  </si>
  <si>
    <t>(A) 龙舟比赛。 (B) 一次休闲划船之旅。 (C) 一次培训课程。 (D) 团队建设活动。</t>
  </si>
  <si>
    <t>What is the most prominent visual element of the boat in the foreground?</t>
  </si>
  <si>
    <t>The large team of paddlers.</t>
  </si>
  <si>
    <t>The vibrant and detailed dragon head.</t>
  </si>
  <si>
    <t>The waves on the water.</t>
  </si>
  <si>
    <t>The team's uniforms.</t>
  </si>
  <si>
    <t>The boat's head is a highly detailed, colorful, and prominent feature with its white, purple, and green colors, making it the most noticeable element.</t>
  </si>
  <si>
    <t>(A) 庞大的划桨队伍。 (B) 栩栩如生、细节丰富的龙头。 (C) 水面上的波浪。 (D) 球队的队服。</t>
  </si>
  <si>
    <t>What is the role of the person at the front of the boat, near the dragon head?</t>
  </si>
  <si>
    <t>The lead paddler.</t>
  </si>
  <si>
    <t>The person is standing on the front platform, next to a drum and holding drumsticks, which signifies their role as the drummer, who sets the rhythm.</t>
  </si>
  <si>
    <t>(A) 舵手。 (B) 领头桨手。 (C) 鼓手。 (D) 队长。</t>
  </si>
  <si>
    <t>What is a notable difference between the teams' attire?</t>
  </si>
  <si>
    <t>They are wearing life jackets of different colors.</t>
  </si>
  <si>
    <t>They are wearing the same uniforms.</t>
  </si>
  <si>
    <t>They are wearing life jackets with no uniforms.</t>
  </si>
  <si>
    <t>They are all wearing white life jackets.</t>
  </si>
  <si>
    <t>The teams can be distinguished by the color of their life jackets; for example, the team in the foreground is wearing green life jackets, while the team behind is wearing orange ones.</t>
  </si>
  <si>
    <t>(A) 他们穿着不同颜色的救生衣。 (B) 他们穿着同样的制服。 (C) 他们穿着救生衣，但没有穿制服。 (D) 他们都穿着白色救生衣。</t>
  </si>
  <si>
    <t>It is a relaxing activity.</t>
  </si>
  <si>
    <t>It is a recreational activity.</t>
  </si>
  <si>
    <t>The forward lean and powerful stroke of the paddlers, along with the splashing water, indicate a high-intensity, competitive event.</t>
  </si>
  <si>
    <t>(A) 这是一个缓慢而庄严的游行队伍。 (B) 这是一项令人放松的活动。 (C) 这是一项竞争非常激烈且对体能要求很高的运动。 (D) 这是一项休闲活动。</t>
  </si>
  <si>
    <t>dragon_boat_racing_72.jpg</t>
  </si>
  <si>
    <t>What is the camera's perspective in this image?</t>
  </si>
  <si>
    <t>From the side of the boat.</t>
  </si>
  <si>
    <t>From above the boat.</t>
  </si>
  <si>
    <t>From the back of the boat, looking forward.</t>
  </si>
  <si>
    <t>From the front of the boat, looking back.</t>
  </si>
  <si>
    <t>The image is taken from the perspective of a person sitting at the back of the boat, showing the long line of paddlers in front.</t>
  </si>
  <si>
    <t>(A) 从船边。 (B) 从船上上方拍摄。 (C) 从船尾向前看。 (D) 从船头向后看。</t>
  </si>
  <si>
    <t>What is a notable feature of the paddlers' attire?</t>
  </si>
  <si>
    <t>They are all wearing helmets.</t>
  </si>
  <si>
    <t>They are wearing matching shirts and hats.</t>
  </si>
  <si>
    <t>They are wearing life jackets.</t>
  </si>
  <si>
    <t>They are all wearing the same color of clothing.</t>
  </si>
  <si>
    <t>The paddlers are wearing matching orange shirts and hats with a specific logo, indicating they are part of a unified team.</t>
  </si>
  <si>
    <t>(A) 他们都戴着头盔。 (B) 他们穿着同款衬衫和帽子。 (C) 他们穿着救生衣。 (D) 他们都穿着同一种颜色的衣服。</t>
  </si>
  <si>
    <t>What is a key element of the paddlers' motion shown in the image?</t>
  </si>
  <si>
    <t>They are resting.</t>
  </si>
  <si>
    <t>They are all in different positions.</t>
  </si>
  <si>
    <t>They are holding their paddles in a non-uniform way.</t>
  </si>
  <si>
    <t>They are synchronized, with their paddles raised in unison.</t>
  </si>
  <si>
    <t>The paddlers are holding their paddles at the same height and in a synchronized manner, which is crucial for a smooth and efficient stroke.</t>
  </si>
  <si>
    <t>(A) 他们在休息。 (B) 他们的位置各不相同。 (C) 他们握桨的方式并不一致。 (D) 他们动作同步，同时举起桨。</t>
  </si>
  <si>
    <t>What does the background of the image show?</t>
  </si>
  <si>
    <t>A natural river with trees.</t>
  </si>
  <si>
    <t>A modern city with urban structures.</t>
  </si>
  <si>
    <t>A large open lake.</t>
  </si>
  <si>
    <t>The image shows concrete buildings and a highway or bridge in the background, which is typical of a modern urban environment.</t>
  </si>
  <si>
    <t>(A) 一条绿树成荫的天然河流。 (B) 一座拥有现代化都市结构的现代化城市。 (C) 一个开阔的大湖。 (D) 一个乡村。</t>
  </si>
  <si>
    <t>The person in the very front is out of focus. What does this suggest about their role?</t>
  </si>
  <si>
    <t>They are the team captain.</t>
  </si>
  <si>
    <t>The person at the very front of the boat, who is out of focus, is likely the drummer who sets the rhythm for the team's strokes.</t>
  </si>
  <si>
    <t>(A) 他们是掌舵人。 (B) 他们是鼓手。 (C) 他们是旁观者。 (D) 他们是队长。</t>
  </si>
  <si>
    <t>dragon_boat_racing_75.jpg</t>
  </si>
  <si>
    <t>The paddlers are smiling, relaxed, and not paddling with intense effort, and the woman at the back is holding a paddle, suggesting that this is a practice session or a non-competitive event.</t>
  </si>
  <si>
    <t>(A) 一次休闲划船之旅。 (B) 龙舟比赛。 (C) 赛前练习赛。 (D) 河上游行。</t>
  </si>
  <si>
    <t>What is the purpose of the person standing at the back of the boat?</t>
  </si>
  <si>
    <t>The person at the back, who is standing and shouting, is likely the coach or a trainer, providing instructions to the paddlers.</t>
  </si>
  <si>
    <t>(A) 鼓手。 (B) 教练。 (C) 舵手。 (D) 队长。</t>
  </si>
  <si>
    <t>What is the most prominent feature of the paddlers' attire?</t>
  </si>
  <si>
    <t>Their sunglasses.</t>
  </si>
  <si>
    <t>Their life jackets.</t>
  </si>
  <si>
    <t>Their hats.</t>
  </si>
  <si>
    <t>Their shirts.</t>
  </si>
  <si>
    <t>All the paddlers are wearing brightly colored life jackets for safety, which are a required piece of gear in dragon boat activities.</t>
  </si>
  <si>
    <t>(A) 他们的太阳镜。 (B) 他们的救生衣。 (C) 他们的帽子。 (D) 他们的衬衫。</t>
  </si>
  <si>
    <t>The paddlers in the middle of the boat are raising their paddles in the air. What does this signify?</t>
  </si>
  <si>
    <t>They are celebrating a victory.</t>
  </si>
  <si>
    <t>They are signaling to a friend.</t>
  </si>
  <si>
    <t>They are finished with the race.</t>
  </si>
  <si>
    <t>They are taking a break or responding to an instruction.</t>
  </si>
  <si>
    <t>Raising paddles is a common action in a training session to stop paddling and listen to instructions from the coach or steersperson.</t>
  </si>
  <si>
    <t>(A) 他们正在庆祝胜利。 (B) 他们在向朋友发出信号。 (C) 比赛结束了。 (D) 他们正在休息或执行指令。</t>
  </si>
  <si>
    <t>What is the most notable difference between this image and a race image?</t>
  </si>
  <si>
    <t>The presence of a coach.</t>
  </si>
  <si>
    <t>The lack of a dragon head.</t>
  </si>
  <si>
    <t>The relaxed demeanor of the paddlers.</t>
  </si>
  <si>
    <t>The fact that there are no drums.</t>
  </si>
  <si>
    <t>Unlike a competitive race, where paddlers are intensely focused, the paddlers here appear to be relaxed, talking, and smiling, indicating a non-competitive environment.</t>
  </si>
  <si>
    <t>(A) 教练在场。 (B) 没有龙头。 (C) 划桨者们轻松自在的态度。 (D) 没有鼓的事实。</t>
  </si>
  <si>
    <t>dragon_boat_racing_80.jpg</t>
  </si>
  <si>
    <t>A casual boating trip.</t>
  </si>
  <si>
    <t>(A) 一场激烈的龙舟比赛。 (B) 一次轻松的乘船之旅。 (C) 一次培训课程。 (D) 游行。</t>
  </si>
  <si>
    <t>What is the role of the person standing on the front platform of each boat?</t>
  </si>
  <si>
    <t>The person on the front of the boat, who is standing on a platform and holding drumsticks, is the drummer, who sets the rhythm for the team.</t>
  </si>
  <si>
    <t>(A) 舵手。 (B) 鼓手。 (C) 教练。 (D) 队长。</t>
  </si>
  <si>
    <t>(A) 这是一项休闲活动。 (B) 这是一个缓慢而庄严的游行队伍。 (C) 这是一项竞争非常激烈且对体能要求很高的运动。 (D) 这是一次团队建设活动。</t>
  </si>
  <si>
    <t>What does the significant splashing of water indicate?</t>
  </si>
  <si>
    <t>go_5.jpg</t>
  </si>
  <si>
    <t>What is the game shown in the image?</t>
  </si>
  <si>
    <t>Chess</t>
  </si>
  <si>
    <t>Go (Weiqi)</t>
  </si>
  <si>
    <t>Checkers</t>
  </si>
  <si>
    <t>Backgammon</t>
  </si>
  <si>
    <t>The image shows a square board with a grid and black and white stones, which are the defining characteristics of the game of Go, also known as Weiqi.</t>
  </si>
  <si>
    <t>What are the black and white discs called?</t>
  </si>
  <si>
    <t>Pawns</t>
  </si>
  <si>
    <t>Chips</t>
  </si>
  <si>
    <t>Stones</t>
  </si>
  <si>
    <t>Discs</t>
  </si>
  <si>
    <t>The playing pieces in the game of Go are called stones, which are placed on the intersections of the board's lines.</t>
  </si>
  <si>
    <t>(A) 兵 (B) 薯片 (C) 石头 (D) 光盘</t>
  </si>
  <si>
    <t>What is the primary objective of this game?</t>
  </si>
  <si>
    <t>To capture all of the opponent's pieces.</t>
  </si>
  <si>
    <t>To occupy the most territory on the board.</t>
  </si>
  <si>
    <t>To reach the other side of the board.</t>
  </si>
  <si>
    <t>To form a specific pattern.</t>
  </si>
  <si>
    <t>The main goal of Go is to surround and control a larger area of the board than your opponent, which is measured in "territory."</t>
  </si>
  <si>
    <t>(A) 吃掉对方所有棋子。 (B) 占据棋盘上最多的领土。 (C) 到达棋盘的另一边。 (D) 形成特定图案。</t>
  </si>
  <si>
    <t>What is a notable feature of the Go board, as seen in the image?</t>
  </si>
  <si>
    <t>It has a checkered pattern.</t>
  </si>
  <si>
    <t>It is a square grid with intersections.</t>
  </si>
  <si>
    <t>It has a circular pattern.</t>
  </si>
  <si>
    <t>It is a large, solid-colored board.</t>
  </si>
  <si>
    <t>The Go board is a grid of lines, and the pieces (stones) are placed on the intersections of these lines, not within the squares themselves.</t>
  </si>
  <si>
    <t>(A) 它有棋盘格图案。 (B) 这是一个有交叉点的正方形网格。 (C) 它呈圆形图案。 (D) 这是一块很大的纯色木板。</t>
  </si>
  <si>
    <t>What are the two wooden bowls used for?</t>
  </si>
  <si>
    <t>To store captured stones.</t>
  </si>
  <si>
    <t>To hold the player's own stones.</t>
  </si>
  <si>
    <t>To hold a player's extra stones.</t>
  </si>
  <si>
    <t>To be used as a timer.</t>
  </si>
  <si>
    <t>The bowls, called Go bowls or goban bowls, are used to store the black and white stones that each player will place on the board during the game.</t>
  </si>
  <si>
    <t>(A) 用于储存捕获的石头。 (B) 用来存放玩家自己的棋子。 (C) 用来存放玩家多余的棋子。 (D) 可用作计时器。</t>
  </si>
  <si>
    <t>go_10.jpg</t>
  </si>
  <si>
    <t>A player moving a stone.</t>
  </si>
  <si>
    <t>A player taking a stone.</t>
  </si>
  <si>
    <t>A player capturing a stone.</t>
  </si>
  <si>
    <t>A player placing a stone on the board.</t>
  </si>
  <si>
    <t>The image shows a hand holding a white stone, with the fingers positioned to place it on an intersection of the board, which is the fundamental action in Go.</t>
  </si>
  <si>
    <t>(A) 一名玩家正在移动石子。 (B) 一名球员正在取石。 (C) 一名玩家吃掉了一颗棋子。 (D) 一名玩家将棋子放置在棋盘上。</t>
  </si>
  <si>
    <t>The person is placing a stone on the board. What is the sound that is traditionally associated with this action?</t>
  </si>
  <si>
    <t>A soft click</t>
  </si>
  <si>
    <t>A loud snap</t>
  </si>
  <si>
    <t>A gentle tapping sound</t>
  </si>
  <si>
    <t>A sharp, snapping sound</t>
  </si>
  <si>
    <t>When an expert player places a stone on the board, they often use a specific technique that creates a sharp, snapping sound, a traditional element of the game.</t>
  </si>
  <si>
    <t>(A) 轻轻一按 (B) 一声响亮的咔嚓声 (C) 轻轻的敲击声 (D) 一声清脆的响声</t>
  </si>
  <si>
    <t>Why are there so many stones already on the board?</t>
  </si>
  <si>
    <t>The game is a fast-paced one.</t>
  </si>
  <si>
    <t>The game is in the middle of a complex phase.</t>
  </si>
  <si>
    <t>The game is a simple one.</t>
  </si>
  <si>
    <t>The game is a quick one.</t>
  </si>
  <si>
    <t>Go games can be long and complex, with many moves and counter-moves, which results in a large number of stones on the board as the game progresses.</t>
  </si>
  <si>
    <t>(A) 这款游戏节奏很快。 (B) 游戏正处于一个复杂的阶段。 (C) 这个游戏很简单。 (D) 游戏时间很短。</t>
  </si>
  <si>
    <t>The hand is placing a white stone. What does this indicate?</t>
  </si>
  <si>
    <t>The white player is in a dominant position.</t>
  </si>
  <si>
    <t>It is the white player's turn to move.</t>
  </si>
  <si>
    <t>The white player is losing.</t>
  </si>
  <si>
    <t>The white player has just captured a stone.</t>
  </si>
  <si>
    <t>In Go, players take turns placing one stone on the board, and the action shown indicates that it is the white player's turn.</t>
  </si>
  <si>
    <t>(A) 白方处于优势地位。 (B) 轮到白方走棋了。 (C) 白方处于劣势。 (D) 白方刚刚吃掉了一枚棋子。</t>
  </si>
  <si>
    <t>What is a key principle of Go, as shown by the arrangement of the stones?</t>
  </si>
  <si>
    <t>The game is based on forming straight lines.</t>
  </si>
  <si>
    <t>The game is based on territorial control and influence.</t>
  </si>
  <si>
    <t>The game is based on capturing the opponent's stones.</t>
  </si>
  <si>
    <t>The game is based on a specific pattern.</t>
  </si>
  <si>
    <t>The dispersed arrangement of the stones suggests a strategic battle for territory, as players try to create enclosed areas and influence the board.</t>
  </si>
  <si>
    <t>(A) 这个游戏以画直线为基础。 (B) 这款游戏以领土控制和影响力为基础。 (C) 这个游戏的目标是吃掉对方的棋子。 (D) 这款游戏基于特定的模式。</t>
  </si>
  <si>
    <t>go_17.jpg</t>
  </si>
  <si>
    <t>What is the action taking place in this close-up shot?</t>
  </si>
  <si>
    <t>A player is moving a stone.</t>
  </si>
  <si>
    <t>A player is about to capture a stone.</t>
  </si>
  <si>
    <t>A player is about to place a black stone on the board.</t>
  </si>
  <si>
    <t>A player is removing a stone.</t>
  </si>
  <si>
    <t>The image shows a hand holding a black stone and lowering it to an empty intersection on the grid, which is the act of making a move.</t>
  </si>
  <si>
    <t>(A) 一名玩家正在移动石子。 (B) 一名玩家即将吃掉一颗棋子。 (C) 一名玩家即将把一颗黑棋子放在棋盘上。 (D) 一名玩家正在移走一颗石子。</t>
  </si>
  <si>
    <t>The player's hand is holding the stone in a specific way. What is this technique called?</t>
  </si>
  <si>
    <t>Pinching</t>
  </si>
  <si>
    <t>Grasping</t>
  </si>
  <si>
    <t>The "Chinese" style</t>
  </si>
  <si>
    <t>The "Japanese" style</t>
  </si>
  <si>
    <t>The player is holding the stone with the thumb and middle finger, and the index finger is slightly raised, which is a common way to hold the stone, known as the "Japanese" style.</t>
  </si>
  <si>
    <t>(A) 捏 (B) 抓握 (C) “中国式” (D) “日式”风格</t>
  </si>
  <si>
    <t>What is a common material for the Go board?</t>
  </si>
  <si>
    <t>Plastic</t>
  </si>
  <si>
    <t>Glass</t>
  </si>
  <si>
    <t>Wood</t>
  </si>
  <si>
    <t>Metal</t>
  </si>
  <si>
    <t>Go boards are traditionally made from a solid piece of wood, often from the Kaya tree in Japan, which is highly valued for its quality.</t>
  </si>
  <si>
    <t>(A) 塑料 (B) 玻璃 (C) 木头 (D) 金属</t>
  </si>
  <si>
    <t>The stones are placed on the intersections of the grid. What is the significance of this?</t>
  </si>
  <si>
    <t>It is an aesthetic choice.</t>
  </si>
  <si>
    <t>It is a way to distinguish Go from other games.</t>
  </si>
  <si>
    <t>It allows for more complex strategic plays.</t>
  </si>
  <si>
    <t>It is a historical tradition.</t>
  </si>
  <si>
    <t>Placing stones on the intersections, rather than in the squares, gives each point a unique set of connections and allows for more intricate and complex strategic maneuvering.</t>
  </si>
  <si>
    <t>(A) 这是一种审美选择。 (B) 这是将围棋与其他游戏区分开来的一种方式。 (C) 它允许进行更复杂的战略博弈。 (D) 这是一项历史悠久的传统。</t>
  </si>
  <si>
    <t>A playful, casual game.</t>
  </si>
  <si>
    <t>An intense, focused competition.</t>
  </si>
  <si>
    <t>A fast-paced, high-energy game.</t>
  </si>
  <si>
    <t>A simple, lighthearted game.</t>
  </si>
  <si>
    <t>The close-up shot of the hand and the deliberate placement of the stone, along with the scattered stones on the board, suggest a game that requires high concentration and strategic thinking.</t>
  </si>
  <si>
    <t>(A) 一款轻松有趣的休闲游戏。 (B) 一场激烈而专注的比赛。 (C) 一款节奏快、能量高的游戏。 (D) 一款简单轻松的游戏。</t>
  </si>
  <si>
    <t>go_19.jpg</t>
  </si>
  <si>
    <t>A player is capturing a stone.</t>
  </si>
  <si>
    <t>A player is placing a white stone.</t>
  </si>
  <si>
    <t>A player is removing a stone from the board.</t>
  </si>
  <si>
    <t>A player is moving a stone on the board.</t>
  </si>
  <si>
    <t>The image captures the moment when a player is about to place a white stone on the board at an intersection, which is a standard move in the game.</t>
  </si>
  <si>
    <t>(A) 一名玩家正在吃掉一颗棋子。 (B) 一名玩家正在放置一枚白色棋子。 (C) 一名玩家正在从棋盘上移除一颗棋子。 (D) 一名玩家正在棋盘上移动棋子。</t>
  </si>
  <si>
    <t>Why are some stones arranged in large groups?</t>
  </si>
  <si>
    <t>To block the opponent.</t>
  </si>
  <si>
    <t>To form territory and create "eyes" for survival.</t>
  </si>
  <si>
    <t>To create a beautiful pattern.</t>
  </si>
  <si>
    <t>To confuse the opponent.</t>
  </si>
  <si>
    <t>Go strategy involves creating connected groups of stones to form areas of influence (territory) and to create two or more "eyes" so that the group cannot be captured.</t>
  </si>
  <si>
    <t>(A) 阻挡对手。 (B) 划分领地，创造生存的“眼睛”。 (C) 创造美丽的图案。 (D) 迷惑对手。</t>
  </si>
  <si>
    <t>What is the primary purpose of the white background?</t>
  </si>
  <si>
    <t>To distract the viewer.</t>
  </si>
  <si>
    <t>To create a sense of calm.</t>
  </si>
  <si>
    <t>To make the black stones stand out.</t>
  </si>
  <si>
    <t>To provide a clean, uncluttered visual focus on the game.</t>
  </si>
  <si>
    <t>The plain white background eliminates distractions, allowing the viewer to focus entirely on the game in progress, including the hand, the board, and the stones.</t>
  </si>
  <si>
    <t>(A) 分散观众注意力。 (B) 营造平静的氛围。 (C) 为了让黑色石头更加突出。 (D) 为游戏提供简洁、清晰的视觉焦点。</t>
  </si>
  <si>
    <t>What is the opponent's strategy, as shown by the black stones?</t>
  </si>
  <si>
    <t>To surround a single white stone.</t>
  </si>
  <si>
    <t>To form a large chain across the board.</t>
  </si>
  <si>
    <t>To surround a larger area of the board.</t>
  </si>
  <si>
    <t>To form a defensive wall.</t>
  </si>
  <si>
    <t>The black stones are strategically placed to create large, influential groups that aim to surround and claim a significant portion of the board's territory.</t>
  </si>
  <si>
    <t>(A) 围绕一块白色石头。 (B) 形成一个覆盖整个市场的庞大链条。 (C) 包围棋盘上更大的区域。 (D) 构筑防御墙。</t>
  </si>
  <si>
    <t>The game is based on which strategic concept?</t>
  </si>
  <si>
    <t>Aggression and direct confrontation.</t>
  </si>
  <si>
    <t>Gradual encirclement and territorial gain.</t>
  </si>
  <si>
    <t>Quick attacks and fast-paced moves.</t>
  </si>
  <si>
    <t>A series of pre-planned moves.</t>
  </si>
  <si>
    <t>Go is a game of gradual encirclement and territorial gain, where players expand their influence slowly and deliberately to claim territory.</t>
  </si>
  <si>
    <t>(A) 侵略性和直接对抗。 (B) 逐步包围和领土扩张。 (C) 快速攻击和迅捷的移动。 (D) 一系列预先计划好的行动。</t>
  </si>
  <si>
    <t>go_22.jpg</t>
  </si>
  <si>
    <t>What is the central activity depicted in this ancient painting?</t>
  </si>
  <si>
    <t>A group of women playing a board game.</t>
  </si>
  <si>
    <t>A royal court meeting.</t>
  </si>
  <si>
    <t>A group of women drinking tea.</t>
  </si>
  <si>
    <t>A family gathering.</t>
  </si>
  <si>
    <t>The painting shows two women seated at a low table with a board game, while other women look on, indicating that a game is being played.</t>
  </si>
  <si>
    <t>(A) 一群女性正在玩棋盘游戏。 (B) 一次皇家宫廷会议。 (C) 一群妇女在喝茶。 (D) 家庭聚会。</t>
  </si>
  <si>
    <t>What is the game they are playing?</t>
  </si>
  <si>
    <t>Chinese checkers.</t>
  </si>
  <si>
    <t>Mahjong.</t>
  </si>
  <si>
    <t>Go (Weiqi).</t>
  </si>
  <si>
    <t>Xiangqi (Chinese chess).</t>
  </si>
  <si>
    <t>The board and the black and white stones on it are clearly identifiable as the game of Go, or Weiqi.</t>
  </si>
  <si>
    <t>(A) 跳棋。 (B) 麻将。 (C) 围棋。 (D) 象棋（中国象棋）。</t>
  </si>
  <si>
    <t>What does the attire and setting suggest about the social status of the women?</t>
  </si>
  <si>
    <t>They are commoners.</t>
  </si>
  <si>
    <t>They are wealthy and of high social standing.</t>
  </si>
  <si>
    <t>They are servants.</t>
  </si>
  <si>
    <t>The women are wearing lavish, ornate robes, and the setting is a highly decorated building, suggesting they are wealthy and of high social standing, possibly in a royal court.</t>
  </si>
  <si>
    <t>(A) 他们是平民百姓。 (B) 他们的社会地位很低。 (C) 他们家境富裕，社会地位显赫。 (D) 他们是仆人。</t>
  </si>
  <si>
    <t>The presence of Go in this painting suggests what about the game's historical significance?</t>
  </si>
  <si>
    <t>It was a game for the lower classes.</t>
  </si>
  <si>
    <t>It was a popular pastime among the Chinese elite.</t>
  </si>
  <si>
    <t>It was used for military strategy.</t>
  </si>
  <si>
    <t>It was only played by men.</t>
  </si>
  <si>
    <t>The painting shows Go being played by women in a luxurious setting, indicating that it was a highly regarded and popular intellectual pastime for both genders in the upper class.</t>
  </si>
  <si>
    <t>(A) 这是一款面向下层阶级的游戏。 (B) 这曾是中国上流社会流行的一种消遣方式。 (C) 它曾被用于军事战略。 (D) 它只由男性演奏。</t>
  </si>
  <si>
    <t>What is the overall atmosphere conveyed by the scene?</t>
  </si>
  <si>
    <t>A tense, competitive atmosphere.</t>
  </si>
  <si>
    <t>A leisurely, intellectual, and social one.</t>
  </si>
  <si>
    <t>A fast-paced, energetic one.</t>
  </si>
  <si>
    <t>A quiet, solitary one.</t>
  </si>
  <si>
    <t>The women are gathered around the board in a relaxed setting, with some watching and others engaged in conversation, suggesting that the game was a leisurely social activity.</t>
  </si>
  <si>
    <t>(A) 气氛紧张，竞争激烈。 (B) 一个休闲、充满智慧和社交乐趣的地方。 (C) 节奏快、充满活力。 (D) 一个安静、独居的人。</t>
  </si>
  <si>
    <t>go_26.jpg</t>
  </si>
  <si>
    <t>What is the main activity depicted in this historical advertisement?</t>
  </si>
  <si>
    <t>Japanese women playing a game.</t>
  </si>
  <si>
    <t>Japanese women drinking tea.</t>
  </si>
  <si>
    <t>A scene from a Japanese play.</t>
  </si>
  <si>
    <t>A social gathering.</t>
  </si>
  <si>
    <t>The image shows three Japanese women gathered around a board game, with two of them actively playing.</t>
  </si>
  <si>
    <t>(A) 日本女性在玩游戏。 (B) 日本女性在喝茶。 (C) 日本戏剧中的一个场景。 (D) 社交聚会。</t>
  </si>
  <si>
    <t>Shogi (Japanese chess)</t>
  </si>
  <si>
    <t>Go (Igo)</t>
  </si>
  <si>
    <t>Mahjong</t>
  </si>
  <si>
    <t>The board and the arrangement of the black and white stones are characteristic of the game of Go, which is also known as Igo in Japan.</t>
  </si>
  <si>
    <t>(A) 将棋（日本象棋） (B) 走（Igo） (C) 麻将 (D) 棋</t>
  </si>
  <si>
    <t>What is the purpose of this image?</t>
  </si>
  <si>
    <t>It is a historical painting.</t>
  </si>
  <si>
    <t>It is a photograph of a historical event.</t>
  </si>
  <si>
    <t>It is an advertisement for a product.</t>
  </si>
  <si>
    <t>It is a promotional poster for a movie.</t>
  </si>
  <si>
    <t>The text at the top, "Liebig Company's Fleisch-Extract," and the product bottle in the corner indicate that this is a historical advertisement for a meat extract.</t>
  </si>
  <si>
    <t>(A) 这是一幅历史画。 (B) 这是一张历史事件的照片。 (C) 这是一则产品广告。 (D) 这是一张电影宣传海报。</t>
  </si>
  <si>
    <t>Based on the image, what can be inferred about the game's cultural spread?</t>
  </si>
  <si>
    <t>It was only played in China.</t>
  </si>
  <si>
    <t>It was primarily a Japanese game.</t>
  </si>
  <si>
    <t>It spread from China to other East Asian countries like Japan.</t>
  </si>
  <si>
    <t>It was a European game.</t>
  </si>
  <si>
    <t>The image's caption mentions that the game was "invented by Emperor Shun" in China and "imported to Japan," showing that Go was a game that spread culturally from China to Japan.</t>
  </si>
  <si>
    <t>(A) 它只在中国上映过。 (B) 它主要是一款日本游戏。 (C) 它从中国传播到日本等其他东亚国家。 (D) 这是一场欧洲比赛。</t>
  </si>
  <si>
    <t>The women are in what type of attire?</t>
  </si>
  <si>
    <t>Casual Western clothing.</t>
  </si>
  <si>
    <t>Chinese robes.</t>
  </si>
  <si>
    <t>Traditional Japanese kimonos.</t>
  </si>
  <si>
    <t>Korean hanboks.</t>
  </si>
  <si>
    <t>The women are wearing traditional Japanese kimonos, with specific hairstyles and fans, which is a key part of the image's cultural context.</t>
  </si>
  <si>
    <t>(A) 休闲西式服装。 (B) 中国长袍。 (C) 日本传统和服。 (D) 韩服。</t>
  </si>
  <si>
    <t>go_31.jpg</t>
  </si>
  <si>
    <t>The Go board's construction.</t>
  </si>
  <si>
    <t>The hand of a player.</t>
  </si>
  <si>
    <t>A small group of stones on the board.</t>
  </si>
  <si>
    <t>The entire board from a distance.</t>
  </si>
  <si>
    <t>The image is a close-up, low-angle shot that focuses on a cluster of black and white stones on the Go board.</t>
  </si>
  <si>
    <t>(A) 围棋棋盘的构造。 (B) 玩家的手。 (C) 棋盘上有一小堆棋子。 (D) 从远处看整个棋盘。</t>
  </si>
  <si>
    <t>What is the strategic significance of the clustered groups of stones?</t>
  </si>
  <si>
    <t>They are isolated and easy to capture.</t>
  </si>
  <si>
    <t>They are forming a "territory" or area of influence.</t>
  </si>
  <si>
    <t>They are randomly placed.</t>
  </si>
  <si>
    <t>They are a result of a losing game.</t>
  </si>
  <si>
    <t>The close proximity of the stones and their arrangement suggest that they are part of a larger group that is trying to form a territory and secure an area on the board.</t>
  </si>
  <si>
    <t>(A) 它们位置偏僻，容易捕捉。 (B) 他们正在形成一个“领地”或影响范围。 (C) 它们被随机放置。 (D) 这是输掉比赛的结果。</t>
  </si>
  <si>
    <t>The black stones are forming a loose circle around the white stones. What is the likely purpose of this?</t>
  </si>
  <si>
    <t>To capture the white stones.</t>
  </si>
  <si>
    <t>To protect the white stones.</t>
  </si>
  <si>
    <t>To make a beautiful pattern.</t>
  </si>
  <si>
    <t>To confuse the white player.</t>
  </si>
  <si>
    <t>In Go, a primary tactic is to surround an opponent's stones, and the loose encirclement by the black stones suggests an attempt to capture the white stones.</t>
  </si>
  <si>
    <t>(A) 去捕捉白色的石头。 (B) 为了保护白色石头。 (C) 制作一个漂亮的图案。 (D) 迷惑白方。</t>
  </si>
  <si>
    <t>What is the key to winning a game of Go?</t>
  </si>
  <si>
    <t>Capturing all of the opponent's stones.</t>
  </si>
  <si>
    <t>Having more stones on the board.</t>
  </si>
  <si>
    <t>Controlling more territory than the opponent.</t>
  </si>
  <si>
    <t>Being the first to place a stone.</t>
  </si>
  <si>
    <t>The winner is determined by who has the most territory, which is the total number of empty intersections surrounded by their stones, plus any captured stones.</t>
  </si>
  <si>
    <t>(A) 吃掉对方所有的棋子。 (B) 棋盘上棋子数量更多。 (C) 控制的领土比对手多。 (D) 第一个放石头的人。</t>
  </si>
  <si>
    <t>What is the most notable feature of the Go board's material?</t>
  </si>
  <si>
    <t>It is made of plastic.</t>
  </si>
  <si>
    <t>It is a light-colored wood with a grid pattern.</t>
  </si>
  <si>
    <t>It is a dark-colored wood.</t>
  </si>
  <si>
    <t>It is made of stone.</t>
  </si>
  <si>
    <t>The board is made of a light, honey-colored wood with a clear grid of lines, which is typical for a traditional Go board.</t>
  </si>
  <si>
    <t>(A) 它是由塑料制成的。 (B) 它是一种浅色木材，带有网格图案。 (C) 这是一种深色木材。 (D) 它是用石头做的。</t>
  </si>
  <si>
    <t>go_41.jpg</t>
  </si>
  <si>
    <t>The two wooden bowls.</t>
  </si>
  <si>
    <t>The Go board with many stones.</t>
  </si>
  <si>
    <t>A close-up of a player.</t>
  </si>
  <si>
    <t>A single stone.</t>
  </si>
  <si>
    <t>The image shows the full Go board, covered with a large number of black and white stones, indicating that the game is well into its mid-to-late stage.</t>
  </si>
  <si>
    <t>(A) 两个木碗。 (B) 有很多棋子的围棋棋盘。 (C) 球员的特写镜头。 (D) 一块石头。</t>
  </si>
  <si>
    <t>The white stones are arranged in a long, winding pattern. What does this arrangement likely represent?</t>
  </si>
  <si>
    <t>A decorative pattern.</t>
  </si>
  <si>
    <t>A "chain" or a group of stones.</t>
  </si>
  <si>
    <t>A random placement of stones.</t>
  </si>
  <si>
    <t>A defensive wall.</t>
  </si>
  <si>
    <t>The long line of connected white stones is a "chain" or "group", which is a strategic maneuver to connect and protect one's stones from being captured.</t>
  </si>
  <si>
    <t>(A) 装饰图案。 (B) 一串石头或一组石头。 (C) 随意摆放的石头。 (D) 一道防御墙。</t>
  </si>
  <si>
    <t>What are the two bowls on either side of the board used for?</t>
  </si>
  <si>
    <t>To hold the players' stones during the game.</t>
  </si>
  <si>
    <t>To serve as a timer.</t>
  </si>
  <si>
    <t>To hold an extra set of stones.</t>
  </si>
  <si>
    <t>The two wooden bowls are used to store and dispense the black and white stones that each player uses to make their moves.</t>
  </si>
  <si>
    <t>(A) 用于储存捕获的石头。 (B) 在游戏过程中用来保管玩家的棋子。 (C) 用作计时器。 (D) 用来存放一套备用宝石。</t>
  </si>
  <si>
    <t>What is the strategic relationship between the black and white stones?</t>
  </si>
  <si>
    <t>They are both trying to form the same shape.</t>
  </si>
  <si>
    <t>They are both trying to capture each other's stones and territory.</t>
  </si>
  <si>
    <t>They are trying to create a pattern together.</t>
  </si>
  <si>
    <t>They are not related.</t>
  </si>
  <si>
    <t>The stones are engaged in a constant strategic battle of encirclement, with each player attempting to surround the opponent's groups and claim territory.</t>
  </si>
  <si>
    <t>(A) 它们都在试图形成相同的形状。 (B) 它们都在试图夺取对方的石头和领地。 (C) 他们正试图共同创造一种模式。 (D) 他们之间没有亲属关系。</t>
  </si>
  <si>
    <t>What is the overall aesthetic of the setup?</t>
  </si>
  <si>
    <t>A modern, minimalist aesthetic.</t>
  </si>
  <si>
    <t>A simple, casual aesthetic.</t>
  </si>
  <si>
    <t>A traditional, classic aesthetic.</t>
  </si>
  <si>
    <t>A messy, disorganized aesthetic.</t>
  </si>
  <si>
    <t>The wooden board, the round stones, and the wooden bowls all contribute to a traditional and classic aesthetic that is associated with the game of Go.</t>
  </si>
  <si>
    <t>(A) 现代简约美学。 (B) 简约休闲的美学风格。 (C) 传统、经典的审美。 (D) 一种凌乱、无序的美学风格。</t>
  </si>
  <si>
    <t>go_43.jpg</t>
  </si>
  <si>
    <t>What does this image show?</t>
  </si>
  <si>
    <t>A board game in progress.</t>
  </si>
  <si>
    <t>A diagram of a strategic problem in Go.</t>
  </si>
  <si>
    <t>A completed game.</t>
  </si>
  <si>
    <t>A puzzle.</t>
  </si>
  <si>
    <t>The image shows a partial Go board with letters and arrows, which indicates that it is a diagram illustrating a specific strategic problem or sequence of moves.</t>
  </si>
  <si>
    <t>(A) 正在进行中的桌游。 (B) 围棋中一个战略问题的示意图。 (C) 游戏已完成。 (D) 一个谜题。</t>
  </si>
  <si>
    <t>What is the purpose of the letters (A, B, C, D, E, F) on the board?</t>
  </si>
  <si>
    <t>They are part of the game rules.</t>
  </si>
  <si>
    <t>They represent different players.</t>
  </si>
  <si>
    <t>They are used to identify specific points or moves in a problem.</t>
  </si>
  <si>
    <t>They are a modern addition to the game.</t>
  </si>
  <si>
    <t>The letters are used as a notation system to reference specific intersections on the board when discussing or analyzing a particular game or strategic problem.</t>
  </si>
  <si>
    <t>(A) 它们是游戏规则的一部分。 (B) 他们代表不同的球员。 (C) 它们用于识别问题中的特定要点或步骤。 (D) 它们是游戏中新增的现代元素。</t>
  </si>
  <si>
    <t>The white stones at the top right (B) are in a long, connected group. What is this group called?</t>
  </si>
  <si>
    <t>A "dead" group.</t>
  </si>
  <si>
    <t>A "live" group.</t>
  </si>
  <si>
    <t>A "chain" of stones.</t>
  </si>
  <si>
    <t>An isolated group.</t>
  </si>
  <si>
    <t>A group of stones that has formed at least two "eyes" (empty intersections that cannot be filled) is considered "live" and cannot be captured.</t>
  </si>
  <si>
    <t>(A) 一个“已死”的团体。 (B) 一个“现场”乐队。 (C) 一串石头。 (D) 一个孤立的群体。</t>
  </si>
  <si>
    <t>What is the relationship between the black stones and the white stones in this diagram?</t>
  </si>
  <si>
    <t>They are randomly scattered.</t>
  </si>
  <si>
    <t>They are engaged in a strategic battle of encirclement.</t>
  </si>
  <si>
    <t>They are forming a single, large group.</t>
  </si>
  <si>
    <t>They are not interacting.</t>
  </si>
  <si>
    <t>The diagram shows a clear strategic struggle between the two colors, with each side attempting to encircle and capture the opponent's groups and claim territory.</t>
  </si>
  <si>
    <t>(A) 它们随机散布。 (B) 他们正在进行一场战略包围战。 (C) 他们正在组成一个庞大的团体。 (D) 他们之间没有互动。</t>
  </si>
  <si>
    <t>The black stones are positioned to capture the white group at the bottom left. What is the term for a group that is surrounded and cannot escape?</t>
  </si>
  <si>
    <t>A "ko" group.</t>
  </si>
  <si>
    <t>A "sente" group.</t>
  </si>
  <si>
    <t>A group of stones that is completely surrounded and has no way of forming two "eyes" to survive is considered "dead" and will eventually be removed from the board.</t>
  </si>
  <si>
    <t>(A) 一个“现场”乐队。 (B) 一个“ko”组。 (C) 一个“已死”的团体。 (D) 一个“sente”小组。</t>
  </si>
  <si>
    <t>go_47.jpg</t>
  </si>
  <si>
    <t>A player is placing a black stone on the board.</t>
  </si>
  <si>
    <t>A player is removing a captured stone.</t>
  </si>
  <si>
    <t>A player is tapping the board.</t>
  </si>
  <si>
    <t>(A) 一名玩家正在移动石子。 (B) 一名玩家在棋盘上放置一枚黑棋子。 (C) 一名玩家正在移除被占领的棋子。 (D) 一名玩家正在敲击棋盘。</t>
  </si>
  <si>
    <t>The player's fingers are holding the stone in a specific way. What is this technique called?</t>
  </si>
  <si>
    <t>The player is holding the stone between the index finger and the thumb, with the index finger curled and resting on the top of the stone, which is a common way to hold the stone, known as the "Chinese" style.</t>
  </si>
  <si>
    <t>(A) 捏 (B) “中国式” (C) “日式”风格 (D) 抓握</t>
  </si>
  <si>
    <t>The board has a dark background. What does this suggest about the playing environment?</t>
  </si>
  <si>
    <t>It is in a very dark room.</t>
  </si>
  <si>
    <t>It is a modern, indoor setting.</t>
  </si>
  <si>
    <t>It is in a professional or formal setting.</t>
  </si>
  <si>
    <t>It is an ancient, historical setting.</t>
  </si>
  <si>
    <t>The black background is likely a stylistic choice to emphasize the game itself and suggests a formal or professional setting, such as a studio or a formal tournament.</t>
  </si>
  <si>
    <t>(A) 它在一个非常黑暗的房间里。 (B) 这是一个现代化的室内环境。 (C) 它是在专业或正式场合进行的。 (D) 这是一个古老的历史遗迹。</t>
  </si>
  <si>
    <t>The stones are scattered across the board. What does this indicate about the stage of the game?</t>
  </si>
  <si>
    <t>It is at the very beginning.</t>
  </si>
  <si>
    <t>It is a late-game scenario.</t>
  </si>
  <si>
    <t>It is a simple game.</t>
  </si>
  <si>
    <t>It is a practice game.</t>
  </si>
  <si>
    <t>A large number of stones on the board indicates that the game has progressed and is likely in the mid-to-late stage, where the strategic battle for territory is well underway.</t>
  </si>
  <si>
    <t>(A) 一切都始于最初。 (B) 这是游戏后期才会出现的情况。 (C) 这是一个简单的游戏。 (D) 这是一场练习赛。</t>
  </si>
  <si>
    <t>What is the primary purpose of a "move" in the game of Go?</t>
  </si>
  <si>
    <t>To capture an opponent's stone.</t>
  </si>
  <si>
    <t>To protect one's own stones.</t>
  </si>
  <si>
    <t>To expand one's influence and territory.</t>
  </si>
  <si>
    <t>A single move in Go can serve multiple purposes, including capturing an opponent's stone, protecting a group of one's own stones, and, most importantly, expanding one's territory.</t>
  </si>
  <si>
    <t>(A) 吃掉对方的棋子。 (B) 为了保护自己的石头。 (C) 扩大自身的影响力和领土。 (D) 上述所有的。</t>
  </si>
  <si>
    <t>go_54.jpg</t>
  </si>
  <si>
    <t>The image shows a square board with a grid and two playing stones, one white and one black, along with their respective bowls, which are the defining characteristics of the game of Go, also known as Weiqi.</t>
  </si>
  <si>
    <t>(A) 棋 (B) 围棋 (C) 跳棋 (D) 双陆棋</t>
  </si>
  <si>
    <t>What is a notable feature of the Go board in this image?</t>
  </si>
  <si>
    <t>It is a checkered pattern.</t>
  </si>
  <si>
    <t>(A) 它是棋盘格图案。 (B) 这是一个有交叉点的正方形网格。 (C) 它呈圆形图案。 (D) 这是一块很大的纯色木板。</t>
  </si>
  <si>
    <t>What does the large amount of empty space on the board suggest?</t>
  </si>
  <si>
    <t>The game is finished.</t>
  </si>
  <si>
    <t>The game is about to start.</t>
  </si>
  <si>
    <t>The game is at its end.</t>
  </si>
  <si>
    <t>The board is almost completely empty, with only one stone from each player, indicating that the game is in its very early stages.</t>
  </si>
  <si>
    <t>(A) 游戏结束了。 (B) 比赛即将开始。 (C) 游戏结束了。 (D) 游戏正处于一个复杂的阶段。</t>
  </si>
  <si>
    <t>What is the purpose of the single stone from each player on the board?</t>
  </si>
  <si>
    <t>It is a random placement.</t>
  </si>
  <si>
    <t>It is the first move of the game.</t>
  </si>
  <si>
    <t>It is to mark a specific point.</t>
  </si>
  <si>
    <t>It is to signify a tie.</t>
  </si>
  <si>
    <t>The placement of one black and one white stone on the board marks the very beginning of the game, where players make their initial moves.</t>
  </si>
  <si>
    <t>(A) 这是随机放置的。 (B) 这是游戏的第一步。 (C) 这是为了标记某个特定点。 (D) 这表示平局。</t>
  </si>
  <si>
    <t>go_58.jpg</t>
  </si>
  <si>
    <t>The image captures the moment when a player's hand is about to place a white stone on the board, which is a standard move in the game.</t>
  </si>
  <si>
    <t>Why are some stones arranged in small, loose groups?</t>
  </si>
  <si>
    <t>The stones are placed in small groups to expand influence and create territory, as well as to create "eyes", which are empty spaces that ensure the group cannot be captured.</t>
  </si>
  <si>
    <t>(A) 阻挡对手。 (B) 划分领地，创造生存的“眼睛”。 (C) 迷惑对手。 (D) 创造美丽的图案。</t>
  </si>
  <si>
    <t>What is the primary purpose of the plain background?</t>
  </si>
  <si>
    <t>What is the strategic goal of the black stones, as shown in the image?</t>
  </si>
  <si>
    <t>go_61.jpg</t>
  </si>
  <si>
    <t>A player is placing a white stone on the board.</t>
  </si>
  <si>
    <t>(A) 一名玩家正在吃掉一颗棋子。 (B) 一名玩家正在棋盘上放置一颗白棋子。 (C) 一名玩家正在从棋盘上移除一颗棋子。 (D) 一名玩家正在棋盘上移动棋子。</t>
  </si>
  <si>
    <t>The player's hands appear to be older. What does this suggest about the game?</t>
  </si>
  <si>
    <t>It is a game for all ages.</t>
  </si>
  <si>
    <t>It is a game for elderly people.</t>
  </si>
  <si>
    <t>It is a game that is only played by professionals.</t>
  </si>
  <si>
    <t>It is a game that is only played by amateurs.</t>
  </si>
  <si>
    <t>The presence of an older person playing the game suggests that Go is a timeless game enjoyed by people of all ages, from children to the elderly.</t>
  </si>
  <si>
    <t>(A) 这是一款适合所有年龄段的游戏。 (B) 这是一款老年人游戏。 (C) 这是一款只有职业选手才能玩的游戏。 (D) 这是一款只有业余爱好者才会玩的游戏。</t>
  </si>
  <si>
    <t>The board has many stones already on it. What does this indicate about the stage of the game?</t>
  </si>
  <si>
    <t>The game is at the very beginning.</t>
  </si>
  <si>
    <t>(A) 游戏才刚刚开始。 (B) 这款游戏节奏很快。 (C) 游戏正处于一个复杂的阶段。 (D) 这个游戏很简单。</t>
  </si>
  <si>
    <t>What is the primary purpose of the light shining on the board?</t>
  </si>
  <si>
    <t>To make the game more difficult to see.</t>
  </si>
  <si>
    <t>To create a dramatic and artistic effect.</t>
  </si>
  <si>
    <t>To show the details of the board.</t>
  </si>
  <si>
    <t>To make the board look more modern.</t>
  </si>
  <si>
    <t>The light shining on the board creates a striking contrast between the lit and shadowed areas, highlighting the aesthetic and intellectual beauty of the game.</t>
  </si>
  <si>
    <t>(A) 为了让游戏更难看清。 (B) 为了营造戏剧性和艺术性的效果。 (C) 显示电路板的详细信息。 (D) 为了让电路板看起来更现代。</t>
  </si>
  <si>
    <t>go_65.jpg</t>
  </si>
  <si>
    <t>A player's hand is about to place a stone.</t>
  </si>
  <si>
    <t>The image shows a wooden hand holding a white stone and hovering over an intersection on the board, which is the act of making a move.</t>
  </si>
  <si>
    <t>(A) 一名玩家即将下棋。 (B) 一名玩家正在从棋盘上移除一颗棋子。 (C) 一名玩家正在棋盘上移动棋子。 (D) 一名玩家正在吃掉一颗棋子。</t>
  </si>
  <si>
    <t>What is the significance of the wooden hand?</t>
  </si>
  <si>
    <t>It is an educational tool.</t>
  </si>
  <si>
    <t>It is an artistic representation.</t>
  </si>
  <si>
    <t>It is a prosthetic hand.</t>
  </si>
  <si>
    <t>It is a decorative item.</t>
  </si>
  <si>
    <t>The wooden hand is a piece of art or a prop used to create a conceptual or artistic image, rather than a real person's hand.</t>
  </si>
  <si>
    <t>(A) 它是一种教育工具。 (B) 这是一幅艺术表现作品。 (C) 这是一只假肢手。 (D) 它是一件装饰品。</t>
  </si>
  <si>
    <t>It is in the middle of a complex phase.</t>
  </si>
  <si>
    <t>(A) 一切都始于最初。 (B) 它正处于一个复杂的阶段之中。 (C) 这是一个简单的游戏。 (D) 这是一场练习赛。</t>
  </si>
  <si>
    <t>A conceptual and artistic one.</t>
  </si>
  <si>
    <t>The use of a wooden hand and the artistic lighting and composition give the image a more conceptual and aesthetic feel, rather than a simple documentary feel.</t>
  </si>
  <si>
    <t>(A) 一款轻松有趣的休闲游戏。 (B) 一场激烈而专注的比赛。 (C) 一件概念性和艺术性的作品。 (D) 一款简单轻松的游戏。</t>
  </si>
  <si>
    <t>go_71.jpg</t>
  </si>
  <si>
    <t>A player is in a casual game.</t>
  </si>
  <si>
    <t>A professional player is in a Go tournament.</t>
  </si>
  <si>
    <t>A person is studying a Go board.</t>
  </si>
  <si>
    <t>A player is a spectator.</t>
  </si>
  <si>
    <t>The player is sitting at a formal table, with a name card in front of him, and a camera crew in the background, suggesting a professional Go tournament.</t>
  </si>
  <si>
    <t>(A) 玩家正在进行休闲游戏。 (B) 一名职业围棋选手正在参加围棋比赛。 (C) 一个人正在研究围棋棋盘。 (D) 球员是观众。</t>
  </si>
  <si>
    <t>What is the player doing?</t>
  </si>
  <si>
    <t>He is about to make a move.</t>
  </si>
  <si>
    <t>He is pondering his next move.</t>
  </si>
  <si>
    <t>He is taking a break.</t>
  </si>
  <si>
    <t>He is signaling for a time-out.</t>
  </si>
  <si>
    <t>The player has his hand on his chin, with a focused gaze on the board, which is a common posture for players who are deep in thought, considering their next move.</t>
  </si>
  <si>
    <t>(A) 他即将采取行动。 (B) 他正在思考下一步该怎么做。 (C) 他正在休息。 (D) 他示意暂停。</t>
  </si>
  <si>
    <t>What is the purpose of the name card in front of the player?</t>
  </si>
  <si>
    <t>To identify the player.</t>
  </si>
  <si>
    <t>To show the player's rank.</t>
  </si>
  <si>
    <t>To show the player's team.</t>
  </si>
  <si>
    <t>To show the player's country.</t>
  </si>
  <si>
    <t>The name card, which says "Ke Jie," is used to identify the professional player, a standard practice in official Go tournaments.</t>
  </si>
  <si>
    <t>(A) 识别玩家。 (B) 显示玩家的排名。 (C) 显示球员所属球队。 (D) 显示玩家所属国家。</t>
  </si>
  <si>
    <t>The game is in a relatively early stage. What does this suggest about the players?</t>
  </si>
  <si>
    <t>The players are not very good.</t>
  </si>
  <si>
    <t>The players are just starting the game.</t>
  </si>
  <si>
    <t>The players are very fast.</t>
  </si>
  <si>
    <t>The players are professional and are very careful with their first moves.</t>
  </si>
  <si>
    <t>The board is relatively empty, which suggests that the game is in the early stages, where professional players take a long time to carefully consider each move and its long-term implications.</t>
  </si>
  <si>
    <t>(A) 这些球员水平不太好。 (B) 比赛刚刚开始。 (C) 这些球员速度非常快。 (D) 这些球员都很专业，他们的第一步都非常谨慎。</t>
  </si>
  <si>
    <t>What is a key element of the playing environment?</t>
  </si>
  <si>
    <t>It is a loud and distracting environment.</t>
  </si>
  <si>
    <t>It is a quiet and focused environment.</t>
  </si>
  <si>
    <t>It is a casual and relaxed environment.</t>
  </si>
  <si>
    <t>It is an outdoor environment.</t>
  </si>
  <si>
    <t>The formal setting, the player's concentration, and the lack of clutter suggest that the playing environment is designed to be quiet and focused to allow for deep concentration.</t>
  </si>
  <si>
    <t>(A) 这里环境嘈杂，容易分散注意力。 (B) 这是一个安静且令人专注的环境。 (C) 这里环境轻松休闲。 (D) 这是一个户外环境。</t>
  </si>
  <si>
    <t>go_74.jpg</t>
  </si>
  <si>
    <t>A player is hitting a timer.</t>
  </si>
  <si>
    <t>A player is placing a stone on the board.</t>
  </si>
  <si>
    <t>The image shows a player's hand reaching for and pressing a button on a chess clock or timer, which is used to time a game of Go.</t>
  </si>
  <si>
    <t>(A) 一名玩家正在击打计时器。 (B) 一名玩家正在棋盘上放置一颗棋子。 (C) 一名玩家正在吃掉一颗棋子。 (D) 一名玩家正在移动石子。</t>
  </si>
  <si>
    <t>What is the purpose of the timer?</t>
  </si>
  <si>
    <t>To keep track of the number of moves.</t>
  </si>
  <si>
    <t>To ensure that the game does not last too long.</t>
  </si>
  <si>
    <t>To ensure that each player gets the same amount of time.</t>
  </si>
  <si>
    <t>The timer is used to limit the amount of time each player has to make their moves, ensuring that the game is fair and does not go on indefinitely.</t>
  </si>
  <si>
    <t>(A) 记录步数。 (B) 为了确保游戏不会持续太久。 (C) 确保每位球员获得相同的上场时间。 (D) 上述所有的。</t>
  </si>
  <si>
    <t>What is a key feature of the Go board in this image?</t>
  </si>
  <si>
    <t>It is a dark, wooden board.</t>
  </si>
  <si>
    <t>It is a light, wooden board.</t>
  </si>
  <si>
    <t>It is a light, yellow board with a grid pattern.</t>
  </si>
  <si>
    <t>It is a white plastic board.</t>
  </si>
  <si>
    <t>The board is a distinct light yellow color, which is a variation from the traditional wooden boards, often seen in professional tournaments or for aesthetic purposes.</t>
  </si>
  <si>
    <t>(A) 这是一块深色的木板。 (B) 这是一块轻质木板。 (C) 这是一块浅黄色的板子，上面有网格图案。 (D) 这是一块白色塑料板。</t>
  </si>
  <si>
    <t>What is the player's hand doing besides hitting the timer?</t>
  </si>
  <si>
    <t>He is about to place a stone.</t>
  </si>
  <si>
    <t>He is about to remove a stone.</t>
  </si>
  <si>
    <t>He is about to capture a stone.</t>
  </si>
  <si>
    <t>The player is using one hand to press the timer, while the other hand is poised to place a black stone on the board, which is the standard procedure in timed games.</t>
  </si>
  <si>
    <t>(A) 他正准备放置一块石头。 (B) 他正准备搬走一块石头。 (C) 他正要抓住一块石头。 (D) 他即将采取行动。</t>
  </si>
  <si>
    <t>What does the presence of a timer suggest about the nature of the game?</t>
  </si>
  <si>
    <t>It is a fast-paced game.</t>
  </si>
  <si>
    <t>It is a casual game.</t>
  </si>
  <si>
    <t>It is a friendly game.</t>
  </si>
  <si>
    <t>It is a formal, competitive game.</t>
  </si>
  <si>
    <t>Timers are used in official and professional games to add a layer of pressure and to ensure that the game is completed in a timely manner.</t>
  </si>
  <si>
    <t>(A) 这是一款节奏很快的游戏。 (B) 这是一款休闲游戏。 (C) 这是一场友谊赛。 (D) 这是一项正式的竞技性比赛。</t>
  </si>
  <si>
    <t>go_75.jpg</t>
  </si>
  <si>
    <t>What are the two wooden bowls on either side of the board used for?</t>
  </si>
  <si>
    <t>What does the large amount of stones on the board suggest?</t>
  </si>
  <si>
    <t>The board is almost completely full of stones, indicating that the game is well into its mid-to-late stage, where the strategic battle for territory is well underway.</t>
  </si>
  <si>
    <t>(A) 比赛即将开始。 (B) 游戏正处于一个复杂的阶段。 (C) 游戏结束了。 (D) 这个游戏很简单。</t>
  </si>
  <si>
    <t>go_78.jpg</t>
  </si>
  <si>
    <t>A child is playing with his toys.</t>
  </si>
  <si>
    <t>A child is playing a board game.</t>
  </si>
  <si>
    <t>A child is studying.</t>
  </si>
  <si>
    <t>A child is doing a puzzle.</t>
  </si>
  <si>
    <t>The image shows a young child sitting on the floor, engaged with a Go board and stones, indicating that he is playing the game.</t>
  </si>
  <si>
    <t>(A) 一个孩子正在玩玩具。 (B) 一个孩子正在玩棋盘游戏。 (C) 一个孩子正在学习。 (D) 一个孩子正在拼拼图。</t>
  </si>
  <si>
    <t>What is a key feature of the playing environment?</t>
  </si>
  <si>
    <t>It is a formal, professional setting.</t>
  </si>
  <si>
    <t>It is a casual, indoor, and comfortable environment.</t>
  </si>
  <si>
    <t>It is a classroom setting.</t>
  </si>
  <si>
    <t>The child is sitting on the floor in what appears to be a living room or playroom, suggesting a casual and relaxed environment for the game.</t>
  </si>
  <si>
    <t>(A) 这是一个正式的专业场合。 (B) 这是一个户外环境。 (C) 这是一个休闲、室内、舒适的环境。 (D) 这是课堂环境。</t>
  </si>
  <si>
    <t>What does the child's smiling face and engaged posture suggest?</t>
  </si>
  <si>
    <t>He is frustrated with the game.</t>
  </si>
  <si>
    <t>He is enjoying the game.</t>
  </si>
  <si>
    <t>He is bored with the game.</t>
  </si>
  <si>
    <t>He is confused by the game.</t>
  </si>
  <si>
    <t>The child's smiling expression and focused posture indicate that he is having a good time and is actively engaged in the game.</t>
  </si>
  <si>
    <t>(A) 他对比赛感到沮丧。 (B) 他很享受这场比赛。 (C) 他对这个游戏感到厌倦了。 (D) 他被游戏搞糊涂了。</t>
  </si>
  <si>
    <t>What does this image suggest about the game of Go?</t>
  </si>
  <si>
    <t>It is a game that is only for adults.</t>
  </si>
  <si>
    <t>It is a game that can be taught and enjoyed by young children.</t>
  </si>
  <si>
    <t>It is a game that is too difficult for children.</t>
  </si>
  <si>
    <t>It is a game that is not fun.</t>
  </si>
  <si>
    <t>The image of a young child playing Go demonstrates that the game, with its simple rules but complex strategy, is accessible and enjoyable for children.</t>
  </si>
  <si>
    <t>(A) 这是一款仅限成人玩的游戏。 (B) 这是一款适合幼儿学习和玩耍的游戏。 (C) 这款游戏对孩子来说太难了。 (D) 这游戏一点都不好玩。</t>
  </si>
  <si>
    <t>go_79.jpg</t>
  </si>
  <si>
    <t>The board is almost completely empty, with only a few stones from each player, indicating that the game is in its very early stages.</t>
  </si>
  <si>
    <t>jianzi_10.jpg</t>
  </si>
  <si>
    <t>Shuttlecock (Jianzi)</t>
  </si>
  <si>
    <t>Badminton</t>
  </si>
  <si>
    <t>Hacky Sack</t>
  </si>
  <si>
    <t>Volleyball</t>
  </si>
  <si>
    <t>The image shows a woman kicking a feathered shuttlecock-like object with her foot, which is the primary action of the Chinese game of Jianzi, or Shuttlecock.</t>
  </si>
  <si>
    <t>What is the main objective of the game in this casual setting?</t>
  </si>
  <si>
    <t>To score a goal.</t>
  </si>
  <si>
    <t>To keep the shuttlecock in the air using only feet.</t>
  </si>
  <si>
    <t>To kick the shuttlecock to a teammate.</t>
  </si>
  <si>
    <t>To hit the shuttlecock over a net.</t>
  </si>
  <si>
    <t>In a casual setting, the objective of Jianzi is often to see how long a group of players can keep the shuttlecock in the air without using their hands.</t>
  </si>
  <si>
    <t>(A) 进球。 (B) 只用脚让羽毛球保持在空中。 (C) 把羽毛球踢给队友。 (D) 将羽毛球击过球网。</t>
  </si>
  <si>
    <t>What is a notable feature of the shuttlecock?</t>
  </si>
  <si>
    <t>It has a feathered top.</t>
  </si>
  <si>
    <t>It is very heavy.</t>
  </si>
  <si>
    <t>It is a modern soccer ball.</t>
  </si>
  <si>
    <t>The shuttlecock, or Jianzi, is characterized by a weighted base with feathers on top, which allows it to fly and be easily controlled with the feet.</t>
  </si>
  <si>
    <t>(A) 它是由塑料制成的。 (B) 它的顶部有羽毛装饰。 (C) 它很重。 (D) 这是一个现代足球。</t>
  </si>
  <si>
    <t>The people are playing in what kind of environment?</t>
  </si>
  <si>
    <t>A formal court</t>
  </si>
  <si>
    <t>A public park or courtyard</t>
  </si>
  <si>
    <t>An indoor gymnasium</t>
  </si>
  <si>
    <t>A school field</t>
  </si>
  <si>
    <t>The image shows a person playing in a paved outdoor area with a building in the background, suggesting a public park or courtyard.</t>
  </si>
  <si>
    <t>(A) 正式法庭 (B) 公共公园或庭院 (C) 室内体育馆 (D) 学校操场</t>
  </si>
  <si>
    <t>What does this image suggest about the game's popularity?</t>
  </si>
  <si>
    <t>It is an obscure sport.</t>
  </si>
  <si>
    <t>It is a competitive sport only.</t>
  </si>
  <si>
    <t>It is a popular, recreational pastime for all ages.</t>
  </si>
  <si>
    <t>It is a professional sport.</t>
  </si>
  <si>
    <t>The image of a person of an older age playing in a casual setting suggests that Jianzi is a popular and accessible pastime for people of all ages.</t>
  </si>
  <si>
    <t>(A) 这是一项冷门运动。 (B) 这只是一项竞技体育项目。 (C) 这是一项老少皆宜的热门休闲活动。 (D) 这是一项职业体育运动。</t>
  </si>
  <si>
    <t>jianzi_13.jpg</t>
  </si>
  <si>
    <t>A gymnastics routine.</t>
  </si>
  <si>
    <t>A game of Jianzi.</t>
  </si>
  <si>
    <t>A game of kickball.</t>
  </si>
  <si>
    <t>The image shows people kicking a shuttlecock-like object in a public square, which is a clear indication that they are playing the traditional game of Jianzi.</t>
  </si>
  <si>
    <t>(A) 一套体操动作。 (B) 蹴鞠比赛。 (C) 一种剪子游戏。 (D) 一场踢球比赛。</t>
  </si>
  <si>
    <t>The man in the foreground is holding his leg up in a specific way. What is this motion used for?</t>
  </si>
  <si>
    <t>To stretch his leg.</t>
  </si>
  <si>
    <t>To kick or prepare to kick the shuttlecock.</t>
  </si>
  <si>
    <t>To tie his shoelace.</t>
  </si>
  <si>
    <t>The man is raising his leg in a common posture used in Jianzi to either strike the shuttlecock or to receive it with a controlled movement.</t>
  </si>
  <si>
    <t>(A) 伸展一下腿。 (B) 进行防守性阻挡。 (C) 踢或准备踢羽毛球。 (D) 帮他系鞋带。</t>
  </si>
  <si>
    <t>What is the setting of this game?</t>
  </si>
  <si>
    <t>A traditional Chinese public square.</t>
  </si>
  <si>
    <t>A mountain park.</t>
  </si>
  <si>
    <t>An indoor gymnasium.</t>
  </si>
  <si>
    <t>The background shows a large, open paved area in front of a traditional Chinese-style building, which is a typical setting for public recreation in China.</t>
  </si>
  <si>
    <t>(A) 一座现代化的体育场馆。 (B) 中国传统广场。 (C) 一座山地公园。 (D) 室内体育馆。</t>
  </si>
  <si>
    <t>The crowd in the background suggests what about the event?</t>
  </si>
  <si>
    <t>It is a formal competition.</t>
  </si>
  <si>
    <t>It is a public gathering where people are casually playing.</t>
  </si>
  <si>
    <t>It is a protest.</t>
  </si>
  <si>
    <t>It is a festival.</t>
  </si>
  <si>
    <t>The image shows many people in casual clothing, some walking and others observing, which indicates a public gathering where Jianzi is a casual activity.</t>
  </si>
  <si>
    <t>(A) 这是一场正式比赛。 (B) 这是一个公共聚会，人们在这里随意玩耍。 (C) 这是一场抗议活动。 (D) 这是一个节日。</t>
  </si>
  <si>
    <t>What is a key skill required to play Jianzi effectively?</t>
  </si>
  <si>
    <t>Hand-eye coordination.</t>
  </si>
  <si>
    <t>Upper body strength.</t>
  </si>
  <si>
    <t>Leg strength and agility.</t>
  </si>
  <si>
    <t>Running speed.</t>
  </si>
  <si>
    <t>The game relies on the ability to use one's feet to control and keep the shuttlecock in the air, which requires excellent leg strength and agility.</t>
  </si>
  <si>
    <t>(A) 手眼协调能力。 (B) 上肢力量。 (C) 腿部力量和敏捷性。 (D) 跑步速度。</t>
  </si>
  <si>
    <t>jianzi_15.jpg</t>
  </si>
  <si>
    <t>A badminton match.</t>
  </si>
  <si>
    <t>A volleyball game.</t>
  </si>
  <si>
    <t>A competitive Jianzi match.</t>
  </si>
  <si>
    <t>A game of soccer.</t>
  </si>
  <si>
    <t>The image shows a player in a uniform kicking a Jianzi shuttlecock over a net, which is a setting for a competitive Jianzi match.</t>
  </si>
  <si>
    <t>(A) 一场羽毛球比赛。 (B) 一场排球比赛。 (C) 一场激烈的溏子比赛。 (D) 一场足球比赛。</t>
  </si>
  <si>
    <t>The player's uniform has the word "CHINA" and the number "3". What does this suggest?</t>
  </si>
  <si>
    <t>She is a casual player.</t>
  </si>
  <si>
    <t>She is a member of a national team.</t>
  </si>
  <si>
    <t>She is a spectator.</t>
  </si>
  <si>
    <t>She is an amateur player.</t>
  </si>
  <si>
    <t>The uniform with the country's name and a player number indicates that the person is a professional athlete representing the Chinese national team.</t>
  </si>
  <si>
    <t>(A) 她是个休闲玩家。 (B) 她是国家队队员。 (C) 她是一名旁观者。 (D) 她是业余选手。</t>
  </si>
  <si>
    <t>The game is being played on a court with a net. How does this differ from casual play?</t>
  </si>
  <si>
    <t>The game is about scoring points against an opponent.</t>
  </si>
  <si>
    <t>The game is a cooperative one.</t>
  </si>
  <si>
    <t>The game is not competitive.</t>
  </si>
  <si>
    <t>The game is a team sport.</t>
  </si>
  <si>
    <t>In competitive Jianzi, the game is played over a net, with the objective of making the shuttlecock touch the ground on the opponent's side of the court to score.</t>
  </si>
  <si>
    <t>(A) 游戏的目标是战胜对手得分。 (B) 这是一款合作游戏。 (C) 这款游戏不具备竞技性。 (D) 这项运动是一项团队运动。</t>
  </si>
  <si>
    <t>What is the purpose of the net on the court?</t>
  </si>
  <si>
    <t>To act as a divider.</t>
  </si>
  <si>
    <t>To separate the teams and define the playing area.</t>
  </si>
  <si>
    <t>To add a decorative element.</t>
  </si>
  <si>
    <t>To block the shuttlecock.</t>
  </si>
  <si>
    <t>The net is a crucial part of the game, used to divide the court and establish a clear barrier that the shuttlecock must be kicked over.</t>
  </si>
  <si>
    <t>(A) 用作分隔物。 (B) 分隔各队并划定比赛区域。 (C) 添加装饰元素。 (D) 挡住羽毛球。</t>
  </si>
  <si>
    <t>What can be inferred about the game's status from this image?</t>
  </si>
  <si>
    <t>It is a professional sport with organized competitions.</t>
  </si>
  <si>
    <t>It is a casual pastime.</t>
  </si>
  <si>
    <t>It is a game for children.</t>
  </si>
  <si>
    <t>The uniforms, the court, and the presence of a net all indicate that Jianzi has evolved from a casual pastime into an organized, professional sport.</t>
  </si>
  <si>
    <t>(A) 这是一项冷门运动。 (B) 这是一项有组织比赛的职业体育运动。 (C) 这是一种休闲消遣。 (D) 这是一款儿童游戏。</t>
  </si>
  <si>
    <t>jianzi_16.jpg</t>
  </si>
  <si>
    <t>A set of badminton shuttlecocks.</t>
  </si>
  <si>
    <t>A set of colorful Jianzi shuttlecocks.</t>
  </si>
  <si>
    <t>A set of plastic toys.</t>
  </si>
  <si>
    <t>A set of birds.</t>
  </si>
  <si>
    <t>The image shows a collection of feathered objects with weighted bases, which are clearly identifiable as a set of Jianzi shuttlecocks.</t>
  </si>
  <si>
    <t>(A) 一套羽毛球。 (B) 一套色彩鲜艳的溏子。 (C) 一套塑料玩具。 (D) 一群鸟。</t>
  </si>
  <si>
    <t>What are the materials used to make these shuttlecocks?</t>
  </si>
  <si>
    <t>Plastic and metal.</t>
  </si>
  <si>
    <t>Wood and synthetic feathers.</t>
  </si>
  <si>
    <t>Rubber and plastic.</t>
  </si>
  <si>
    <t>Rubber base and colorful feathers.</t>
  </si>
  <si>
    <t>The image shows a base made of what appears to be a rubber-like material, with colorful feathers inserted into it, a common construction for Jianzi.</t>
  </si>
  <si>
    <t>(A) 塑料和金属。 (B) 木质和人造羽毛。 (C) 橡胶和塑料。 (D) 橡胶底座和彩色羽毛。</t>
  </si>
  <si>
    <t>What is the purpose of the feathers?</t>
  </si>
  <si>
    <t>To add weight to the shuttlecock.</t>
  </si>
  <si>
    <t>To create drag and stabilize its flight.</t>
  </si>
  <si>
    <t>To make it more decorative.</t>
  </si>
  <si>
    <t>To make it easier to hold.</t>
  </si>
  <si>
    <t>The feathers act like fins on a dart, creating drag that stabilizes the shuttlecock's flight, causing it to fall base-first, making it easier to kick.</t>
  </si>
  <si>
    <t>(A) 增加羽毛球的重量。 (B) 产生阻力并稳定其飞行。 (C) 为了使其更具装饰性。 (D) 为了方便握持。</t>
  </si>
  <si>
    <t>What does the vibrant color of the feathers suggest?</t>
  </si>
  <si>
    <t>They are for a professional match.</t>
  </si>
  <si>
    <t>They are for a children's toy.</t>
  </si>
  <si>
    <t>They are to make the shuttlecock more visible in the air.</t>
  </si>
  <si>
    <t>They are a sign of the shuttlecock's quality.</t>
  </si>
  <si>
    <t>The bright colors make the shuttlecock easier to track against the sky or a contrasting background during a game.</t>
  </si>
  <si>
    <t>(A) 它们用于职业比赛。 (B) 它们是给儿童玩具用的。 (C) 它们的作用是使羽毛球在空中更加显眼。 (D) 它们是羽毛球质量的标志。</t>
  </si>
  <si>
    <t>What is a notable difference between this Jianzi and a badminton shuttlecock?</t>
  </si>
  <si>
    <t>Jianzi is much smaller.</t>
  </si>
  <si>
    <t>Jianzi is made of feathers.</t>
  </si>
  <si>
    <t>Jianzi is heavier and is designed to be kicked, not hit with a racket.</t>
  </si>
  <si>
    <t>Jianzi has a plastic base.</t>
  </si>
  <si>
    <t>While both have a feathered top, a Jianzi has a heavier base and is designed to be kicked and balanced, whereas a badminton shuttlecock is designed to be light and hit with a racket.</t>
  </si>
  <si>
    <t>(A) 栀子小得多。 (B) 栀子是用羽毛做的。 (C) 毽子较重，设计用来踢，而不是用球拍击打。 (D) 琴子底座是塑料的。</t>
  </si>
  <si>
    <t>jianzi_17.jpg</t>
  </si>
  <si>
    <t>A man performing a dance.</t>
  </si>
  <si>
    <t>A man is playing a game of Jianzi.</t>
  </si>
  <si>
    <t>A man is walking in a park.</t>
  </si>
  <si>
    <t>A man is doing a martial arts routine.</t>
  </si>
  <si>
    <t>The man is in the middle of a motion to kick a Jianzi, indicating that he is playing the traditional game.</t>
  </si>
  <si>
    <t>(A) 一名男子正在跳舞。 (B) 一名男子正在玩毽子。 (C) 一名男子正在公园里散步。 (D) 一名男子正在表演武术动作。</t>
  </si>
  <si>
    <t>The man is playing in what kind of setting?</t>
  </si>
  <si>
    <t>A quiet, secluded park.</t>
  </si>
  <si>
    <t>A busy public area with a crowd.</t>
  </si>
  <si>
    <t>A schoolyard.</t>
  </si>
  <si>
    <t>The image shows a paved area with a large number of people walking around and in the background, suggesting a busy public area.</t>
  </si>
  <si>
    <t>(A) 一个安静僻静的公园。 (B) 人流密集的公共场所。 (C) 室内体育馆。 (D) 学校操场。</t>
  </si>
  <si>
    <t>What is a notable feature of the shuttlecock in the image?</t>
  </si>
  <si>
    <t>It is a traditional Jianzi with colorful feathers.</t>
  </si>
  <si>
    <t>It is a badminton shuttlecock.</t>
  </si>
  <si>
    <t>The shuttlecock is made of a base and a series of colorful, feathery tassels, which is a classic design for Jianzi.</t>
  </si>
  <si>
    <t>(A) 它是由塑料制成的。 (B) 这是一个传统的羽毛装饰的钩子，羽毛色彩鲜艳。 (C) 这是一个现代足球。 (D) 这是一个羽毛球。</t>
  </si>
  <si>
    <t>The man is wearing casual clothing. What does this suggest about the game?</t>
  </si>
  <si>
    <t>It is a very formal sport.</t>
  </si>
  <si>
    <t>It requires specific sportswear.</t>
  </si>
  <si>
    <t>It is a casual pastime that can be played in everyday clothing.</t>
  </si>
  <si>
    <t>It is a competitive sport.</t>
  </si>
  <si>
    <t>The man is wearing a polo shirt and cargo pants, which suggests that Jianzi is a low-key, casual pastime that can be played without specialized gear.</t>
  </si>
  <si>
    <t>(A) 这是一项非常正式的运动。 (B) 它需要特定的运动服。 (C) 这是一种休闲娱乐活动，穿着日常服装就可以进行。 (D) 这是一项竞技性运动。</t>
  </si>
  <si>
    <t>(A) 手眼协调能力。 (B) 腿部力量和敏捷性。 (C) 跑步速度。 (D) 上肢力量。</t>
  </si>
  <si>
    <t>jianzi_22.jpg</t>
  </si>
  <si>
    <t>The image shows two players in uniforms kicking a Jianzi shuttlecock over a net, which is a setting for a competitive Jianzi match.</t>
  </si>
  <si>
    <t>The player's uniform has the word "SHANGHAI" and the number "2". What does this suggest?</t>
  </si>
  <si>
    <t>She is a member of a city or regional team.</t>
  </si>
  <si>
    <t>The uniform with the city's name and a player number indicates that the person is an athlete representing a city or regional team, likely in a professional competition.</t>
  </si>
  <si>
    <t>(A) 她是业余选手。 (B) 她是市级或地区级球队的成员。 (C) 她是一名旁观者。 (D) 她是个休闲玩家。</t>
  </si>
  <si>
    <t>The player is performing a high kick. What is the purpose of this motion?</t>
  </si>
  <si>
    <t>To stretch her leg.</t>
  </si>
  <si>
    <t>To make the game more difficult.</t>
  </si>
  <si>
    <t>To get the shuttlecock over the net.</t>
  </si>
  <si>
    <t>To show off her skills.</t>
  </si>
  <si>
    <t>The high kick is a common technique used in competitive Jianzi to send the shuttlecock high and fast over the net, making it difficult for the opponent to return.</t>
  </si>
  <si>
    <t>(A) 伸展一下腿。 (B) 为了增加游戏难度。 (C) 把羽毛球打过球网。 (D) 为了炫耀她的技能。</t>
  </si>
  <si>
    <t>jianzi_25.jpg</t>
  </si>
  <si>
    <t>A person is doing a warm-up exercise.</t>
  </si>
  <si>
    <t>A person is playing a game of Jianzi.</t>
  </si>
  <si>
    <t>A person is doing a dance.</t>
  </si>
  <si>
    <t>A person is doing a martial arts routine.</t>
  </si>
  <si>
    <t>The woman is holding her leg up in a posture that is common for stretching, and she is in a public park-like setting with other people, suggesting a warm-up exercise.</t>
  </si>
  <si>
    <t>(A) 一个人正在做热身运动。 (B) 一个人正在玩毽子。 (C) 一个人正在跳舞。 (D) 一个人正在练习武术动作。</t>
  </si>
  <si>
    <t>What is the purpose of the exercise shown in the image?</t>
  </si>
  <si>
    <t>To prepare her body for a physical activity.</t>
  </si>
  <si>
    <t>To stretch her muscles.</t>
  </si>
  <si>
    <t>To balance her body.</t>
  </si>
  <si>
    <t>The woman is stretching her legs, which is a common exercise to prepare her body for a physical activity like playing Jianzi or other sports.</t>
  </si>
  <si>
    <t>(A) 为了炫耀她的技能。 (B) 为进行体育活动做好身体准备。 (C) 舒展一下肌肉。 (D) 为了保持身体平衡。</t>
  </si>
  <si>
    <t>The people in the background are wearing what kind of clothing?</t>
  </si>
  <si>
    <t>Formal uniforms.</t>
  </si>
  <si>
    <t>Casual, everyday clothing.</t>
  </si>
  <si>
    <t>Sports gear.</t>
  </si>
  <si>
    <t>Traditional clothing.</t>
  </si>
  <si>
    <t>The people in the background are wearing various types of casual, everyday clothing, which is common in a public park setting.</t>
  </si>
  <si>
    <t>(A) 正式制服。 (B) 休闲日常服装。 (C) 运动装备。 (D) 传统服饰。</t>
  </si>
  <si>
    <t>A quiet, focused atmosphere.</t>
  </si>
  <si>
    <t>A casual, relaxed, and social atmosphere.</t>
  </si>
  <si>
    <t>A formal, ceremonial atmosphere.</t>
  </si>
  <si>
    <t>The people are in a relaxed, public setting, suggesting that the atmosphere is casual, relaxed, and social.</t>
  </si>
  <si>
    <t>(A) 气氛紧张，竞争激烈。 (B) 安静专注的氛围。 (C) 轻松、休闲、社交氛围浓厚。 (D) 正式、庄重的氛围。</t>
  </si>
  <si>
    <t>What is a notable feature of the playing environment?</t>
  </si>
  <si>
    <t>It is a public park with trees and greenery.</t>
  </si>
  <si>
    <t>It is a modern indoor gymnasium.</t>
  </si>
  <si>
    <t>It is a traditional Chinese courtyard.</t>
  </si>
  <si>
    <t>It is a schoolyard.</t>
  </si>
  <si>
    <t>The image shows a paved area surrounded by trees and greenery, which is characteristic of a public park.</t>
  </si>
  <si>
    <t>(A) 这是一个绿树成荫的公共公园。 (B) 这是一个现代化的室内体育馆。 (C) 这是一个传统的中国式四合院。 (D) 这是一个学校操场。</t>
  </si>
  <si>
    <t>jianzi_4.jpg</t>
  </si>
  <si>
    <t>A man is doing a dance.</t>
  </si>
  <si>
    <t>A man is stretching.</t>
  </si>
  <si>
    <t>(A) 一名男子正在跳舞。 (B) 一名男子正在玩毽子。 (C) 一名男子正在表演武术动作。 (D) 一名男子正在伸展身体。</t>
  </si>
  <si>
    <t>The man is wearing what kind of clothing?</t>
  </si>
  <si>
    <t>A formal suit.</t>
  </si>
  <si>
    <t>A uniform.</t>
  </si>
  <si>
    <t>Casual, loose-fitting clothing.</t>
  </si>
  <si>
    <t>The man is wearing a T-shirt and loose-fitting pants, which is common attire for a casual pastime.</t>
  </si>
  <si>
    <t>(A) 一套正式西装。 (B) 制服。 (C) 休闲宽松的服装。 (D) 运动装备。</t>
  </si>
  <si>
    <t>A traditional Chinese public park.</t>
  </si>
  <si>
    <t>A school field.</t>
  </si>
  <si>
    <t>The image shows a paved area surrounded by trees and a traditional wall, which suggests a public park.</t>
  </si>
  <si>
    <t>(A) 一座现代化的体育场馆。 (B) 一座传统的中国式公园。 (C) 室内体育馆。 (D) 学校操场。</t>
  </si>
  <si>
    <t>What is the purpose of the people in the background?</t>
  </si>
  <si>
    <t>The people in the background are also in a relaxed posture and are dressed similarly, suggesting that they are other players who are waiting for their turn to play.</t>
  </si>
  <si>
    <t>jianzi_9.jpg</t>
  </si>
  <si>
    <t>A mother taking a picture of her child playing.</t>
  </si>
  <si>
    <t>A child is playing a game of Jianzi.</t>
  </si>
  <si>
    <t>A child is doing a martial arts routine.</t>
  </si>
  <si>
    <t>A child is running.</t>
  </si>
  <si>
    <t>The image shows a child kicking a Jianzi, and her mother is taking a picture, indicating that the child is playing the game.</t>
  </si>
  <si>
    <t>(A) 一位母亲正在给玩耍的孩子拍照。 (B) 一个孩子正在玩毽子游戏。 (C) 一个孩子正在练习武术动作。 (D) 一个孩子在奔跑。</t>
  </si>
  <si>
    <t>What does this image suggest about the game of Jianzi?</t>
  </si>
  <si>
    <t>It is a game that can be taught and enjoyed by children.</t>
  </si>
  <si>
    <t>The image of a young child playing Jianzi demonstrates that the game, with its simple rules, is accessible and enjoyable for children.</t>
  </si>
  <si>
    <t>(A) 这是一款仅限成人玩的游戏。 (B) 这是一款孩子们可以学习并乐在其中的游戏。 (C) 这款游戏对孩子来说太难了。 (D) 这游戏一点都不好玩。</t>
  </si>
  <si>
    <t>The game is being played on what kind of surface?</t>
  </si>
  <si>
    <t>A paved courtyard.</t>
  </si>
  <si>
    <t>A dirt field.</t>
  </si>
  <si>
    <t>A grassy, artificial turf.</t>
  </si>
  <si>
    <t>A wooden floor.</t>
  </si>
  <si>
    <t>The image shows the players on a bright green surface that appears to be grassy, artificial turf.</t>
  </si>
  <si>
    <t>(A) 铺砌的庭院。 (B) 一片泥地。 (C) 人造草坪。 (D) 木地板。</t>
  </si>
  <si>
    <t>What is the purpose of the mother taking a picture of her child?</t>
  </si>
  <si>
    <t>To post it on social media.</t>
  </si>
  <si>
    <t>To capture a fun, family moment.</t>
  </si>
  <si>
    <t>To document the game.</t>
  </si>
  <si>
    <t>To show off her child's skills.</t>
  </si>
  <si>
    <t>The mother is taking a picture of her child playing, which is a common way to capture and remember a happy family moment.</t>
  </si>
  <si>
    <t>(A) 发布到社交媒体上。 (B) 记录下温馨的家庭时光。 (C) 记录比赛过程。 (D) 为了炫耀她孩子的技能。</t>
  </si>
  <si>
    <t>It is a traditional Jianzi with red feathers.</t>
  </si>
  <si>
    <t>The shuttlecock is made of a base and a series of red feathers, which is a classic design for Jianzi.</t>
  </si>
  <si>
    <t>(A) 它是由塑料制成的。 (B) 这是一个传统的红羽尖子。 (C) 这是一个现代足球。 (D) 这是一个羽毛球。</t>
  </si>
  <si>
    <t>jianzi_28.jpg</t>
  </si>
  <si>
    <t>The player is wearing a uniform with a Hungarian crest. What does this suggest about the game?</t>
  </si>
  <si>
    <t>It is a sport played only in China.</t>
  </si>
  <si>
    <t>It is a professional sport with an international following.</t>
  </si>
  <si>
    <t>The uniform with a crest from Hungary suggests that Jianzi has become a globally recognized and international sport with organized competitions.</t>
  </si>
  <si>
    <t>(A) 这是一项冷门运动。 (B) 这是一项只在中国流行的运动。 (C) 这是一项拥有国际影响力的职业体育运动。 (D) 这是一种休闲消遣。</t>
  </si>
  <si>
    <t>The game is being played in an indoor gymnasium. What does this suggest about the game's evolution?</t>
  </si>
  <si>
    <t>It has moved from casual outdoor play to organized indoor competition.</t>
  </si>
  <si>
    <t>It is only played indoors.</t>
  </si>
  <si>
    <t>It is a very easy sport.</t>
  </si>
  <si>
    <t>The indoor setting with spectators and a scoreboard suggests that Jianzi has evolved from a simple outdoor game to a formal, indoor competition.</t>
  </si>
  <si>
    <t>(A) 这是一项新兴运动。 (B) 它已经从随意的户外游戏发展成为有组织的室内比赛。 (C) 它只能在室内进行。 (D) 这是一项非常简单的运动。</t>
  </si>
  <si>
    <t>The player is in mid-air, kicking with her leg. What is the purpose of this motion?</t>
  </si>
  <si>
    <t>The player is performing a powerful, high kick to propel the shuttlecock over the net, which is a common technique in competitive play.</t>
  </si>
  <si>
    <t>What is the purpose of the number "3" on the wall behind the player?</t>
  </si>
  <si>
    <t>The number of people in the game.</t>
  </si>
  <si>
    <t>The score of the game.</t>
  </si>
  <si>
    <t>The number of the team.</t>
  </si>
  <si>
    <t>The lane number of the court.</t>
  </si>
  <si>
    <t>The large number on the wall, often seen in professional sports venues, indicates the lane number of the court.</t>
  </si>
  <si>
    <t>(A) 游戏中的人数。 (B) 比赛比分。 (C) 球队编号。 (D) 球场的球道编号。</t>
  </si>
  <si>
    <t>jianzi_29.jpg</t>
  </si>
  <si>
    <t>A team sport that uses a net and a ball.</t>
  </si>
  <si>
    <t>A casual game of hacky sack.</t>
  </si>
  <si>
    <t>A competitive game of "Kickit," a modern variation of Jianzi.</t>
  </si>
  <si>
    <t>The image shows a modern team playing a game with a small net and a shuttlecock-like object, which is a modern variation of Jianzi, known as "Kickit".</t>
  </si>
  <si>
    <t>(A) 一场足球比赛。 (B) 一项使用球网和球的团队运动。 (C) 一场轻松的踢毽子游戏。 (D) 一场名为“Kickit”的竞技游戏，它是现代版的踢子游戏。</t>
  </si>
  <si>
    <t>The players are wearing face masks. What does this suggest about the time period?</t>
  </si>
  <si>
    <t>It is a historical event.</t>
  </si>
  <si>
    <t>It is a modern event, likely during the COVID-19 pandemic.</t>
  </si>
  <si>
    <t>It is a ceremonial event.</t>
  </si>
  <si>
    <t>It is a traditional event.</t>
  </si>
  <si>
    <t>The face masks are a clear indication that the image was taken in a contemporary setting, likely during the global pandemic, where masks were a safety precaution.</t>
  </si>
  <si>
    <t>(A) 这是一件历史性事件。 (B) 这是一件近期发生的事件，很可能是在新冠肺炎疫情期间发生的。 (C) 这是一项仪式性活动。 (D) 这是一个传统活动。</t>
  </si>
  <si>
    <t>What is a notable difference between this game and traditional Jianzi?</t>
  </si>
  <si>
    <t>The use of a small net.</t>
  </si>
  <si>
    <t>The use of a shuttlecock.</t>
  </si>
  <si>
    <t>The number of players.</t>
  </si>
  <si>
    <t>The use of feet.</t>
  </si>
  <si>
    <t>Unlike the casual version of Jianzi, this modern version uses a small, portable net to create a more competitive and structured game.</t>
  </si>
  <si>
    <t>(A) 使用小网。 (B) 使用羽毛球。 (C) 玩家人数。 (D) 使用脚。</t>
  </si>
  <si>
    <t>The players are in a modern, indoor sports facility. What does this suggest?</t>
  </si>
  <si>
    <t>It is a professional sport with organized teams.</t>
  </si>
  <si>
    <t>It is a simple game for children.</t>
  </si>
  <si>
    <t>It is a traditional sport.</t>
  </si>
  <si>
    <t>The indoor sports facility, matching uniforms, and professional equipment suggest that this game is an organized, professional sport.</t>
  </si>
  <si>
    <t>(A) 这是一种休闲消遣。 (B) 这是一项有组织严密的职业体育运动。 (C) 这是一款适合儿童的简单游戏。 (D) 这是一项传统运动。</t>
  </si>
  <si>
    <t>What is the purpose of the banners and logos in the background?</t>
  </si>
  <si>
    <t>They are team logos and sponsorships.</t>
  </si>
  <si>
    <t>They are to show the team's rank.</t>
  </si>
  <si>
    <t>They are a sign of a traditional event.</t>
  </si>
  <si>
    <t>The logos and banners in the background are typical of modern sports, indicating that the game has commercial sponsorships and is played at a professional level.</t>
  </si>
  <si>
    <t>(A) 它们是简单的装饰品。 (B) 它们是球队标志和赞助商标志。 (C) 它们用来显示球队的排名。 (D) 它们是传统活动的标志。</t>
  </si>
  <si>
    <t>jianzi_32.jpg</t>
  </si>
  <si>
    <t>A child is doing a dance.</t>
  </si>
  <si>
    <t>The image shows a young boy running on a grassy field, with a Jianzi shuttlecock suspended in the air in front of him, indicating that he is playing the game.</t>
  </si>
  <si>
    <t>(A) 一个孩子在奔跑。 (B) 一个孩子正在玩毽子游戏。 (C) 一个孩子正在练习武术动作。 (D) 一个孩子正在跳舞。</t>
  </si>
  <si>
    <t>A grassy field.</t>
  </si>
  <si>
    <t>The image shows the players on a bright green surface that appears to be a grassy field.</t>
  </si>
  <si>
    <t>(A) 铺砌的庭院。 (B) 一片泥地。 (C) 一片草地。 (D) 木地板。</t>
  </si>
  <si>
    <t>It is a traditional Jianzi with red and yellow feathers.</t>
  </si>
  <si>
    <t>The shuttlecock is made of a base and a series of red and yellow feathers, which is a classic design for Jianzi.</t>
  </si>
  <si>
    <t>(A) 它是由塑料制成的。 (B) 这是一只传统的尖子鸟，羽毛呈红色和黄色相间。 (C) 这是一个现代足球。 (D) 这是一个羽毛球。</t>
  </si>
  <si>
    <t>What is the most important skill for a player to have in this game?</t>
  </si>
  <si>
    <t>jianzi_34.jpg</t>
  </si>
  <si>
    <t>The man is wearing a t-shirt and shorts, which is common attire for a casual pastime.</t>
  </si>
  <si>
    <t>A paved courtyard with a brick wall.</t>
  </si>
  <si>
    <t>The image shows a paved area in front of a blue brick wall, which suggests an outdoor, urban setting.</t>
  </si>
  <si>
    <t>(A) 一座现代化的体育场馆。 (B) 一座传统的中国式公园。 (C) 室内体育馆。 (D) 铺有石板的庭院，四周环绕着砖墙。</t>
  </si>
  <si>
    <t>What is the purpose of the feathered object?</t>
  </si>
  <si>
    <t>It is a toy.</t>
  </si>
  <si>
    <t>It is a shuttlecock that is being kicked.</t>
  </si>
  <si>
    <t>It is a decoration.</t>
  </si>
  <si>
    <t>It is a tool for stretching.</t>
  </si>
  <si>
    <t>The feathered object is a Jianzi shuttlecock, and the man's posture indicates that he is in the process of kicking it.</t>
  </si>
  <si>
    <t>(A) 这是一个玩具。 (B) 这是正在被踢的羽毛球。 (C) 它是一件装饰品。 (D) 它是一种拉伸工具。</t>
  </si>
  <si>
    <t>jianzi_54.jpg</t>
  </si>
  <si>
    <t>A man and woman are playing a game of Jianzi.</t>
  </si>
  <si>
    <t>A man and woman are playing badminton.</t>
  </si>
  <si>
    <t>A man and woman are playing table tennis.</t>
  </si>
  <si>
    <t>A man and woman are playing a game of catch.</t>
  </si>
  <si>
    <t>The man and woman are holding small rackets and a ball-like object, which is a variation of Jianzi, also known as "racket Jianzi".</t>
  </si>
  <si>
    <t>(A) 一男一女正在玩毽子。 (B) 一男一女正在打羽毛球。 (C) 一男一女正在打乒乓球。 (D) 一男一女正在玩抛接球游戏。</t>
  </si>
  <si>
    <t>The use of a small racket.</t>
  </si>
  <si>
    <t>The use of a ball instead of a shuttlecock.</t>
  </si>
  <si>
    <t>This variation of Jianzi uses a small, paddle-like racket to hit the ball, whereas traditional Jianzi is played with the feet.</t>
  </si>
  <si>
    <t>(A) 使用小型球拍。 (B) 用球代替羽毛球。 (C) 玩家人数。 (D) 使用脚。</t>
  </si>
  <si>
    <t>The players are in a public park-like setting. What does this suggest about the game?</t>
  </si>
  <si>
    <t>It is a casual pastime that is popular in public spaces.</t>
  </si>
  <si>
    <t>The players are in a public park, wearing everyday clothing, which suggests that this game is a casual and social pastime.</t>
  </si>
  <si>
    <t>(A) 这是一项非常正式的运动。 (B) 这是一项竞技性运动。 (C) 这是一种在公共场所很受欢迎的休闲消遣活动。 (D) 这是一项职业体育运动。</t>
  </si>
  <si>
    <t>They are professionals.</t>
  </si>
  <si>
    <t>They are of an older age.</t>
  </si>
  <si>
    <t>They are young and athletic.</t>
  </si>
  <si>
    <t>The two main figures appear to be elderly, suggesting that this game is popular among and accessible to older adults.</t>
  </si>
  <si>
    <t>(A) 他们都是专业人士。 (B) 他们家境富裕，社会地位显赫。 (C) 他们年纪较大。 (D) 他们年轻且体格健壮。</t>
  </si>
  <si>
    <t>The man is holding a racket in a strange way. What is a likely reason for this?</t>
  </si>
  <si>
    <t>He is a beginner.</t>
  </si>
  <si>
    <t>He is a professional player.</t>
  </si>
  <si>
    <t>He is showing the back of the racket.</t>
  </si>
  <si>
    <t>He is about to hit the ball.</t>
  </si>
  <si>
    <t>The man's posture and the way he is holding the racket suggest that he is a casual player or a beginner, not a professional.</t>
  </si>
  <si>
    <t>(A) 他是个新手。 (B) 他是一名职业球员。 (C) 他展示的是球拍的背面。 (D) 他即将击球。</t>
  </si>
  <si>
    <t>jianzi_65.jpg</t>
  </si>
  <si>
    <t>A group of people stretching.</t>
  </si>
  <si>
    <t>A group of people playing a game of Jianzi.</t>
  </si>
  <si>
    <t>A group of people talking.</t>
  </si>
  <si>
    <t>A group of people walking.</t>
  </si>
  <si>
    <t>The image shows a group of people, with one woman kicking a Jianzi, and two people watching her, indicating that they are playing the game.</t>
  </si>
  <si>
    <t>(A) 一群人在伸展身体。 (B) 一群人正在玩毽子。 (C) 一群人在交谈。 (D) 一群人正在行走。</t>
  </si>
  <si>
    <t>It is a traditional Jianzi with yellow and pink feathers.</t>
  </si>
  <si>
    <t>It is a plastic toy.</t>
  </si>
  <si>
    <t>The shuttlecock is made of a base and a series of yellow and pink feathers, which is a classic design for Jianzi.</t>
  </si>
  <si>
    <t>(A) 这是一个现代足球。 (B) 这是一只传统的蛰子，羽毛有黄色和粉色两种颜色。 (C) 这是一个羽毛球。 (D) 这是一个塑料玩具。</t>
  </si>
  <si>
    <t>The people are dressed in what kind of clothing?</t>
  </si>
  <si>
    <t>The people are wearing t-shirts and shorts or pants, which is common attire for a casual pastime.</t>
  </si>
  <si>
    <t>(A) 一套正式西装。 (B) 制服。 (C) 休闲日常服装。 (D) 运动装备。</t>
  </si>
  <si>
    <t>jianzi_69.jpg</t>
  </si>
  <si>
    <t>(A) 这是一个现代足球。 (B) 这是一个传统的羽毛装饰的钩子，羽毛色彩鲜艳。 (C) 这是一个羽毛球。 (D) 这是一个塑料玩具。</t>
  </si>
  <si>
    <t>jianzi_71.jpg</t>
  </si>
  <si>
    <t>Two men are playing a game of catch.</t>
  </si>
  <si>
    <t>Two men are doing a martial arts routine.</t>
  </si>
  <si>
    <t>Two men are playing a game of Jianzi.</t>
  </si>
  <si>
    <t>Two men are stretching.</t>
  </si>
  <si>
    <t>The two men in the foreground are engaged in a physical activity that resembles push hands or a similar martial arts routine, not Jianzi.</t>
  </si>
  <si>
    <t>(A) 两个男人正在玩抛接球游戏。 (B) 两名男子正在表演武术动作。 (C) 两个男人正在玩毽子。 (D) 两名男子正在伸展身体。</t>
  </si>
  <si>
    <t>What is a key feature of the activity?</t>
  </si>
  <si>
    <t>It is a competitive game with a ball.</t>
  </si>
  <si>
    <t>It is a cooperative activity with a partner.</t>
  </si>
  <si>
    <t>It is a solo exercise.</t>
  </si>
  <si>
    <t>The two men are holding hands and moving in a synchronized manner, which suggests that they are engaged in a cooperative activity or a form of martial arts practice.</t>
  </si>
  <si>
    <t>(A) 这是一项以球为单位的竞技游戏。 (B) 这是与合作伙伴共同开展的活动。 (C) 这是一项单人练习。 (D) 这是一款节奏很快的游戏。</t>
  </si>
  <si>
    <t>The men are in a public park-like setting. What does this suggest about the activity?</t>
  </si>
  <si>
    <t>The men are in a public park, wearing everyday clothing, which suggests that this is a casual and social pastime.</t>
  </si>
  <si>
    <t>The two men appear to be elderly, suggesting that this activity is popular among and accessible to older adults.</t>
  </si>
  <si>
    <t>What is the relationship between this activity and Jianzi?</t>
  </si>
  <si>
    <t>They are completely different sports.</t>
  </si>
  <si>
    <t>They are both traditional Chinese pastimes that can be played in public spaces.</t>
  </si>
  <si>
    <t>They are both competitive sports.</t>
  </si>
  <si>
    <t>While they are different activities, both are popular traditional Chinese pastimes that are often seen in public parks as a form of social recreation and exercise.</t>
  </si>
  <si>
    <t>(A) 它们属于同一项运动。 (B) 它们是完全不同的运动。 (C) 它们都是可以在公共场所进行的传统中国消遣活动。 (D) 它们都是竞技体育项目。</t>
  </si>
  <si>
    <t>jianzi_85.jpg</t>
  </si>
  <si>
    <t>A person is running.</t>
  </si>
  <si>
    <t>The image shows a person's leg and a Jianzi shuttlecock, which is positioned on the person's foot, indicating that they are playing the game.</t>
  </si>
  <si>
    <t>(A) 一个人正在奔跑。 (B) 一个人正在玩毽子。 (C) 一个人正在练习武术动作。 (D) 一个人正在跳舞。</t>
  </si>
  <si>
    <t>The person is wearing a sandal. What does this suggest about the game?</t>
  </si>
  <si>
    <t>It requires specific footwear.</t>
  </si>
  <si>
    <t>It is a casual game that can be played with any footwear.</t>
  </si>
  <si>
    <t>It is a very difficult game.</t>
  </si>
  <si>
    <t>The fact that the person is wearing a sandal suggests that Jianzi is a very casual game that can be played without specialized sports gear.</t>
  </si>
  <si>
    <t>(A) 它需要特定的鞋子。 (B) 这是一款休闲游戏，穿任何鞋子都可以玩。 (C) 这是一款非常难的游戏。 (D) 这是一项职业体育运动。</t>
  </si>
  <si>
    <t>jianzi_93.jpg</t>
  </si>
  <si>
    <t>Two people are doing a dance.</t>
  </si>
  <si>
    <t>A man is showing a woman how to play a game.</t>
  </si>
  <si>
    <t>The man is holding a shuttlecock and a racket and is in a teaching posture, while the woman is watching him, which suggests that he is teaching her how to play the game.</t>
  </si>
  <si>
    <t>(A) 两个人正在跳舞。 (B) 一名男子正在教一名女子玩游戏。 (C) 一名男子正在表演武术动作。 (D) 一名男子正在伸展身体。</t>
  </si>
  <si>
    <t>What is a notable feature of the game in this image?</t>
  </si>
  <si>
    <t>The two people appear to be young and athletic, suggesting that this game is popular among a younger demographic.</t>
  </si>
  <si>
    <t>What is the relationship between this activity and traditional Jianzi?</t>
  </si>
  <si>
    <t>They are a modern variation of the same sport.</t>
  </si>
  <si>
    <t>This version of the game, using a racket, is a modern variation that has evolved from the traditional, feet-only game of Jianzi.</t>
  </si>
  <si>
    <t>(A) 它们属于同一项运动。 (B) 它们是同一项运动的现代变体。 (C) 它们是完全不同的运动。 (D) 它们都是竞技体育项目。</t>
  </si>
  <si>
    <t>kung_fu_1.jpg</t>
  </si>
  <si>
    <t>A ballet performance</t>
  </si>
  <si>
    <t>A sword fighting demonstration</t>
  </si>
  <si>
    <t>A Wushu performance</t>
  </si>
  <si>
    <t>A traditional dance</t>
  </si>
  <si>
    <t>The image shows a female martial artist performing a stylized form with a sword, which is characteristic of Wushu, a modern exhibition and full-contact sport based on traditional Chinese martial arts.</t>
  </si>
  <si>
    <t>What is the long, straight weapon being used?</t>
  </si>
  <si>
    <t>A Katana</t>
  </si>
  <si>
    <t>A Sabre</t>
  </si>
  <si>
    <t>A Bo staff</t>
  </si>
  <si>
    <t>The weapon is a Jian, a straight, double-edged Chinese sword used in a variety of Chinese martial arts, including Tai Chi and Wushu.</t>
  </si>
  <si>
    <t>(A) 武士刀 (B) 简 (C) 佩剑 (D) 博员工</t>
  </si>
  <si>
    <t>What is a notable feature of the practitioner's attire?</t>
  </si>
  <si>
    <t>A formal suit</t>
  </si>
  <si>
    <t>A traditional Chinese Wushu uniform</t>
  </si>
  <si>
    <t>A casual outfit</t>
  </si>
  <si>
    <t>A military uniform</t>
  </si>
  <si>
    <t>The practitioner is wearing a loose-fitting, embroidered uniform with a distinctive style, which is a traditional Chinese Wushu uniform or I Fu, designed for performance and flexibility.</t>
  </si>
  <si>
    <t>(A) 一套正式西装 (B) 一套传统的中国武术服 (C) 休闲装 (D) 军装</t>
  </si>
  <si>
    <t>The practitioner is in a low, wide stance. What is the purpose of this posture?</t>
  </si>
  <si>
    <t>To build balance and leg strength.</t>
  </si>
  <si>
    <t>To prepare for a sprint.</t>
  </si>
  <si>
    <t>Low stances are fundamental to many martial arts, as they lower the center of gravity, which is crucial for building a strong foundation, improving balance, and strengthening the legs.</t>
  </si>
  <si>
    <t>(A) 增强平衡能力和腿部力量。 (B) 为冲刺做准备。 (C) 休息。 (D) 为了显得更具威慑力。</t>
  </si>
  <si>
    <t>The practitioner is in a studio setting. What does this suggest about the context?</t>
  </si>
  <si>
    <t>It is a formal performance or photo shoot.</t>
  </si>
  <si>
    <t>It is a military training session.</t>
  </si>
  <si>
    <t>The studio lighting, plain background, and the theatrical quality of the pose suggest that this is a staged photo shoot or a performance for a formal event.</t>
  </si>
  <si>
    <t>(A) 这是一种非正式的做法。 (B) 这是一场正式的演出或摄影活动。 (C) 这是一次军事训练。 (D) 这是一门私人课程。</t>
  </si>
  <si>
    <t>kung_fu_12.jpg</t>
  </si>
  <si>
    <t>Two athletes playing a game.</t>
  </si>
  <si>
    <t>A synchronized dance routine.</t>
  </si>
  <si>
    <t>A display of two martial artists in combat.</t>
  </si>
  <si>
    <t>A demonstration of gymnastics.</t>
  </si>
  <si>
    <t>The image shows two individuals in mid-air, engaged in a high-energy kick and punch, which is characteristic of a martial arts combat display.</t>
  </si>
  <si>
    <t>(A) 两名运动员正在比赛。 (B) 一段同步舞蹈表演。 (C) 两位武术家进行实战表演。 (D) 体操表演。</t>
  </si>
  <si>
    <t>The practitioners are in what type of attire?</t>
  </si>
  <si>
    <t>Formal suits</t>
  </si>
  <si>
    <t>White martial arts uniforms (gi)</t>
  </si>
  <si>
    <t>Traditional Chinese robes</t>
  </si>
  <si>
    <t>The practitioners are wearing white uniforms with a belt, which is a Gi, the standard uniform for many Japanese martial arts, such as Karate.</t>
  </si>
  <si>
    <t>(A) 休闲服装 (B) 正装 (C) 白色武术服（道服） (D) 中国传统长袍</t>
  </si>
  <si>
    <t>The athletes' faces</t>
  </si>
  <si>
    <t>The plain background</t>
  </si>
  <si>
    <t>The dynamic poses of the athletes</t>
  </si>
  <si>
    <t>The fiery explosion effect</t>
  </si>
  <si>
    <t>The central visual element of the image is the bright orange and red explosion effect that surrounds the two martial artists, adding a dramatic and intense feel to the photo.</t>
  </si>
  <si>
    <t>(A) 运动员们的脸 (B) 纯色背景 (C) 运动员们的动态姿势 (D) 爆炸的火光效应</t>
  </si>
  <si>
    <t>The practitioners are in mid-air. What does this suggest about the movements?</t>
  </si>
  <si>
    <t>They are simple and slow.</t>
  </si>
  <si>
    <t>They are highly dynamic and acrobatic.</t>
  </si>
  <si>
    <t>They are easy to perform.</t>
  </si>
  <si>
    <t>They are for a beginner.</t>
  </si>
  <si>
    <t>The high kicks and jumps indicate that the movements are dynamic and acrobatic, requiring a high level of skill, athleticism, and agility.</t>
  </si>
  <si>
    <t>(A) 它们简单而缓慢。 (B) 他们活力四射，身姿矫健。 (C) 它们很容易操作。 (D) 它们适合初学者。</t>
  </si>
  <si>
    <t>What is a notable difference between the martial art shown here and traditional Kung Fu?</t>
  </si>
  <si>
    <t>The use of belts to denote rank.</t>
  </si>
  <si>
    <t>The focus on high kicks and jumps.</t>
  </si>
  <si>
    <t>The use of a uniform.</t>
  </si>
  <si>
    <t>The use of bare hands.</t>
  </si>
  <si>
    <t>The use of a white uniform (Gi) and a colored belt is a key feature of many Japanese martial arts, such as Karate, and is a major distinction from many traditional Kung Fu styles.</t>
  </si>
  <si>
    <t>(A) 使用腰带表示等级。 (B) 重点在于高踢腿和跳跃。 (C) 使用制服。 (D) 徒手使用。</t>
  </si>
  <si>
    <t>kung_fu_13.jpg</t>
  </si>
  <si>
    <t>A dance routine.</t>
  </si>
  <si>
    <t>A demonstration of two different martial arts.</t>
  </si>
  <si>
    <t>A stylized illustration of a martial arts form.</t>
  </si>
  <si>
    <t>A cartoon.</t>
  </si>
  <si>
    <t>The image is a stylized illustration that shows a practitioner performing two movements from a martial arts form, with the Chinese characters for the move written below.</t>
  </si>
  <si>
    <t>(A) 一段舞蹈表演。 (B) 两种不同武术的演示。 (C) 一幅风格化的武术动作插图。 (D) 卡通片。</t>
  </si>
  <si>
    <t>The practitioner is in a low, wide stance. What is this posture called?</t>
  </si>
  <si>
    <t>The wide, symmetrical stance with both feet parallel is a Horse Stance (Ma Bu), a foundational posture used for building leg strength and stability in many Chinese martial arts.</t>
  </si>
  <si>
    <t>(A) 弓步 (B) 起重机姿态 (C) 马步 (D) 猫站姿</t>
  </si>
  <si>
    <t>What is the purpose of the two different poses shown in the illustration?</t>
  </si>
  <si>
    <t>To show two different people.</t>
  </si>
  <si>
    <t>To show a single practitioner's movement from start to finish.</t>
  </si>
  <si>
    <t>To show the difference between two different martial arts.</t>
  </si>
  <si>
    <t>To show a single practitioner's movement from two different angles.</t>
  </si>
  <si>
    <t>The two images illustrate a single movement, with the one on the left showing the initial phase and the one on the right showing the final phase of a punch.</t>
  </si>
  <si>
    <t>(A) 用来展示两个不同的人。 (B) 展示单个练习者从开始到结束的动作。 (C) 为了展现两种不同武术之间的区别。 (D) 从两个不同的角度展示同一练习者的动作。</t>
  </si>
  <si>
    <t>What is the meaning of the Chinese characters below the illustration?</t>
  </si>
  <si>
    <t>"Dragon punch"</t>
  </si>
  <si>
    <t>"Leopard style"</t>
  </si>
  <si>
    <t>"Phoenix kick"</t>
  </si>
  <si>
    <t>"Pouncing fist"</t>
  </si>
  <si>
    <t>The Chinese characters "劈拳" translate to "Pī Quán," or "Pouncing Fist," a common movement in many Kung Fu styles, particularly those related to the five animal styles.</t>
  </si>
  <si>
    <t>(A) “龙拳” (B) “豹纹风格” (C) “凤凰踢” (D) “猛扑的拳头”</t>
  </si>
  <si>
    <t>What can be inferred about the martial art's style from the illustration?</t>
  </si>
  <si>
    <t>It is a very slow and gentle martial art.</t>
  </si>
  <si>
    <t>It is a dynamic and direct martial art.</t>
  </si>
  <si>
    <t>It is a very acrobatic and flashy martial art.</t>
  </si>
  <si>
    <t>It is a defensive and passive martial art.</t>
  </si>
  <si>
    <t>The postures, with their forward movements and aggressive punches, suggest a dynamic and direct martial art with a focus on powerful strikes.</t>
  </si>
  <si>
    <t>(A) 它是一种非常缓慢而柔和的武术。 (B) 它是一种动感十足、直接有效的武术。 (C) 它是一种非常炫技且华丽的武术。 (D) 它是一种防御性和被动性的武术。</t>
  </si>
  <si>
    <t>kung_fu_15.jpg</t>
  </si>
  <si>
    <t>A synchronized martial arts demonstration.</t>
  </si>
  <si>
    <t>A dance performance.</t>
  </si>
  <si>
    <t>The image shows a large group of people in matching uniforms performing the same martial arts form in unison, which is characteristic of a synchronized martial arts demonstration.</t>
  </si>
  <si>
    <t>(A) 阅兵式。 (B) 一场同步武术表演。 (C) 一场舞蹈表演。 (D) 一套体操动作。</t>
  </si>
  <si>
    <t>What is a notable feature of the practitioners' attire?</t>
  </si>
  <si>
    <t>They are wearing casual clothing.</t>
  </si>
  <si>
    <t>They are wearing traditional monk's robes.</t>
  </si>
  <si>
    <t>They are wearing military uniforms.</t>
  </si>
  <si>
    <t>They are wearing modern sports gear.</t>
  </si>
  <si>
    <t>The practitioners are wearing loose-fitting, orange robes, which are typical of the monk's robes traditionally associated with Shaolin Temple.</t>
  </si>
  <si>
    <t>(A) 他们穿着休闲服装。 (B) 他们身穿传统的僧袍。 (C) 他们身穿军装。 (D) 他们穿着现代运动装备。</t>
  </si>
  <si>
    <t>The practitioners are in a low, wide stance. What is the purpose of this posture?</t>
  </si>
  <si>
    <t>What is the purpose of the objects the practitioners are holding?</t>
  </si>
  <si>
    <t>They are ceremonial shields.</t>
  </si>
  <si>
    <t>They are practice tools for building grip strength and form.</t>
  </si>
  <si>
    <t>They are a type of weapon.</t>
  </si>
  <si>
    <t>The practitioners are holding simple, brick-like objects, which are likely practice tools or weights used to build grip strength, control, and muscle memory for a form.</t>
  </si>
  <si>
    <t>(A) 它们是用来装饰的。 (B) 它们是礼仪用盾牌。 (C) 它们是用于增强握力和改善握姿的练习工具。 (D) 它们是一种武器。</t>
  </si>
  <si>
    <t>The setting is in a mountainous area with a traditional temple. What does this suggest?</t>
  </si>
  <si>
    <t>It is a modern martial arts gym.</t>
  </si>
  <si>
    <t>It is a traditional Shaolin Temple or similar location.</t>
  </si>
  <si>
    <t>It is a movie set.</t>
  </si>
  <si>
    <t>The backdrop of a misty mountain, traditional Chinese architecture, and the monk-like attire all point to a setting at a traditional martial arts temple, like Shaolin.</t>
  </si>
  <si>
    <t>(A) 这是一种非正式的做法。 (B) 这是一个现代化的武术馆。 (C) 这是一座传统的少林寺或类似场所。 (D) 这是一个电影拍摄现场。</t>
  </si>
  <si>
    <t>kung_fu_16.jpg</t>
  </si>
  <si>
    <t>A boxing match.</t>
  </si>
  <si>
    <t>A martial arts kick.</t>
  </si>
  <si>
    <t>A high jump.</t>
  </si>
  <si>
    <t>The image is an illustration of a martial artist performing a dynamic martial arts kick while in a defensive hand posture.</t>
  </si>
  <si>
    <t>(A) 一段舞蹈表演。 (B) 一场拳击比赛。 (C) 武术踢腿。 (D) 跳高。</t>
  </si>
  <si>
    <t>The practitioner is in a mid-air kicking posture. What does this suggest about the martial art?</t>
  </si>
  <si>
    <t>It is a very static and defensive martial art.</t>
  </si>
  <si>
    <t>It is a dynamic and acrobatic martial art.</t>
  </si>
  <si>
    <t>It is a slow and gentle martial art.</t>
  </si>
  <si>
    <t>It is a very simple martial art.</t>
  </si>
  <si>
    <t>The high kick, while off the ground, indicates that the martial art is dynamic, acrobatic, and focused on powerful striking movements.</t>
  </si>
  <si>
    <t>(A) 它是一种非常静态且以防守为主的武术。 (B) 它是一种充满活力、技巧性强的武术。 (C) 它是一种缓慢而柔和的武术。 (D) 这是一种非常简单的武术。</t>
  </si>
  <si>
    <t>A traditional Chinese Kung Fu uniform.</t>
  </si>
  <si>
    <t>A casual outfit.</t>
  </si>
  <si>
    <t>A military uniform.</t>
  </si>
  <si>
    <t>The practitioner is wearing a loose-fitting, button-up uniform with a black sash, which is a classic traditional Chinese Kung Fu uniform or I Fu.</t>
  </si>
  <si>
    <t>(A) 一套正式西装。 (B) 一套传统的中国功夫服。 (C) 一套休闲装扮。 (D) 军装。</t>
  </si>
  <si>
    <t>The practitioner's facial expression suggests what?</t>
  </si>
  <si>
    <t>He is relaxed.</t>
  </si>
  <si>
    <t>He is happy.</t>
  </si>
  <si>
    <t>He is in deep concentration and showing a fierce demeanor.</t>
  </si>
  <si>
    <t>He is confused.</t>
  </si>
  <si>
    <t>The wide-open mouth and intense eyes suggest a fierce and focused expression, common in martial arts forms to express power and mental fortitude.</t>
  </si>
  <si>
    <t>(A) 他很放松。 (B) 他很高兴。 (C) 他全神贯注，神情严肃。 (D) 他很困惑。</t>
  </si>
  <si>
    <t>The hairstyle, with a single braid, is what historical style?</t>
  </si>
  <si>
    <t>A Qing Dynasty queue.</t>
  </si>
  <si>
    <t>A modern hairstyle.</t>
  </si>
  <si>
    <t>A hairstyle from the Tang Dynasty.</t>
  </si>
  <si>
    <t>A hairstyle from the Ming Dynasty.</t>
  </si>
  <si>
    <t>The hairstyle with a single long braid is a queue, which was a hairstyle that was a mandatory style for men during the Qing Dynasty in China.</t>
  </si>
  <si>
    <t>(A) 清朝时期的排队景象。 (B) 一款现代发型。 (C) 唐代的一种发型。 (D) 明代的一种发型。</t>
  </si>
  <si>
    <t>kung_fu_19.jpg</t>
  </si>
  <si>
    <t>A Kung Fu demonstration.</t>
  </si>
  <si>
    <t>A Karate kick.</t>
  </si>
  <si>
    <t>A Taekwondo kick.</t>
  </si>
  <si>
    <t>The image shows a person in a white uniform with a black belt, performing a high kick, which is characteristic of the martial art of Karate.</t>
  </si>
  <si>
    <t>(A) 一段舞蹈表演。 (B) 功夫表演。 (C) 空手道踢腿。 (D) 跆拳道踢腿。</t>
  </si>
  <si>
    <t>The athlete's face.</t>
  </si>
  <si>
    <t>The athlete's uniform.</t>
  </si>
  <si>
    <t>The background with a red sunburst.</t>
  </si>
  <si>
    <t>The athlete's leg.</t>
  </si>
  <si>
    <t>The image features a bold red sunburst background, which is a symbol of Japan, and is commonly associated with Japanese culture and martial arts.</t>
  </si>
  <si>
    <t>(A) 运动员的脸。 (B) 运动员的制服。 (C) 背景是红色的旭日图案。 (D) 运动员的腿。</t>
  </si>
  <si>
    <t>The practitioner is in mid-air. What does this suggest about the movements?</t>
  </si>
  <si>
    <t>The high kick and mid-air posture indicate that the movements are dynamic and acrobatic, requiring a high level of skill, athleticism, and agility.</t>
  </si>
  <si>
    <t>The practitioner is wearing a black belt. What does this signify in martial arts?</t>
  </si>
  <si>
    <t>The player's age.</t>
  </si>
  <si>
    <t>The player's country of origin.</t>
  </si>
  <si>
    <t>The player's beginner status.</t>
  </si>
  <si>
    <t>The player's high level of skill and expertise.</t>
  </si>
  <si>
    <t>In many martial arts, a black belt is a recognized symbol of mastery and a high level of skill and discipline.</t>
  </si>
  <si>
    <t>(A) 球员的年龄。 (B) 球员的国籍。 (C) 该玩家的新手身份。 (D) 该球员拥有高超的技能和丰富的经验。</t>
  </si>
  <si>
    <t>kung_fu_25.jpg</t>
  </si>
  <si>
    <t>A martial arts kick against a punching bag.</t>
  </si>
  <si>
    <t>The image is an illustration of a person in a white uniform performing a high kick against a punching bag, which is a common training exercise in many martial arts.</t>
  </si>
  <si>
    <t>(A) 一段舞蹈表演。 (B) 对着沙袋使出武术踢腿动作。 (C) 一场拳击比赛。 (D) 一套体操动作。</t>
  </si>
  <si>
    <t>What is the purpose of the punching bag?</t>
  </si>
  <si>
    <t>To train for a fight.</t>
  </si>
  <si>
    <t>To practice and improve kicking power and technique.</t>
  </si>
  <si>
    <t>To improve balance.</t>
  </si>
  <si>
    <t>To show off skills.</t>
  </si>
  <si>
    <t>A punching bag is a training tool used to practice and hone the power, speed, and technique of punches and kicks.</t>
  </si>
  <si>
    <t>(A) 为战斗进行训练。 (B) 练习并提高踢球的力量和技巧。 (C) 为了改善平衡能力。 (D) 为了炫耀技能。</t>
  </si>
  <si>
    <t>The person's wide smile and relaxed eyes indicate that he is enjoying the training exercise, which is a key part of the image's message.</t>
  </si>
  <si>
    <t>(A) 他很放松。 (B) 他全神贯注，神情严肃。 (C) 他很困惑。 (D) 他很高兴。</t>
  </si>
  <si>
    <t>The practitioner is in what type of attire?</t>
  </si>
  <si>
    <t>A traditional Japanese Gi.</t>
  </si>
  <si>
    <t>The practitioner is wearing a white uniform with a black belt, which is a classic Gi from many Japanese martial arts, such as Karate.</t>
  </si>
  <si>
    <t>(A) 一套正式西装。 (B) 一套传统的中国功夫服。 (C) 一套休闲装扮。 (D) 一件传统的日本道服。</t>
  </si>
  <si>
    <t>kung_fu_28.jpg</t>
  </si>
  <si>
    <t>A child is doing a martial arts kick.</t>
  </si>
  <si>
    <t>A child is performing a dance.</t>
  </si>
  <si>
    <t>A child is playing.</t>
  </si>
  <si>
    <t>A child is doing a gymnastics routine.</t>
  </si>
  <si>
    <t>The image is an illustration of a child in a martial arts uniform performing a dynamic martial arts kick.</t>
  </si>
  <si>
    <t>(A) 一个孩子正在练习武术踢腿动作。 (B) 一个孩子正在表演舞蹈。 (C) 一个孩子在玩耍。 (D) 一个孩子正在做体操动作。</t>
  </si>
  <si>
    <t>What is a notable feature of the child's attire?</t>
  </si>
  <si>
    <t>A school uniform.</t>
  </si>
  <si>
    <t>The child is wearing a loose-fitting, black uniform with red trim, which is a classic traditional Chinese Kung Fu uniform or I Fu.</t>
  </si>
  <si>
    <t>(A) 一套休闲装扮。 (B) 一套传统的中国功夫服。 (C) 军装。 (D) 校服。</t>
  </si>
  <si>
    <t>The child's facial expression suggests what?</t>
  </si>
  <si>
    <t>The child's determined facial expression, with furrowed brows and intense eyes, suggests a high level of concentration and a fierce demeanor, which is a key part of martial arts.</t>
  </si>
  <si>
    <t>The child is in a high-kicking posture. What does this suggest about the martial art?</t>
  </si>
  <si>
    <t>The high kick indicates that the martial art is dynamic and acrobatic, requiring a high level of flexibility and coordination.</t>
  </si>
  <si>
    <t>What can be inferred about the game's cultural significance from this image?</t>
  </si>
  <si>
    <t>It is a sport for adults.</t>
  </si>
  <si>
    <t>It is a sport that can be taught and enjoyed by children.</t>
  </si>
  <si>
    <t>It is a sport that is too difficult for children.</t>
  </si>
  <si>
    <t>The image of a child performing a martial arts pose demonstrates that the sport is accessible and can be practiced by young children.</t>
  </si>
  <si>
    <t>(A) 这是一项成人运动。 (B) 这是一项孩子们可以学习和享受的运动。 (C) 这项运动对孩子来说太难了。 (D) 这是一项被遗忘的运动。</t>
  </si>
  <si>
    <t>kung_fu_36.jpg</t>
  </si>
  <si>
    <t>Two women dancing.</t>
  </si>
  <si>
    <t>Two women in a martial arts form.</t>
  </si>
  <si>
    <t>Two women fighting.</t>
  </si>
  <si>
    <t>Two women stretching.</t>
  </si>
  <si>
    <t>The image, which has a painterly quality, shows two women in martial arts attire, performing a synchronized posture, suggesting a martial arts form or routine.</t>
  </si>
  <si>
    <t>(A) 两个女人在跳舞。 (B) 两名女子摆​​出武术姿势。 (C) 两名女子打架。 (D) 两名女子在伸展身体。</t>
  </si>
  <si>
    <t>They are wearing traditional Chinese Kung Fu uniforms.</t>
  </si>
  <si>
    <t>The women are wearing loose-fitting, embroidered uniforms with a black belt, which is a classic traditional Chinese Kung Fu uniform or I Fu.</t>
  </si>
  <si>
    <t>(A) 他们穿着休闲服装。 (B) 他们身穿中国传统功夫服。 (C) 他们身穿军装。 (D) 他们穿着现代运动装备。</t>
  </si>
  <si>
    <t>What is the purpose of the synchronized movements?</t>
  </si>
  <si>
    <t>To show a choreographed fight.</t>
  </si>
  <si>
    <t>To show a dance routine.</t>
  </si>
  <si>
    <t>To demonstrate teamwork and a shared form.</t>
  </si>
  <si>
    <t>To show two different martial arts.</t>
  </si>
  <si>
    <t>The two practitioners are performing the same movements in perfect synchronization, which is a common way to demonstrate a choreographed form and teamwork.</t>
  </si>
  <si>
    <t>(A) 展示一场精心编排的打斗场面。 (B) 展示一段舞蹈动作。 (C) 为了展示团队合作和共同形式。 (D) 展示两种不同的武术。</t>
  </si>
  <si>
    <t>What is the overall aesthetic of the image?</t>
  </si>
  <si>
    <t>A realistic photograph.</t>
  </si>
  <si>
    <t>A digital painting.</t>
  </si>
  <si>
    <t>A pencil drawing.</t>
  </si>
  <si>
    <t>The image has a textured, painted look, with visible brushstrokes and a blurred background, which suggests that it is a digital painting.</t>
  </si>
  <si>
    <t>(A) 一张逼真的照片。 (B) 一幅数码绘画作品。 (C) 卡通片。 (D) 铅笔画。</t>
  </si>
  <si>
    <t>kung_fu_41.jpg</t>
  </si>
  <si>
    <t>A human pyramid.</t>
  </si>
  <si>
    <t>The image shows multiple people in monk robes performing a synchronized martial arts routine, including a pyramid-like formation, which is a characteristic of a synchronized martial arts demonstration.</t>
  </si>
  <si>
    <t>(A) 一套体操动作。 (B) 一场同步武术表演。 (C) 一场舞蹈表演。 (D) 人塔。</t>
  </si>
  <si>
    <t>The practitioners are wearing loose-fitting, dark robes, which are typical of the monk's robes traditionally associated with Shaolin Temple.</t>
  </si>
  <si>
    <t>It is a private practice session.</t>
  </si>
  <si>
    <t>It is a public demonstration or performance.</t>
  </si>
  <si>
    <t>The large crowd of people, some of whom are taking pictures, suggests that the event is a public demonstration or performance.</t>
  </si>
  <si>
    <t>(A) 这是一次私人练习。 (B) 这是一场公开示威或表演。 (C) 这是一次军事训练。 (D) 这是一门私人课程。</t>
  </si>
  <si>
    <t>What can be inferred about the practitioners from the formation they are in?</t>
  </si>
  <si>
    <t>They are just starting the routine.</t>
  </si>
  <si>
    <t>They are performing a complex and acrobatic routine.</t>
  </si>
  <si>
    <t>They are performing a simple routine.</t>
  </si>
  <si>
    <t>The human pyramid formation requires a high level of balance, coordination, and strength, indicating that the practitioners are performing a complex and acrobatic routine.</t>
  </si>
  <si>
    <t>(A) 他们才刚刚开始日常训练。 (B) 他们正在表演一套复杂而高难度的杂技动作。 (C) 他们在休息。 (D) 他们正在执行一个简单的例行程序。</t>
  </si>
  <si>
    <t>kung_fu_30.jpg</t>
  </si>
  <si>
    <t>What martial art is the person practicing?</t>
  </si>
  <si>
    <t>Brazilian Jiu-Jitsu</t>
  </si>
  <si>
    <t>The image shows a person in a heavy-duty, quilted uniform with a white belt, which is characteristic of the martial art of Brazilian Jiu-Jitsu (BJJ), not Kung Fu.</t>
  </si>
  <si>
    <t>(A) 功夫 (B) 空手道 (C) 柔道 (D) 巴西柔术</t>
  </si>
  <si>
    <t>What is the purpose of the uniform?</t>
  </si>
  <si>
    <t>To protect the wearer from strikes.</t>
  </si>
  <si>
    <t>To provide a sturdy garment for grappling and throws.</t>
  </si>
  <si>
    <t>To look professional.</t>
  </si>
  <si>
    <t>To keep the wearer warm.</t>
  </si>
  <si>
    <t>The uniform, or Gi, is designed to be durable and is used by practitioners to grab, hold, and manipulate an opponent in grappling-based martial arts.</t>
  </si>
  <si>
    <t>(A) 保护佩戴者免受撞击。 (B) 提供一件结实耐用的服装，用于格斗和投掷。 (C) 为了显得专业。 (D) 为了让穿着者保持温暖。</t>
  </si>
  <si>
    <t>What is a notable feature of the uniform?</t>
  </si>
  <si>
    <t>It is made of lightweight material.</t>
  </si>
  <si>
    <t>It is a very heavy, quilted uniform.</t>
  </si>
  <si>
    <t>It is a light, flowing uniform.</t>
  </si>
  <si>
    <t>It is a simple t-shirt and pants.</t>
  </si>
  <si>
    <t>The uniform, also known as a Gi, is made of a thick, quilted material that is resistant to tearing and provides a secure grip for grappling.</t>
  </si>
  <si>
    <t>(A) 它由轻质材料制成。 (B) 这是一套非常厚重的绗缝制服。 (C) 这是一件轻盈飘逸的制服。 (D) 就是一件简单的T恤和裤子。</t>
  </si>
  <si>
    <t>The person is wearing a white belt. What does this signify?</t>
  </si>
  <si>
    <t>They are a master of the martial art.</t>
  </si>
  <si>
    <t>They are a beginner.</t>
  </si>
  <si>
    <t>They are a professional.</t>
  </si>
  <si>
    <t>They are a coach.</t>
  </si>
  <si>
    <t>In Brazilian Jiu-Jitsu, a white belt is the first belt and signifies that the practitioner is a beginner.</t>
  </si>
  <si>
    <t>(A) 他们是武术大师。 (B) 他们是初学者。 (C) 他们是专业人士。 (D) 他们是教练。</t>
  </si>
  <si>
    <t>It is an action shot.</t>
  </si>
  <si>
    <t>It is a promotional shot.</t>
  </si>
  <si>
    <t>It is a documentary shot.</t>
  </si>
  <si>
    <t>It is a candid shot.</t>
  </si>
  <si>
    <t>The person's clean uniform, serious expression, and simple white background suggest that the image is a staged promotional shot for a martial arts academy or brand.</t>
  </si>
  <si>
    <t>(A) 这是一张动态照片。 (B) 这是一张宣传照。 (C) 这是纪录片式的拍摄手法。 (D) 这是一张抓拍照片。</t>
  </si>
  <si>
    <t>kung_fu_33.jpg</t>
  </si>
  <si>
    <t>A group of children performing a synchronized martial arts form.</t>
  </si>
  <si>
    <t>A group of children playing.</t>
  </si>
  <si>
    <t>A group of children stretching.</t>
  </si>
  <si>
    <t>A group of children dancing.</t>
  </si>
  <si>
    <t>The image shows a large group of children in matching uniforms performing the same martial arts pose in perfect unison, which is characteristic of a synchronized martial arts form.</t>
  </si>
  <si>
    <t>(A) 一群孩子正在表演一套同步武术动作。 (B) 一群孩子在玩耍。 (C) 一群孩子在伸展身体。 (D) 一群孩子在跳舞。</t>
  </si>
  <si>
    <t>What is a notable feature of the children's attire?</t>
  </si>
  <si>
    <t>They are wearing a military uniform.</t>
  </si>
  <si>
    <t>They are wearing traditional Shaolin monk uniforms.</t>
  </si>
  <si>
    <t>The children are wearing loose-fitting, gray robes with a yellow sash and yellow leggings, which is a classic Shaolin monk uniform.</t>
  </si>
  <si>
    <t>(A) 他们穿着休闲服装。 (B) 他们身穿军装。 (C) 他们身穿传统的少林僧袍。 (D) 他们穿着现代运动装备。</t>
  </si>
  <si>
    <t>What is the purpose of the low, wide stance?</t>
  </si>
  <si>
    <t>The children are all in the same pose. What does this suggest about the training?</t>
  </si>
  <si>
    <t>It is very strict and disciplined.</t>
  </si>
  <si>
    <t>It is a casual training session.</t>
  </si>
  <si>
    <t>The perfect synchronization of the children and their serious expressions indicate a high level of discipline and strict training.</t>
  </si>
  <si>
    <t>(A) 它非常严格，纪律严明。 (B) 这是一次非正式的训练课。 (C) 这是一款儿童游戏。 (D) 这是一项单人练习。</t>
  </si>
  <si>
    <t>The image of a large group of young children practicing Kung Fu demonstrates that the sport is accessible and can be practiced by young children.</t>
  </si>
  <si>
    <t>kung_fu_43.jpg</t>
  </si>
  <si>
    <t>A martial arts fight.</t>
  </si>
  <si>
    <t>The image, which has a painterly quality, shows two men in mid-action, with one of them holding a sword, suggesting a martial arts fight or a choreographed routine.</t>
  </si>
  <si>
    <t>(A) 一段舞蹈表演。 (B) 一场拳击比赛。 (C) 一场武术对决。 (D) 一套体操动作。</t>
  </si>
  <si>
    <t>The practitioners are wearing loose-fitting robes, which are typical of the monk's robes traditionally associated with Shaolin Temple.</t>
  </si>
  <si>
    <t>The practitioner on the right is holding a long, straight weapon. What is it?</t>
  </si>
  <si>
    <t>The weapon is a Jian, a straight, double-edged Chinese sword used in a variety of Chinese martial arts.</t>
  </si>
  <si>
    <t>What is the purpose of the blurred and stylized lines in the image?</t>
  </si>
  <si>
    <t>To show a lack of focus.</t>
  </si>
  <si>
    <t>To show the movement and speed of the practitioners.</t>
  </si>
  <si>
    <t>To make the image look like a cartoon.</t>
  </si>
  <si>
    <t>To make the image look like a painting.</t>
  </si>
  <si>
    <t>The blurred lines and streaks around the practitioners and their weapons are used to create a sense of speed and dynamic motion, as if they are moving very fast.</t>
  </si>
  <si>
    <t>(A) 表现出注意力不集中。 (B) 展现练习者的动作和速度。 (C) 使图像看起来像卡通。 (D) 使图像看起来像一幅画。</t>
  </si>
  <si>
    <t>kung_fu_45.jpg</t>
  </si>
  <si>
    <t>A martial arts pose.</t>
  </si>
  <si>
    <t>The image shows a person in a stylized martial arts uniform, performing a classic Kung Fu pose, which is a demonstration of balance and form.</t>
  </si>
  <si>
    <t>(A) 一段舞蹈表演。 (B) 一个武术姿势。 (C) 一套体操动作。 (D) 跳高。</t>
  </si>
  <si>
    <t>The practitioner is wearing a loose-fitting, button-up uniform with a distinctive style, which is a classic traditional Chinese Kung Fu uniform or I Fu.</t>
  </si>
  <si>
    <t>A digital painting with a graphic design style.</t>
  </si>
  <si>
    <t>The image has a very stylized and artistic look, with sharp lines, a bold yellow and black color scheme, and graphic elements, which suggests a digital painting with a graphic design style.</t>
  </si>
  <si>
    <t>(A) 一张逼真的照片。 (B) 一幅具有平面设计风格的数字绘画作品。 (C) 卡通片。 (D) 铅笔画。</t>
  </si>
  <si>
    <t>What is a key element of the martial art's philosophy?</t>
  </si>
  <si>
    <t>The focus on direct confrontation.</t>
  </si>
  <si>
    <t>The balance of strength and grace.</t>
  </si>
  <si>
    <t>The use of brute force.</t>
  </si>
  <si>
    <t>The focus on defense.</t>
  </si>
  <si>
    <t>The image, with its dynamic pose and the circular, flowing background, represents the martial art's philosophy of combining strength and grace.</t>
  </si>
  <si>
    <t>(A) 侧重于直接对抗。 (B) 力量与优雅的完美平衡。 (C) 使用蛮力。 (D) 重点放在防守上。</t>
  </si>
  <si>
    <t>kung_fu_46.jpg</t>
  </si>
  <si>
    <t>A group of people performing a synchronized martial arts form.</t>
  </si>
  <si>
    <t>A group of people dancing.</t>
  </si>
  <si>
    <t>A group of people in a meeting.</t>
  </si>
  <si>
    <t>The image shows a large group of people in matching uniforms performing the same martial arts pose in unison, which is characteristic of a synchronized martial arts form.</t>
  </si>
  <si>
    <t>(A) 一群人正在表演一套同步武术动作。 (B) 一群人在伸展身体。 (C) 一群人正在跳舞。 (D) 一群人正在开会。</t>
  </si>
  <si>
    <t>The practitioners are wearing loose-fitting, gray robes with a yellow sash and yellow leggings, which is a classic Shaolin monk uniform.</t>
  </si>
  <si>
    <t>What is the setting of this training session?</t>
  </si>
  <si>
    <t>A large outdoor stadium.</t>
  </si>
  <si>
    <t>An indoor studio or training hall.</t>
  </si>
  <si>
    <t>A rural temple.</t>
  </si>
  <si>
    <t>A public park.</t>
  </si>
  <si>
    <t>The image shows a large, open room with padded floors, a projector, and traditional decorations, which suggests an indoor studio or training hall.</t>
  </si>
  <si>
    <t>(A) 一个大型露天体育场。 (B) 室内工作室或培训厅。 (C) 一座乡村寺庙。 (D) 一个公共公园。</t>
  </si>
  <si>
    <t>The person in the foreground is the only one in a different color uniform. What is his likely role?</t>
  </si>
  <si>
    <t>A new student.</t>
  </si>
  <si>
    <t>A spectator.</t>
  </si>
  <si>
    <t>The instructor or master.</t>
  </si>
  <si>
    <t>A guest.</t>
  </si>
  <si>
    <t>The person in the foreground is in a slightly different color uniform and is leading the group, which is a common way to identify the instructor or master.</t>
  </si>
  <si>
    <t>(A) 一名新生。 (B) 一名旁观者。 (C) 指导老师或师傅。 (D) 一位客人。</t>
  </si>
  <si>
    <t>kung_fu_59.jpg</t>
  </si>
  <si>
    <t>A child is doing a martial arts pose.</t>
  </si>
  <si>
    <t>The image is a studio shot of a child in a martial arts uniform, performing a classic Kung Fu pose, which is a demonstration of balance and form.</t>
  </si>
  <si>
    <t>(A) 一个孩子正在摆出武术姿势。 (B) 一个孩子正在表演舞蹈。 (C) 一个孩子在玩耍。 (D) 一个孩子正在做体操动作。</t>
  </si>
  <si>
    <t>The child is wearing a loose-fitting, black satin uniform with white trim, which is a classic traditional Chinese Kung Fu uniform or I Fu.</t>
  </si>
  <si>
    <t>The child is in a balanced, one-legged stance. What does this suggest about the martial art?</t>
  </si>
  <si>
    <t>It is very static and defensive.</t>
  </si>
  <si>
    <t>It requires a high level of balance and focus.</t>
  </si>
  <si>
    <t>The one-legged stance, with the arms outstretched, requires a high level of balance, concentration, and focus.</t>
  </si>
  <si>
    <t>(A) 它非常静态且偏向防御。 (B) 这需要高度的平衡感和专注力。 (C) 它是一种缓慢而柔和的武术。 (D) 这是一种非常简单的武术。</t>
  </si>
  <si>
    <t>What is the purpose of the studio setting?</t>
  </si>
  <si>
    <t>It is a realistic location.</t>
  </si>
  <si>
    <t>It is a formal, controlled environment.</t>
  </si>
  <si>
    <t>The plain white background and the controlled lighting suggest that the image is a staged formal shot, likely for a school or a demonstration.</t>
  </si>
  <si>
    <t>(A) 这是一个很现实的地点。 (B) 这是一个正式的、受控的环境。 (C) 这是一种非正式的做法。 (D) 这是一门私人课程。</t>
  </si>
  <si>
    <t>kung_fu_60.jpg</t>
  </si>
  <si>
    <t>A solo martial arts performance.</t>
  </si>
  <si>
    <t>The image shows a single person in the foreground performing a classic Kung Fu pose, with a large building and flags in the background, which suggests a solo performance.</t>
  </si>
  <si>
    <t>(A) 一群人在伸展身体。 (B) 单人武术表演。 (C) 一群人正在跳舞。 (D) 一群人正在开会。</t>
  </si>
  <si>
    <t>He is wearing casual clothing.</t>
  </si>
  <si>
    <t>He is wearing traditional monk's robes.</t>
  </si>
  <si>
    <t>He is wearing military uniforms.</t>
  </si>
  <si>
    <t>He is wearing modern sports gear.</t>
  </si>
  <si>
    <t>The practitioner is wearing a loose-fitting, gray robe with a sash, which is typical of the monk's robes traditionally associated with Shaolin Temple.</t>
  </si>
  <si>
    <t>(A) 他穿着休闲装。 (B) 他身穿传统的僧袍。 (C) 他身穿军装。 (D) 他穿着现代运动装备。</t>
  </si>
  <si>
    <t>The flags of China and the United States are visible in the background. What does this suggest?</t>
  </si>
  <si>
    <t>The event is taking place in the US.</t>
  </si>
  <si>
    <t>The event is a Chinese-American cultural exchange.</t>
  </si>
  <si>
    <t>The event is taking place in China.</t>
  </si>
  <si>
    <t>The event is a military parade.</t>
  </si>
  <si>
    <t>The presence of both flags suggests a cultural exchange or a partnership between China and the United States.</t>
  </si>
  <si>
    <t>(A) 该活动在美国举行。 (B) 本次活动是中美文化交流活动。 (C) 本次活动在中国举行。 (D) 这是一场阅兵式。</t>
  </si>
  <si>
    <t>What is the Chinese character on the building in the background?</t>
  </si>
  <si>
    <t>"Dragon"</t>
  </si>
  <si>
    <t>"Temple"</t>
  </si>
  <si>
    <t>"Shaolin Temple"</t>
  </si>
  <si>
    <t>"Kung Fu"</t>
  </si>
  <si>
    <t>The Chinese characters on the building are "少林寺" which translate to "Shàolín Sì," or "Shaolin Temple," indicating that the event is taking place at the famous temple.</t>
  </si>
  <si>
    <t>(A) “龙” (B) “寺庙” (C) 少林寺 (D) “功夫”</t>
  </si>
  <si>
    <t>kung_fu_62.jpg</t>
  </si>
  <si>
    <t>A traditional Shaolin monk uniform.</t>
  </si>
  <si>
    <t>The child is wearing a loose-fitting, orange robe with a black sash and yellow leggings, which is a classic Shaolin monk uniform.</t>
  </si>
  <si>
    <t>(A) 一套休闲装扮。 (B) 少林僧人的传统服饰。 (C) 军装。 (D) 校服。</t>
  </si>
  <si>
    <t>The child is standing on a small wooden pole. What is the purpose of this?</t>
  </si>
  <si>
    <t>To perform a simple trick.</t>
  </si>
  <si>
    <t>To demonstrate a high level of balance.</t>
  </si>
  <si>
    <t>To show off his shoes.</t>
  </si>
  <si>
    <t>Standing on a narrow, elevated surface is a common training method and a demonstration of the practitioner's exceptional balance and stability.</t>
  </si>
  <si>
    <t>(A) 表演一个简单的魔术。 (B) 展现出高度的平衡能力。 (C) 为了炫耀他的鞋子。 (D) 休息。</t>
  </si>
  <si>
    <t>The background shows a traditional Chinese building. What does this suggest?</t>
  </si>
  <si>
    <t>The event is a film scene.</t>
  </si>
  <si>
    <t>The event is taking place at a traditional Chinese temple.</t>
  </si>
  <si>
    <t>The event is a modern demonstration.</t>
  </si>
  <si>
    <t>The event is a casual practice.</t>
  </si>
  <si>
    <t>The traditional building with a curved roof in the background, along with the monk's attire, suggests that the event is taking place at a traditional Chinese temple or a similar location.</t>
  </si>
  <si>
    <t>(A) 这件事就像电影场景一样。 (B) 活动在一座传统的中国寺庙举行。 (C) 这是一场现代示威活动。 (D) 这项活动属于非正式练习。</t>
  </si>
  <si>
    <t>kung_fu_72.jpg</t>
  </si>
  <si>
    <t>The image shows a large, open space with trees and a traditional building in the background, which suggests a public park or a temple courtyard.</t>
  </si>
  <si>
    <t>(A) 一个大型露天体育场。 (B) 室内工作室。 (C) 一座乡村寺庙。 (D) 一个公共公园。</t>
  </si>
  <si>
    <t>They are a team.</t>
  </si>
  <si>
    <t>They are a solo act.</t>
  </si>
  <si>
    <t>They are a group of spectators.</t>
  </si>
  <si>
    <t>The practitioners are performing the same movements in perfect synchronization, which is a common way to demonstrate a choreographed form and teamwork.</t>
  </si>
  <si>
    <t>(A) 他们是一个团队。 (B) 他们是独奏艺人。 (C) 他们是一群朋友。 (D) 他们是一群观众。</t>
  </si>
  <si>
    <t>kung_fu_79.jpg</t>
  </si>
  <si>
    <t>What martial art is being performed in the image?</t>
  </si>
  <si>
    <t>Aikido</t>
  </si>
  <si>
    <t>The image shows one person performing a throw on another, where the one on the ground is in a defensive position, which is characteristic of Aikido, a Japanese martial art focused on throws and joint locks.</t>
  </si>
  <si>
    <t>(A) 功夫 (B) 空手道 (C) 柔道 (D) 合气道</t>
  </si>
  <si>
    <t>What is a notable difference between the martial art shown here and Kung Fu?</t>
  </si>
  <si>
    <t>The focus on joint locks, throws, and leveraging an opponent's force.</t>
  </si>
  <si>
    <t>The focus on strikes and kicks.</t>
  </si>
  <si>
    <t>Unlike the striking focus of Kung Fu, Aikido focuses on using an opponent's momentum and force against them, with a focus on throws, joint locks, and pins.</t>
  </si>
  <si>
    <t>(A) 使用制服。 (B) 徒手使用。 (C) 重点在于关节技、投技和利用对手的力量。 (D) 重点在于打击和踢击。</t>
  </si>
  <si>
    <t>The person on the right is in the air. What does this suggest about the martial art?</t>
  </si>
  <si>
    <t>It involves a lot of jumping.</t>
  </si>
  <si>
    <t>It involves throws and take-downs.</t>
  </si>
  <si>
    <t>It is a very acrobatic martial art.</t>
  </si>
  <si>
    <t>The person being thrown into the air is characteristic of a throw or a take-down, which is a key element of grappling-based martial arts.</t>
  </si>
  <si>
    <t>(A) 它包含很多跳跃动作。 (B) 它包括投掷和摔倒动作。 (C) 它是一种非常讲究技巧的武术。 (D) 这是一种非常简单的武术。</t>
  </si>
  <si>
    <t>The practitioners are wearing a traditional uniform. What is it called?</t>
  </si>
  <si>
    <t>A uniform</t>
  </si>
  <si>
    <t>A Gi</t>
  </si>
  <si>
    <t>A robe</t>
  </si>
  <si>
    <t>A suit</t>
  </si>
  <si>
    <t>The uniform, with its loose-fitting jacket and pants, is a classic Gi, which is the standard uniform for many Japanese martial arts.</t>
  </si>
  <si>
    <t>(A) 制服 (B) 一个吉 (C) 一件长袍 (D) 一套西装</t>
  </si>
  <si>
    <t>A competitive and aggressive atmosphere.</t>
  </si>
  <si>
    <t>A leisurely and relaxed atmosphere.</t>
  </si>
  <si>
    <t>A disciplined and focused training atmosphere.</t>
  </si>
  <si>
    <t>A confusing and disorganized atmosphere.</t>
  </si>
  <si>
    <t>The two practitioners are engaged in a controlled, non-aggressive motion, which suggests a disciplined and focused training atmosphere in a martial arts dojo.</t>
  </si>
  <si>
    <t>(A) 竞争激烈、充满挑战的氛围。 (B) 轻松悠闲的氛围。 (C) 纪律严明、专注高效的训练氛围。 (D) 气氛混乱无序。</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</si>
</sst>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Tai_chi-style">
      <tableStyleElement dxfId="1" type="headerRow"/>
      <tableStyleElement dxfId="2" type="firstRowStripe"/>
      <tableStyleElement dxfId="3" type="secondRowStripe"/>
      <tableStyleElement dxfId="4" size="0" type="wholeTable"/>
    </tableStyle>
    <tableStyle count="4" pivot="0" name="Tai_chi-style 2">
      <tableStyleElement dxfId="1" type="headerRow"/>
      <tableStyleElement dxfId="2" type="firstRowStripe"/>
      <tableStyleElement dxfId="3" type="secondRowStripe"/>
      <tableStyleElement dxfId="4" size="0" type="wholeTable"/>
    </tableStyle>
    <tableStyle count="4" pivot="0" name="cuju-style">
      <tableStyleElement dxfId="1" type="headerRow"/>
      <tableStyleElement dxfId="2" type="firstRowStripe"/>
      <tableStyleElement dxfId="3" type="secondRowStripe"/>
      <tableStyleElement dxfId="4" size="0" type="wholeTable"/>
    </tableStyle>
    <tableStyle count="4" pivot="0" name="cuju-style 2">
      <tableStyleElement dxfId="1" type="headerRow"/>
      <tableStyleElement dxfId="2" type="firstRowStripe"/>
      <tableStyleElement dxfId="3" type="secondRowStripe"/>
      <tableStyleElement dxfId="4" size="0" type="wholeTable"/>
    </tableStyle>
    <tableStyle count="4" pivot="0" name="Dragon_boat_racing-style">
      <tableStyleElement dxfId="1" type="headerRow"/>
      <tableStyleElement dxfId="2" type="firstRowStripe"/>
      <tableStyleElement dxfId="3" type="secondRowStripe"/>
      <tableStyleElement dxfId="4" size="0" type="wholeTable"/>
    </tableStyle>
    <tableStyle count="4" pivot="0" name="Dragon_boat_racing-style 2">
      <tableStyleElement dxfId="1" type="headerRow"/>
      <tableStyleElement dxfId="2" type="firstRowStripe"/>
      <tableStyleElement dxfId="3" type="secondRowStripe"/>
      <tableStyleElement dxfId="4" size="0" type="wholeTable"/>
    </tableStyle>
    <tableStyle count="4" pivot="0" name="go-style">
      <tableStyleElement dxfId="1" type="headerRow"/>
      <tableStyleElement dxfId="2" type="firstRowStripe"/>
      <tableStyleElement dxfId="3" type="secondRowStripe"/>
      <tableStyleElement dxfId="4" size="0" type="wholeTable"/>
    </tableStyle>
    <tableStyle count="4" pivot="0" name="go-style 2">
      <tableStyleElement dxfId="1" type="headerRow"/>
      <tableStyleElement dxfId="2" type="firstRowStripe"/>
      <tableStyleElement dxfId="3" type="secondRowStripe"/>
      <tableStyleElement dxfId="4" size="0" type="wholeTable"/>
    </tableStyle>
    <tableStyle count="4" pivot="0" name="gianzi-style">
      <tableStyleElement dxfId="1" type="headerRow"/>
      <tableStyleElement dxfId="2" type="firstRowStripe"/>
      <tableStyleElement dxfId="3" type="secondRowStripe"/>
      <tableStyleElement dxfId="4" size="0" type="wholeTable"/>
    </tableStyle>
    <tableStyle count="4" pivot="0" name="gianzi-style 2">
      <tableStyleElement dxfId="1" type="headerRow"/>
      <tableStyleElement dxfId="2" type="firstRowStripe"/>
      <tableStyleElement dxfId="3" type="secondRowStripe"/>
      <tableStyleElement dxfId="4" size="0" type="wholeTable"/>
    </tableStyle>
    <tableStyle count="4" pivot="0" name="kung_fu-style">
      <tableStyleElement dxfId="1" type="headerRow"/>
      <tableStyleElement dxfId="2" type="firstRowStripe"/>
      <tableStyleElement dxfId="3" type="secondRowStripe"/>
      <tableStyleElement dxfId="4" size="0" type="wholeTable"/>
    </tableStyle>
    <tableStyle count="4" pivot="0" name="kung_fu-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101" displayName="Table11" name="Table11" id="1">
  <tableColumns count="9">
    <tableColumn name="Image Namez" id="1"/>
    <tableColumn name="Serial No.z" id="2"/>
    <tableColumn name="Questionz" id="3"/>
    <tableColumn name="Option 1z" id="4"/>
    <tableColumn name="Option 2z" id="5"/>
    <tableColumn name="Option 3z" id="6"/>
    <tableColumn name="Option 4z" id="7"/>
    <tableColumn name="Correct Answerz" id="8"/>
    <tableColumn name="Descriptionz" id="9"/>
  </tableColumns>
  <tableStyleInfo name="Tai_chi-style" showColumnStripes="0" showFirstColumn="1" showLastColumn="1" showRowStripes="1"/>
</table>
</file>

<file path=xl/tables/table2.xml><?xml version="1.0" encoding="utf-8"?>
<table xmlns="http://schemas.openxmlformats.org/spreadsheetml/2006/main" ref="L1:U101" displayName="Table12" name="Table12" id="2">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Tai_chi-style 2" showColumnStripes="0" showFirstColumn="1" showLastColumn="1" showRowStripes="1"/>
</table>
</file>

<file path=xl/tables/table3.xml><?xml version="1.0" encoding="utf-8"?>
<table xmlns="http://schemas.openxmlformats.org/spreadsheetml/2006/main" ref="A1:I96" displayName="Table9" name="Table9" id="3">
  <tableColumns count="9">
    <tableColumn name="Image Namez" id="1"/>
    <tableColumn name="Serial No.z" id="2"/>
    <tableColumn name="Questionz" id="3"/>
    <tableColumn name="Option 1z" id="4"/>
    <tableColumn name="Option 2z" id="5"/>
    <tableColumn name="Option 3z" id="6"/>
    <tableColumn name="Option 4z" id="7"/>
    <tableColumn name="Correct Answerz" id="8"/>
    <tableColumn name="Descriptionz" id="9"/>
  </tableColumns>
  <tableStyleInfo name="cuju-style" showColumnStripes="0" showFirstColumn="1" showLastColumn="1" showRowStripes="1"/>
</table>
</file>

<file path=xl/tables/table4.xml><?xml version="1.0" encoding="utf-8"?>
<table xmlns="http://schemas.openxmlformats.org/spreadsheetml/2006/main" ref="L1:U96" displayName="Table10" name="Table10" id="4">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cuju-style 2" showColumnStripes="0" showFirstColumn="1" showLastColumn="1" showRowStripes="1"/>
</table>
</file>

<file path=xl/tables/table5.xml><?xml version="1.0" encoding="utf-8"?>
<table xmlns="http://schemas.openxmlformats.org/spreadsheetml/2006/main" ref="A1:I86" displayName="Table7" name="Table7" id="5">
  <tableColumns count="9">
    <tableColumn name="Image Namez" id="1"/>
    <tableColumn name="Serial No.z" id="2"/>
    <tableColumn name="Questionz" id="3"/>
    <tableColumn name="Option 1z" id="4"/>
    <tableColumn name="Option 2z" id="5"/>
    <tableColumn name="Option 3z" id="6"/>
    <tableColumn name="Option 4z" id="7"/>
    <tableColumn name="Correct Answerz" id="8"/>
    <tableColumn name="Descriptionz" id="9"/>
  </tableColumns>
  <tableStyleInfo name="Dragon_boat_racing-style" showColumnStripes="0" showFirstColumn="1" showLastColumn="1" showRowStripes="1"/>
</table>
</file>

<file path=xl/tables/table6.xml><?xml version="1.0" encoding="utf-8"?>
<table xmlns="http://schemas.openxmlformats.org/spreadsheetml/2006/main" ref="L1:U86" displayName="Table8" name="Table8" id="6">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Dragon_boat_racing-style 2" showColumnStripes="0" showFirstColumn="1" showLastColumn="1" showRowStripes="1"/>
</table>
</file>

<file path=xl/tables/table7.xml><?xml version="1.0" encoding="utf-8"?>
<table xmlns="http://schemas.openxmlformats.org/spreadsheetml/2006/main" ref="A1:I96" displayName="Table5" name="Table5" id="7">
  <tableColumns count="9">
    <tableColumn name="Image Namez" id="1"/>
    <tableColumn name="Serial No.z" id="2"/>
    <tableColumn name="Questionz" id="3"/>
    <tableColumn name="Option 1z" id="4"/>
    <tableColumn name="Option 2z" id="5"/>
    <tableColumn name="Option 3z" id="6"/>
    <tableColumn name="Option 4z" id="7"/>
    <tableColumn name="Correct Answerz" id="8"/>
    <tableColumn name="Descriptionz" id="9"/>
  </tableColumns>
  <tableStyleInfo name="go-style" showColumnStripes="0" showFirstColumn="1" showLastColumn="1" showRowStripes="1"/>
</table>
</file>

<file path=xl/tables/table8.xml><?xml version="1.0" encoding="utf-8"?>
<table xmlns="http://schemas.openxmlformats.org/spreadsheetml/2006/main" ref="L1:U96" displayName="Table6" name="Table6" id="8">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go-style 2" showColumnStripes="0" showFirstColumn="1" showLastColumn="1" showRowStripes="1"/>
</table>
</file>

<file path=xl/tables/table9.xml><?xml version="1.0" encoding="utf-8"?>
<table xmlns="http://schemas.openxmlformats.org/spreadsheetml/2006/main" ref="A1:I96" displayName="Table3" name="Table3" id="9">
  <tableColumns count="9">
    <tableColumn name="Image Namez" id="1"/>
    <tableColumn name="Serial No.z" id="2"/>
    <tableColumn name="Questionz" id="3"/>
    <tableColumn name="Option 1z" id="4"/>
    <tableColumn name="Option 2z" id="5"/>
    <tableColumn name="Option 3z" id="6"/>
    <tableColumn name="Option 4z" id="7"/>
    <tableColumn name="Correct Answerz" id="8"/>
    <tableColumn name="Descriptionz" id="9"/>
  </tableColumns>
  <tableStyleInfo name="gianzi-style" showColumnStripes="0" showFirstColumn="1" showLastColumn="1" showRowStripes="1"/>
</table>
</file>

<file path=xl/tables/table10.xml><?xml version="1.0" encoding="utf-8"?>
<table xmlns="http://schemas.openxmlformats.org/spreadsheetml/2006/main" ref="L1:U96" displayName="Table4" name="Table4" id="10">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gianzi-style 2" showColumnStripes="0" showFirstColumn="1" showLastColumn="1" showRowStripes="1"/>
</table>
</file>

<file path=xl/tables/table11.xml><?xml version="1.0" encoding="utf-8"?>
<table xmlns="http://schemas.openxmlformats.org/spreadsheetml/2006/main" ref="A1:I101" displayName="Table1" name="Table1" id="11">
  <tableColumns count="9">
    <tableColumn name="Image Namez" id="1"/>
    <tableColumn name="Serial No.z" id="2"/>
    <tableColumn name="Questionz" id="3"/>
    <tableColumn name="Option 1z" id="4"/>
    <tableColumn name="Option 2z" id="5"/>
    <tableColumn name="Option 3z" id="6"/>
    <tableColumn name="Option 4z" id="7"/>
    <tableColumn name="Correct Answerz" id="8"/>
    <tableColumn name="Descriptionz" id="9"/>
  </tableColumns>
  <tableStyleInfo name="kung_fu-style" showColumnStripes="0" showFirstColumn="1" showLastColumn="1" showRowStripes="1"/>
</table>
</file>

<file path=xl/tables/table12.xml><?xml version="1.0" encoding="utf-8"?>
<table xmlns="http://schemas.openxmlformats.org/spreadsheetml/2006/main" ref="L1:U101" displayName="Table2" name="Table2" id="12">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kung_fu-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2.88"/>
    <col customWidth="1" min="3" max="3" width="37.63"/>
    <col customWidth="1" min="4" max="4" width="34.5"/>
    <col customWidth="1" min="5" max="5" width="36.88"/>
    <col customWidth="1" min="6" max="9" width="37.63"/>
    <col customWidth="1" min="12" max="12" width="15.0"/>
    <col customWidth="1" min="13" max="13" width="12.88"/>
    <col customWidth="1" min="19" max="20" width="17.0"/>
    <col customWidth="1" min="21" max="21" width="13.88"/>
  </cols>
  <sheetData>
    <row r="1" ht="22.5" customHeight="1">
      <c r="A1" s="1" t="s">
        <v>0</v>
      </c>
      <c r="B1" s="1" t="s">
        <v>1</v>
      </c>
      <c r="C1" s="1" t="s">
        <v>2</v>
      </c>
      <c r="D1" s="1" t="s">
        <v>3</v>
      </c>
      <c r="E1" s="1" t="s">
        <v>4</v>
      </c>
      <c r="F1" s="1" t="s">
        <v>5</v>
      </c>
      <c r="G1" s="1" t="s">
        <v>6</v>
      </c>
      <c r="H1" s="1" t="s">
        <v>7</v>
      </c>
      <c r="I1" s="1" t="s">
        <v>8</v>
      </c>
      <c r="J1" s="2"/>
      <c r="K1" s="2"/>
      <c r="L1" s="1" t="s">
        <v>9</v>
      </c>
      <c r="M1" s="1" t="s">
        <v>10</v>
      </c>
      <c r="N1" s="1" t="s">
        <v>11</v>
      </c>
      <c r="O1" s="1" t="s">
        <v>12</v>
      </c>
      <c r="P1" s="1" t="s">
        <v>13</v>
      </c>
      <c r="Q1" s="1" t="s">
        <v>14</v>
      </c>
      <c r="R1" s="1" t="s">
        <v>15</v>
      </c>
      <c r="S1" s="1" t="s">
        <v>16</v>
      </c>
      <c r="T1" s="1" t="s">
        <v>17</v>
      </c>
      <c r="U1" s="1" t="s">
        <v>18</v>
      </c>
      <c r="V1" s="2"/>
      <c r="W1" s="2"/>
      <c r="X1" s="2"/>
      <c r="Y1" s="2"/>
      <c r="Z1" s="2"/>
      <c r="AA1" s="2"/>
      <c r="AB1" s="2"/>
      <c r="AC1" s="2"/>
      <c r="AD1" s="2"/>
      <c r="AE1" s="2"/>
      <c r="AF1" s="2"/>
      <c r="AG1" s="2"/>
      <c r="AH1" s="2"/>
      <c r="AI1" s="2"/>
      <c r="AJ1" s="2"/>
      <c r="AK1" s="2"/>
      <c r="AL1" s="2"/>
    </row>
    <row r="2" ht="22.5" customHeight="1">
      <c r="A2" s="3" t="s">
        <v>19</v>
      </c>
      <c r="B2" s="4">
        <v>1.0</v>
      </c>
      <c r="C2" s="3" t="s">
        <v>20</v>
      </c>
      <c r="D2" s="3" t="s">
        <v>21</v>
      </c>
      <c r="E2" s="3" t="s">
        <v>22</v>
      </c>
      <c r="F2" s="3" t="s">
        <v>23</v>
      </c>
      <c r="G2" s="3" t="s">
        <v>24</v>
      </c>
      <c r="H2" s="3" t="s">
        <v>22</v>
      </c>
      <c r="I2" s="3" t="s">
        <v>25</v>
      </c>
      <c r="J2" s="2"/>
      <c r="K2" s="2"/>
      <c r="L2" s="3" t="s">
        <v>19</v>
      </c>
      <c r="M2" s="4">
        <v>1.0</v>
      </c>
      <c r="N2" s="3" t="str">
        <f>IFERROR(__xludf.DUMMYFUNCTION("GOOGLETRANSLATE(C2,""en"",""zh-CN"")"),"这位练习者使用的是哪种类型的剑？")</f>
        <v>这位练习者使用的是哪种类型的剑？</v>
      </c>
      <c r="O2" s="3" t="str">
        <f>IFERROR(__xludf.DUMMYFUNCTION("GOOGLETRANSLATE(D2,""en"",""zh-CN"")"),"武士刀")</f>
        <v>武士刀</v>
      </c>
      <c r="P2" s="3" t="str">
        <f>IFERROR(__xludf.DUMMYFUNCTION("GOOGLETRANSLATE(E2,""en"",""zh-CN"")"),"建")</f>
        <v>建</v>
      </c>
      <c r="Q2" s="3" t="str">
        <f>IFERROR(__xludf.DUMMYFUNCTION("GOOGLETRANSLATE(F2,""en"",""zh-CN"")"),"军刀")</f>
        <v>军刀</v>
      </c>
      <c r="R2" s="3" t="str">
        <f>IFERROR(__xludf.DUMMYFUNCTION("GOOGLETRANSLATE(G2,""en"",""zh-CN"")"),"弯刀")</f>
        <v>弯刀</v>
      </c>
      <c r="S2" s="3" t="str">
        <f t="array" ref="S2:S101">TRIM(" (A) " &amp; O2:O101 &amp; " (B) " &amp; P2:P101 &amp; " (C) " &amp; Q2:Q101 &amp; " (D) " &amp; R2:R101)</f>
        <v>(A) 武士刀 (B) 建 (C) 军刀 (D) 弯刀</v>
      </c>
      <c r="T2" s="3" t="str">
        <f>IFERROR(__xludf.DUMMYFUNCTION("GOOGLETRANSLATE(H2,""en"",""zh-CN"")"),"建")</f>
        <v>建</v>
      </c>
      <c r="U2" s="3" t="str">
        <f>IFERROR(__xludf.DUMMYFUNCTION("GOOGLETRANSLATE(I2,""en"",""zh-CN"")"),"太极拳中使用的剑传统上是剑，一种直的、双刃的中国剑，而不是像武士刀或军刀那样的弯曲刀刃。")</f>
        <v>太极拳中使用的剑传统上是剑，一种直的、双刃的中国剑，而不是像武士刀或军刀那样的弯曲刀刃。</v>
      </c>
      <c r="V2" s="2"/>
      <c r="W2" s="2"/>
      <c r="X2" s="2"/>
      <c r="Y2" s="2"/>
      <c r="Z2" s="2"/>
      <c r="AA2" s="2"/>
      <c r="AB2" s="2"/>
      <c r="AC2" s="2"/>
      <c r="AD2" s="2"/>
      <c r="AE2" s="2"/>
      <c r="AF2" s="2"/>
      <c r="AG2" s="2"/>
      <c r="AH2" s="2"/>
      <c r="AI2" s="2"/>
      <c r="AJ2" s="2"/>
      <c r="AK2" s="2"/>
      <c r="AL2" s="2"/>
    </row>
    <row r="3" ht="22.5" customHeight="1">
      <c r="A3" s="3" t="s">
        <v>19</v>
      </c>
      <c r="B3" s="4">
        <v>2.0</v>
      </c>
      <c r="C3" s="3" t="s">
        <v>26</v>
      </c>
      <c r="D3" s="3" t="s">
        <v>27</v>
      </c>
      <c r="E3" s="3" t="s">
        <v>28</v>
      </c>
      <c r="F3" s="3" t="s">
        <v>29</v>
      </c>
      <c r="G3" s="3" t="s">
        <v>30</v>
      </c>
      <c r="H3" s="3" t="s">
        <v>28</v>
      </c>
      <c r="I3" s="3" t="s">
        <v>31</v>
      </c>
      <c r="J3" s="2"/>
      <c r="K3" s="2"/>
      <c r="L3" s="3" t="s">
        <v>19</v>
      </c>
      <c r="M3" s="4">
        <v>2.0</v>
      </c>
      <c r="N3" s="3" t="str">
        <f>IFERROR(__xludf.DUMMYFUNCTION("GOOGLETRANSLATE(C3,""en"",""zh-CN"")"),"这位练习者正在做一个以平衡性和稳定性著称的姿势。这个姿势叫什么？")</f>
        <v>这位练习者正在做一个以平衡性和稳定性著称的姿势。这个姿势叫什么？</v>
      </c>
      <c r="O3" s="3" t="str">
        <f>IFERROR(__xludf.DUMMYFUNCTION("GOOGLETRANSLATE(D3,""en"",""zh-CN"")"),"马步")</f>
        <v>马步</v>
      </c>
      <c r="P3" s="3" t="str">
        <f>IFERROR(__xludf.DUMMYFUNCTION("GOOGLETRANSLATE(E3,""en"",""zh-CN"")"),"弓步")</f>
        <v>弓步</v>
      </c>
      <c r="Q3" s="3" t="str">
        <f>IFERROR(__xludf.DUMMYFUNCTION("GOOGLETRANSLATE(F3,""en"",""zh-CN"")"),"起重机姿态")</f>
        <v>起重机姿态</v>
      </c>
      <c r="R3" s="3" t="str">
        <f>IFERROR(__xludf.DUMMYFUNCTION("GOOGLETRANSLATE(G3,""en"",""zh-CN"")"),"空位")</f>
        <v>空位</v>
      </c>
      <c r="S3" s="3" t="s">
        <v>32</v>
      </c>
      <c r="T3" s="3" t="str">
        <f>IFERROR(__xludf.DUMMYFUNCTION("GOOGLETRANSLATE(H3,""en"",""zh-CN"")"),"弓步")</f>
        <v>弓步</v>
      </c>
      <c r="U3" s="3" t="str">
        <f>IFERROR(__xludf.DUMMYFUNCTION("GOOGLETRANSLATE(I3,""en"",""zh-CN"")"),"练习者摆出弓步（Gong Bu），这是太极拳的基本姿势，其特点是重心前移和前腿弯曲。")</f>
        <v>练习者摆出弓步（Gong Bu），这是太极拳的基本姿势，其特点是重心前移和前腿弯曲。</v>
      </c>
      <c r="V3" s="2"/>
      <c r="W3" s="2"/>
      <c r="X3" s="2"/>
      <c r="Y3" s="2"/>
      <c r="Z3" s="2"/>
      <c r="AA3" s="2"/>
      <c r="AB3" s="2"/>
      <c r="AC3" s="2"/>
      <c r="AD3" s="2"/>
      <c r="AE3" s="2"/>
      <c r="AF3" s="2"/>
      <c r="AG3" s="2"/>
      <c r="AH3" s="2"/>
      <c r="AI3" s="2"/>
      <c r="AJ3" s="2"/>
      <c r="AK3" s="2"/>
      <c r="AL3" s="2"/>
    </row>
    <row r="4" ht="22.5" customHeight="1">
      <c r="A4" s="3" t="s">
        <v>19</v>
      </c>
      <c r="B4" s="4">
        <v>3.0</v>
      </c>
      <c r="C4" s="3" t="s">
        <v>33</v>
      </c>
      <c r="D4" s="3" t="s">
        <v>34</v>
      </c>
      <c r="E4" s="3" t="s">
        <v>35</v>
      </c>
      <c r="F4" s="3" t="s">
        <v>36</v>
      </c>
      <c r="G4" s="3" t="s">
        <v>37</v>
      </c>
      <c r="H4" s="3" t="s">
        <v>37</v>
      </c>
      <c r="I4" s="3" t="s">
        <v>38</v>
      </c>
      <c r="J4" s="2"/>
      <c r="K4" s="2"/>
      <c r="L4" s="3" t="s">
        <v>19</v>
      </c>
      <c r="M4" s="4">
        <v>3.0</v>
      </c>
      <c r="N4" s="3" t="str">
        <f>IFERROR(__xludf.DUMMYFUNCTION("GOOGLETRANSLATE(C4,""en"",""zh-CN"")"),"剑柄上系着的红色流苏可能有什么用途？")</f>
        <v>剑柄上系着的红色流苏可能有什么用途？</v>
      </c>
      <c r="O4" s="3" t="str">
        <f>IFERROR(__xludf.DUMMYFUNCTION("GOOGLETRANSLATE(D4,""en"",""zh-CN"")"),"装饰与美学")</f>
        <v>装饰与美学</v>
      </c>
      <c r="P4" s="3" t="str">
        <f>IFERROR(__xludf.DUMMYFUNCTION("GOOGLETRANSLATE(E4,""en"",""zh-CN"")"),"为了提高握力")</f>
        <v>为了提高握力</v>
      </c>
      <c r="Q4" s="3" t="str">
        <f>IFERROR(__xludf.DUMMYFUNCTION("GOOGLETRANSLATE(F4,""en"",""zh-CN"")"),"为了标记平衡点")</f>
        <v>为了标记平衡点</v>
      </c>
      <c r="R4" s="3" t="str">
        <f>IFERROR(__xludf.DUMMYFUNCTION("GOOGLETRANSLATE(G4,""en"",""zh-CN"")"),"为了提供关于剑的运动和速度的视觉反馈")</f>
        <v>为了提供关于剑的运动和速度的视觉反馈</v>
      </c>
      <c r="S4" s="3" t="s">
        <v>39</v>
      </c>
      <c r="T4" s="3" t="str">
        <f>IFERROR(__xludf.DUMMYFUNCTION("GOOGLETRANSLATE(H4,""en"",""zh-CN"")"),"为了提供关于剑的运动和速度的视觉反馈")</f>
        <v>为了提供关于剑的运动和速度的视觉反馈</v>
      </c>
      <c r="U4" s="3" t="str">
        <f>IFERROR(__xludf.DUMMYFUNCTION("GOOGLETRANSLATE(I4,""en"",""zh-CN"")"),"剑尖的流苏用于向练习者提供视觉反馈，帮助他们理解剑的运动的流畅性和节奏，并指示动作是否流畅或生硬。")</f>
        <v>剑尖的流苏用于向练习者提供视觉反馈，帮助他们理解剑的运动的流畅性和节奏，并指示动作是否流畅或生硬。</v>
      </c>
      <c r="V4" s="2"/>
      <c r="W4" s="2"/>
      <c r="X4" s="2"/>
      <c r="Y4" s="2"/>
      <c r="Z4" s="2"/>
      <c r="AA4" s="2"/>
      <c r="AB4" s="2"/>
      <c r="AC4" s="2"/>
      <c r="AD4" s="2"/>
      <c r="AE4" s="2"/>
      <c r="AF4" s="2"/>
      <c r="AG4" s="2"/>
      <c r="AH4" s="2"/>
      <c r="AI4" s="2"/>
      <c r="AJ4" s="2"/>
      <c r="AK4" s="2"/>
      <c r="AL4" s="2"/>
    </row>
    <row r="5" ht="22.5" customHeight="1">
      <c r="A5" s="3" t="s">
        <v>19</v>
      </c>
      <c r="B5" s="4">
        <v>4.0</v>
      </c>
      <c r="C5" s="3" t="s">
        <v>40</v>
      </c>
      <c r="D5" s="3" t="s">
        <v>41</v>
      </c>
      <c r="E5" s="3" t="s">
        <v>42</v>
      </c>
      <c r="F5" s="3" t="s">
        <v>43</v>
      </c>
      <c r="G5" s="3" t="s">
        <v>44</v>
      </c>
      <c r="H5" s="3" t="s">
        <v>42</v>
      </c>
      <c r="I5" s="3" t="s">
        <v>45</v>
      </c>
      <c r="J5" s="2"/>
      <c r="K5" s="2"/>
      <c r="L5" s="3" t="s">
        <v>19</v>
      </c>
      <c r="M5" s="4">
        <v>4.0</v>
      </c>
      <c r="N5" s="3" t="str">
        <f>IFERROR(__xludf.DUMMYFUNCTION("GOOGLETRANSLATE(C5,""en"",""zh-CN"")"),"根据背景信息，这场太极拳训练很可能在哪里进行？")</f>
        <v>根据背景信息，这场太极拳训练很可能在哪里进行？</v>
      </c>
      <c r="O5" s="3" t="str">
        <f>IFERROR(__xludf.DUMMYFUNCTION("GOOGLETRANSLATE(D5,""en"",""zh-CN"")"),"一片茂密的森林")</f>
        <v>一片茂密的森林</v>
      </c>
      <c r="P5" s="3" t="str">
        <f>IFERROR(__xludf.DUMMYFUNCTION("GOOGLETRANSLATE(E5,""en"",""zh-CN"")"),"城市屋顶或高架平台")</f>
        <v>城市屋顶或高架平台</v>
      </c>
      <c r="Q5" s="3" t="str">
        <f>IFERROR(__xludf.DUMMYFUNCTION("GOOGLETRANSLATE(F5,""en"",""zh-CN"")"),"室内工作室")</f>
        <v>室内工作室</v>
      </c>
      <c r="R5" s="3" t="str">
        <f>IFERROR(__xludf.DUMMYFUNCTION("GOOGLETRANSLATE(G5,""en"",""zh-CN"")"),"沙滩")</f>
        <v>沙滩</v>
      </c>
      <c r="S5" s="3" t="s">
        <v>46</v>
      </c>
      <c r="T5" s="3" t="str">
        <f>IFERROR(__xludf.DUMMYFUNCTION("GOOGLETRANSLATE(H5,""en"",""zh-CN"")"),"城市屋顶或高架平台")</f>
        <v>城市屋顶或高架平台</v>
      </c>
      <c r="U5" s="3" t="str">
        <f>IFERROR(__xludf.DUMMYFUNCTION("GOOGLETRANSLATE(I5,""en"",""zh-CN"")"),"图片显示了铺好的路面、栏杆和远处的建筑物，暗示着一个地势较高的户外场所，例如可以俯瞰城市的屋顶或阳台。")</f>
        <v>图片显示了铺好的路面、栏杆和远处的建筑物，暗示着一个地势较高的户外场所，例如可以俯瞰城市的屋顶或阳台。</v>
      </c>
      <c r="V5" s="2"/>
      <c r="W5" s="2"/>
      <c r="X5" s="2"/>
      <c r="Y5" s="2"/>
      <c r="Z5" s="2"/>
      <c r="AA5" s="2"/>
      <c r="AB5" s="2"/>
      <c r="AC5" s="2"/>
      <c r="AD5" s="2"/>
      <c r="AE5" s="2"/>
      <c r="AF5" s="2"/>
      <c r="AG5" s="2"/>
      <c r="AH5" s="2"/>
      <c r="AI5" s="2"/>
      <c r="AJ5" s="2"/>
      <c r="AK5" s="2"/>
      <c r="AL5" s="2"/>
    </row>
    <row r="6" ht="22.5" customHeight="1">
      <c r="A6" s="3" t="s">
        <v>19</v>
      </c>
      <c r="B6" s="4">
        <v>5.0</v>
      </c>
      <c r="C6" s="3" t="s">
        <v>47</v>
      </c>
      <c r="D6" s="3" t="s">
        <v>48</v>
      </c>
      <c r="E6" s="3" t="s">
        <v>49</v>
      </c>
      <c r="F6" s="3" t="s">
        <v>50</v>
      </c>
      <c r="G6" s="3" t="s">
        <v>51</v>
      </c>
      <c r="H6" s="3" t="s">
        <v>51</v>
      </c>
      <c r="I6" s="3" t="s">
        <v>52</v>
      </c>
      <c r="J6" s="2"/>
      <c r="K6" s="2"/>
      <c r="L6" s="3" t="s">
        <v>19</v>
      </c>
      <c r="M6" s="4">
        <v>5.0</v>
      </c>
      <c r="N6" s="3" t="str">
        <f>IFERROR(__xludf.DUMMYFUNCTION("GOOGLETRANSLATE(C6,""en"",""zh-CN"")"),"练习者所穿的服装是太极拳的典型服装。这种服装叫什么？")</f>
        <v>练习者所穿的服装是太极拳的典型服装。这种服装叫什么？</v>
      </c>
      <c r="O6" s="3" t="str">
        <f>IFERROR(__xludf.DUMMYFUNCTION("GOOGLETRANSLATE(D6,""en"",""zh-CN"")"),"和服")</f>
        <v>和服</v>
      </c>
      <c r="P6" s="3" t="str">
        <f>IFERROR(__xludf.DUMMYFUNCTION("GOOGLETRANSLATE(E6,""en"",""zh-CN"")"),"吉")</f>
        <v>吉</v>
      </c>
      <c r="Q6" s="3" t="str">
        <f>IFERROR(__xludf.DUMMYFUNCTION("GOOGLETRANSLATE(F6,""en"",""zh-CN"")"),"汉服")</f>
        <v>汉服</v>
      </c>
      <c r="R6" s="3" t="str">
        <f>IFERROR(__xludf.DUMMYFUNCTION("GOOGLETRANSLATE(G6,""en"",""zh-CN"")"),"太极服（I Fu）")</f>
        <v>太极服（I Fu）</v>
      </c>
      <c r="S6" s="3" t="s">
        <v>53</v>
      </c>
      <c r="T6" s="3" t="str">
        <f>IFERROR(__xludf.DUMMYFUNCTION("GOOGLETRANSLATE(H6,""en"",""zh-CN"")"),"太极服（I Fu）")</f>
        <v>太极服（I Fu）</v>
      </c>
      <c r="U6" s="3" t="str">
        <f>IFERROR(__xludf.DUMMYFUNCTION("GOOGLETRANSLATE(I6,""en"",""zh-CN"")"),"练习太极拳的传统服装是一种宽松的制服，称为伊夫服或太极服，其设计旨在提供舒适感和不受限制的活动。")</f>
        <v>练习太极拳的传统服装是一种宽松的制服，称为伊夫服或太极服，其设计旨在提供舒适感和不受限制的活动。</v>
      </c>
      <c r="V6" s="2"/>
      <c r="W6" s="2"/>
      <c r="X6" s="2"/>
      <c r="Y6" s="2"/>
      <c r="Z6" s="2"/>
      <c r="AA6" s="2"/>
      <c r="AB6" s="2"/>
      <c r="AC6" s="2"/>
      <c r="AD6" s="2"/>
      <c r="AE6" s="2"/>
      <c r="AF6" s="2"/>
      <c r="AG6" s="2"/>
      <c r="AH6" s="2"/>
      <c r="AI6" s="2"/>
      <c r="AJ6" s="2"/>
      <c r="AK6" s="2"/>
      <c r="AL6" s="2"/>
    </row>
    <row r="7" ht="22.5" customHeight="1">
      <c r="A7" s="3" t="s">
        <v>54</v>
      </c>
      <c r="B7" s="4">
        <v>6.0</v>
      </c>
      <c r="C7" s="3" t="s">
        <v>55</v>
      </c>
      <c r="D7" s="3" t="s">
        <v>56</v>
      </c>
      <c r="E7" s="3" t="s">
        <v>57</v>
      </c>
      <c r="F7" s="3" t="s">
        <v>58</v>
      </c>
      <c r="G7" s="3" t="s">
        <v>59</v>
      </c>
      <c r="H7" s="3" t="s">
        <v>58</v>
      </c>
      <c r="I7" s="3" t="s">
        <v>60</v>
      </c>
      <c r="J7" s="2"/>
      <c r="K7" s="2"/>
      <c r="L7" s="3" t="s">
        <v>54</v>
      </c>
      <c r="M7" s="4">
        <v>6.0</v>
      </c>
      <c r="N7" s="3" t="str">
        <f>IFERROR(__xludf.DUMMYFUNCTION("GOOGLETRANSLATE(C7,""en"",""zh-CN"")"),"图中所示的集体活动是什么？")</f>
        <v>图中所示的集体活动是什么？</v>
      </c>
      <c r="O7" s="3" t="str">
        <f>IFERROR(__xludf.DUMMYFUNCTION("GOOGLETRANSLATE(D7,""en"",""zh-CN"")"),"抗议游行")</f>
        <v>抗议游行</v>
      </c>
      <c r="P7" s="3" t="str">
        <f>IFERROR(__xludf.DUMMYFUNCTION("GOOGLETRANSLATE(E7,""en"",""zh-CN"")"),"冥想课程")</f>
        <v>冥想课程</v>
      </c>
      <c r="Q7" s="3" t="str">
        <f>IFERROR(__xludf.DUMMYFUNCTION("GOOGLETRANSLATE(F7,""en"",""zh-CN"")"),"集体表演或课程")</f>
        <v>集体表演或课程</v>
      </c>
      <c r="R7" s="3" t="str">
        <f>IFERROR(__xludf.DUMMYFUNCTION("GOOGLETRANSLATE(G7,""en"",""zh-CN"")"),"一场跑步比赛")</f>
        <v>一场跑步比赛</v>
      </c>
      <c r="S7" s="3" t="s">
        <v>61</v>
      </c>
      <c r="T7" s="3" t="str">
        <f>IFERROR(__xludf.DUMMYFUNCTION("GOOGLETRANSLATE(H7,""en"",""zh-CN"")"),"集体表演或课程")</f>
        <v>集体表演或课程</v>
      </c>
      <c r="U7" s="3" t="str">
        <f>IFERROR(__xludf.DUMMYFUNCTION("GOOGLETRANSLATE(I7,""en"",""zh-CN"")"),"图片显示一大群身着相似服装的人正在进行同步动作，这是太极拳团体练习或表演的典型特征。")</f>
        <v>图片显示一大群身着相似服装的人正在进行同步动作，这是太极拳团体练习或表演的典型特征。</v>
      </c>
      <c r="V7" s="2"/>
      <c r="W7" s="2"/>
      <c r="X7" s="2"/>
      <c r="Y7" s="2"/>
      <c r="Z7" s="2"/>
      <c r="AA7" s="2"/>
      <c r="AB7" s="2"/>
      <c r="AC7" s="2"/>
      <c r="AD7" s="2"/>
      <c r="AE7" s="2"/>
      <c r="AF7" s="2"/>
      <c r="AG7" s="2"/>
      <c r="AH7" s="2"/>
      <c r="AI7" s="2"/>
      <c r="AJ7" s="2"/>
      <c r="AK7" s="2"/>
      <c r="AL7" s="2"/>
    </row>
    <row r="8" ht="22.5" customHeight="1">
      <c r="A8" s="3" t="s">
        <v>54</v>
      </c>
      <c r="B8" s="4">
        <v>7.0</v>
      </c>
      <c r="C8" s="3" t="s">
        <v>62</v>
      </c>
      <c r="D8" s="3" t="s">
        <v>63</v>
      </c>
      <c r="E8" s="3" t="s">
        <v>64</v>
      </c>
      <c r="F8" s="3" t="s">
        <v>65</v>
      </c>
      <c r="G8" s="3" t="s">
        <v>66</v>
      </c>
      <c r="H8" s="3" t="s">
        <v>65</v>
      </c>
      <c r="I8" s="3" t="s">
        <v>67</v>
      </c>
      <c r="J8" s="2"/>
      <c r="K8" s="2"/>
      <c r="L8" s="3" t="s">
        <v>54</v>
      </c>
      <c r="M8" s="4">
        <v>7.0</v>
      </c>
      <c r="N8" s="3" t="str">
        <f>IFERROR(__xludf.DUMMYFUNCTION("GOOGLETRANSLATE(C8,""en"",""zh-CN"")"),"根据参与者的人口统计特征，太极拳通常带来的主要益处是什么？")</f>
        <v>根据参与者的人口统计特征，太极拳通常带来的主要益处是什么？</v>
      </c>
      <c r="O8" s="3" t="str">
        <f>IFERROR(__xludf.DUMMYFUNCTION("GOOGLETRANSLATE(D8,""en"",""zh-CN"")"),"高强度有氧运动")</f>
        <v>高强度有氧运动</v>
      </c>
      <c r="P8" s="3" t="str">
        <f>IFERROR(__xludf.DUMMYFUNCTION("GOOGLETRANSLATE(E8,""en"",""zh-CN"")"),"增加肌肉量")</f>
        <v>增加肌肉量</v>
      </c>
      <c r="Q8" s="3" t="str">
        <f>IFERROR(__xludf.DUMMYFUNCTION("GOOGLETRANSLATE(F8,""en"",""zh-CN"")"),"改善老年人的平衡能力和活动能力")</f>
        <v>改善老年人的平衡能力和活动能力</v>
      </c>
      <c r="R8" s="3" t="str">
        <f>IFERROR(__xludf.DUMMYFUNCTION("GOOGLETRANSLATE(G8,""en"",""zh-CN"")"),"竞技格斗")</f>
        <v>竞技格斗</v>
      </c>
      <c r="S8" s="3" t="s">
        <v>68</v>
      </c>
      <c r="T8" s="3" t="str">
        <f>IFERROR(__xludf.DUMMYFUNCTION("GOOGLETRANSLATE(H8,""en"",""zh-CN"")"),"改善老年人的平衡能力和活动能力")</f>
        <v>改善老年人的平衡能力和活动能力</v>
      </c>
      <c r="U8" s="3" t="str">
        <f>IFERROR(__xludf.DUMMYFUNCTION("GOOGLETRANSLATE(I8,""en"",""zh-CN"")"),"太极拳以其柔和的动作和对平衡的重视而闻名，因此成为提高行动能力和稳定性的流行有效方法，尤其受到老年人的欢迎。")</f>
        <v>太极拳以其柔和的动作和对平衡的重视而闻名，因此成为提高行动能力和稳定性的流行有效方法，尤其受到老年人的欢迎。</v>
      </c>
      <c r="V8" s="2"/>
      <c r="W8" s="2"/>
      <c r="X8" s="2"/>
      <c r="Y8" s="2"/>
      <c r="Z8" s="2"/>
      <c r="AA8" s="2"/>
      <c r="AB8" s="2"/>
      <c r="AC8" s="2"/>
      <c r="AD8" s="2"/>
      <c r="AE8" s="2"/>
      <c r="AF8" s="2"/>
      <c r="AG8" s="2"/>
      <c r="AH8" s="2"/>
      <c r="AI8" s="2"/>
      <c r="AJ8" s="2"/>
      <c r="AK8" s="2"/>
      <c r="AL8" s="2"/>
    </row>
    <row r="9" ht="22.5" customHeight="1">
      <c r="A9" s="3" t="s">
        <v>54</v>
      </c>
      <c r="B9" s="4">
        <v>8.0</v>
      </c>
      <c r="C9" s="3" t="s">
        <v>69</v>
      </c>
      <c r="D9" s="3" t="s">
        <v>70</v>
      </c>
      <c r="E9" s="3" t="s">
        <v>71</v>
      </c>
      <c r="F9" s="3" t="s">
        <v>72</v>
      </c>
      <c r="G9" s="3" t="s">
        <v>73</v>
      </c>
      <c r="H9" s="3" t="s">
        <v>72</v>
      </c>
      <c r="I9" s="3" t="s">
        <v>74</v>
      </c>
      <c r="J9" s="2"/>
      <c r="K9" s="2"/>
      <c r="L9" s="3" t="s">
        <v>54</v>
      </c>
      <c r="M9" s="4">
        <v>8.0</v>
      </c>
      <c r="N9" s="3" t="str">
        <f>IFERROR(__xludf.DUMMYFUNCTION("GOOGLETRANSLATE(C9,""en"",""zh-CN"")"),"参与者身穿宽松的白色制服。这种服装的主要原因是什么？")</f>
        <v>参与者身穿宽松的白色制服。这种服装的主要原因是什么？</v>
      </c>
      <c r="O9" s="3" t="str">
        <f>IFERROR(__xludf.DUMMYFUNCTION("GOOGLETRANSLATE(D9,""en"",""zh-CN"")"),"为了让他们感到轻松")</f>
        <v>为了让他们感到轻松</v>
      </c>
      <c r="P9" s="3" t="str">
        <f>IFERROR(__xludf.DUMMYFUNCTION("GOOGLETRANSLATE(E9,""en"",""zh-CN"")"),"为了美观统一")</f>
        <v>为了美观统一</v>
      </c>
      <c r="Q9" s="3" t="str">
        <f>IFERROR(__xludf.DUMMYFUNCTION("GOOGLETRANSLATE(F9,""en"",""zh-CN"")"),"为了实现流畅、不受限制的运动")</f>
        <v>为了实现流畅、不受限制的运动</v>
      </c>
      <c r="R9" s="3" t="str">
        <f>IFERROR(__xludf.DUMMYFUNCTION("GOOGLETRANSLATE(G9,""en"",""zh-CN"")"),"表示特定等级")</f>
        <v>表示特定等级</v>
      </c>
      <c r="S9" s="3" t="s">
        <v>75</v>
      </c>
      <c r="T9" s="3" t="str">
        <f>IFERROR(__xludf.DUMMYFUNCTION("GOOGLETRANSLATE(H9,""en"",""zh-CN"")"),"为了实现流畅、不受限制的运动")</f>
        <v>为了实现流畅、不受限制的运动</v>
      </c>
      <c r="U9" s="3" t="str">
        <f>IFERROR(__xludf.DUMMYFUNCTION("GOOGLETRANSLATE(I9,""en"",""zh-CN"")"),"宽松的衣服对于太极拳来说至关重要，因为它可以让身体自由活动，不受限制，这对于正确完成缓慢、连续的动作至关重要。")</f>
        <v>宽松的衣服对于太极拳来说至关重要，因为它可以让身体自由活动，不受限制，这对于正确完成缓慢、连续的动作至关重要。</v>
      </c>
      <c r="V9" s="2"/>
      <c r="W9" s="2"/>
      <c r="X9" s="2"/>
      <c r="Y9" s="2"/>
      <c r="Z9" s="2"/>
      <c r="AA9" s="2"/>
      <c r="AB9" s="2"/>
      <c r="AC9" s="2"/>
      <c r="AD9" s="2"/>
      <c r="AE9" s="2"/>
      <c r="AF9" s="2"/>
      <c r="AG9" s="2"/>
      <c r="AH9" s="2"/>
      <c r="AI9" s="2"/>
      <c r="AJ9" s="2"/>
      <c r="AK9" s="2"/>
      <c r="AL9" s="2"/>
    </row>
    <row r="10" ht="22.5" customHeight="1">
      <c r="A10" s="3" t="s">
        <v>54</v>
      </c>
      <c r="B10" s="4">
        <v>9.0</v>
      </c>
      <c r="C10" s="3" t="s">
        <v>76</v>
      </c>
      <c r="D10" s="3" t="s">
        <v>77</v>
      </c>
      <c r="E10" s="3" t="s">
        <v>78</v>
      </c>
      <c r="F10" s="3" t="s">
        <v>79</v>
      </c>
      <c r="G10" s="3" t="s">
        <v>80</v>
      </c>
      <c r="H10" s="3" t="s">
        <v>78</v>
      </c>
      <c r="I10" s="3" t="s">
        <v>81</v>
      </c>
      <c r="J10" s="2"/>
      <c r="K10" s="2"/>
      <c r="L10" s="3" t="s">
        <v>54</v>
      </c>
      <c r="M10" s="4">
        <v>9.0</v>
      </c>
      <c r="N10" s="3" t="str">
        <f>IFERROR(__xludf.DUMMYFUNCTION("GOOGLETRANSLATE(C10,""en"",""zh-CN"")"),"群体同步动作所传达的整体氛围是什么？")</f>
        <v>群体同步动作所传达的整体氛围是什么？</v>
      </c>
      <c r="O10" s="3" t="str">
        <f>IFERROR(__xludf.DUMMYFUNCTION("GOOGLETRANSLATE(D10,""en"",""zh-CN"")"),"侵略性和竞争")</f>
        <v>侵略性和竞争</v>
      </c>
      <c r="P10" s="3" t="str">
        <f>IFERROR(__xludf.DUMMYFUNCTION("GOOGLETRANSLATE(E10,""en"",""zh-CN"")"),"平静与集体和谐")</f>
        <v>平静与集体和谐</v>
      </c>
      <c r="Q10" s="3" t="str">
        <f>IFERROR(__xludf.DUMMYFUNCTION("GOOGLETRANSLATE(F10,""en"",""zh-CN"")"),"混乱与无序")</f>
        <v>混乱与无序</v>
      </c>
      <c r="R10" s="3" t="str">
        <f>IFERROR(__xludf.DUMMYFUNCTION("GOOGLETRANSLATE(G10,""en"",""zh-CN"")"),"剧烈的体力消耗")</f>
        <v>剧烈的体力消耗</v>
      </c>
      <c r="S10" s="3" t="s">
        <v>82</v>
      </c>
      <c r="T10" s="3" t="str">
        <f>IFERROR(__xludf.DUMMYFUNCTION("GOOGLETRANSLATE(H10,""en"",""zh-CN"")"),"平静与集体和谐")</f>
        <v>平静与集体和谐</v>
      </c>
      <c r="U10" s="3" t="str">
        <f>IFERROR(__xludf.DUMMYFUNCTION("GOOGLETRANSLATE(I10,""en"",""zh-CN"")"),"大群人同步、缓慢、流畅的动作营造出一种集体和谐感和宁静祥和的氛围。")</f>
        <v>大群人同步、缓慢、流畅的动作营造出一种集体和谐感和宁静祥和的氛围。</v>
      </c>
      <c r="V10" s="2"/>
      <c r="W10" s="2"/>
      <c r="X10" s="2"/>
      <c r="Y10" s="2"/>
      <c r="Z10" s="2"/>
      <c r="AA10" s="2"/>
      <c r="AB10" s="2"/>
      <c r="AC10" s="2"/>
      <c r="AD10" s="2"/>
      <c r="AE10" s="2"/>
      <c r="AF10" s="2"/>
      <c r="AG10" s="2"/>
      <c r="AH10" s="2"/>
      <c r="AI10" s="2"/>
      <c r="AJ10" s="2"/>
      <c r="AK10" s="2"/>
      <c r="AL10" s="2"/>
    </row>
    <row r="11" ht="22.5" customHeight="1">
      <c r="A11" s="3" t="s">
        <v>54</v>
      </c>
      <c r="B11" s="4">
        <v>10.0</v>
      </c>
      <c r="C11" s="3" t="s">
        <v>83</v>
      </c>
      <c r="D11" s="3" t="s">
        <v>84</v>
      </c>
      <c r="E11" s="3" t="s">
        <v>85</v>
      </c>
      <c r="F11" s="3" t="s">
        <v>86</v>
      </c>
      <c r="G11" s="3" t="s">
        <v>87</v>
      </c>
      <c r="H11" s="3" t="s">
        <v>86</v>
      </c>
      <c r="I11" s="3" t="s">
        <v>88</v>
      </c>
      <c r="J11" s="2"/>
      <c r="K11" s="2"/>
      <c r="L11" s="3" t="s">
        <v>54</v>
      </c>
      <c r="M11" s="4">
        <v>10.0</v>
      </c>
      <c r="N11" s="3" t="str">
        <f>IFERROR(__xludf.DUMMYFUNCTION("GOOGLETRANSLATE(C11,""en"",""zh-CN"")"),"这种大规模的团体医疗模式在哪个国家最为常见？")</f>
        <v>这种大规模的团体医疗模式在哪个国家最为常见？</v>
      </c>
      <c r="O11" s="3" t="str">
        <f>IFERROR(__xludf.DUMMYFUNCTION("GOOGLETRANSLATE(D11,""en"",""zh-CN"")"),"日本")</f>
        <v>日本</v>
      </c>
      <c r="P11" s="3" t="str">
        <f>IFERROR(__xludf.DUMMYFUNCTION("GOOGLETRANSLATE(E11,""en"",""zh-CN"")"),"韩国")</f>
        <v>韩国</v>
      </c>
      <c r="Q11" s="3" t="str">
        <f>IFERROR(__xludf.DUMMYFUNCTION("GOOGLETRANSLATE(F11,""en"",""zh-CN"")"),"中国")</f>
        <v>中国</v>
      </c>
      <c r="R11" s="3" t="str">
        <f>IFERROR(__xludf.DUMMYFUNCTION("GOOGLETRANSLATE(G11,""en"",""zh-CN"")"),"越南")</f>
        <v>越南</v>
      </c>
      <c r="S11" s="3" t="s">
        <v>89</v>
      </c>
      <c r="T11" s="3" t="str">
        <f>IFERROR(__xludf.DUMMYFUNCTION("GOOGLETRANSLATE(H11,""en"",""zh-CN"")"),"中国")</f>
        <v>中国</v>
      </c>
      <c r="U11" s="3" t="str">
        <f>IFERROR(__xludf.DUMMYFUNCTION("GOOGLETRANSLATE(I11,""en"",""zh-CN"")"),"在中国，在公园等公共场所进行大规模的太极拳集体练习是一种非常普遍的文化和日常活动，通常在早上进行。")</f>
        <v>在中国，在公园等公共场所进行大规模的太极拳集体练习是一种非常普遍的文化和日常活动，通常在早上进行。</v>
      </c>
      <c r="V11" s="2"/>
      <c r="W11" s="2"/>
      <c r="X11" s="2"/>
      <c r="Y11" s="2"/>
      <c r="Z11" s="2"/>
      <c r="AA11" s="2"/>
      <c r="AB11" s="2"/>
      <c r="AC11" s="2"/>
      <c r="AD11" s="2"/>
      <c r="AE11" s="2"/>
      <c r="AF11" s="2"/>
      <c r="AG11" s="2"/>
      <c r="AH11" s="2"/>
      <c r="AI11" s="2"/>
      <c r="AJ11" s="2"/>
      <c r="AK11" s="2"/>
      <c r="AL11" s="2"/>
    </row>
    <row r="12" ht="22.5" customHeight="1">
      <c r="A12" s="3" t="s">
        <v>90</v>
      </c>
      <c r="B12" s="4">
        <v>11.0</v>
      </c>
      <c r="C12" s="3" t="s">
        <v>91</v>
      </c>
      <c r="D12" s="3" t="s">
        <v>92</v>
      </c>
      <c r="E12" s="3" t="s">
        <v>93</v>
      </c>
      <c r="F12" s="3" t="s">
        <v>94</v>
      </c>
      <c r="G12" s="3" t="s">
        <v>95</v>
      </c>
      <c r="H12" s="3" t="s">
        <v>95</v>
      </c>
      <c r="I12" s="3" t="s">
        <v>96</v>
      </c>
      <c r="J12" s="2"/>
      <c r="K12" s="2"/>
      <c r="L12" s="3" t="s">
        <v>90</v>
      </c>
      <c r="M12" s="4">
        <v>11.0</v>
      </c>
      <c r="N12" s="3" t="str">
        <f>IFERROR(__xludf.DUMMYFUNCTION("GOOGLETRANSLATE(C12,""en"",""zh-CN"")"),"根据环境来看，在这里练习太极拳可能有什么好处？")</f>
        <v>根据环境来看，在这里练习太极拳可能有什么好处？</v>
      </c>
      <c r="O12" s="3" t="str">
        <f>IFERROR(__xludf.DUMMYFUNCTION("GOOGLETRANSLATE(D12,""en"",""zh-CN"")"),"柔软的沙子提供了缓冲表面。")</f>
        <v>柔软的沙子提供了缓冲表面。</v>
      </c>
      <c r="P12" s="3" t="str">
        <f>IFERROR(__xludf.DUMMYFUNCTION("GOOGLETRANSLATE(E12,""en"",""zh-CN"")"),"海浪声有助于集中注意力。")</f>
        <v>海浪声有助于集中注意力。</v>
      </c>
      <c r="Q12" s="3" t="str">
        <f>IFERROR(__xludf.DUMMYFUNCTION("GOOGLETRANSLATE(F12,""en"",""zh-CN"")"),"靠近水源具有净化作用")</f>
        <v>靠近水源具有净化作用</v>
      </c>
      <c r="R12" s="3" t="str">
        <f>IFERROR(__xludf.DUMMYFUNCTION("GOOGLETRANSLATE(G12,""en"",""zh-CN"")"),"开阔的空间和自然的声音有助于放松和集中注意力。")</f>
        <v>开阔的空间和自然的声音有助于放松和集中注意力。</v>
      </c>
      <c r="S12" s="3" t="s">
        <v>97</v>
      </c>
      <c r="T12" s="3" t="str">
        <f>IFERROR(__xludf.DUMMYFUNCTION("GOOGLETRANSLATE(H12,""en"",""zh-CN"")"),"开阔的空间和自然的声音有助于放松和集中注意力。")</f>
        <v>开阔的空间和自然的声音有助于放松和集中注意力。</v>
      </c>
      <c r="U12" s="3" t="str">
        <f>IFERROR(__xludf.DUMMYFUNCTION("GOOGLETRANSLATE(I12,""en"",""zh-CN"")"),"在宁静的自然环境中，例如海滩，伴着海浪声和开阔的视野练习太极拳，可以增强练习的冥想和镇静效果。")</f>
        <v>在宁静的自然环境中，例如海滩，伴着海浪声和开阔的视野练习太极拳，可以增强练习的冥想和镇静效果。</v>
      </c>
      <c r="V12" s="2"/>
      <c r="W12" s="2"/>
      <c r="X12" s="2"/>
      <c r="Y12" s="2"/>
      <c r="Z12" s="2"/>
      <c r="AA12" s="2"/>
      <c r="AB12" s="2"/>
      <c r="AC12" s="2"/>
      <c r="AD12" s="2"/>
      <c r="AE12" s="2"/>
      <c r="AF12" s="2"/>
      <c r="AG12" s="2"/>
      <c r="AH12" s="2"/>
      <c r="AI12" s="2"/>
      <c r="AJ12" s="2"/>
      <c r="AK12" s="2"/>
      <c r="AL12" s="2"/>
    </row>
    <row r="13" ht="22.5" customHeight="1">
      <c r="A13" s="3" t="s">
        <v>90</v>
      </c>
      <c r="B13" s="4">
        <v>12.0</v>
      </c>
      <c r="C13" s="3" t="s">
        <v>98</v>
      </c>
      <c r="D13" s="3" t="s">
        <v>99</v>
      </c>
      <c r="E13" s="3" t="s">
        <v>100</v>
      </c>
      <c r="F13" s="3" t="s">
        <v>101</v>
      </c>
      <c r="G13" s="3" t="s">
        <v>102</v>
      </c>
      <c r="H13" s="3" t="s">
        <v>101</v>
      </c>
      <c r="I13" s="3" t="s">
        <v>103</v>
      </c>
      <c r="J13" s="2"/>
      <c r="K13" s="2"/>
      <c r="L13" s="3" t="s">
        <v>90</v>
      </c>
      <c r="M13" s="4">
        <v>12.0</v>
      </c>
      <c r="N13" s="3" t="str">
        <f>IFERROR(__xludf.DUMMYFUNCTION("GOOGLETRANSLATE(C13,""en"",""zh-CN"")"),"图中所示的张开手掌姿势有何用意？")</f>
        <v>图中所示的张开手掌姿势有何用意？</v>
      </c>
      <c r="O13" s="3" t="str">
        <f>IFERROR(__xludf.DUMMYFUNCTION("GOOGLETRANSLATE(D13,""en"",""zh-CN"")"),"表示问候")</f>
        <v>表示问候</v>
      </c>
      <c r="P13" s="3" t="str">
        <f>IFERROR(__xludf.DUMMYFUNCTION("GOOGLETRANSLATE(E13,""en"",""zh-CN"")"),"展示一次张开的手掌击打")</f>
        <v>展示一次张开的手掌击打</v>
      </c>
      <c r="Q13" s="3" t="str">
        <f>IFERROR(__xludf.DUMMYFUNCTION("GOOGLETRANSLATE(F13,""en"",""zh-CN"")"),"接收和引导能量")</f>
        <v>接收和引导能量</v>
      </c>
      <c r="R13" s="3" t="str">
        <f>IFERROR(__xludf.DUMMYFUNCTION("GOOGLETRANSLATE(G13,""en"",""zh-CN"")"),"测量到水的距离")</f>
        <v>测量到水的距离</v>
      </c>
      <c r="S13" s="3" t="s">
        <v>104</v>
      </c>
      <c r="T13" s="3" t="str">
        <f>IFERROR(__xludf.DUMMYFUNCTION("GOOGLETRANSLATE(H13,""en"",""zh-CN"")"),"接收和引导能量")</f>
        <v>接收和引导能量</v>
      </c>
      <c r="U13" s="3" t="str">
        <f>IFERROR(__xludf.DUMMYFUNCTION("GOOGLETRANSLATE(I13,""en"",""zh-CN"")"),"在太极拳中，张开的手掌经常被用来象征“接收”或“引导”能量（气）的姿势，这是太极拳练习的核心概念。")</f>
        <v>在太极拳中，张开的手掌经常被用来象征“接收”或“引导”能量（气）的姿势，这是太极拳练习的核心概念。</v>
      </c>
      <c r="V13" s="2"/>
      <c r="W13" s="2"/>
      <c r="X13" s="2"/>
      <c r="Y13" s="2"/>
      <c r="Z13" s="2"/>
      <c r="AA13" s="2"/>
      <c r="AB13" s="2"/>
      <c r="AC13" s="2"/>
      <c r="AD13" s="2"/>
      <c r="AE13" s="2"/>
      <c r="AF13" s="2"/>
      <c r="AG13" s="2"/>
      <c r="AH13" s="2"/>
      <c r="AI13" s="2"/>
      <c r="AJ13" s="2"/>
      <c r="AK13" s="2"/>
      <c r="AL13" s="2"/>
    </row>
    <row r="14" ht="22.5" customHeight="1">
      <c r="A14" s="3" t="s">
        <v>90</v>
      </c>
      <c r="B14" s="4">
        <v>13.0</v>
      </c>
      <c r="C14" s="3" t="s">
        <v>105</v>
      </c>
      <c r="D14" s="3" t="s">
        <v>106</v>
      </c>
      <c r="E14" s="3" t="s">
        <v>107</v>
      </c>
      <c r="F14" s="3" t="s">
        <v>108</v>
      </c>
      <c r="G14" s="3" t="s">
        <v>109</v>
      </c>
      <c r="H14" s="3" t="s">
        <v>109</v>
      </c>
      <c r="I14" s="3" t="s">
        <v>110</v>
      </c>
      <c r="J14" s="2"/>
      <c r="K14" s="2"/>
      <c r="L14" s="3" t="s">
        <v>90</v>
      </c>
      <c r="M14" s="4">
        <v>13.0</v>
      </c>
      <c r="N14" s="3" t="str">
        <f>IFERROR(__xludf.DUMMYFUNCTION("GOOGLETRANSLATE(C14,""en"",""zh-CN"")"),"练习者身着特定类型的服装。这种服装选择与太极拳的练习有何关联？")</f>
        <v>练习者身着特定类型的服装。这种服装选择与太极拳的练习有何关联？</v>
      </c>
      <c r="O14" s="3" t="str">
        <f>IFERROR(__xludf.DUMMYFUNCTION("GOOGLETRANSLATE(D14,""en"",""zh-CN"")"),"它可以防晒。")</f>
        <v>它可以防晒。</v>
      </c>
      <c r="P14" s="3" t="str">
        <f>IFERROR(__xludf.DUMMYFUNCTION("GOOGLETRANSLATE(E14,""en"",""zh-CN"")"),"它象征着一种精神信仰")</f>
        <v>它象征着一种精神信仰</v>
      </c>
      <c r="Q14" s="3" t="str">
        <f>IFERROR(__xludf.DUMMYFUNCTION("GOOGLETRANSLATE(F14,""en"",""zh-CN"")"),"这是所有武术的标准制服")</f>
        <v>这是所有武术的标准制服</v>
      </c>
      <c r="R14" s="3" t="str">
        <f>IFERROR(__xludf.DUMMYFUNCTION("GOOGLETRANSLATE(G14,""en"",""zh-CN"")"),"宽松的面料衬托出动作的流畅性和柔和性。")</f>
        <v>宽松的面料衬托出动作的流畅性和柔和性。</v>
      </c>
      <c r="S14" s="3" t="s">
        <v>111</v>
      </c>
      <c r="T14" s="3" t="str">
        <f>IFERROR(__xludf.DUMMYFUNCTION("GOOGLETRANSLATE(H14,""en"",""zh-CN"")"),"宽松的面料衬托出动作的流畅性和柔和性。")</f>
        <v>宽松的面料衬托出动作的流畅性和柔和性。</v>
      </c>
      <c r="U14" s="3" t="str">
        <f>IFERROR(__xludf.DUMMYFUNCTION("GOOGLETRANSLATE(I14,""en"",""zh-CN"")"),"太极拳强调流畅、连贯、不费力的动作，宽松飘逸的服装也与此相得益彰，不会以任何方式限制身体。")</f>
        <v>太极拳强调流畅、连贯、不费力的动作，宽松飘逸的服装也与此相得益彰，不会以任何方式限制身体。</v>
      </c>
      <c r="V14" s="2"/>
      <c r="W14" s="2"/>
      <c r="X14" s="2"/>
      <c r="Y14" s="2"/>
      <c r="Z14" s="2"/>
      <c r="AA14" s="2"/>
      <c r="AB14" s="2"/>
      <c r="AC14" s="2"/>
      <c r="AD14" s="2"/>
      <c r="AE14" s="2"/>
      <c r="AF14" s="2"/>
      <c r="AG14" s="2"/>
      <c r="AH14" s="2"/>
      <c r="AI14" s="2"/>
      <c r="AJ14" s="2"/>
      <c r="AK14" s="2"/>
      <c r="AL14" s="2"/>
    </row>
    <row r="15" ht="22.5" customHeight="1">
      <c r="A15" s="3" t="s">
        <v>90</v>
      </c>
      <c r="B15" s="4">
        <v>14.0</v>
      </c>
      <c r="C15" s="3" t="s">
        <v>112</v>
      </c>
      <c r="D15" s="3" t="s">
        <v>113</v>
      </c>
      <c r="E15" s="3" t="s">
        <v>114</v>
      </c>
      <c r="F15" s="3" t="s">
        <v>115</v>
      </c>
      <c r="G15" s="3" t="s">
        <v>116</v>
      </c>
      <c r="H15" s="3" t="s">
        <v>114</v>
      </c>
      <c r="I15" s="3" t="s">
        <v>117</v>
      </c>
      <c r="J15" s="2"/>
      <c r="K15" s="2"/>
      <c r="L15" s="3" t="s">
        <v>90</v>
      </c>
      <c r="M15" s="4">
        <v>14.0</v>
      </c>
      <c r="N15" s="3" t="str">
        <f>IFERROR(__xludf.DUMMYFUNCTION("GOOGLETRANSLATE(C15,""en"",""zh-CN"")"),"从练习者的面部表情和姿势可以看出他处于怎样的精神状态？")</f>
        <v>从练习者的面部表情和姿势可以看出他处于怎样的精神状态？</v>
      </c>
      <c r="O15" s="3" t="str">
        <f>IFERROR(__xludf.DUMMYFUNCTION("GOOGLETRANSLATE(D15,""en"",""zh-CN"")"),"搅动")</f>
        <v>搅动</v>
      </c>
      <c r="P15" s="3" t="str">
        <f>IFERROR(__xludf.DUMMYFUNCTION("GOOGLETRANSLATE(E15,""en"",""zh-CN"")"),"高度专注与平静")</f>
        <v>高度专注与平静</v>
      </c>
      <c r="Q15" s="3" t="str">
        <f>IFERROR(__xludf.DUMMYFUNCTION("GOOGLETRANSLATE(F15,""en"",""zh-CN"")"),"困惑")</f>
        <v>困惑</v>
      </c>
      <c r="R15" s="3" t="str">
        <f>IFERROR(__xludf.DUMMYFUNCTION("GOOGLETRANSLATE(G15,""en"",""zh-CN"")"),"疲劳")</f>
        <v>疲劳</v>
      </c>
      <c r="S15" s="3" t="s">
        <v>118</v>
      </c>
      <c r="T15" s="3" t="str">
        <f>IFERROR(__xludf.DUMMYFUNCTION("GOOGLETRANSLATE(H15,""en"",""zh-CN"")"),"高度专注与平静")</f>
        <v>高度专注与平静</v>
      </c>
      <c r="U15" s="3" t="str">
        <f>IFERROR(__xludf.DUMMYFUNCTION("GOOGLETRANSLATE(I15,""en"",""zh-CN"")"),"练习者专注的目光、平静的姿势和宁静的环境共同表明了一种深度专注和平和的状态，这是太极拳冥想本质的核心。")</f>
        <v>练习者专注的目光、平静的姿势和宁静的环境共同表明了一种深度专注和平和的状态，这是太极拳冥想本质的核心。</v>
      </c>
      <c r="V15" s="2"/>
      <c r="W15" s="2"/>
      <c r="X15" s="2"/>
      <c r="Y15" s="2"/>
      <c r="Z15" s="2"/>
      <c r="AA15" s="2"/>
      <c r="AB15" s="2"/>
      <c r="AC15" s="2"/>
      <c r="AD15" s="2"/>
      <c r="AE15" s="2"/>
      <c r="AF15" s="2"/>
      <c r="AG15" s="2"/>
      <c r="AH15" s="2"/>
      <c r="AI15" s="2"/>
      <c r="AJ15" s="2"/>
      <c r="AK15" s="2"/>
      <c r="AL15" s="2"/>
    </row>
    <row r="16" ht="22.5" customHeight="1">
      <c r="A16" s="3" t="s">
        <v>90</v>
      </c>
      <c r="B16" s="4">
        <v>15.0</v>
      </c>
      <c r="C16" s="3" t="s">
        <v>119</v>
      </c>
      <c r="D16" s="3" t="s">
        <v>120</v>
      </c>
      <c r="E16" s="3" t="s">
        <v>121</v>
      </c>
      <c r="F16" s="3" t="s">
        <v>122</v>
      </c>
      <c r="G16" s="3" t="s">
        <v>123</v>
      </c>
      <c r="H16" s="3" t="s">
        <v>122</v>
      </c>
      <c r="I16" s="3" t="s">
        <v>124</v>
      </c>
      <c r="J16" s="2"/>
      <c r="K16" s="2"/>
      <c r="L16" s="3" t="s">
        <v>90</v>
      </c>
      <c r="M16" s="4">
        <v>15.0</v>
      </c>
      <c r="N16" s="3" t="str">
        <f>IFERROR(__xludf.DUMMYFUNCTION("GOOGLETRANSLATE(C16,""en"",""zh-CN"")"),"如图所示，在户外练习太极拳有什么好处？")</f>
        <v>如图所示，在户外练习太极拳有什么好处？</v>
      </c>
      <c r="O16" s="3" t="str">
        <f>IFERROR(__xludf.DUMMYFUNCTION("GOOGLETRANSLATE(D16,""en"",""zh-CN"")"),"这是竞争优势")</f>
        <v>这是竞争优势</v>
      </c>
      <c r="P16" s="3" t="str">
        <f>IFERROR(__xludf.DUMMYFUNCTION("GOOGLETRANSLATE(E16,""en"",""zh-CN"")"),"它能改善心血管健康")</f>
        <v>它能改善心血管健康</v>
      </c>
      <c r="Q16" s="3" t="str">
        <f>IFERROR(__xludf.DUMMYFUNCTION("GOOGLETRANSLATE(F16,""en"",""zh-CN"")"),"它将修行者与自然和自然能量联系起来。")</f>
        <v>它将修行者与自然和自然能量联系起来。</v>
      </c>
      <c r="R16" s="3" t="str">
        <f>IFERROR(__xludf.DUMMYFUNCTION("GOOGLETRANSLATE(G16,""en"",""zh-CN"")"),"这是一种炫耀技能的方式")</f>
        <v>这是一种炫耀技能的方式</v>
      </c>
      <c r="S16" s="3" t="s">
        <v>125</v>
      </c>
      <c r="T16" s="3" t="str">
        <f>IFERROR(__xludf.DUMMYFUNCTION("GOOGLETRANSLATE(H16,""en"",""zh-CN"")"),"它将修行者与自然和自然能量联系起来。")</f>
        <v>它将修行者与自然和自然能量联系起来。</v>
      </c>
      <c r="U16" s="3" t="str">
        <f>IFERROR(__xludf.DUMMYFUNCTION("GOOGLETRANSLATE(I16,""en"",""zh-CN"")"),"人们认为，在户外，尤其是在自然环境中练习太极拳，可以增强人与自然的联系，并促进人的内在能量流动（气）。")</f>
        <v>人们认为，在户外，尤其是在自然环境中练习太极拳，可以增强人与自然的联系，并促进人的内在能量流动（气）。</v>
      </c>
      <c r="V16" s="2"/>
      <c r="W16" s="2"/>
      <c r="X16" s="2"/>
      <c r="Y16" s="2"/>
      <c r="Z16" s="2"/>
      <c r="AA16" s="2"/>
      <c r="AB16" s="2"/>
      <c r="AC16" s="2"/>
      <c r="AD16" s="2"/>
      <c r="AE16" s="2"/>
      <c r="AF16" s="2"/>
      <c r="AG16" s="2"/>
      <c r="AH16" s="2"/>
      <c r="AI16" s="2"/>
      <c r="AJ16" s="2"/>
      <c r="AK16" s="2"/>
      <c r="AL16" s="2"/>
    </row>
    <row r="17" ht="22.5" customHeight="1">
      <c r="A17" s="3" t="s">
        <v>126</v>
      </c>
      <c r="B17" s="4">
        <v>16.0</v>
      </c>
      <c r="C17" s="3" t="s">
        <v>127</v>
      </c>
      <c r="D17" s="3" t="s">
        <v>128</v>
      </c>
      <c r="E17" s="3" t="s">
        <v>129</v>
      </c>
      <c r="F17" s="3" t="s">
        <v>130</v>
      </c>
      <c r="G17" s="3" t="s">
        <v>131</v>
      </c>
      <c r="H17" s="3" t="s">
        <v>130</v>
      </c>
      <c r="I17" s="3" t="s">
        <v>132</v>
      </c>
      <c r="J17" s="2"/>
      <c r="K17" s="2"/>
      <c r="L17" s="3" t="s">
        <v>126</v>
      </c>
      <c r="M17" s="4">
        <v>16.0</v>
      </c>
      <c r="N17" s="3" t="str">
        <f>IFERROR(__xludf.DUMMYFUNCTION("GOOGLETRANSLATE(C17,""en"",""zh-CN"")"),"柔和的漫射灯光和自然背景营造出怎样的氛围？")</f>
        <v>柔和的漫射灯光和自然背景营造出怎样的氛围？</v>
      </c>
      <c r="O17" s="3" t="str">
        <f>IFERROR(__xludf.DUMMYFUNCTION("GOOGLETRANSLATE(D17,""en"",""zh-CN"")"),"紧张、竞争的氛围")</f>
        <v>紧张、竞争的氛围</v>
      </c>
      <c r="P17" s="3" t="str">
        <f>IFERROR(__xludf.DUMMYFUNCTION("GOOGLETRANSLATE(E17,""en"",""zh-CN"")"),"充满活力、高能量的环境")</f>
        <v>充满活力、高能量的环境</v>
      </c>
      <c r="Q17" s="3" t="str">
        <f>IFERROR(__xludf.DUMMYFUNCTION("GOOGLETRANSLATE(F17,""en"",""zh-CN"")"),"宁静而冥想的情绪")</f>
        <v>宁静而冥想的情绪</v>
      </c>
      <c r="R17" s="3" t="str">
        <f>IFERROR(__xludf.DUMMYFUNCTION("GOOGLETRANSLATE(G17,""en"",""zh-CN"")"),"一种冰冷、疏离的感觉")</f>
        <v>一种冰冷、疏离的感觉</v>
      </c>
      <c r="S17" s="3" t="s">
        <v>133</v>
      </c>
      <c r="T17" s="3" t="str">
        <f>IFERROR(__xludf.DUMMYFUNCTION("GOOGLETRANSLATE(H17,""en"",""zh-CN"")"),"宁静而冥想的情绪")</f>
        <v>宁静而冥想的情绪</v>
      </c>
      <c r="U17" s="3" t="str">
        <f>IFERROR(__xludf.DUMMYFUNCTION("GOOGLETRANSLATE(I17,""en"",""zh-CN"")"),"柔和的光线、绿色的树木和模糊的背景，使画面呈现出平静、安宁，甚至带有一丝灵性的感觉，非常适合太极拳等冥想练习。")</f>
        <v>柔和的光线、绿色的树木和模糊的背景，使画面呈现出平静、安宁，甚至带有一丝灵性的感觉，非常适合太极拳等冥想练习。</v>
      </c>
      <c r="V17" s="2"/>
      <c r="W17" s="2"/>
      <c r="X17" s="2"/>
      <c r="Y17" s="2"/>
      <c r="Z17" s="2"/>
      <c r="AA17" s="2"/>
      <c r="AB17" s="2"/>
      <c r="AC17" s="2"/>
      <c r="AD17" s="2"/>
      <c r="AE17" s="2"/>
      <c r="AF17" s="2"/>
      <c r="AG17" s="2"/>
      <c r="AH17" s="2"/>
      <c r="AI17" s="2"/>
      <c r="AJ17" s="2"/>
      <c r="AK17" s="2"/>
      <c r="AL17" s="2"/>
    </row>
    <row r="18" ht="22.5" customHeight="1">
      <c r="A18" s="3" t="s">
        <v>126</v>
      </c>
      <c r="B18" s="4">
        <v>17.0</v>
      </c>
      <c r="C18" s="3" t="s">
        <v>134</v>
      </c>
      <c r="D18" s="3" t="s">
        <v>135</v>
      </c>
      <c r="E18" s="3" t="s">
        <v>136</v>
      </c>
      <c r="F18" s="3" t="s">
        <v>137</v>
      </c>
      <c r="G18" s="3" t="s">
        <v>138</v>
      </c>
      <c r="H18" s="3" t="s">
        <v>137</v>
      </c>
      <c r="I18" s="3" t="s">
        <v>139</v>
      </c>
      <c r="J18" s="2"/>
      <c r="K18" s="2"/>
      <c r="L18" s="3" t="s">
        <v>126</v>
      </c>
      <c r="M18" s="4">
        <v>17.0</v>
      </c>
      <c r="N18" s="3" t="str">
        <f>IFERROR(__xludf.DUMMYFUNCTION("GOOGLETRANSLATE(C18,""en"",""zh-CN"")"),"练习者的站姿显示重心降低。这在太极拳中有什么目的？")</f>
        <v>练习者的站姿显示重心降低。这在太极拳中有什么目的？</v>
      </c>
      <c r="O18" s="3" t="str">
        <f>IFERROR(__xludf.DUMMYFUNCTION("GOOGLETRANSLATE(D18,""en"",""zh-CN"")"),"为了更容易跳跃")</f>
        <v>为了更容易跳跃</v>
      </c>
      <c r="P18" s="3" t="str">
        <f>IFERROR(__xludf.DUMMYFUNCTION("GOOGLETRANSLATE(E18,""en"",""zh-CN"")"),"为了提高速度")</f>
        <v>为了提高速度</v>
      </c>
      <c r="Q18" s="3" t="str">
        <f>IFERROR(__xludf.DUMMYFUNCTION("GOOGLETRANSLATE(F18,""en"",""zh-CN"")"),"为了改善平衡性和稳定性")</f>
        <v>为了改善平衡性和稳定性</v>
      </c>
      <c r="R18" s="3" t="str">
        <f>IFERROR(__xludf.DUMMYFUNCTION("GOOGLETRANSLATE(G18,""en"",""zh-CN"")"),"为了让姿势看起来更具威慑力")</f>
        <v>为了让姿势看起来更具威慑力</v>
      </c>
      <c r="S18" s="3" t="s">
        <v>140</v>
      </c>
      <c r="T18" s="3" t="str">
        <f>IFERROR(__xludf.DUMMYFUNCTION("GOOGLETRANSLATE(H18,""en"",""zh-CN"")"),"为了改善平衡性和稳定性")</f>
        <v>为了改善平衡性和稳定性</v>
      </c>
      <c r="U18" s="3" t="str">
        <f>IFERROR(__xludf.DUMMYFUNCTION("GOOGLETRANSLATE(I18,""en"",""zh-CN"")"),"通过弯曲膝盖降低重心并摆出姿势是太极拳的基本要素，因为它能显著增强平衡性、稳定性和根基。")</f>
        <v>通过弯曲膝盖降低重心并摆出姿势是太极拳的基本要素，因为它能显著增强平衡性、稳定性和根基。</v>
      </c>
      <c r="V18" s="2"/>
      <c r="W18" s="2"/>
      <c r="X18" s="2"/>
      <c r="Y18" s="2"/>
      <c r="Z18" s="2"/>
      <c r="AA18" s="2"/>
      <c r="AB18" s="2"/>
      <c r="AC18" s="2"/>
      <c r="AD18" s="2"/>
      <c r="AE18" s="2"/>
      <c r="AF18" s="2"/>
      <c r="AG18" s="2"/>
      <c r="AH18" s="2"/>
      <c r="AI18" s="2"/>
      <c r="AJ18" s="2"/>
      <c r="AK18" s="2"/>
      <c r="AL18" s="2"/>
    </row>
    <row r="19" ht="22.5" customHeight="1">
      <c r="A19" s="3" t="s">
        <v>126</v>
      </c>
      <c r="B19" s="4">
        <v>18.0</v>
      </c>
      <c r="C19" s="3" t="s">
        <v>141</v>
      </c>
      <c r="D19" s="3" t="s">
        <v>142</v>
      </c>
      <c r="E19" s="3" t="s">
        <v>143</v>
      </c>
      <c r="F19" s="3" t="s">
        <v>144</v>
      </c>
      <c r="G19" s="3" t="s">
        <v>145</v>
      </c>
      <c r="H19" s="3" t="s">
        <v>143</v>
      </c>
      <c r="I19" s="3" t="s">
        <v>146</v>
      </c>
      <c r="J19" s="2"/>
      <c r="K19" s="2"/>
      <c r="L19" s="3" t="s">
        <v>126</v>
      </c>
      <c r="M19" s="4">
        <v>18.0</v>
      </c>
      <c r="N19" s="3" t="str">
        <f>IFERROR(__xludf.DUMMYFUNCTION("GOOGLETRANSLATE(C19,""en"",""zh-CN"")"),"实践者专注的目光暗示了这种实践的什么特点？")</f>
        <v>实践者专注的目光暗示了这种实践的什么特点？</v>
      </c>
      <c r="O19" s="3" t="str">
        <f>IFERROR(__xludf.DUMMYFUNCTION("GOOGLETRANSLATE(D19,""en"",""zh-CN"")"),"这是一场面向观众的表演。")</f>
        <v>这是一场面向观众的表演。</v>
      </c>
      <c r="P19" s="3" t="str">
        <f>IFERROR(__xludf.DUMMYFUNCTION("GOOGLETRANSLATE(E19,""en"",""zh-CN"")"),"它需要高度集中注意力和正念。")</f>
        <v>它需要高度集中注意力和正念。</v>
      </c>
      <c r="Q19" s="3" t="str">
        <f>IFERROR(__xludf.DUMMYFUNCTION("GOOGLETRANSLATE(F19,""en"",""zh-CN"")"),"他正在寻找伴侣")</f>
        <v>他正在寻找伴侣</v>
      </c>
      <c r="R19" s="3" t="str">
        <f>IFERROR(__xludf.DUMMYFUNCTION("GOOGLETRANSLATE(G19,""en"",""zh-CN"")"),"它只是一种体育锻炼形式。")</f>
        <v>它只是一种体育锻炼形式。</v>
      </c>
      <c r="S19" s="3" t="s">
        <v>147</v>
      </c>
      <c r="T19" s="3" t="str">
        <f>IFERROR(__xludf.DUMMYFUNCTION("GOOGLETRANSLATE(H19,""en"",""zh-CN"")"),"它需要高度集中注意力和正念。")</f>
        <v>它需要高度集中注意力和正念。</v>
      </c>
      <c r="U19" s="3" t="str">
        <f>IFERROR(__xludf.DUMMYFUNCTION("GOOGLETRANSLATE(I19,""en"",""zh-CN"")"),"专注的目光和沉稳的表情表明，太极拳是一种注重正念的练习，需要全身心投入，专注于每一个动作。")</f>
        <v>专注的目光和沉稳的表情表明，太极拳是一种注重正念的练习，需要全身心投入，专注于每一个动作。</v>
      </c>
      <c r="V19" s="2"/>
      <c r="W19" s="2"/>
      <c r="X19" s="2"/>
      <c r="Y19" s="2"/>
      <c r="Z19" s="2"/>
      <c r="AA19" s="2"/>
      <c r="AB19" s="2"/>
      <c r="AC19" s="2"/>
      <c r="AD19" s="2"/>
      <c r="AE19" s="2"/>
      <c r="AF19" s="2"/>
      <c r="AG19" s="2"/>
      <c r="AH19" s="2"/>
      <c r="AI19" s="2"/>
      <c r="AJ19" s="2"/>
      <c r="AK19" s="2"/>
      <c r="AL19" s="2"/>
    </row>
    <row r="20" ht="22.5" customHeight="1">
      <c r="A20" s="3" t="s">
        <v>126</v>
      </c>
      <c r="B20" s="4">
        <v>19.0</v>
      </c>
      <c r="C20" s="3" t="s">
        <v>148</v>
      </c>
      <c r="D20" s="3" t="s">
        <v>149</v>
      </c>
      <c r="E20" s="3" t="s">
        <v>150</v>
      </c>
      <c r="F20" s="3" t="s">
        <v>151</v>
      </c>
      <c r="G20" s="3" t="s">
        <v>152</v>
      </c>
      <c r="H20" s="3" t="s">
        <v>151</v>
      </c>
      <c r="I20" s="3" t="s">
        <v>153</v>
      </c>
      <c r="J20" s="2"/>
      <c r="K20" s="2"/>
      <c r="L20" s="3" t="s">
        <v>126</v>
      </c>
      <c r="M20" s="4">
        <v>19.0</v>
      </c>
      <c r="N20" s="3" t="str">
        <f>IFERROR(__xludf.DUMMYFUNCTION("GOOGLETRANSLATE(C20,""en"",""zh-CN"")"),"服装颜色深沉且款式简洁。这暗示着这种修行方式的重点是什么？")</f>
        <v>服装颜色深沉且款式简洁。这暗示着这种修行方式的重点是什么？</v>
      </c>
      <c r="O20" s="3" t="str">
        <f>IFERROR(__xludf.DUMMYFUNCTION("GOOGLETRANSLATE(D20,""en"",""zh-CN"")"),"它是一种极具攻击性的武术形式")</f>
        <v>它是一种极具攻击性的武术形式</v>
      </c>
      <c r="P20" s="3" t="str">
        <f>IFERROR(__xludf.DUMMYFUNCTION("GOOGLETRANSLATE(E20,""en"",""zh-CN"")"),"它旨在引人注目，引人注目。")</f>
        <v>它旨在引人注目，引人注目。</v>
      </c>
      <c r="Q20" s="3" t="str">
        <f>IFERROR(__xludf.DUMMYFUNCTION("GOOGLETRANSLATE(F20,""en"",""zh-CN"")"),"重点在于内部运动，而非外部表现。")</f>
        <v>重点在于内部运动，而非外部表现。</v>
      </c>
      <c r="R20" s="3" t="str">
        <f>IFERROR(__xludf.DUMMYFUNCTION("GOOGLETRANSLATE(G20,""en"",""zh-CN"")"),"这是一种现代风格的服装。")</f>
        <v>这是一种现代风格的服装。</v>
      </c>
      <c r="S20" s="3" t="s">
        <v>154</v>
      </c>
      <c r="T20" s="3" t="str">
        <f>IFERROR(__xludf.DUMMYFUNCTION("GOOGLETRANSLATE(H20,""en"",""zh-CN"")"),"重点在于内部运动，而非外部表现。")</f>
        <v>重点在于内部运动，而非外部表现。</v>
      </c>
      <c r="U20" s="3" t="str">
        <f>IFERROR(__xludf.DUMMYFUNCTION("GOOGLETRANSLATE(I20,""en"",""zh-CN"")"),"简洁的深色服装不会分散注意力，将注意力从外表转移到内在感受、能量流动和身体的微妙动作上。")</f>
        <v>简洁的深色服装不会分散注意力，将注意力从外表转移到内在感受、能量流动和身体的微妙动作上。</v>
      </c>
      <c r="V20" s="2"/>
      <c r="W20" s="2"/>
      <c r="X20" s="2"/>
      <c r="Y20" s="2"/>
      <c r="Z20" s="2"/>
      <c r="AA20" s="2"/>
      <c r="AB20" s="2"/>
      <c r="AC20" s="2"/>
      <c r="AD20" s="2"/>
      <c r="AE20" s="2"/>
      <c r="AF20" s="2"/>
      <c r="AG20" s="2"/>
      <c r="AH20" s="2"/>
      <c r="AI20" s="2"/>
      <c r="AJ20" s="2"/>
      <c r="AK20" s="2"/>
      <c r="AL20" s="2"/>
    </row>
    <row r="21" ht="22.5" customHeight="1">
      <c r="A21" s="3" t="s">
        <v>126</v>
      </c>
      <c r="B21" s="4">
        <v>20.0</v>
      </c>
      <c r="C21" s="3" t="s">
        <v>155</v>
      </c>
      <c r="D21" s="3" t="s">
        <v>156</v>
      </c>
      <c r="E21" s="3" t="s">
        <v>157</v>
      </c>
      <c r="F21" s="3" t="s">
        <v>158</v>
      </c>
      <c r="G21" s="3" t="s">
        <v>159</v>
      </c>
      <c r="H21" s="3" t="s">
        <v>158</v>
      </c>
      <c r="I21" s="3" t="s">
        <v>160</v>
      </c>
      <c r="J21" s="2"/>
      <c r="K21" s="2"/>
      <c r="L21" s="3" t="s">
        <v>126</v>
      </c>
      <c r="M21" s="4">
        <v>20.0</v>
      </c>
      <c r="N21" s="3" t="str">
        <f>IFERROR(__xludf.DUMMYFUNCTION("GOOGLETRANSLATE(C21,""en"",""zh-CN"")"),"练习者正在做一个双手并用的姿势。这个动作体现了什么概念？")</f>
        <v>练习者正在做一个双手并用的姿势。这个动作体现了什么概念？</v>
      </c>
      <c r="O21" s="3" t="str">
        <f>IFERROR(__xludf.DUMMYFUNCTION("GOOGLETRANSLATE(D21,""en"",""zh-CN"")"),"击中目标")</f>
        <v>击中目标</v>
      </c>
      <c r="P21" s="3" t="str">
        <f>IFERROR(__xludf.DUMMYFUNCTION("GOOGLETRANSLATE(E21,""en"",""zh-CN"")"),"格挡和招架")</f>
        <v>格挡和招架</v>
      </c>
      <c r="Q21" s="3" t="str">
        <f>IFERROR(__xludf.DUMMYFUNCTION("GOOGLETRANSLATE(F21,""en"",""zh-CN"")"),"阴阳的相互作用")</f>
        <v>阴阳的相互作用</v>
      </c>
      <c r="R21" s="3" t="str">
        <f>IFERROR(__xludf.DUMMYFUNCTION("GOOGLETRANSLATE(G21,""en"",""zh-CN"")"),"拉伸肌肉")</f>
        <v>拉伸肌肉</v>
      </c>
      <c r="S21" s="3" t="s">
        <v>161</v>
      </c>
      <c r="T21" s="3" t="str">
        <f>IFERROR(__xludf.DUMMYFUNCTION("GOOGLETRANSLATE(H21,""en"",""zh-CN"")"),"阴阳的相互作用")</f>
        <v>阴阳的相互作用</v>
      </c>
      <c r="U21" s="3" t="str">
        <f>IFERROR(__xludf.DUMMYFUNCTION("GOOGLETRANSLATE(I21,""en"",""zh-CN"")"),"太极拳的许多动作，例如这个动作，都涉及双手以相反或互补的方式运动，象征着阴阳平衡和谐的力量的概念。")</f>
        <v>太极拳的许多动作，例如这个动作，都涉及双手以相反或互补的方式运动，象征着阴阳平衡和谐的力量的概念。</v>
      </c>
      <c r="V21" s="2"/>
      <c r="W21" s="2"/>
      <c r="X21" s="2"/>
      <c r="Y21" s="2"/>
      <c r="Z21" s="2"/>
      <c r="AA21" s="2"/>
      <c r="AB21" s="2"/>
      <c r="AC21" s="2"/>
      <c r="AD21" s="2"/>
      <c r="AE21" s="2"/>
      <c r="AF21" s="2"/>
      <c r="AG21" s="2"/>
      <c r="AH21" s="2"/>
      <c r="AI21" s="2"/>
      <c r="AJ21" s="2"/>
      <c r="AK21" s="2"/>
      <c r="AL21" s="2"/>
    </row>
    <row r="22" ht="22.5" customHeight="1">
      <c r="A22" s="3" t="s">
        <v>162</v>
      </c>
      <c r="B22" s="4">
        <v>21.0</v>
      </c>
      <c r="C22" s="3" t="s">
        <v>163</v>
      </c>
      <c r="D22" s="3" t="s">
        <v>164</v>
      </c>
      <c r="E22" s="3" t="s">
        <v>165</v>
      </c>
      <c r="F22" s="3" t="s">
        <v>166</v>
      </c>
      <c r="G22" s="3" t="s">
        <v>167</v>
      </c>
      <c r="H22" s="3" t="s">
        <v>166</v>
      </c>
      <c r="I22" s="3" t="s">
        <v>168</v>
      </c>
      <c r="J22" s="2"/>
      <c r="K22" s="2"/>
      <c r="L22" s="3" t="s">
        <v>162</v>
      </c>
      <c r="M22" s="4">
        <v>21.0</v>
      </c>
      <c r="N22" s="3" t="str">
        <f>IFERROR(__xludf.DUMMYFUNCTION("GOOGLETRANSLATE(C22,""en"",""zh-CN"")"),"这张图片中最突出的视觉元素是什么？")</f>
        <v>这张图片中最突出的视觉元素是什么？</v>
      </c>
      <c r="O22" s="3" t="str">
        <f>IFERROR(__xludf.DUMMYFUNCTION("GOOGLETRANSLATE(D22,""en"",""zh-CN"")"),"制服的颜色")</f>
        <v>制服的颜色</v>
      </c>
      <c r="P22" s="3" t="str">
        <f>IFERROR(__xludf.DUMMYFUNCTION("GOOGLETRANSLATE(E22,""en"",""zh-CN"")"),"背景架构")</f>
        <v>背景架构</v>
      </c>
      <c r="Q22" s="3" t="str">
        <f>IFERROR(__xludf.DUMMYFUNCTION("GOOGLETRANSLATE(F22,""en"",""zh-CN"")"),"主执业者高举的双手")</f>
        <v>主执业者高举的双手</v>
      </c>
      <c r="R22" s="3" t="str">
        <f>IFERROR(__xludf.DUMMYFUNCTION("GOOGLETRANSLATE(G22,""en"",""zh-CN"")"),"红毯")</f>
        <v>红毯</v>
      </c>
      <c r="S22" s="3" t="s">
        <v>169</v>
      </c>
      <c r="T22" s="3" t="str">
        <f>IFERROR(__xludf.DUMMYFUNCTION("GOOGLETRANSLATE(H22,""en"",""zh-CN"")"),"主执业者高举的双手")</f>
        <v>主执业者高举的双手</v>
      </c>
      <c r="U22" s="3" t="str">
        <f>IFERROR(__xludf.DUMMYFUNCTION("GOOGLETRANSLATE(I22,""en"",""zh-CN"")"),"这张照片的构图方式巧妙地将视线吸引到画面中央的修行者身上，她高举着双手，使她成为照片的焦点。")</f>
        <v>这张照片的构图方式巧妙地将视线吸引到画面中央的修行者身上，她高举着双手，使她成为照片的焦点。</v>
      </c>
      <c r="V22" s="2"/>
      <c r="W22" s="2"/>
      <c r="X22" s="2"/>
      <c r="Y22" s="2"/>
      <c r="Z22" s="2"/>
      <c r="AA22" s="2"/>
      <c r="AB22" s="2"/>
      <c r="AC22" s="2"/>
      <c r="AD22" s="2"/>
      <c r="AE22" s="2"/>
      <c r="AF22" s="2"/>
      <c r="AG22" s="2"/>
      <c r="AH22" s="2"/>
      <c r="AI22" s="2"/>
      <c r="AJ22" s="2"/>
      <c r="AK22" s="2"/>
      <c r="AL22" s="2"/>
    </row>
    <row r="23" ht="22.5" customHeight="1">
      <c r="A23" s="3" t="s">
        <v>162</v>
      </c>
      <c r="B23" s="4">
        <v>22.0</v>
      </c>
      <c r="C23" s="3" t="s">
        <v>170</v>
      </c>
      <c r="D23" s="3" t="s">
        <v>171</v>
      </c>
      <c r="E23" s="3" t="s">
        <v>172</v>
      </c>
      <c r="F23" s="3" t="s">
        <v>173</v>
      </c>
      <c r="G23" s="3" t="s">
        <v>174</v>
      </c>
      <c r="H23" s="3" t="s">
        <v>173</v>
      </c>
      <c r="I23" s="3" t="s">
        <v>175</v>
      </c>
      <c r="J23" s="2"/>
      <c r="K23" s="2"/>
      <c r="L23" s="3" t="s">
        <v>162</v>
      </c>
      <c r="M23" s="4">
        <v>22.0</v>
      </c>
      <c r="N23" s="3" t="str">
        <f>IFERROR(__xludf.DUMMYFUNCTION("GOOGLETRANSLATE(C23,""en"",""zh-CN"")"),"为什么从业人员要穿相同颜色的制服？")</f>
        <v>为什么从业人员要穿相同颜色的制服？</v>
      </c>
      <c r="O23" s="3" t="str">
        <f>IFERROR(__xludf.DUMMYFUNCTION("GOOGLETRANSLATE(D23,""en"",""zh-CN"")"),"这是会员资格的必要条件。")</f>
        <v>这是会员资格的必要条件。</v>
      </c>
      <c r="P23" s="3" t="str">
        <f>IFERROR(__xludf.DUMMYFUNCTION("GOOGLETRANSLATE(E23,""en"",""zh-CN"")"),"它象征着一种精神上的奉献。")</f>
        <v>它象征着一种精神上的奉献。</v>
      </c>
      <c r="Q23" s="3" t="str">
        <f>IFERROR(__xludf.DUMMYFUNCTION("GOOGLETRANSLATE(F23,""en"",""zh-CN"")"),"它营造了视觉上的统一性和社区感。")</f>
        <v>它营造了视觉上的统一性和社区感。</v>
      </c>
      <c r="R23" s="3" t="str">
        <f>IFERROR(__xludf.DUMMYFUNCTION("GOOGLETRANSLATE(G23,""en"",""zh-CN"")"),"这是家族的传统习俗")</f>
        <v>这是家族的传统习俗</v>
      </c>
      <c r="S23" s="3" t="s">
        <v>176</v>
      </c>
      <c r="T23" s="3" t="str">
        <f>IFERROR(__xludf.DUMMYFUNCTION("GOOGLETRANSLATE(H23,""en"",""zh-CN"")"),"它营造了视觉上的统一性和社区感。")</f>
        <v>它营造了视觉上的统一性和社区感。</v>
      </c>
      <c r="U23" s="3" t="str">
        <f>IFERROR(__xludf.DUMMYFUNCTION("GOOGLETRANSLATE(I23,""en"",""zh-CN"")"),"穿着统一的制服有助于在表演者之间建立团结和社区感，并使团队在公开表演中看起来更加协调一致。")</f>
        <v>穿着统一的制服有助于在表演者之间建立团结和社区感，并使团队在公开表演中看起来更加协调一致。</v>
      </c>
      <c r="V23" s="2"/>
      <c r="W23" s="2"/>
      <c r="X23" s="2"/>
      <c r="Y23" s="2"/>
      <c r="Z23" s="2"/>
      <c r="AA23" s="2"/>
      <c r="AB23" s="2"/>
      <c r="AC23" s="2"/>
      <c r="AD23" s="2"/>
      <c r="AE23" s="2"/>
      <c r="AF23" s="2"/>
      <c r="AG23" s="2"/>
      <c r="AH23" s="2"/>
      <c r="AI23" s="2"/>
      <c r="AJ23" s="2"/>
      <c r="AK23" s="2"/>
      <c r="AL23" s="2"/>
    </row>
    <row r="24" ht="22.5" customHeight="1">
      <c r="A24" s="3" t="s">
        <v>162</v>
      </c>
      <c r="B24" s="4">
        <v>23.0</v>
      </c>
      <c r="C24" s="3" t="s">
        <v>177</v>
      </c>
      <c r="D24" s="3" t="s">
        <v>178</v>
      </c>
      <c r="E24" s="3" t="s">
        <v>179</v>
      </c>
      <c r="F24" s="3" t="s">
        <v>180</v>
      </c>
      <c r="G24" s="3" t="s">
        <v>181</v>
      </c>
      <c r="H24" s="3" t="s">
        <v>179</v>
      </c>
      <c r="I24" s="3" t="s">
        <v>182</v>
      </c>
      <c r="J24" s="2"/>
      <c r="K24" s="2"/>
      <c r="L24" s="3" t="s">
        <v>162</v>
      </c>
      <c r="M24" s="4">
        <v>23.0</v>
      </c>
      <c r="N24" s="3" t="str">
        <f>IFERROR(__xludf.DUMMYFUNCTION("GOOGLETRANSLATE(C24,""en"",""zh-CN"")"),"图中所示的举手动作通常与什么有关？")</f>
        <v>图中所示的举手动作通常与什么有关？</v>
      </c>
      <c r="O24" s="3" t="str">
        <f>IFERROR(__xludf.DUMMYFUNCTION("GOOGLETRANSLATE(D24,""en"",""zh-CN"")"),"伸手去拿物体")</f>
        <v>伸手去拿物体</v>
      </c>
      <c r="P24" s="3" t="str">
        <f>IFERROR(__xludf.DUMMYFUNCTION("GOOGLETRANSLATE(E24,""en"",""zh-CN"")"),"对抗一股假想的力量")</f>
        <v>对抗一股假想的力量</v>
      </c>
      <c r="Q24" s="3" t="str">
        <f>IFERROR(__xludf.DUMMYFUNCTION("GOOGLETRANSLATE(F24,""en"",""zh-CN"")"),"最终姿势")</f>
        <v>最终姿势</v>
      </c>
      <c r="R24" s="3" t="str">
        <f>IFERROR(__xludf.DUMMYFUNCTION("GOOGLETRANSLATE(G24,""en"",""zh-CN"")"),"一个友好的姿态")</f>
        <v>一个友好的姿态</v>
      </c>
      <c r="S24" s="3" t="s">
        <v>183</v>
      </c>
      <c r="T24" s="3" t="str">
        <f>IFERROR(__xludf.DUMMYFUNCTION("GOOGLETRANSLATE(H24,""en"",""zh-CN"")"),"对抗一股假想的力量")</f>
        <v>对抗一股假想的力量</v>
      </c>
      <c r="U24" s="3" t="str">
        <f>IFERROR(__xludf.DUMMYFUNCTION("GOOGLETRANSLATE(I24,""en"",""zh-CN"")"),"太极拳的许多动作都包含推或“按压”姿势，练习者伸出双手，仿佛在对抗一股柔软但有阻力的力量。")</f>
        <v>太极拳的许多动作都包含推或“按压”姿势，练习者伸出双手，仿佛在对抗一股柔软但有阻力的力量。</v>
      </c>
      <c r="V24" s="2"/>
      <c r="W24" s="2"/>
      <c r="X24" s="2"/>
      <c r="Y24" s="2"/>
      <c r="Z24" s="2"/>
      <c r="AA24" s="2"/>
      <c r="AB24" s="2"/>
      <c r="AC24" s="2"/>
      <c r="AD24" s="2"/>
      <c r="AE24" s="2"/>
      <c r="AF24" s="2"/>
      <c r="AG24" s="2"/>
      <c r="AH24" s="2"/>
      <c r="AI24" s="2"/>
      <c r="AJ24" s="2"/>
      <c r="AK24" s="2"/>
      <c r="AL24" s="2"/>
    </row>
    <row r="25" ht="22.5" customHeight="1">
      <c r="A25" s="3" t="s">
        <v>162</v>
      </c>
      <c r="B25" s="4">
        <v>24.0</v>
      </c>
      <c r="C25" s="3" t="s">
        <v>184</v>
      </c>
      <c r="D25" s="3" t="s">
        <v>185</v>
      </c>
      <c r="E25" s="3" t="s">
        <v>186</v>
      </c>
      <c r="F25" s="3" t="s">
        <v>187</v>
      </c>
      <c r="G25" s="3" t="s">
        <v>188</v>
      </c>
      <c r="H25" s="3" t="s">
        <v>187</v>
      </c>
      <c r="I25" s="3" t="s">
        <v>189</v>
      </c>
      <c r="J25" s="2"/>
      <c r="K25" s="2"/>
      <c r="L25" s="3" t="s">
        <v>162</v>
      </c>
      <c r="M25" s="4">
        <v>24.0</v>
      </c>
      <c r="N25" s="3" t="str">
        <f>IFERROR(__xludf.DUMMYFUNCTION("GOOGLETRANSLATE(C25,""en"",""zh-CN"")"),"鉴于人数众多且场合正式，这可能是什么活动？")</f>
        <v>鉴于人数众多且场合正式，这可能是什么活动？</v>
      </c>
      <c r="O25" s="3" t="str">
        <f>IFERROR(__xludf.DUMMYFUNCTION("GOOGLETRANSLATE(D25,""en"",""zh-CN"")"),"每日晨间课程")</f>
        <v>每日晨间课程</v>
      </c>
      <c r="P25" s="3" t="str">
        <f>IFERROR(__xludf.DUMMYFUNCTION("GOOGLETRANSLATE(E25,""en"",""zh-CN"")"),"一场武术比赛")</f>
        <v>一场武术比赛</v>
      </c>
      <c r="Q25" s="3" t="str">
        <f>IFERROR(__xludf.DUMMYFUNCTION("GOOGLETRANSLATE(F25,""en"",""zh-CN"")"),"一场特别的公开表演或示威活动")</f>
        <v>一场特别的公开表演或示威活动</v>
      </c>
      <c r="R25" s="3" t="str">
        <f>IFERROR(__xludf.DUMMYFUNCTION("GOOGLETRANSLATE(G25,""en"",""zh-CN"")"),"私人工作室")</f>
        <v>私人工作室</v>
      </c>
      <c r="S25" s="3" t="s">
        <v>190</v>
      </c>
      <c r="T25" s="3" t="str">
        <f>IFERROR(__xludf.DUMMYFUNCTION("GOOGLETRANSLATE(H25,""en"",""zh-CN"")"),"一场特别的公开表演或示威活动")</f>
        <v>一场特别的公开表演或示威活动</v>
      </c>
      <c r="U25" s="3" t="str">
        <f>IFERROR(__xludf.DUMMYFUNCTION("GOOGLETRANSLATE(I25,""en"",""zh-CN"")"),"团体规模、统一的制服、红毯以及显眼的背景表明这是一场正式的公共活动，而不是一次随意的日常活动。")</f>
        <v>团体规模、统一的制服、红毯以及显眼的背景表明这是一场正式的公共活动，而不是一次随意的日常活动。</v>
      </c>
      <c r="V25" s="2"/>
      <c r="W25" s="2"/>
      <c r="X25" s="2"/>
      <c r="Y25" s="2"/>
      <c r="Z25" s="2"/>
      <c r="AA25" s="2"/>
      <c r="AB25" s="2"/>
      <c r="AC25" s="2"/>
      <c r="AD25" s="2"/>
      <c r="AE25" s="2"/>
      <c r="AF25" s="2"/>
      <c r="AG25" s="2"/>
      <c r="AH25" s="2"/>
      <c r="AI25" s="2"/>
      <c r="AJ25" s="2"/>
      <c r="AK25" s="2"/>
      <c r="AL25" s="2"/>
    </row>
    <row r="26" ht="22.5" customHeight="1">
      <c r="A26" s="3" t="s">
        <v>162</v>
      </c>
      <c r="B26" s="4">
        <v>25.0</v>
      </c>
      <c r="C26" s="3" t="s">
        <v>191</v>
      </c>
      <c r="D26" s="3" t="s">
        <v>192</v>
      </c>
      <c r="E26" s="3" t="s">
        <v>193</v>
      </c>
      <c r="F26" s="3" t="s">
        <v>194</v>
      </c>
      <c r="G26" s="3" t="s">
        <v>195</v>
      </c>
      <c r="H26" s="3" t="s">
        <v>195</v>
      </c>
      <c r="I26" s="3" t="s">
        <v>196</v>
      </c>
      <c r="J26" s="2"/>
      <c r="K26" s="2"/>
      <c r="L26" s="3" t="s">
        <v>162</v>
      </c>
      <c r="M26" s="4">
        <v>25.0</v>
      </c>
      <c r="N26" s="3" t="str">
        <f>IFERROR(__xludf.DUMMYFUNCTION("GOOGLETRANSLATE(C26,""en"",""zh-CN"")"),"修行者手势中张开的手掌有什么作用？")</f>
        <v>修行者手势中张开的手掌有什么作用？</v>
      </c>
      <c r="O26" s="3" t="str">
        <f>IFERROR(__xludf.DUMMYFUNCTION("GOOGLETRANSLATE(D26,""en"",""zh-CN"")"),"表示一个非武装国家")</f>
        <v>表示一个非武装国家</v>
      </c>
      <c r="P26" s="3" t="str">
        <f>IFERROR(__xludf.DUMMYFUNCTION("GOOGLETRANSLATE(E26,""en"",""zh-CN"")"),"为展现战斗准备")</f>
        <v>为展现战斗准备</v>
      </c>
      <c r="Q26" s="3" t="str">
        <f>IFERROR(__xludf.DUMMYFUNCTION("GOOGLETRANSLATE(F26,""en"",""zh-CN"")"),"吸收能量")</f>
        <v>吸收能量</v>
      </c>
      <c r="R26" s="3" t="str">
        <f>IFERROR(__xludf.DUMMYFUNCTION("GOOGLETRANSLATE(G26,""en"",""zh-CN"")"),"展现平衡和开放的心态")</f>
        <v>展现平衡和开放的心态</v>
      </c>
      <c r="S26" s="3" t="s">
        <v>197</v>
      </c>
      <c r="T26" s="3" t="str">
        <f>IFERROR(__xludf.DUMMYFUNCTION("GOOGLETRANSLATE(H26,""en"",""zh-CN"")"),"展现平衡和开放的心态")</f>
        <v>展现平衡和开放的心态</v>
      </c>
      <c r="U26" s="3" t="str">
        <f>IFERROR(__xludf.DUMMYFUNCTION("GOOGLETRANSLATE(I26,""en"",""zh-CN"")"),"在太极拳中，张开的手掌很常见，这不仅代表着缺乏攻击性，也代表着一种开放、平衡以及对能量和环境的接纳的姿态。")</f>
        <v>在太极拳中，张开的手掌很常见，这不仅代表着缺乏攻击性，也代表着一种开放、平衡以及对能量和环境的接纳的姿态。</v>
      </c>
      <c r="V26" s="2"/>
      <c r="W26" s="2"/>
      <c r="X26" s="2"/>
      <c r="Y26" s="2"/>
      <c r="Z26" s="2"/>
      <c r="AA26" s="2"/>
      <c r="AB26" s="2"/>
      <c r="AC26" s="2"/>
      <c r="AD26" s="2"/>
      <c r="AE26" s="2"/>
      <c r="AF26" s="2"/>
      <c r="AG26" s="2"/>
      <c r="AH26" s="2"/>
      <c r="AI26" s="2"/>
      <c r="AJ26" s="2"/>
      <c r="AK26" s="2"/>
      <c r="AL26" s="2"/>
    </row>
    <row r="27" ht="22.5" customHeight="1">
      <c r="A27" s="3" t="s">
        <v>198</v>
      </c>
      <c r="B27" s="4">
        <v>26.0</v>
      </c>
      <c r="C27" s="3" t="s">
        <v>199</v>
      </c>
      <c r="D27" s="3" t="s">
        <v>200</v>
      </c>
      <c r="E27" s="3" t="s">
        <v>201</v>
      </c>
      <c r="F27" s="3" t="s">
        <v>202</v>
      </c>
      <c r="G27" s="3" t="s">
        <v>203</v>
      </c>
      <c r="H27" s="3" t="s">
        <v>202</v>
      </c>
      <c r="I27" s="3" t="s">
        <v>204</v>
      </c>
      <c r="J27" s="2"/>
      <c r="K27" s="2"/>
      <c r="L27" s="3" t="s">
        <v>198</v>
      </c>
      <c r="M27" s="4">
        <v>26.0</v>
      </c>
      <c r="N27" s="3" t="str">
        <f>IFERROR(__xludf.DUMMYFUNCTION("GOOGLETRANSLATE(C27,""en"",""zh-CN"")"),"这张图片中正在进行什么活动？")</f>
        <v>这张图片中正在进行什么活动？</v>
      </c>
      <c r="O27" s="3" t="str">
        <f>IFERROR(__xludf.DUMMYFUNCTION("GOOGLETRANSLATE(D27,""en"",""zh-CN"")"),"一套体操动作")</f>
        <v>一套体操动作</v>
      </c>
      <c r="P27" s="3" t="str">
        <f>IFERROR(__xludf.DUMMYFUNCTION("GOOGLETRANSLATE(E27,""en"",""zh-CN"")"),"一场摔跤比赛")</f>
        <v>一场摔跤比赛</v>
      </c>
      <c r="Q27" s="3" t="str">
        <f>IFERROR(__xludf.DUMMYFUNCTION("GOOGLETRANSLATE(F27,""en"",""zh-CN"")"),"柔道投技")</f>
        <v>柔道投技</v>
      </c>
      <c r="R27" s="3" t="str">
        <f>IFERROR(__xludf.DUMMYFUNCTION("GOOGLETRANSLATE(G27,""en"",""zh-CN"")"),"太极推手练习")</f>
        <v>太极推手练习</v>
      </c>
      <c r="S27" s="3" t="s">
        <v>205</v>
      </c>
      <c r="T27" s="3" t="str">
        <f>IFERROR(__xludf.DUMMYFUNCTION("GOOGLETRANSLATE(H27,""en"",""zh-CN"")"),"柔道投技")</f>
        <v>柔道投技</v>
      </c>
      <c r="U27" s="3" t="str">
        <f>IFERROR(__xludf.DUMMYFUNCTION("GOOGLETRANSLATE(I27,""en"",""zh-CN"")"),"图片清晰地显示，一人用臀部将另一人摔倒在地，这是一种经典的柔道摔法，而不是太极拳的动作。")</f>
        <v>图片清晰地显示，一人用臀部将另一人摔倒在地，这是一种经典的柔道摔法，而不是太极拳的动作。</v>
      </c>
      <c r="V27" s="2"/>
      <c r="W27" s="2"/>
      <c r="X27" s="2"/>
      <c r="Y27" s="2"/>
      <c r="Z27" s="2"/>
      <c r="AA27" s="2"/>
      <c r="AB27" s="2"/>
      <c r="AC27" s="2"/>
      <c r="AD27" s="2"/>
      <c r="AE27" s="2"/>
      <c r="AF27" s="2"/>
      <c r="AG27" s="2"/>
      <c r="AH27" s="2"/>
      <c r="AI27" s="2"/>
      <c r="AJ27" s="2"/>
      <c r="AK27" s="2"/>
      <c r="AL27" s="2"/>
    </row>
    <row r="28" ht="22.5" customHeight="1">
      <c r="A28" s="3" t="s">
        <v>198</v>
      </c>
      <c r="B28" s="4">
        <v>27.0</v>
      </c>
      <c r="C28" s="3" t="s">
        <v>206</v>
      </c>
      <c r="D28" s="3" t="s">
        <v>207</v>
      </c>
      <c r="E28" s="3" t="s">
        <v>208</v>
      </c>
      <c r="F28" s="3" t="s">
        <v>209</v>
      </c>
      <c r="G28" s="3" t="s">
        <v>210</v>
      </c>
      <c r="H28" s="3" t="s">
        <v>210</v>
      </c>
      <c r="I28" s="3" t="s">
        <v>211</v>
      </c>
      <c r="J28" s="2"/>
      <c r="K28" s="2"/>
      <c r="L28" s="3" t="s">
        <v>198</v>
      </c>
      <c r="M28" s="4">
        <v>27.0</v>
      </c>
      <c r="N28" s="3" t="str">
        <f>IFERROR(__xludf.DUMMYFUNCTION("GOOGLETRANSLATE(C28,""en"",""zh-CN"")"),"这项活动与传统太极拳有何不同？")</f>
        <v>这项活动与传统太极拳有何不同？</v>
      </c>
      <c r="O28" s="3" t="str">
        <f>IFERROR(__xludf.DUMMYFUNCTION("GOOGLETRANSLATE(D28,""en"",""zh-CN"")"),"它使用武器")</f>
        <v>它使用武器</v>
      </c>
      <c r="P28" s="3" t="str">
        <f>IFERROR(__xludf.DUMMYFUNCTION("GOOGLETRANSLATE(E28,""en"",""zh-CN"")"),"这是一项合作活动")</f>
        <v>这是一项合作活动</v>
      </c>
      <c r="Q28" s="3" t="str">
        <f>IFERROR(__xludf.DUMMYFUNCTION("GOOGLETRANSLATE(F28,""en"",""zh-CN"")"),"它是一种武术")</f>
        <v>它是一种武术</v>
      </c>
      <c r="R28" s="3" t="str">
        <f>IFERROR(__xludf.DUMMYFUNCTION("GOOGLETRANSLATE(G28,""en"",""zh-CN"")"),"这是一项高强度、竞争激烈的运动，以投掷为重点。")</f>
        <v>这是一项高强度、竞争激烈的运动，以投掷为重点。</v>
      </c>
      <c r="S28" s="3" t="s">
        <v>212</v>
      </c>
      <c r="T28" s="3" t="str">
        <f>IFERROR(__xludf.DUMMYFUNCTION("GOOGLETRANSLATE(H28,""en"",""zh-CN"")"),"这是一项高强度、竞争激烈的运动，以投掷为重点。")</f>
        <v>这是一项高强度、竞争激烈的运动，以投掷为重点。</v>
      </c>
      <c r="U28" s="3" t="str">
        <f>IFERROR(__xludf.DUMMYFUNCTION("GOOGLETRANSLATE(I28,""en"",""zh-CN"")"),"与太极拳缓慢、柔和的动作不同，这项运动是一项充满活力、竞争激烈的运动，动作爆发力强，注重将对手摔倒在地，因此与太极拳截然不同。")</f>
        <v>与太极拳缓慢、柔和的动作不同，这项运动是一项充满活力、竞争激烈的运动，动作爆发力强，注重将对手摔倒在地，因此与太极拳截然不同。</v>
      </c>
      <c r="V28" s="2"/>
      <c r="W28" s="2"/>
      <c r="X28" s="2"/>
      <c r="Y28" s="2"/>
      <c r="Z28" s="2"/>
      <c r="AA28" s="2"/>
      <c r="AB28" s="2"/>
      <c r="AC28" s="2"/>
      <c r="AD28" s="2"/>
      <c r="AE28" s="2"/>
      <c r="AF28" s="2"/>
      <c r="AG28" s="2"/>
      <c r="AH28" s="2"/>
      <c r="AI28" s="2"/>
      <c r="AJ28" s="2"/>
      <c r="AK28" s="2"/>
      <c r="AL28" s="2"/>
    </row>
    <row r="29" ht="22.5" customHeight="1">
      <c r="A29" s="3" t="s">
        <v>198</v>
      </c>
      <c r="B29" s="4">
        <v>28.0</v>
      </c>
      <c r="C29" s="3" t="s">
        <v>213</v>
      </c>
      <c r="D29" s="3" t="s">
        <v>48</v>
      </c>
      <c r="E29" s="3" t="s">
        <v>49</v>
      </c>
      <c r="F29" s="3" t="s">
        <v>214</v>
      </c>
      <c r="G29" s="3" t="s">
        <v>215</v>
      </c>
      <c r="H29" s="3" t="s">
        <v>49</v>
      </c>
      <c r="I29" s="3" t="s">
        <v>216</v>
      </c>
      <c r="J29" s="2"/>
      <c r="K29" s="2"/>
      <c r="L29" s="3" t="s">
        <v>198</v>
      </c>
      <c r="M29" s="4">
        <v>28.0</v>
      </c>
      <c r="N29" s="3" t="str">
        <f>IFERROR(__xludf.DUMMYFUNCTION("GOOGLETRANSLATE(C29,""en"",""zh-CN"")"),"参赛者所穿的服装被称为？")</f>
        <v>参赛者所穿的服装被称为？</v>
      </c>
      <c r="O29" s="3" t="str">
        <f>IFERROR(__xludf.DUMMYFUNCTION("GOOGLETRANSLATE(D29,""en"",""zh-CN"")"),"和服")</f>
        <v>和服</v>
      </c>
      <c r="P29" s="3" t="str">
        <f>IFERROR(__xludf.DUMMYFUNCTION("GOOGLETRANSLATE(E29,""en"",""zh-CN"")"),"吉")</f>
        <v>吉</v>
      </c>
      <c r="Q29" s="3" t="str">
        <f>IFERROR(__xludf.DUMMYFUNCTION("GOOGLETRANSLATE(F29,""en"",""zh-CN"")"),"太极服")</f>
        <v>太极服</v>
      </c>
      <c r="R29" s="3" t="str">
        <f>IFERROR(__xludf.DUMMYFUNCTION("GOOGLETRANSLATE(G29,""en"",""zh-CN"")"),"多博克")</f>
        <v>多博克</v>
      </c>
      <c r="S29" s="3" t="s">
        <v>217</v>
      </c>
      <c r="T29" s="3" t="str">
        <f>IFERROR(__xludf.DUMMYFUNCTION("GOOGLETRANSLATE(H29,""en"",""zh-CN"")"),"吉")</f>
        <v>吉</v>
      </c>
      <c r="U29" s="3" t="str">
        <f>IFERROR(__xludf.DUMMYFUNCTION("GOOGLETRANSLATE(I29,""en"",""zh-CN"")"),"柔道和其他日本武术练习者所穿的制服称为道服（Gi）。")</f>
        <v>柔道和其他日本武术练习者所穿的制服称为道服（Gi）。</v>
      </c>
      <c r="V29" s="2"/>
      <c r="W29" s="2"/>
      <c r="X29" s="2"/>
      <c r="Y29" s="2"/>
      <c r="Z29" s="2"/>
      <c r="AA29" s="2"/>
      <c r="AB29" s="2"/>
      <c r="AC29" s="2"/>
      <c r="AD29" s="2"/>
      <c r="AE29" s="2"/>
      <c r="AF29" s="2"/>
      <c r="AG29" s="2"/>
      <c r="AH29" s="2"/>
      <c r="AI29" s="2"/>
      <c r="AJ29" s="2"/>
      <c r="AK29" s="2"/>
      <c r="AL29" s="2"/>
    </row>
    <row r="30" ht="22.5" customHeight="1">
      <c r="A30" s="3" t="s">
        <v>198</v>
      </c>
      <c r="B30" s="4">
        <v>29.0</v>
      </c>
      <c r="C30" s="3" t="s">
        <v>218</v>
      </c>
      <c r="D30" s="3" t="s">
        <v>219</v>
      </c>
      <c r="E30" s="3" t="s">
        <v>220</v>
      </c>
      <c r="F30" s="3" t="s">
        <v>221</v>
      </c>
      <c r="G30" s="3" t="s">
        <v>222</v>
      </c>
      <c r="H30" s="3" t="s">
        <v>220</v>
      </c>
      <c r="I30" s="3" t="s">
        <v>223</v>
      </c>
      <c r="J30" s="2"/>
      <c r="K30" s="2"/>
      <c r="L30" s="3" t="s">
        <v>198</v>
      </c>
      <c r="M30" s="4">
        <v>29.0</v>
      </c>
      <c r="N30" s="3" t="str">
        <f>IFERROR(__xludf.DUMMYFUNCTION("GOOGLETRANSLATE(C30,""en"",""zh-CN"")"),"哪种武术的名称翻译过来是“柔和之道”？")</f>
        <v>哪种武术的名称翻译过来是“柔和之道”？</v>
      </c>
      <c r="O30" s="3" t="str">
        <f>IFERROR(__xludf.DUMMYFUNCTION("GOOGLETRANSLATE(D30,""en"",""zh-CN"")"),"太极")</f>
        <v>太极</v>
      </c>
      <c r="P30" s="3" t="str">
        <f>IFERROR(__xludf.DUMMYFUNCTION("GOOGLETRANSLATE(E30,""en"",""zh-CN"")"),"柔道")</f>
        <v>柔道</v>
      </c>
      <c r="Q30" s="3" t="str">
        <f>IFERROR(__xludf.DUMMYFUNCTION("GOOGLETRANSLATE(F30,""en"",""zh-CN"")"),"空手道")</f>
        <v>空手道</v>
      </c>
      <c r="R30" s="3" t="str">
        <f>IFERROR(__xludf.DUMMYFUNCTION("GOOGLETRANSLATE(G30,""en"",""zh-CN"")"),"功夫")</f>
        <v>功夫</v>
      </c>
      <c r="S30" s="3" t="s">
        <v>224</v>
      </c>
      <c r="T30" s="3" t="str">
        <f>IFERROR(__xludf.DUMMYFUNCTION("GOOGLETRANSLATE(H30,""en"",""zh-CN"")"),"柔道")</f>
        <v>柔道</v>
      </c>
      <c r="U30" s="3" t="str">
        <f>IFERROR(__xludf.DUMMYFUNCTION("GOOGLETRANSLATE(I30,""en"",""zh-CN"")"),"柔道这个名称从日语翻译过来就是“柔和之道”，指的是利用对手的动量而不是蛮力来反制对手的原则。")</f>
        <v>柔道这个名称从日语翻译过来就是“柔和之道”，指的是利用对手的动量而不是蛮力来反制对手的原则。</v>
      </c>
      <c r="V30" s="2"/>
      <c r="W30" s="2"/>
      <c r="X30" s="2"/>
      <c r="Y30" s="2"/>
      <c r="Z30" s="2"/>
      <c r="AA30" s="2"/>
      <c r="AB30" s="2"/>
      <c r="AC30" s="2"/>
      <c r="AD30" s="2"/>
      <c r="AE30" s="2"/>
      <c r="AF30" s="2"/>
      <c r="AG30" s="2"/>
      <c r="AH30" s="2"/>
      <c r="AI30" s="2"/>
      <c r="AJ30" s="2"/>
      <c r="AK30" s="2"/>
      <c r="AL30" s="2"/>
    </row>
    <row r="31" ht="22.5" customHeight="1">
      <c r="A31" s="3" t="s">
        <v>198</v>
      </c>
      <c r="B31" s="4">
        <v>30.0</v>
      </c>
      <c r="C31" s="3" t="s">
        <v>225</v>
      </c>
      <c r="D31" s="3" t="s">
        <v>226</v>
      </c>
      <c r="E31" s="3" t="s">
        <v>227</v>
      </c>
      <c r="F31" s="3" t="s">
        <v>228</v>
      </c>
      <c r="G31" s="3" t="s">
        <v>229</v>
      </c>
      <c r="H31" s="3" t="s">
        <v>228</v>
      </c>
      <c r="I31" s="3" t="s">
        <v>230</v>
      </c>
      <c r="J31" s="2"/>
      <c r="K31" s="2"/>
      <c r="L31" s="3" t="s">
        <v>198</v>
      </c>
      <c r="M31" s="4">
        <v>30.0</v>
      </c>
      <c r="N31" s="3" t="str">
        <f>IFERROR(__xludf.DUMMYFUNCTION("GOOGLETRANSLATE(C31,""en"",""zh-CN"")"),"这张照片中的动作所体现的核心原则是什么？这种原则也是某些内家拳法中的概念。")</f>
        <v>这张照片中的动作所体现的核心原则是什么？这种原则也是某些内家拳法中的概念。</v>
      </c>
      <c r="O31" s="3" t="str">
        <f>IFERROR(__xludf.DUMMYFUNCTION("GOOGLETRANSLATE(D31,""en"",""zh-CN"")"),"蛮力")</f>
        <v>蛮力</v>
      </c>
      <c r="P31" s="3" t="str">
        <f>IFERROR(__xludf.DUMMYFUNCTION("GOOGLETRANSLATE(E31,""en"",""zh-CN"")"),"线性功率")</f>
        <v>线性功率</v>
      </c>
      <c r="Q31" s="3" t="str">
        <f>IFERROR(__xludf.DUMMYFUNCTION("GOOGLETRANSLATE(F31,""en"",""zh-CN"")"),"屈服于力量")</f>
        <v>屈服于力量</v>
      </c>
      <c r="R31" s="3" t="str">
        <f>IFERROR(__xludf.DUMMYFUNCTION("GOOGLETRANSLATE(G31,""en"",""zh-CN"")"),"严密防御")</f>
        <v>严密防御</v>
      </c>
      <c r="S31" s="3" t="s">
        <v>231</v>
      </c>
      <c r="T31" s="3" t="str">
        <f>IFERROR(__xludf.DUMMYFUNCTION("GOOGLETRANSLATE(H31,""en"",""zh-CN"")"),"屈服于力量")</f>
        <v>屈服于力量</v>
      </c>
      <c r="U31" s="3" t="str">
        <f>IFERROR(__xludf.DUMMYFUNCTION("GOOGLETRANSLATE(I31,""en"",""zh-CN"")"),"图中所示的技术是利用对手的力量使其失去平衡并将其摔倒，这一原则也是太极拳等许多内家拳法的核心。")</f>
        <v>图中所示的技术是利用对手的力量使其失去平衡并将其摔倒，这一原则也是太极拳等许多内家拳法的核心。</v>
      </c>
      <c r="V31" s="2"/>
      <c r="W31" s="2"/>
      <c r="X31" s="2"/>
      <c r="Y31" s="2"/>
      <c r="Z31" s="2"/>
      <c r="AA31" s="2"/>
      <c r="AB31" s="2"/>
      <c r="AC31" s="2"/>
      <c r="AD31" s="2"/>
      <c r="AE31" s="2"/>
      <c r="AF31" s="2"/>
      <c r="AG31" s="2"/>
      <c r="AH31" s="2"/>
      <c r="AI31" s="2"/>
      <c r="AJ31" s="2"/>
      <c r="AK31" s="2"/>
      <c r="AL31" s="2"/>
    </row>
    <row r="32" ht="22.5" customHeight="1">
      <c r="A32" s="3" t="s">
        <v>232</v>
      </c>
      <c r="B32" s="4">
        <v>31.0</v>
      </c>
      <c r="C32" s="3" t="s">
        <v>233</v>
      </c>
      <c r="D32" s="3" t="s">
        <v>234</v>
      </c>
      <c r="E32" s="3" t="s">
        <v>235</v>
      </c>
      <c r="F32" s="3" t="s">
        <v>236</v>
      </c>
      <c r="G32" s="3" t="s">
        <v>237</v>
      </c>
      <c r="H32" s="3" t="s">
        <v>235</v>
      </c>
      <c r="I32" s="3" t="s">
        <v>238</v>
      </c>
      <c r="J32" s="2"/>
      <c r="K32" s="2"/>
      <c r="L32" s="3" t="s">
        <v>232</v>
      </c>
      <c r="M32" s="4">
        <v>31.0</v>
      </c>
      <c r="N32" s="3" t="str">
        <f>IFERROR(__xludf.DUMMYFUNCTION("GOOGLETRANSLATE(C32,""en"",""zh-CN"")"),"练习者们正在进行同步动作。这表明这种练习方式有何特点？")</f>
        <v>练习者们正在进行同步动作。这表明这种练习方式有何特点？</v>
      </c>
      <c r="O32" s="3" t="str">
        <f>IFERROR(__xludf.DUMMYFUNCTION("GOOGLETRANSLATE(D32,""en"",""zh-CN"")"),"这是一套舞蹈动作。")</f>
        <v>这是一套舞蹈动作。</v>
      </c>
      <c r="P32" s="3" t="str">
        <f>IFERROR(__xludf.DUMMYFUNCTION("GOOGLETRANSLATE(E32,""en"",""zh-CN"")"),"它遵循预先设定的动作形式或顺序。")</f>
        <v>它遵循预先设定的动作形式或顺序。</v>
      </c>
      <c r="Q32" s="3" t="str">
        <f>IFERROR(__xludf.DUMMYFUNCTION("GOOGLETRANSLATE(F32,""en"",""zh-CN"")"),"这是一次即兴练习")</f>
        <v>这是一次即兴练习</v>
      </c>
      <c r="R32" s="3" t="str">
        <f>IFERROR(__xludf.DUMMYFUNCTION("GOOGLETRANSLATE(G32,""en"",""zh-CN"")"),"这是一项竞技运动。")</f>
        <v>这是一项竞技运动。</v>
      </c>
      <c r="S32" s="3" t="s">
        <v>239</v>
      </c>
      <c r="T32" s="3" t="str">
        <f>IFERROR(__xludf.DUMMYFUNCTION("GOOGLETRANSLATE(H32,""en"",""zh-CN"")"),"它遵循预先设定的动作形式或顺序。")</f>
        <v>它遵循预先设定的动作形式或顺序。</v>
      </c>
      <c r="U32" s="3" t="str">
        <f>IFERROR(__xludf.DUMMYFUNCTION("GOOGLETRANSLATE(I32,""en"",""zh-CN"")"),"太极拳的练习方法是使用“套路”或一系列动作，这些动作需要记忆并按特定顺序执行，这就是为什么动作是同步的。")</f>
        <v>太极拳的练习方法是使用“套路”或一系列动作，这些动作需要记忆并按特定顺序执行，这就是为什么动作是同步的。</v>
      </c>
      <c r="V32" s="2"/>
      <c r="W32" s="2"/>
      <c r="X32" s="2"/>
      <c r="Y32" s="2"/>
      <c r="Z32" s="2"/>
      <c r="AA32" s="2"/>
      <c r="AB32" s="2"/>
      <c r="AC32" s="2"/>
      <c r="AD32" s="2"/>
      <c r="AE32" s="2"/>
      <c r="AF32" s="2"/>
      <c r="AG32" s="2"/>
      <c r="AH32" s="2"/>
      <c r="AI32" s="2"/>
      <c r="AJ32" s="2"/>
      <c r="AK32" s="2"/>
      <c r="AL32" s="2"/>
    </row>
    <row r="33" ht="22.5" customHeight="1">
      <c r="A33" s="3" t="s">
        <v>232</v>
      </c>
      <c r="B33" s="4">
        <v>32.0</v>
      </c>
      <c r="C33" s="3" t="s">
        <v>240</v>
      </c>
      <c r="D33" s="3" t="s">
        <v>241</v>
      </c>
      <c r="E33" s="3" t="s">
        <v>242</v>
      </c>
      <c r="F33" s="3" t="s">
        <v>243</v>
      </c>
      <c r="G33" s="3" t="s">
        <v>244</v>
      </c>
      <c r="H33" s="3" t="s">
        <v>243</v>
      </c>
      <c r="I33" s="3" t="s">
        <v>245</v>
      </c>
      <c r="J33" s="2"/>
      <c r="K33" s="2"/>
      <c r="L33" s="3" t="s">
        <v>232</v>
      </c>
      <c r="M33" s="4">
        <v>32.0</v>
      </c>
      <c r="N33" s="3" t="str">
        <f>IFERROR(__xludf.DUMMYFUNCTION("GOOGLETRANSLATE(C33,""en"",""zh-CN"")"),"根据场景判断，这很可能发生在一天中的什么时间？")</f>
        <v>根据场景判断，这很可能发生在一天中的什么时间？</v>
      </c>
      <c r="O33" s="3" t="str">
        <f>IFERROR(__xludf.DUMMYFUNCTION("GOOGLETRANSLATE(D33,""en"",""zh-CN"")"),"深夜")</f>
        <v>深夜</v>
      </c>
      <c r="P33" s="3" t="str">
        <f>IFERROR(__xludf.DUMMYFUNCTION("GOOGLETRANSLATE(E33,""en"",""zh-CN"")"),"下午中段")</f>
        <v>下午中段</v>
      </c>
      <c r="Q33" s="3" t="str">
        <f>IFERROR(__xludf.DUMMYFUNCTION("GOOGLETRANSLATE(F33,""en"",""zh-CN"")"),"清晨或傍晚")</f>
        <v>清晨或傍晚</v>
      </c>
      <c r="R33" s="3" t="str">
        <f>IFERROR(__xludf.DUMMYFUNCTION("GOOGLETRANSLATE(G33,""en"",""zh-CN"")"),"午休时间")</f>
        <v>午休时间</v>
      </c>
      <c r="S33" s="3" t="s">
        <v>246</v>
      </c>
      <c r="T33" s="3" t="str">
        <f>IFERROR(__xludf.DUMMYFUNCTION("GOOGLETRANSLATE(H33,""en"",""zh-CN"")"),"清晨或傍晚")</f>
        <v>清晨或傍晚</v>
      </c>
      <c r="U33" s="3" t="str">
        <f>IFERROR(__xludf.DUMMYFUNCTION("GOOGLETRANSLATE(I33,""en"",""zh-CN"")"),"柔和的金黄色灯光表明这是清晨或傍晚，这是户外太极拳练习的常见时间，以避开正午的烈日和酷热。")</f>
        <v>柔和的金黄色灯光表明这是清晨或傍晚，这是户外太极拳练习的常见时间，以避开正午的烈日和酷热。</v>
      </c>
      <c r="V33" s="2"/>
      <c r="W33" s="2"/>
      <c r="X33" s="2"/>
      <c r="Y33" s="2"/>
      <c r="Z33" s="2"/>
      <c r="AA33" s="2"/>
      <c r="AB33" s="2"/>
      <c r="AC33" s="2"/>
      <c r="AD33" s="2"/>
      <c r="AE33" s="2"/>
      <c r="AF33" s="2"/>
      <c r="AG33" s="2"/>
      <c r="AH33" s="2"/>
      <c r="AI33" s="2"/>
      <c r="AJ33" s="2"/>
      <c r="AK33" s="2"/>
      <c r="AL33" s="2"/>
    </row>
    <row r="34" ht="22.5" customHeight="1">
      <c r="A34" s="3" t="s">
        <v>232</v>
      </c>
      <c r="B34" s="4">
        <v>33.0</v>
      </c>
      <c r="C34" s="3" t="s">
        <v>247</v>
      </c>
      <c r="D34" s="3" t="s">
        <v>248</v>
      </c>
      <c r="E34" s="3" t="s">
        <v>249</v>
      </c>
      <c r="F34" s="3" t="s">
        <v>250</v>
      </c>
      <c r="G34" s="3" t="s">
        <v>251</v>
      </c>
      <c r="H34" s="3" t="s">
        <v>248</v>
      </c>
      <c r="I34" s="3" t="s">
        <v>252</v>
      </c>
      <c r="J34" s="2"/>
      <c r="K34" s="2"/>
      <c r="L34" s="3" t="s">
        <v>232</v>
      </c>
      <c r="M34" s="4">
        <v>33.0</v>
      </c>
      <c r="N34" s="3" t="str">
        <f>IFERROR(__xludf.DUMMYFUNCTION("GOOGLETRANSLATE(C34,""en"",""zh-CN"")"),"参与者之间保持均匀的间距。这样做的原因是什么？")</f>
        <v>参与者之间保持均匀的间距。这样做的原因是什么？</v>
      </c>
      <c r="O34" s="3" t="str">
        <f>IFERROR(__xludf.DUMMYFUNCTION("GOOGLETRANSLATE(D34,""en"",""zh-CN"")"),"为了避免相互碰撞并允许充分的活动范围")</f>
        <v>为了避免相互碰撞并允许充分的活动范围</v>
      </c>
      <c r="P34" s="3" t="str">
        <f>IFERROR(__xludf.DUMMYFUNCTION("GOOGLETRANSLATE(E34,""en"",""zh-CN"")"),"创建特定的视觉图案")</f>
        <v>创建特定的视觉图案</v>
      </c>
      <c r="Q34" s="3" t="str">
        <f>IFERROR(__xludf.DUMMYFUNCTION("GOOGLETRANSLATE(F34,""en"",""zh-CN"")"),"表示物理距离")</f>
        <v>表示物理距离</v>
      </c>
      <c r="R34" s="3" t="str">
        <f>IFERROR(__xludf.DUMMYFUNCTION("GOOGLETRANSLATE(G34,""en"",""zh-CN"")"),"遵守社交距离规则")</f>
        <v>遵守社交距离规则</v>
      </c>
      <c r="S34" s="3" t="s">
        <v>253</v>
      </c>
      <c r="T34" s="3" t="str">
        <f>IFERROR(__xludf.DUMMYFUNCTION("GOOGLETRANSLATE(H34,""en"",""zh-CN"")"),"为了避免相互碰撞并允许充分的活动范围")</f>
        <v>为了避免相互碰撞并允许充分的活动范围</v>
      </c>
      <c r="U34" s="3" t="str">
        <f>IFERROR(__xludf.DUMMYFUNCTION("GOOGLETRANSLATE(I34,""en"",""zh-CN"")"),"在团体训练中，适当的间距至关重要，以确保每位练习者都有足够的空间充分完成所有动作，而不会与他人发生接触。")</f>
        <v>在团体训练中，适当的间距至关重要，以确保每位练习者都有足够的空间充分完成所有动作，而不会与他人发生接触。</v>
      </c>
      <c r="V34" s="2"/>
      <c r="W34" s="2"/>
      <c r="X34" s="2"/>
      <c r="Y34" s="2"/>
      <c r="Z34" s="2"/>
      <c r="AA34" s="2"/>
      <c r="AB34" s="2"/>
      <c r="AC34" s="2"/>
      <c r="AD34" s="2"/>
      <c r="AE34" s="2"/>
      <c r="AF34" s="2"/>
      <c r="AG34" s="2"/>
      <c r="AH34" s="2"/>
      <c r="AI34" s="2"/>
      <c r="AJ34" s="2"/>
      <c r="AK34" s="2"/>
      <c r="AL34" s="2"/>
    </row>
    <row r="35" ht="22.5" customHeight="1">
      <c r="A35" s="3" t="s">
        <v>232</v>
      </c>
      <c r="B35" s="4">
        <v>34.0</v>
      </c>
      <c r="C35" s="3" t="s">
        <v>254</v>
      </c>
      <c r="D35" s="3" t="s">
        <v>255</v>
      </c>
      <c r="E35" s="3" t="s">
        <v>256</v>
      </c>
      <c r="F35" s="3" t="s">
        <v>257</v>
      </c>
      <c r="G35" s="3" t="s">
        <v>258</v>
      </c>
      <c r="H35" s="3" t="s">
        <v>255</v>
      </c>
      <c r="I35" s="3" t="s">
        <v>259</v>
      </c>
      <c r="J35" s="2"/>
      <c r="K35" s="2"/>
      <c r="L35" s="3" t="s">
        <v>232</v>
      </c>
      <c r="M35" s="4">
        <v>34.0</v>
      </c>
      <c r="N35" s="3" t="str">
        <f>IFERROR(__xludf.DUMMYFUNCTION("GOOGLETRANSLATE(C35,""en"",""zh-CN"")"),"这种小组实践的主要优势是什么？")</f>
        <v>这种小组实践的主要优势是什么？</v>
      </c>
      <c r="O35" s="3" t="str">
        <f>IFERROR(__xludf.DUMMYFUNCTION("GOOGLETRANSLATE(D35,""en"",""zh-CN"")"),"它促进了社会互动和社区建设。")</f>
        <v>它促进了社会互动和社区建设。</v>
      </c>
      <c r="P35" s="3" t="str">
        <f>IFERROR(__xludf.DUMMYFUNCTION("GOOGLETRANSLATE(E35,""en"",""zh-CN"")"),"它提供了一种更具挑战性的锻炼方式。")</f>
        <v>它提供了一种更具挑战性的锻炼方式。</v>
      </c>
      <c r="Q35" s="3" t="str">
        <f>IFERROR(__xludf.DUMMYFUNCTION("GOOGLETRANSLATE(F35,""en"",""zh-CN"")"),"这需要付出更大的努力。")</f>
        <v>这需要付出更大的努力。</v>
      </c>
      <c r="R35" s="3" t="str">
        <f>IFERROR(__xludf.DUMMYFUNCTION("GOOGLETRANSLATE(G35,""en"",""zh-CN"")"),"它对减肥更有效")</f>
        <v>它对减肥更有效</v>
      </c>
      <c r="S35" s="3" t="s">
        <v>260</v>
      </c>
      <c r="T35" s="3" t="str">
        <f>IFERROR(__xludf.DUMMYFUNCTION("GOOGLETRANSLATE(H35,""en"",""zh-CN"")"),"它促进了社会互动和社区建设。")</f>
        <v>它促进了社会互动和社区建设。</v>
      </c>
      <c r="U35" s="3" t="str">
        <f>IFERROR(__xludf.DUMMYFUNCTION("GOOGLETRANSLATE(I35,""en"",""zh-CN"")"),"团体训练能够培养社区意识，并为参与者提供社交渠道，这是除了身体锻炼之外的一项重大益处。")</f>
        <v>团体训练能够培养社区意识，并为参与者提供社交渠道，这是除了身体锻炼之外的一项重大益处。</v>
      </c>
      <c r="V35" s="2"/>
      <c r="W35" s="2"/>
      <c r="X35" s="2"/>
      <c r="Y35" s="2"/>
      <c r="Z35" s="2"/>
      <c r="AA35" s="2"/>
      <c r="AB35" s="2"/>
      <c r="AC35" s="2"/>
      <c r="AD35" s="2"/>
      <c r="AE35" s="2"/>
      <c r="AF35" s="2"/>
      <c r="AG35" s="2"/>
      <c r="AH35" s="2"/>
      <c r="AI35" s="2"/>
      <c r="AJ35" s="2"/>
      <c r="AK35" s="2"/>
      <c r="AL35" s="2"/>
    </row>
    <row r="36" ht="22.5" customHeight="1">
      <c r="A36" s="3" t="s">
        <v>232</v>
      </c>
      <c r="B36" s="4">
        <v>35.0</v>
      </c>
      <c r="C36" s="3" t="s">
        <v>261</v>
      </c>
      <c r="D36" s="3" t="s">
        <v>262</v>
      </c>
      <c r="E36" s="3" t="s">
        <v>263</v>
      </c>
      <c r="F36" s="3" t="s">
        <v>264</v>
      </c>
      <c r="G36" s="3" t="s">
        <v>265</v>
      </c>
      <c r="H36" s="3" t="s">
        <v>265</v>
      </c>
      <c r="I36" s="3" t="s">
        <v>266</v>
      </c>
      <c r="J36" s="2"/>
      <c r="K36" s="2"/>
      <c r="L36" s="3" t="s">
        <v>232</v>
      </c>
      <c r="M36" s="4">
        <v>35.0</v>
      </c>
      <c r="N36" s="3" t="str">
        <f>IFERROR(__xludf.DUMMYFUNCTION("GOOGLETRANSLATE(C36,""en"",""zh-CN"")"),"手臂伸展的姿势体现了太极拳的什么核心原则？")</f>
        <v>手臂伸展的姿势体现了太极拳的什么核心原则？</v>
      </c>
      <c r="O36" s="3" t="str">
        <f>IFERROR(__xludf.DUMMYFUNCTION("GOOGLETRANSLATE(D36,""en"",""zh-CN"")"),"手持武器")</f>
        <v>手持武器</v>
      </c>
      <c r="P36" s="3" t="str">
        <f>IFERROR(__xludf.DUMMYFUNCTION("GOOGLETRANSLATE(E36,""en"",""zh-CN"")"),"推开一股力量")</f>
        <v>推开一股力量</v>
      </c>
      <c r="Q36" s="3" t="str">
        <f>IFERROR(__xludf.DUMMYFUNCTION("GOOGLETRANSLATE(F36,""en"",""zh-CN"")"),"用手“聆听”的概念")</f>
        <v>用手“聆听”的概念</v>
      </c>
      <c r="R36" s="3" t="str">
        <f>IFERROR(__xludf.DUMMYFUNCTION("GOOGLETRANSLATE(G36,""en"",""zh-CN"")"),"伸展和松弛原理")</f>
        <v>伸展和松弛原理</v>
      </c>
      <c r="S36" s="3" t="s">
        <v>267</v>
      </c>
      <c r="T36" s="3" t="str">
        <f>IFERROR(__xludf.DUMMYFUNCTION("GOOGLETRANSLATE(H36,""en"",""zh-CN"")"),"伸展和松弛原理")</f>
        <v>伸展和松弛原理</v>
      </c>
      <c r="U36" s="3" t="str">
        <f>IFERROR(__xludf.DUMMYFUNCTION("GOOGLETRANSLATE(I36,""en"",""zh-CN"")"),"缓慢而有控制地伸展双臂，体现了太极拳向外伸展并保持深度放松状态的原则，从而促进能量流动。")</f>
        <v>缓慢而有控制地伸展双臂，体现了太极拳向外伸展并保持深度放松状态的原则，从而促进能量流动。</v>
      </c>
      <c r="V36" s="2"/>
      <c r="W36" s="2"/>
      <c r="X36" s="2"/>
      <c r="Y36" s="2"/>
      <c r="Z36" s="2"/>
      <c r="AA36" s="2"/>
      <c r="AB36" s="2"/>
      <c r="AC36" s="2"/>
      <c r="AD36" s="2"/>
      <c r="AE36" s="2"/>
      <c r="AF36" s="2"/>
      <c r="AG36" s="2"/>
      <c r="AH36" s="2"/>
      <c r="AI36" s="2"/>
      <c r="AJ36" s="2"/>
      <c r="AK36" s="2"/>
      <c r="AL36" s="2"/>
    </row>
    <row r="37" ht="22.5" customHeight="1">
      <c r="A37" s="3" t="s">
        <v>268</v>
      </c>
      <c r="B37" s="4">
        <v>36.0</v>
      </c>
      <c r="C37" s="3" t="s">
        <v>269</v>
      </c>
      <c r="D37" s="3" t="s">
        <v>270</v>
      </c>
      <c r="E37" s="3" t="s">
        <v>271</v>
      </c>
      <c r="F37" s="3" t="s">
        <v>272</v>
      </c>
      <c r="G37" s="3" t="s">
        <v>273</v>
      </c>
      <c r="H37" s="3" t="s">
        <v>270</v>
      </c>
      <c r="I37" s="3" t="s">
        <v>274</v>
      </c>
      <c r="J37" s="2"/>
      <c r="K37" s="2"/>
      <c r="L37" s="3" t="s">
        <v>268</v>
      </c>
      <c r="M37" s="4">
        <v>36.0</v>
      </c>
      <c r="N37" s="3" t="str">
        <f>IFERROR(__xludf.DUMMYFUNCTION("GOOGLETRANSLATE(C37,""en"",""zh-CN"")"),"前景中的女子所摆出的姿势强调了太极拳的哪项原则？")</f>
        <v>前景中的女子所摆出的姿势强调了太极拳的哪项原则？</v>
      </c>
      <c r="O37" s="3" t="str">
        <f>IFERROR(__xludf.DUMMYFUNCTION("GOOGLETRANSLATE(D37,""en"",""zh-CN"")"),"生根")</f>
        <v>生根</v>
      </c>
      <c r="P37" s="3" t="str">
        <f>IFERROR(__xludf.DUMMYFUNCTION("GOOGLETRANSLATE(E37,""en"",""zh-CN"")"),"跳跃")</f>
        <v>跳跃</v>
      </c>
      <c r="Q37" s="3" t="str">
        <f>IFERROR(__xludf.DUMMYFUNCTION("GOOGLETRANSLATE(F37,""en"",""zh-CN"")"),"踢")</f>
        <v>踢</v>
      </c>
      <c r="R37" s="3" t="str">
        <f>IFERROR(__xludf.DUMMYFUNCTION("GOOGLETRANSLATE(G37,""en"",""zh-CN"")"),"冲孔")</f>
        <v>冲孔</v>
      </c>
      <c r="S37" s="3" t="s">
        <v>275</v>
      </c>
      <c r="T37" s="3" t="str">
        <f>IFERROR(__xludf.DUMMYFUNCTION("GOOGLETRANSLATE(H37,""en"",""zh-CN"")"),"生根")</f>
        <v>生根</v>
      </c>
      <c r="U37" s="3" t="str">
        <f>IFERROR(__xludf.DUMMYFUNCTION("GOOGLETRANSLATE(I37,""en"",""zh-CN"")"),"这种姿势重心低、站姿宽阔，体现了扎根的原则，练习者会感到与大地相连，稳定而富有力量，仿佛扎根于大地。")</f>
        <v>这种姿势重心低、站姿宽阔，体现了扎根的原则，练习者会感到与大地相连，稳定而富有力量，仿佛扎根于大地。</v>
      </c>
      <c r="V37" s="2"/>
      <c r="W37" s="2"/>
      <c r="X37" s="2"/>
      <c r="Y37" s="2"/>
      <c r="Z37" s="2"/>
      <c r="AA37" s="2"/>
      <c r="AB37" s="2"/>
      <c r="AC37" s="2"/>
      <c r="AD37" s="2"/>
      <c r="AE37" s="2"/>
      <c r="AF37" s="2"/>
      <c r="AG37" s="2"/>
      <c r="AH37" s="2"/>
      <c r="AI37" s="2"/>
      <c r="AJ37" s="2"/>
      <c r="AK37" s="2"/>
      <c r="AL37" s="2"/>
    </row>
    <row r="38" ht="22.5" customHeight="1">
      <c r="A38" s="3" t="s">
        <v>268</v>
      </c>
      <c r="B38" s="4">
        <v>37.0</v>
      </c>
      <c r="C38" s="3" t="s">
        <v>276</v>
      </c>
      <c r="D38" s="3" t="s">
        <v>237</v>
      </c>
      <c r="E38" s="3" t="s">
        <v>277</v>
      </c>
      <c r="F38" s="3" t="s">
        <v>278</v>
      </c>
      <c r="G38" s="3" t="s">
        <v>279</v>
      </c>
      <c r="H38" s="3" t="s">
        <v>278</v>
      </c>
      <c r="I38" s="3" t="s">
        <v>280</v>
      </c>
      <c r="J38" s="2"/>
      <c r="K38" s="2"/>
      <c r="L38" s="3" t="s">
        <v>268</v>
      </c>
      <c r="M38" s="4">
        <v>37.0</v>
      </c>
      <c r="N38" s="3" t="str">
        <f>IFERROR(__xludf.DUMMYFUNCTION("GOOGLETRANSLATE(C38,""en"",""zh-CN"")"),"背景画面展现了形形色色的人。这暗示了太极拳的什么特点？")</f>
        <v>背景画面展现了形形色色的人。这暗示了太极拳的什么特点？</v>
      </c>
      <c r="O38" s="3" t="str">
        <f>IFERROR(__xludf.DUMMYFUNCTION("GOOGLETRANSLATE(D38,""en"",""zh-CN"")"),"这是一项竞技运动。")</f>
        <v>这是一项竞技运动。</v>
      </c>
      <c r="P38" s="3" t="str">
        <f>IFERROR(__xludf.DUMMYFUNCTION("GOOGLETRANSLATE(E38,""en"",""zh-CN"")"),"只有专业人士才会这样做。")</f>
        <v>只有专业人士才会这样做。</v>
      </c>
      <c r="Q38" s="3" t="str">
        <f>IFERROR(__xludf.DUMMYFUNCTION("GOOGLETRANSLATE(F38,""en"",""zh-CN"")"),"这是一种包容性很强的做法，许多人都可以参与。")</f>
        <v>这是一种包容性很强的做法，许多人都可以参与。</v>
      </c>
      <c r="R38" s="3" t="str">
        <f>IFERROR(__xludf.DUMMYFUNCTION("GOOGLETRANSLATE(G38,""en"",""zh-CN"")"),"这是一种新的运动形式")</f>
        <v>这是一种新的运动形式</v>
      </c>
      <c r="S38" s="3" t="s">
        <v>281</v>
      </c>
      <c r="T38" s="3" t="str">
        <f>IFERROR(__xludf.DUMMYFUNCTION("GOOGLETRANSLATE(H38,""en"",""zh-CN"")"),"这是一种包容性很强的做法，许多人都可以参与。")</f>
        <v>这是一种包容性很强的做法，许多人都可以参与。</v>
      </c>
      <c r="U38" s="3" t="str">
        <f>IFERROR(__xludf.DUMMYFUNCTION("GOOGLETRANSLATE(I38,""en"",""zh-CN"")"),"背景中不同人群的出现表明，太极拳是一项高度包容的运动，适合不同年龄、性别和体能水平的人参与。")</f>
        <v>背景中不同人群的出现表明，太极拳是一项高度包容的运动，适合不同年龄、性别和体能水平的人参与。</v>
      </c>
      <c r="V38" s="2"/>
      <c r="W38" s="2"/>
      <c r="X38" s="2"/>
      <c r="Y38" s="2"/>
      <c r="Z38" s="2"/>
      <c r="AA38" s="2"/>
      <c r="AB38" s="2"/>
      <c r="AC38" s="2"/>
      <c r="AD38" s="2"/>
      <c r="AE38" s="2"/>
      <c r="AF38" s="2"/>
      <c r="AG38" s="2"/>
      <c r="AH38" s="2"/>
      <c r="AI38" s="2"/>
      <c r="AJ38" s="2"/>
      <c r="AK38" s="2"/>
      <c r="AL38" s="2"/>
    </row>
    <row r="39" ht="22.5" customHeight="1">
      <c r="A39" s="3" t="s">
        <v>268</v>
      </c>
      <c r="B39" s="4">
        <v>38.0</v>
      </c>
      <c r="C39" s="3" t="s">
        <v>282</v>
      </c>
      <c r="D39" s="3" t="s">
        <v>283</v>
      </c>
      <c r="E39" s="3" t="s">
        <v>284</v>
      </c>
      <c r="F39" s="3" t="s">
        <v>285</v>
      </c>
      <c r="G39" s="3" t="s">
        <v>286</v>
      </c>
      <c r="H39" s="3" t="s">
        <v>285</v>
      </c>
      <c r="I39" s="3" t="s">
        <v>287</v>
      </c>
      <c r="J39" s="2"/>
      <c r="K39" s="2"/>
      <c r="L39" s="3" t="s">
        <v>268</v>
      </c>
      <c r="M39" s="4">
        <v>38.0</v>
      </c>
      <c r="N39" s="3" t="str">
        <f>IFERROR(__xludf.DUMMYFUNCTION("GOOGLETRANSLATE(C39,""en"",""zh-CN"")"),"太极拳的练习地点通常是公园或公共场所。为什么这里是太极拳的常见练习地点？")</f>
        <v>太极拳的练习地点通常是公园或公共场所。为什么这里是太极拳的常见练习地点？</v>
      </c>
      <c r="O39" s="3" t="str">
        <f>IFERROR(__xludf.DUMMYFUNCTION("GOOGLETRANSLATE(D39,""en"",""zh-CN"")"),"这是唯一有足够空间的地方")</f>
        <v>这是唯一有足够空间的地方</v>
      </c>
      <c r="P39" s="3" t="str">
        <f>IFERROR(__xludf.DUMMYFUNCTION("GOOGLETRANSLATE(E39,""en"",""zh-CN"")"),"这是一种无需花费任何成本的练习方式。")</f>
        <v>这是一种无需花费任何成本的练习方式。</v>
      </c>
      <c r="Q39" s="3" t="str">
        <f>IFERROR(__xludf.DUMMYFUNCTION("GOOGLETRANSLATE(F39,""en"",""zh-CN"")"),"它使修行者能够与自然和社区建立联系。")</f>
        <v>它使修行者能够与自然和社区建立联系。</v>
      </c>
      <c r="R39" s="3" t="str">
        <f>IFERROR(__xludf.DUMMYFUNCTION("GOOGLETRANSLATE(G39,""en"",""zh-CN"")"),"这是老师的要求。")</f>
        <v>这是老师的要求。</v>
      </c>
      <c r="S39" s="3" t="s">
        <v>288</v>
      </c>
      <c r="T39" s="3" t="str">
        <f>IFERROR(__xludf.DUMMYFUNCTION("GOOGLETRANSLATE(H39,""en"",""zh-CN"")"),"它使修行者能够与自然和社区建立联系。")</f>
        <v>它使修行者能够与自然和社区建立联系。</v>
      </c>
      <c r="U39" s="3" t="str">
        <f>IFERROR(__xludf.DUMMYFUNCTION("GOOGLETRANSLATE(I39,""en"",""zh-CN"")"),"公共公园是练习太极拳的理想场所，因为它们提供了充足的空间，让练习者可以在社区环境中享受新鲜空气和与他人相处的时光。")</f>
        <v>公共公园是练习太极拳的理想场所，因为它们提供了充足的空间，让练习者可以在社区环境中享受新鲜空气和与他人相处的时光。</v>
      </c>
      <c r="V39" s="2"/>
      <c r="W39" s="2"/>
      <c r="X39" s="2"/>
      <c r="Y39" s="2"/>
      <c r="Z39" s="2"/>
      <c r="AA39" s="2"/>
      <c r="AB39" s="2"/>
      <c r="AC39" s="2"/>
      <c r="AD39" s="2"/>
      <c r="AE39" s="2"/>
      <c r="AF39" s="2"/>
      <c r="AG39" s="2"/>
      <c r="AH39" s="2"/>
      <c r="AI39" s="2"/>
      <c r="AJ39" s="2"/>
      <c r="AK39" s="2"/>
      <c r="AL39" s="2"/>
    </row>
    <row r="40" ht="22.5" customHeight="1">
      <c r="A40" s="3" t="s">
        <v>268</v>
      </c>
      <c r="B40" s="4">
        <v>39.0</v>
      </c>
      <c r="C40" s="3" t="s">
        <v>289</v>
      </c>
      <c r="D40" s="3" t="s">
        <v>290</v>
      </c>
      <c r="E40" s="3" t="s">
        <v>291</v>
      </c>
      <c r="F40" s="3" t="s">
        <v>292</v>
      </c>
      <c r="G40" s="3" t="s">
        <v>293</v>
      </c>
      <c r="H40" s="3" t="s">
        <v>292</v>
      </c>
      <c r="I40" s="3" t="s">
        <v>294</v>
      </c>
      <c r="J40" s="2"/>
      <c r="K40" s="2"/>
      <c r="L40" s="3" t="s">
        <v>268</v>
      </c>
      <c r="M40" s="4">
        <v>39.0</v>
      </c>
      <c r="N40" s="3" t="str">
        <f>IFERROR(__xludf.DUMMYFUNCTION("GOOGLETRANSLATE(C40,""en"",""zh-CN"")"),"实践者目光的可能目的是什么？")</f>
        <v>实践者目光的可能目的是什么？</v>
      </c>
      <c r="O40" s="3" t="str">
        <f>IFERROR(__xludf.DUMMYFUNCTION("GOOGLETRANSLATE(D40,""en"",""zh-CN"")"),"对着镜子检查她的姿势")</f>
        <v>对着镜子检查她的姿势</v>
      </c>
      <c r="P40" s="3" t="str">
        <f>IFERROR(__xludf.DUMMYFUNCTION("GOOGLETRANSLATE(E40,""en"",""zh-CN"")"),"观察周围环境")</f>
        <v>观察周围环境</v>
      </c>
      <c r="Q40" s="3" t="str">
        <f>IFERROR(__xludf.DUMMYFUNCTION("GOOGLETRANSLATE(F40,""en"",""zh-CN"")"),"专注于一点有助于集中注意力")</f>
        <v>专注于一点有助于集中注意力</v>
      </c>
      <c r="R40" s="3" t="str">
        <f>IFERROR(__xludf.DUMMYFUNCTION("GOOGLETRANSLATE(G40,""en"",""zh-CN"")"),"看向镜头")</f>
        <v>看向镜头</v>
      </c>
      <c r="S40" s="3" t="s">
        <v>295</v>
      </c>
      <c r="T40" s="3" t="str">
        <f>IFERROR(__xludf.DUMMYFUNCTION("GOOGLETRANSLATE(H40,""en"",""zh-CN"")"),"专注于一点有助于集中注意力")</f>
        <v>专注于一点有助于集中注意力</v>
      </c>
      <c r="U40" s="3" t="str">
        <f>IFERROR(__xludf.DUMMYFUNCTION("GOOGLETRANSLATE(I40,""en"",""zh-CN"")"),"稳定、专注的目光是太极拳和其他冥想练习中用来帮助集中精神、消除干扰的技巧。")</f>
        <v>稳定、专注的目光是太极拳和其他冥想练习中用来帮助集中精神、消除干扰的技巧。</v>
      </c>
      <c r="V40" s="2"/>
      <c r="W40" s="2"/>
      <c r="X40" s="2"/>
      <c r="Y40" s="2"/>
      <c r="Z40" s="2"/>
      <c r="AA40" s="2"/>
      <c r="AB40" s="2"/>
      <c r="AC40" s="2"/>
      <c r="AD40" s="2"/>
      <c r="AE40" s="2"/>
      <c r="AF40" s="2"/>
      <c r="AG40" s="2"/>
      <c r="AH40" s="2"/>
      <c r="AI40" s="2"/>
      <c r="AJ40" s="2"/>
      <c r="AK40" s="2"/>
      <c r="AL40" s="2"/>
    </row>
    <row r="41" ht="22.5" customHeight="1">
      <c r="A41" s="3" t="s">
        <v>268</v>
      </c>
      <c r="B41" s="4">
        <v>40.0</v>
      </c>
      <c r="C41" s="3" t="s">
        <v>296</v>
      </c>
      <c r="D41" s="3" t="s">
        <v>297</v>
      </c>
      <c r="E41" s="3" t="s">
        <v>298</v>
      </c>
      <c r="F41" s="3" t="s">
        <v>299</v>
      </c>
      <c r="G41" s="3" t="s">
        <v>300</v>
      </c>
      <c r="H41" s="3" t="s">
        <v>299</v>
      </c>
      <c r="I41" s="3" t="s">
        <v>301</v>
      </c>
      <c r="J41" s="2"/>
      <c r="K41" s="2"/>
      <c r="L41" s="3" t="s">
        <v>268</v>
      </c>
      <c r="M41" s="4">
        <v>40.0</v>
      </c>
      <c r="N41" s="3" t="str">
        <f>IFERROR(__xludf.DUMMYFUNCTION("GOOGLETRANSLATE(C41,""en"",""zh-CN"")"),"练习者的姿势缓慢而有控制。这种运动方式的主要健康益处是什么？")</f>
        <v>练习者的姿势缓慢而有控制。这种运动方式的主要健康益处是什么？</v>
      </c>
      <c r="O41" s="3" t="str">
        <f>IFERROR(__xludf.DUMMYFUNCTION("GOOGLETRANSLATE(D41,""en"",""zh-CN"")"),"高热量燃烧")</f>
        <v>高热量燃烧</v>
      </c>
      <c r="P41" s="3" t="str">
        <f>IFERROR(__xludf.DUMMYFUNCTION("GOOGLETRANSLATE(E41,""en"",""zh-CN"")"),"心血管健康改善")</f>
        <v>心血管健康改善</v>
      </c>
      <c r="Q41" s="3" t="str">
        <f>IFERROR(__xludf.DUMMYFUNCTION("GOOGLETRANSLATE(F41,""en"",""zh-CN"")"),"增强平衡能力、灵活性和协调性")</f>
        <v>增强平衡能力、灵活性和协调性</v>
      </c>
      <c r="R41" s="3" t="str">
        <f>IFERROR(__xludf.DUMMYFUNCTION("GOOGLETRANSLATE(G41,""en"",""zh-CN"")"),"肌肉量增加")</f>
        <v>肌肉量增加</v>
      </c>
      <c r="S41" s="3" t="s">
        <v>302</v>
      </c>
      <c r="T41" s="3" t="str">
        <f>IFERROR(__xludf.DUMMYFUNCTION("GOOGLETRANSLATE(H41,""en"",""zh-CN"")"),"增强平衡能力、灵活性和协调性")</f>
        <v>增强平衡能力、灵活性和协调性</v>
      </c>
      <c r="U41" s="3" t="str">
        <f>IFERROR(__xludf.DUMMYFUNCTION("GOOGLETRANSLATE(I41,""en"",""zh-CN"")"),"太极拳缓慢而有节奏的动作非常有利于改善平衡能力、增强柔韧性和提高协调性，这些都是重要的健康益处。")</f>
        <v>太极拳缓慢而有节奏的动作非常有利于改善平衡能力、增强柔韧性和提高协调性，这些都是重要的健康益处。</v>
      </c>
      <c r="V41" s="2"/>
      <c r="W41" s="2"/>
      <c r="X41" s="2"/>
      <c r="Y41" s="2"/>
      <c r="Z41" s="2"/>
      <c r="AA41" s="2"/>
      <c r="AB41" s="2"/>
      <c r="AC41" s="2"/>
      <c r="AD41" s="2"/>
      <c r="AE41" s="2"/>
      <c r="AF41" s="2"/>
      <c r="AG41" s="2"/>
      <c r="AH41" s="2"/>
      <c r="AI41" s="2"/>
      <c r="AJ41" s="2"/>
      <c r="AK41" s="2"/>
      <c r="AL41" s="2"/>
    </row>
    <row r="42" ht="22.5" customHeight="1">
      <c r="A42" s="3" t="s">
        <v>303</v>
      </c>
      <c r="B42" s="4">
        <v>41.0</v>
      </c>
      <c r="C42" s="3" t="s">
        <v>304</v>
      </c>
      <c r="D42" s="3" t="s">
        <v>305</v>
      </c>
      <c r="E42" s="3" t="s">
        <v>306</v>
      </c>
      <c r="F42" s="3" t="s">
        <v>307</v>
      </c>
      <c r="G42" s="3" t="s">
        <v>308</v>
      </c>
      <c r="H42" s="3" t="s">
        <v>308</v>
      </c>
      <c r="I42" s="3" t="s">
        <v>309</v>
      </c>
      <c r="J42" s="2"/>
      <c r="K42" s="2"/>
      <c r="L42" s="3" t="s">
        <v>303</v>
      </c>
      <c r="M42" s="4">
        <v>41.0</v>
      </c>
      <c r="N42" s="3" t="str">
        <f>IFERROR(__xludf.DUMMYFUNCTION("GOOGLETRANSLATE(C42,""en"",""zh-CN"")"),"施术者背对着观看者。这可能是什么原因造成的？")</f>
        <v>施术者背对着观看者。这可能是什么原因造成的？</v>
      </c>
      <c r="O42" s="3" t="str">
        <f>IFERROR(__xludf.DUMMYFUNCTION("GOOGLETRANSLATE(D42,""en"",""zh-CN"")"),"为了保护她的身份")</f>
        <v>为了保护她的身份</v>
      </c>
      <c r="P42" s="3" t="str">
        <f>IFERROR(__xludf.DUMMYFUNCTION("GOOGLETRANSLATE(E42,""en"",""zh-CN"")"),"为了突出景观")</f>
        <v>为了突出景观</v>
      </c>
      <c r="Q42" s="3" t="str">
        <f>IFERROR(__xludf.DUMMYFUNCTION("GOOGLETRANSLATE(F42,""en"",""zh-CN"")"),"为了展示具体的背部姿势")</f>
        <v>为了展示具体的背部姿势</v>
      </c>
      <c r="R42" s="3" t="str">
        <f>IFERROR(__xludf.DUMMYFUNCTION("GOOGLETRANSLATE(G42,""en"",""zh-CN"")"),"使观者能够专注于造型本身，而不会被面部分散注意力。")</f>
        <v>使观者能够专注于造型本身，而不会被面部分散注意力。</v>
      </c>
      <c r="S42" s="3" t="s">
        <v>310</v>
      </c>
      <c r="T42" s="3" t="str">
        <f>IFERROR(__xludf.DUMMYFUNCTION("GOOGLETRANSLATE(H42,""en"",""zh-CN"")"),"使观者能够专注于造型本身，而不会被面部分散注意力。")</f>
        <v>使观者能够专注于造型本身，而不会被面部分散注意力。</v>
      </c>
      <c r="U42" s="3" t="str">
        <f>IFERROR(__xludf.DUMMYFUNCTION("GOOGLETRANSLATE(I42,""en"",""zh-CN"")"),"通过背对观众，这幅图像引导观众的注意力集中到姿势、身体线条以及形体与周围景观的关系上，而不会被面部表情分散注意力。")</f>
        <v>通过背对观众，这幅图像引导观众的注意力集中到姿势、身体线条以及形体与周围景观的关系上，而不会被面部表情分散注意力。</v>
      </c>
      <c r="V42" s="2"/>
      <c r="W42" s="2"/>
      <c r="X42" s="2"/>
      <c r="Y42" s="2"/>
      <c r="Z42" s="2"/>
      <c r="AA42" s="2"/>
      <c r="AB42" s="2"/>
      <c r="AC42" s="2"/>
      <c r="AD42" s="2"/>
      <c r="AE42" s="2"/>
      <c r="AF42" s="2"/>
      <c r="AG42" s="2"/>
      <c r="AH42" s="2"/>
      <c r="AI42" s="2"/>
      <c r="AJ42" s="2"/>
      <c r="AK42" s="2"/>
      <c r="AL42" s="2"/>
    </row>
    <row r="43" ht="22.5" customHeight="1">
      <c r="A43" s="3" t="s">
        <v>303</v>
      </c>
      <c r="B43" s="4">
        <v>42.0</v>
      </c>
      <c r="C43" s="3" t="s">
        <v>311</v>
      </c>
      <c r="D43" s="3" t="s">
        <v>312</v>
      </c>
      <c r="E43" s="3" t="s">
        <v>313</v>
      </c>
      <c r="F43" s="3" t="s">
        <v>314</v>
      </c>
      <c r="G43" s="3" t="s">
        <v>315</v>
      </c>
      <c r="H43" s="3" t="s">
        <v>314</v>
      </c>
      <c r="I43" s="3" t="s">
        <v>316</v>
      </c>
      <c r="J43" s="2"/>
      <c r="K43" s="2"/>
      <c r="L43" s="3" t="s">
        <v>303</v>
      </c>
      <c r="M43" s="4">
        <v>42.0</v>
      </c>
      <c r="N43" s="3" t="str">
        <f>IFERROR(__xludf.DUMMYFUNCTION("GOOGLETRANSLATE(C43,""en"",""zh-CN"")"),"夕阳映衬下修行者的身影暗示着什么？")</f>
        <v>夕阳映衬下修行者的身影暗示着什么？</v>
      </c>
      <c r="O43" s="3" t="str">
        <f>IFERROR(__xludf.DUMMYFUNCTION("GOOGLETRANSLATE(D43,""en"",""zh-CN"")"),"这是一项深夜练习")</f>
        <v>这是一项深夜练习</v>
      </c>
      <c r="P43" s="3" t="str">
        <f>IFERROR(__xludf.DUMMYFUNCTION("GOOGLETRANSLATE(E43,""en"",""zh-CN"")"),"这是晨练。")</f>
        <v>这是晨练。</v>
      </c>
      <c r="Q43" s="3" t="str">
        <f>IFERROR(__xludf.DUMMYFUNCTION("GOOGLETRANSLATE(F43,""en"",""zh-CN"")"),"这是一种独自进行的反思性实践。")</f>
        <v>这是一种独自进行的反思性实践。</v>
      </c>
      <c r="R43" s="3" t="str">
        <f>IFERROR(__xludf.DUMMYFUNCTION("GOOGLETRANSLATE(G43,""en"",""zh-CN"")"),"这是大型团体的练习。")</f>
        <v>这是大型团体的练习。</v>
      </c>
      <c r="S43" s="3" t="s">
        <v>317</v>
      </c>
      <c r="T43" s="3" t="str">
        <f>IFERROR(__xludf.DUMMYFUNCTION("GOOGLETRANSLATE(H43,""en"",""zh-CN"")"),"这是一种独自进行的反思性实践。")</f>
        <v>这是一种独自进行的反思性实践。</v>
      </c>
      <c r="U43" s="3" t="str">
        <f>IFERROR(__xludf.DUMMYFUNCTION("GOOGLETRANSLATE(I43,""en"",""zh-CN"")"),"独自一人的练习和宁静的日落光线营造出一种平和与孤独的感觉，暗示着一种个人的、内省的练习，而不是集体活动。")</f>
        <v>独自一人的练习和宁静的日落光线营造出一种平和与孤独的感觉，暗示着一种个人的、内省的练习，而不是集体活动。</v>
      </c>
      <c r="V43" s="2"/>
      <c r="W43" s="2"/>
      <c r="X43" s="2"/>
      <c r="Y43" s="2"/>
      <c r="Z43" s="2"/>
      <c r="AA43" s="2"/>
      <c r="AB43" s="2"/>
      <c r="AC43" s="2"/>
      <c r="AD43" s="2"/>
      <c r="AE43" s="2"/>
      <c r="AF43" s="2"/>
      <c r="AG43" s="2"/>
      <c r="AH43" s="2"/>
      <c r="AI43" s="2"/>
      <c r="AJ43" s="2"/>
      <c r="AK43" s="2"/>
      <c r="AL43" s="2"/>
    </row>
    <row r="44" ht="22.5" customHeight="1">
      <c r="A44" s="3" t="s">
        <v>303</v>
      </c>
      <c r="B44" s="4">
        <v>43.0</v>
      </c>
      <c r="C44" s="3" t="s">
        <v>318</v>
      </c>
      <c r="D44" s="3" t="s">
        <v>319</v>
      </c>
      <c r="E44" s="3" t="s">
        <v>320</v>
      </c>
      <c r="F44" s="3" t="s">
        <v>321</v>
      </c>
      <c r="G44" s="3" t="s">
        <v>322</v>
      </c>
      <c r="H44" s="3" t="s">
        <v>321</v>
      </c>
      <c r="I44" s="3" t="s">
        <v>323</v>
      </c>
      <c r="J44" s="2"/>
      <c r="K44" s="2"/>
      <c r="L44" s="3" t="s">
        <v>303</v>
      </c>
      <c r="M44" s="4">
        <v>43.0</v>
      </c>
      <c r="N44" s="3" t="str">
        <f>IFERROR(__xludf.DUMMYFUNCTION("GOOGLETRANSLATE(C44,""en"",""zh-CN"")"),"练习者的姿势是一只手举起，另一只手向前伸展。这代表了什么经典的动作？")</f>
        <v>练习者的姿势是一只手举起，另一只手向前伸展。这代表了什么经典的动作？</v>
      </c>
      <c r="O44" s="3" t="str">
        <f>IFERROR(__xludf.DUMMYFUNCTION("GOOGLETRANSLATE(D44,""en"",""zh-CN"")"),"太极符号")</f>
        <v>太极符号</v>
      </c>
      <c r="P44" s="3" t="str">
        <f>IFERROR(__xludf.DUMMYFUNCTION("GOOGLETRANSLATE(E44,""en"",""zh-CN"")"),"防守阵型")</f>
        <v>防守阵型</v>
      </c>
      <c r="Q44" s="3" t="str">
        <f>IFERROR(__xludf.DUMMYFUNCTION("GOOGLETRANSLATE(F44,""en"",""zh-CN"")"),"“分离”与“聚集”的概念")</f>
        <v>“分离”与“聚集”的概念</v>
      </c>
      <c r="R44" s="3" t="str">
        <f>IFERROR(__xludf.DUMMYFUNCTION("GOOGLETRANSLATE(G44,""en"",""zh-CN"")"),"一个引人注目的动作")</f>
        <v>一个引人注目的动作</v>
      </c>
      <c r="S44" s="3" t="s">
        <v>324</v>
      </c>
      <c r="T44" s="3" t="str">
        <f>IFERROR(__xludf.DUMMYFUNCTION("GOOGLETRANSLATE(H44,""en"",""zh-CN"")"),"“分离”与“聚集”的概念")</f>
        <v>“分离”与“聚集”的概念</v>
      </c>
      <c r="U44" s="3" t="str">
        <f>IFERROR(__xludf.DUMMYFUNCTION("GOOGLETRANSLATE(I44,""en"",""zh-CN"")"),"太极拳的许多动作都包含一只手向上或向外移动，而另一只手向下或向内移动，象征着分离（驱散）和聚集能量的同时动作，这是太极拳的核心概念。")</f>
        <v>太极拳的许多动作都包含一只手向上或向外移动，而另一只手向下或向内移动，象征着分离（驱散）和聚集能量的同时动作，这是太极拳的核心概念。</v>
      </c>
      <c r="V44" s="2"/>
      <c r="W44" s="2"/>
      <c r="X44" s="2"/>
      <c r="Y44" s="2"/>
      <c r="Z44" s="2"/>
      <c r="AA44" s="2"/>
      <c r="AB44" s="2"/>
      <c r="AC44" s="2"/>
      <c r="AD44" s="2"/>
      <c r="AE44" s="2"/>
      <c r="AF44" s="2"/>
      <c r="AG44" s="2"/>
      <c r="AH44" s="2"/>
      <c r="AI44" s="2"/>
      <c r="AJ44" s="2"/>
      <c r="AK44" s="2"/>
      <c r="AL44" s="2"/>
    </row>
    <row r="45" ht="22.5" customHeight="1">
      <c r="A45" s="3" t="s">
        <v>303</v>
      </c>
      <c r="B45" s="4">
        <v>44.0</v>
      </c>
      <c r="C45" s="3" t="s">
        <v>325</v>
      </c>
      <c r="D45" s="3" t="s">
        <v>326</v>
      </c>
      <c r="E45" s="3" t="s">
        <v>327</v>
      </c>
      <c r="F45" s="3" t="s">
        <v>328</v>
      </c>
      <c r="G45" s="3" t="s">
        <v>107</v>
      </c>
      <c r="H45" s="3" t="s">
        <v>328</v>
      </c>
      <c r="I45" s="3" t="s">
        <v>329</v>
      </c>
      <c r="J45" s="2"/>
      <c r="K45" s="2"/>
      <c r="L45" s="3" t="s">
        <v>303</v>
      </c>
      <c r="M45" s="4">
        <v>44.0</v>
      </c>
      <c r="N45" s="3" t="str">
        <f>IFERROR(__xludf.DUMMYFUNCTION("GOOGLETRANSLATE(C45,""en"",""zh-CN"")"),"这件衣服看起来像是用轻盈飘逸的面料制成的。这种面料的选择有什么作用呢？")</f>
        <v>这件衣服看起来像是用轻盈飘逸的面料制成的。这种面料的选择有什么作用呢？</v>
      </c>
      <c r="O45" s="3" t="str">
        <f>IFERROR(__xludf.DUMMYFUNCTION("GOOGLETRANSLATE(D45,""en"",""zh-CN"")"),"它使人感到温暖")</f>
        <v>它使人感到温暖</v>
      </c>
      <c r="P45" s="3" t="str">
        <f>IFERROR(__xludf.DUMMYFUNCTION("GOOGLETRANSLATE(E45,""en"",""zh-CN"")"),"这是一种时尚宣言")</f>
        <v>这是一种时尚宣言</v>
      </c>
      <c r="Q45" s="3" t="str">
        <f>IFERROR(__xludf.DUMMYFUNCTION("GOOGLETRANSLATE(F45,""en"",""zh-CN"")"),"它与流畅、连续的动作相得益彰。")</f>
        <v>它与流畅、连续的动作相得益彰。</v>
      </c>
      <c r="R45" s="3" t="str">
        <f>IFERROR(__xludf.DUMMYFUNCTION("GOOGLETRANSLATE(G45,""en"",""zh-CN"")"),"它象征着一种精神信仰")</f>
        <v>它象征着一种精神信仰</v>
      </c>
      <c r="S45" s="3" t="s">
        <v>330</v>
      </c>
      <c r="T45" s="3" t="str">
        <f>IFERROR(__xludf.DUMMYFUNCTION("GOOGLETRANSLATE(H45,""en"",""zh-CN"")"),"它与流畅、连续的动作相得益彰。")</f>
        <v>它与流畅、连续的动作相得益彰。</v>
      </c>
      <c r="U45" s="3" t="str">
        <f>IFERROR(__xludf.DUMMYFUNCTION("GOOGLETRANSLATE(I45,""en"",""zh-CN"")"),"服装轻盈飘逸的面料随着身体律动，在视觉上与太极拳动作的优雅流畅性相得益彰。")</f>
        <v>服装轻盈飘逸的面料随着身体律动，在视觉上与太极拳动作的优雅流畅性相得益彰。</v>
      </c>
      <c r="V45" s="2"/>
      <c r="W45" s="2"/>
      <c r="X45" s="2"/>
      <c r="Y45" s="2"/>
      <c r="Z45" s="2"/>
      <c r="AA45" s="2"/>
      <c r="AB45" s="2"/>
      <c r="AC45" s="2"/>
      <c r="AD45" s="2"/>
      <c r="AE45" s="2"/>
      <c r="AF45" s="2"/>
      <c r="AG45" s="2"/>
      <c r="AH45" s="2"/>
      <c r="AI45" s="2"/>
      <c r="AJ45" s="2"/>
      <c r="AK45" s="2"/>
      <c r="AL45" s="2"/>
    </row>
    <row r="46" ht="22.5" customHeight="1">
      <c r="A46" s="3" t="s">
        <v>303</v>
      </c>
      <c r="B46" s="4">
        <v>45.0</v>
      </c>
      <c r="C46" s="3" t="s">
        <v>331</v>
      </c>
      <c r="D46" s="3" t="s">
        <v>332</v>
      </c>
      <c r="E46" s="3" t="s">
        <v>333</v>
      </c>
      <c r="F46" s="3" t="s">
        <v>334</v>
      </c>
      <c r="G46" s="3" t="s">
        <v>335</v>
      </c>
      <c r="H46" s="3" t="s">
        <v>334</v>
      </c>
      <c r="I46" s="3" t="s">
        <v>336</v>
      </c>
      <c r="J46" s="2"/>
      <c r="K46" s="2"/>
      <c r="L46" s="3" t="s">
        <v>303</v>
      </c>
      <c r="M46" s="4">
        <v>45.0</v>
      </c>
      <c r="N46" s="3" t="str">
        <f>IFERROR(__xludf.DUMMYFUNCTION("GOOGLETRANSLATE(C46,""en"",""zh-CN"")"),"从练习者一腿向前弯曲的姿势中可以看出什么核心原则？")</f>
        <v>从练习者一腿向前弯曲的姿势中可以看出什么核心原则？</v>
      </c>
      <c r="O46" s="3" t="str">
        <f>IFERROR(__xludf.DUMMYFUNCTION("GOOGLETRANSLATE(D46,""en"",""zh-CN"")"),"积极的步法")</f>
        <v>积极的步法</v>
      </c>
      <c r="P46" s="3" t="str">
        <f>IFERROR(__xludf.DUMMYFUNCTION("GOOGLETRANSLATE(E46,""en"",""zh-CN"")"),"高强度锻炼")</f>
        <v>高强度锻炼</v>
      </c>
      <c r="Q46" s="3" t="str">
        <f>IFERROR(__xludf.DUMMYFUNCTION("GOOGLETRANSLATE(F46,""en"",""zh-CN"")"),"重量分布均匀的稳定地基")</f>
        <v>重量分布均匀的稳定地基</v>
      </c>
      <c r="R46" s="3" t="str">
        <f>IFERROR(__xludf.DUMMYFUNCTION("GOOGLETRANSLATE(G46,""en"",""zh-CN"")"),"跳跃动作")</f>
        <v>跳跃动作</v>
      </c>
      <c r="S46" s="3" t="s">
        <v>337</v>
      </c>
      <c r="T46" s="3" t="str">
        <f>IFERROR(__xludf.DUMMYFUNCTION("GOOGLETRANSLATE(H46,""en"",""zh-CN"")"),"重量分布均匀的稳定地基")</f>
        <v>重量分布均匀的稳定地基</v>
      </c>
      <c r="U46" s="3" t="str">
        <f>IFERROR(__xludf.DUMMYFUNCTION("GOOGLETRANSLATE(I46,""en"",""zh-CN"")"),"弯曲的前腿和伸展的后腿形成了一个强大、稳定的基础，这对于太极拳中正确的体重分配和平衡至关重要。")</f>
        <v>弯曲的前腿和伸展的后腿形成了一个强大、稳定的基础，这对于太极拳中正确的体重分配和平衡至关重要。</v>
      </c>
      <c r="V46" s="2"/>
      <c r="W46" s="2"/>
      <c r="X46" s="2"/>
      <c r="Y46" s="2"/>
      <c r="Z46" s="2"/>
      <c r="AA46" s="2"/>
      <c r="AB46" s="2"/>
      <c r="AC46" s="2"/>
      <c r="AD46" s="2"/>
      <c r="AE46" s="2"/>
      <c r="AF46" s="2"/>
      <c r="AG46" s="2"/>
      <c r="AH46" s="2"/>
      <c r="AI46" s="2"/>
      <c r="AJ46" s="2"/>
      <c r="AK46" s="2"/>
      <c r="AL46" s="2"/>
    </row>
    <row r="47" ht="22.5" customHeight="1">
      <c r="A47" s="3" t="s">
        <v>338</v>
      </c>
      <c r="B47" s="4">
        <v>46.0</v>
      </c>
      <c r="C47" s="3" t="s">
        <v>339</v>
      </c>
      <c r="D47" s="3" t="s">
        <v>340</v>
      </c>
      <c r="E47" s="3" t="s">
        <v>341</v>
      </c>
      <c r="F47" s="3" t="s">
        <v>342</v>
      </c>
      <c r="G47" s="3" t="s">
        <v>186</v>
      </c>
      <c r="H47" s="3" t="s">
        <v>340</v>
      </c>
      <c r="I47" s="3" t="s">
        <v>343</v>
      </c>
      <c r="J47" s="2"/>
      <c r="K47" s="2"/>
      <c r="L47" s="3" t="s">
        <v>338</v>
      </c>
      <c r="M47" s="4">
        <v>46.0</v>
      </c>
      <c r="N47" s="3" t="str">
        <f>IFERROR(__xludf.DUMMYFUNCTION("GOOGLETRANSLATE(C47,""en"",""zh-CN"")"),"这张图片的主要内容是什么？")</f>
        <v>这张图片的主要内容是什么？</v>
      </c>
      <c r="O47" s="3" t="str">
        <f>IFERROR(__xludf.DUMMYFUNCTION("GOOGLETRANSLATE(D47,""en"",""zh-CN"")"),"一位身穿黑色制服的执业者")</f>
        <v>一位身穿黑色制服的执业者</v>
      </c>
      <c r="P47" s="3" t="str">
        <f>IFERROR(__xludf.DUMMYFUNCTION("GOOGLETRANSLATE(E47,""en"",""zh-CN"")"),"一群围观者")</f>
        <v>一群围观者</v>
      </c>
      <c r="Q47" s="3" t="str">
        <f>IFERROR(__xludf.DUMMYFUNCTION("GOOGLETRANSLATE(F47,""en"",""zh-CN"")"),"一群人伸展身体")</f>
        <v>一群人伸展身体</v>
      </c>
      <c r="R47" s="3" t="str">
        <f>IFERROR(__xludf.DUMMYFUNCTION("GOOGLETRANSLATE(G47,""en"",""zh-CN"")"),"一场武术比赛")</f>
        <v>一场武术比赛</v>
      </c>
      <c r="S47" s="3" t="s">
        <v>344</v>
      </c>
      <c r="T47" s="3" t="str">
        <f>IFERROR(__xludf.DUMMYFUNCTION("GOOGLETRANSLATE(H47,""en"",""zh-CN"")"),"一位身穿黑色制服的执业者")</f>
        <v>一位身穿黑色制服的执业者</v>
      </c>
      <c r="U47" s="3" t="str">
        <f>IFERROR(__xludf.DUMMYFUNCTION("GOOGLETRANSLATE(I47,""en"",""zh-CN"")"),"虽然背景中也有其他人，但主体是前景中身穿黑色太极服的男子，他的身影清晰可见。")</f>
        <v>虽然背景中也有其他人，但主体是前景中身穿黑色太极服的男子，他的身影清晰可见。</v>
      </c>
      <c r="V47" s="2"/>
      <c r="W47" s="2"/>
      <c r="X47" s="2"/>
      <c r="Y47" s="2"/>
      <c r="Z47" s="2"/>
      <c r="AA47" s="2"/>
      <c r="AB47" s="2"/>
      <c r="AC47" s="2"/>
      <c r="AD47" s="2"/>
      <c r="AE47" s="2"/>
      <c r="AF47" s="2"/>
      <c r="AG47" s="2"/>
      <c r="AH47" s="2"/>
      <c r="AI47" s="2"/>
      <c r="AJ47" s="2"/>
      <c r="AK47" s="2"/>
      <c r="AL47" s="2"/>
    </row>
    <row r="48" ht="22.5" customHeight="1">
      <c r="A48" s="3" t="s">
        <v>338</v>
      </c>
      <c r="B48" s="4">
        <v>47.0</v>
      </c>
      <c r="C48" s="3" t="s">
        <v>345</v>
      </c>
      <c r="D48" s="3" t="s">
        <v>346</v>
      </c>
      <c r="E48" s="3" t="s">
        <v>347</v>
      </c>
      <c r="F48" s="3" t="s">
        <v>348</v>
      </c>
      <c r="G48" s="3" t="s">
        <v>349</v>
      </c>
      <c r="H48" s="3" t="s">
        <v>348</v>
      </c>
      <c r="I48" s="3" t="s">
        <v>350</v>
      </c>
      <c r="J48" s="2"/>
      <c r="K48" s="2"/>
      <c r="L48" s="3" t="s">
        <v>338</v>
      </c>
      <c r="M48" s="4">
        <v>47.0</v>
      </c>
      <c r="N48" s="3" t="str">
        <f>IFERROR(__xludf.DUMMYFUNCTION("GOOGLETRANSLATE(C48,""en"",""zh-CN"")"),"练习者的站姿低而宽。这样做的主要目的是什么？")</f>
        <v>练习者的站姿低而宽。这样做的主要目的是什么？</v>
      </c>
      <c r="O48" s="3" t="str">
        <f>IFERROR(__xludf.DUMMYFUNCTION("GOOGLETRANSLATE(D48,""en"",""zh-CN"")"),"为了让从业者看起来更矮")</f>
        <v>为了让从业者看起来更矮</v>
      </c>
      <c r="P48" s="3" t="str">
        <f>IFERROR(__xludf.DUMMYFUNCTION("GOOGLETRANSLATE(E48,""en"",""zh-CN"")"),"为了展示高级灵活性")</f>
        <v>为了展示高级灵活性</v>
      </c>
      <c r="Q48" s="3" t="str">
        <f>IFERROR(__xludf.DUMMYFUNCTION("GOOGLETRANSLATE(F48,""en"",""zh-CN"")"),"夯实基础，增强腿部力量")</f>
        <v>夯实基础，增强腿部力量</v>
      </c>
      <c r="R48" s="3" t="str">
        <f>IFERROR(__xludf.DUMMYFUNCTION("GOOGLETRANSLATE(G48,""en"",""zh-CN"")"),"为冲刺做准备")</f>
        <v>为冲刺做准备</v>
      </c>
      <c r="S48" s="3" t="s">
        <v>351</v>
      </c>
      <c r="T48" s="3" t="str">
        <f>IFERROR(__xludf.DUMMYFUNCTION("GOOGLETRANSLATE(H48,""en"",""zh-CN"")"),"夯实基础，增强腿部力量")</f>
        <v>夯实基础，增强腿部力量</v>
      </c>
      <c r="U48" s="3" t="str">
        <f>IFERROR(__xludf.DUMMYFUNCTION("GOOGLETRANSLATE(I48,""en"",""zh-CN"")"),"低而宽的站姿是太极拳的基础，因为它能增强腿部和核心力量，提供稳定的基础，并建立所谓的“根”。")</f>
        <v>低而宽的站姿是太极拳的基础，因为它能增强腿部和核心力量，提供稳定的基础，并建立所谓的“根”。</v>
      </c>
      <c r="V48" s="2"/>
      <c r="W48" s="2"/>
      <c r="X48" s="2"/>
      <c r="Y48" s="2"/>
      <c r="Z48" s="2"/>
      <c r="AA48" s="2"/>
      <c r="AB48" s="2"/>
      <c r="AC48" s="2"/>
      <c r="AD48" s="2"/>
      <c r="AE48" s="2"/>
      <c r="AF48" s="2"/>
      <c r="AG48" s="2"/>
      <c r="AH48" s="2"/>
      <c r="AI48" s="2"/>
      <c r="AJ48" s="2"/>
      <c r="AK48" s="2"/>
      <c r="AL48" s="2"/>
    </row>
    <row r="49" ht="22.5" customHeight="1">
      <c r="A49" s="3" t="s">
        <v>338</v>
      </c>
      <c r="B49" s="4">
        <v>48.0</v>
      </c>
      <c r="C49" s="3" t="s">
        <v>352</v>
      </c>
      <c r="D49" s="3" t="s">
        <v>353</v>
      </c>
      <c r="E49" s="3" t="s">
        <v>354</v>
      </c>
      <c r="F49" s="3" t="s">
        <v>355</v>
      </c>
      <c r="G49" s="3" t="s">
        <v>356</v>
      </c>
      <c r="H49" s="3" t="s">
        <v>353</v>
      </c>
      <c r="I49" s="3" t="s">
        <v>357</v>
      </c>
      <c r="J49" s="2"/>
      <c r="K49" s="2"/>
      <c r="L49" s="3" t="s">
        <v>338</v>
      </c>
      <c r="M49" s="4">
        <v>48.0</v>
      </c>
      <c r="N49" s="3" t="str">
        <f>IFERROR(__xludf.DUMMYFUNCTION("GOOGLETRANSLATE(C49,""en"",""zh-CN"")"),"在这种情况下，统一的颜色（黑色配红色镶边）代表什么？")</f>
        <v>在这种情况下，统一的颜色（黑色配红色镶边）代表什么？</v>
      </c>
      <c r="O49" s="3" t="str">
        <f>IFERROR(__xludf.DUMMYFUNCTION("GOOGLETRANSLATE(D49,""en"",""zh-CN"")"),"这是太极拳中常见的制服颜色，但并没有什么特殊含义。")</f>
        <v>这是太极拳中常见的制服颜色，但并没有什么特殊含义。</v>
      </c>
      <c r="P49" s="3" t="str">
        <f>IFERROR(__xludf.DUMMYFUNCTION("GOOGLETRANSLATE(E49,""en"",""zh-CN"")"),"它象征着高等级")</f>
        <v>它象征着高等级</v>
      </c>
      <c r="Q49" s="3" t="str">
        <f>IFERROR(__xludf.DUMMYFUNCTION("GOOGLETRANSLATE(F49,""en"",""zh-CN"")"),"这是特定学校或风格的官方制服。")</f>
        <v>这是特定学校或风格的官方制服。</v>
      </c>
      <c r="R49" s="3" t="str">
        <f>IFERROR(__xludf.DUMMYFUNCTION("GOOGLETRANSLATE(G49,""en"",""zh-CN"")"),"它代表着一种不同的武术。")</f>
        <v>它代表着一种不同的武术。</v>
      </c>
      <c r="S49" s="3" t="s">
        <v>358</v>
      </c>
      <c r="T49" s="3" t="str">
        <f>IFERROR(__xludf.DUMMYFUNCTION("GOOGLETRANSLATE(H49,""en"",""zh-CN"")"),"这是太极拳中常见的制服颜色，但并没有什么特殊含义。")</f>
        <v>这是太极拳中常见的制服颜色，但并没有什么特殊含义。</v>
      </c>
      <c r="U49" s="3" t="str">
        <f>IFERROR(__xludf.DUMMYFUNCTION("GOOGLETRANSLATE(I49,""en"",""zh-CN"")"),"虽然有些学校可能会使用颜色来表示特定的隶属关系，但黑色是太极拳中非常常见和传统的制服颜色，通常因其简洁优雅和经典的外观而被选中。")</f>
        <v>虽然有些学校可能会使用颜色来表示特定的隶属关系，但黑色是太极拳中非常常见和传统的制服颜色，通常因其简洁优雅和经典的外观而被选中。</v>
      </c>
      <c r="V49" s="2"/>
      <c r="W49" s="2"/>
      <c r="X49" s="2"/>
      <c r="Y49" s="2"/>
      <c r="Z49" s="2"/>
      <c r="AA49" s="2"/>
      <c r="AB49" s="2"/>
      <c r="AC49" s="2"/>
      <c r="AD49" s="2"/>
      <c r="AE49" s="2"/>
      <c r="AF49" s="2"/>
      <c r="AG49" s="2"/>
      <c r="AH49" s="2"/>
      <c r="AI49" s="2"/>
      <c r="AJ49" s="2"/>
      <c r="AK49" s="2"/>
      <c r="AL49" s="2"/>
    </row>
    <row r="50" ht="22.5" customHeight="1">
      <c r="A50" s="3" t="s">
        <v>338</v>
      </c>
      <c r="B50" s="4">
        <v>49.0</v>
      </c>
      <c r="C50" s="3" t="s">
        <v>359</v>
      </c>
      <c r="D50" s="3" t="s">
        <v>360</v>
      </c>
      <c r="E50" s="3" t="s">
        <v>361</v>
      </c>
      <c r="F50" s="3" t="s">
        <v>362</v>
      </c>
      <c r="G50" s="3" t="s">
        <v>363</v>
      </c>
      <c r="H50" s="3" t="s">
        <v>361</v>
      </c>
      <c r="I50" s="3" t="s">
        <v>364</v>
      </c>
      <c r="J50" s="2"/>
      <c r="K50" s="2"/>
      <c r="L50" s="3" t="s">
        <v>338</v>
      </c>
      <c r="M50" s="4">
        <v>49.0</v>
      </c>
      <c r="N50" s="3" t="str">
        <f>IFERROR(__xludf.DUMMYFUNCTION("GOOGLETRANSLATE(C50,""en"",""zh-CN"")"),"主练者的双手做圆周运动。这种运动在太极拳中代表什么？")</f>
        <v>主练者的双手做圆周运动。这种运动在太极拳中代表什么？</v>
      </c>
      <c r="O50" s="3" t="str">
        <f>IFERROR(__xludf.DUMMYFUNCTION("GOOGLETRANSLATE(D50,""en"",""zh-CN"")"),"一种攻击形式")</f>
        <v>一种攻击形式</v>
      </c>
      <c r="P50" s="3" t="str">
        <f>IFERROR(__xludf.DUMMYFUNCTION("GOOGLETRANSLATE(E50,""en"",""zh-CN"")"),"能量流动与屈服原理")</f>
        <v>能量流动与屈服原理</v>
      </c>
      <c r="Q50" s="3" t="str">
        <f>IFERROR(__xludf.DUMMYFUNCTION("GOOGLETRANSLATE(F50,""en"",""zh-CN"")"),"抓取行为")</f>
        <v>抓取行为</v>
      </c>
      <c r="R50" s="3" t="str">
        <f>IFERROR(__xludf.DUMMYFUNCTION("GOOGLETRANSLATE(G50,""en"",""zh-CN"")"),"向他人发出信号")</f>
        <v>向他人发出信号</v>
      </c>
      <c r="S50" s="3" t="s">
        <v>365</v>
      </c>
      <c r="T50" s="3" t="str">
        <f>IFERROR(__xludf.DUMMYFUNCTION("GOOGLETRANSLATE(H50,""en"",""zh-CN"")"),"能量流动与屈服原理")</f>
        <v>能量流动与屈服原理</v>
      </c>
      <c r="U50" s="3" t="str">
        <f>IFERROR(__xludf.DUMMYFUNCTION("GOOGLETRANSLATE(I50,""en"",""zh-CN"")"),"圆周运动是太极拳的核心，代表着能量（气）的持续流动，以及通过以圆周路径引导对手的力量来化解对手力量的原则。")</f>
        <v>圆周运动是太极拳的核心，代表着能量（气）的持续流动，以及通过以圆周路径引导对手的力量来化解对手力量的原则。</v>
      </c>
      <c r="V50" s="2"/>
      <c r="W50" s="2"/>
      <c r="X50" s="2"/>
      <c r="Y50" s="2"/>
      <c r="Z50" s="2"/>
      <c r="AA50" s="2"/>
      <c r="AB50" s="2"/>
      <c r="AC50" s="2"/>
      <c r="AD50" s="2"/>
      <c r="AE50" s="2"/>
      <c r="AF50" s="2"/>
      <c r="AG50" s="2"/>
      <c r="AH50" s="2"/>
      <c r="AI50" s="2"/>
      <c r="AJ50" s="2"/>
      <c r="AK50" s="2"/>
      <c r="AL50" s="2"/>
    </row>
    <row r="51" ht="22.5" customHeight="1">
      <c r="A51" s="3" t="s">
        <v>338</v>
      </c>
      <c r="B51" s="4">
        <v>50.0</v>
      </c>
      <c r="C51" s="3" t="s">
        <v>366</v>
      </c>
      <c r="D51" s="3" t="s">
        <v>84</v>
      </c>
      <c r="E51" s="3" t="s">
        <v>367</v>
      </c>
      <c r="F51" s="3" t="s">
        <v>86</v>
      </c>
      <c r="G51" s="3" t="s">
        <v>368</v>
      </c>
      <c r="H51" s="3" t="s">
        <v>86</v>
      </c>
      <c r="I51" s="3" t="s">
        <v>369</v>
      </c>
      <c r="J51" s="2"/>
      <c r="K51" s="2"/>
      <c r="L51" s="3" t="s">
        <v>338</v>
      </c>
      <c r="M51" s="4">
        <v>50.0</v>
      </c>
      <c r="N51" s="3" t="str">
        <f>IFERROR(__xludf.DUMMYFUNCTION("GOOGLETRANSLATE(C51,""en"",""zh-CN"")"),"这位修行者身处一个类似公园的环境中。这在哪个国家的文化中是常见的场景？")</f>
        <v>这位修行者身处一个类似公园的环境中。这在哪个国家的文化中是常见的场景？</v>
      </c>
      <c r="O51" s="3" t="str">
        <f>IFERROR(__xludf.DUMMYFUNCTION("GOOGLETRANSLATE(D51,""en"",""zh-CN"")"),"日本")</f>
        <v>日本</v>
      </c>
      <c r="P51" s="3" t="str">
        <f>IFERROR(__xludf.DUMMYFUNCTION("GOOGLETRANSLATE(E51,""en"",""zh-CN"")"),"巴西")</f>
        <v>巴西</v>
      </c>
      <c r="Q51" s="3" t="str">
        <f>IFERROR(__xludf.DUMMYFUNCTION("GOOGLETRANSLATE(F51,""en"",""zh-CN"")"),"中国")</f>
        <v>中国</v>
      </c>
      <c r="R51" s="3" t="str">
        <f>IFERROR(__xludf.DUMMYFUNCTION("GOOGLETRANSLATE(G51,""en"",""zh-CN"")"),"俄罗斯")</f>
        <v>俄罗斯</v>
      </c>
      <c r="S51" s="3" t="s">
        <v>370</v>
      </c>
      <c r="T51" s="3" t="str">
        <f>IFERROR(__xludf.DUMMYFUNCTION("GOOGLETRANSLATE(H51,""en"",""zh-CN"")"),"中国")</f>
        <v>中国</v>
      </c>
      <c r="U51" s="3" t="str">
        <f>IFERROR(__xludf.DUMMYFUNCTION("GOOGLETRANSLATE(I51,""en"",""zh-CN"")"),"人们在公园里练习太极拳的场景是中国日常生活和公共文化的重要组成部分。")</f>
        <v>人们在公园里练习太极拳的场景是中国日常生活和公共文化的重要组成部分。</v>
      </c>
      <c r="V51" s="2"/>
      <c r="W51" s="2"/>
      <c r="X51" s="2"/>
      <c r="Y51" s="2"/>
      <c r="Z51" s="2"/>
      <c r="AA51" s="2"/>
      <c r="AB51" s="2"/>
      <c r="AC51" s="2"/>
      <c r="AD51" s="2"/>
      <c r="AE51" s="2"/>
      <c r="AF51" s="2"/>
      <c r="AG51" s="2"/>
      <c r="AH51" s="2"/>
      <c r="AI51" s="2"/>
      <c r="AJ51" s="2"/>
      <c r="AK51" s="2"/>
      <c r="AL51" s="2"/>
    </row>
    <row r="52" ht="22.5" customHeight="1">
      <c r="A52" s="3" t="s">
        <v>371</v>
      </c>
      <c r="B52" s="4">
        <v>51.0</v>
      </c>
      <c r="C52" s="3" t="s">
        <v>372</v>
      </c>
      <c r="D52" s="3" t="s">
        <v>373</v>
      </c>
      <c r="E52" s="3" t="s">
        <v>374</v>
      </c>
      <c r="F52" s="3" t="s">
        <v>375</v>
      </c>
      <c r="G52" s="3" t="s">
        <v>376</v>
      </c>
      <c r="H52" s="3" t="s">
        <v>376</v>
      </c>
      <c r="I52" s="3" t="s">
        <v>377</v>
      </c>
      <c r="J52" s="2"/>
      <c r="K52" s="2"/>
      <c r="L52" s="3" t="s">
        <v>371</v>
      </c>
      <c r="M52" s="4">
        <v>51.0</v>
      </c>
      <c r="N52" s="3" t="str">
        <f>IFERROR(__xludf.DUMMYFUNCTION("GOOGLETRANSLATE(C52,""en"",""zh-CN"")"),"图片中练习太极拳的人群年龄范围大概是多少？")</f>
        <v>图片中练习太极拳的人群年龄范围大概是多少？</v>
      </c>
      <c r="O52" s="3" t="str">
        <f>IFERROR(__xludf.DUMMYFUNCTION("GOOGLETRANSLATE(D52,""en"",""zh-CN"")"),"青少年")</f>
        <v>青少年</v>
      </c>
      <c r="P52" s="3" t="str">
        <f>IFERROR(__xludf.DUMMYFUNCTION("GOOGLETRANSLATE(E52,""en"",""zh-CN"")"),"青年人")</f>
        <v>青年人</v>
      </c>
      <c r="Q52" s="3" t="str">
        <f>IFERROR(__xludf.DUMMYFUNCTION("GOOGLETRANSLATE(F52,""en"",""zh-CN"")"),"中年人")</f>
        <v>中年人</v>
      </c>
      <c r="R52" s="3" t="str">
        <f>IFERROR(__xludf.DUMMYFUNCTION("GOOGLETRANSLATE(G52,""en"",""zh-CN"")"),"老年人")</f>
        <v>老年人</v>
      </c>
      <c r="S52" s="3" t="s">
        <v>378</v>
      </c>
      <c r="T52" s="3" t="str">
        <f>IFERROR(__xludf.DUMMYFUNCTION("GOOGLETRANSLATE(H52,""en"",""zh-CN"")"),"老年人")</f>
        <v>老年人</v>
      </c>
      <c r="U52" s="3" t="str">
        <f>IFERROR(__xludf.DUMMYFUNCTION("GOOGLETRANSLATE(I52,""en"",""zh-CN"")"),"从他们灰白的头发和整体外貌来看，图片中的人很可能是老年人，而老年人正是太极拳练习者的常见人群，因为太极拳对健康有益。")</f>
        <v>从他们灰白的头发和整体外貌来看，图片中的人很可能是老年人，而老年人正是太极拳练习者的常见人群，因为太极拳对健康有益。</v>
      </c>
      <c r="V52" s="2"/>
      <c r="W52" s="2"/>
      <c r="X52" s="2"/>
      <c r="Y52" s="2"/>
      <c r="Z52" s="2"/>
      <c r="AA52" s="2"/>
      <c r="AB52" s="2"/>
      <c r="AC52" s="2"/>
      <c r="AD52" s="2"/>
      <c r="AE52" s="2"/>
      <c r="AF52" s="2"/>
      <c r="AG52" s="2"/>
      <c r="AH52" s="2"/>
      <c r="AI52" s="2"/>
      <c r="AJ52" s="2"/>
      <c r="AK52" s="2"/>
      <c r="AL52" s="2"/>
    </row>
    <row r="53" ht="22.5" customHeight="1">
      <c r="A53" s="3" t="s">
        <v>371</v>
      </c>
      <c r="B53" s="4">
        <v>52.0</v>
      </c>
      <c r="C53" s="3" t="s">
        <v>379</v>
      </c>
      <c r="D53" s="3" t="s">
        <v>380</v>
      </c>
      <c r="E53" s="3" t="s">
        <v>381</v>
      </c>
      <c r="F53" s="3" t="s">
        <v>382</v>
      </c>
      <c r="G53" s="3" t="s">
        <v>383</v>
      </c>
      <c r="H53" s="3" t="s">
        <v>381</v>
      </c>
      <c r="I53" s="3" t="s">
        <v>384</v>
      </c>
      <c r="J53" s="2"/>
      <c r="K53" s="2"/>
      <c r="L53" s="3" t="s">
        <v>371</v>
      </c>
      <c r="M53" s="4">
        <v>52.0</v>
      </c>
      <c r="N53" s="3" t="str">
        <f>IFERROR(__xludf.DUMMYFUNCTION("GOOGLETRANSLATE(C53,""en"",""zh-CN"")"),"练习者的主要服装是太极拳的传统服饰。它的主要特点是什么？")</f>
        <v>练习者的主要服装是太极拳的传统服饰。它的主要特点是什么？</v>
      </c>
      <c r="O53" s="3" t="str">
        <f>IFERROR(__xludf.DUMMYFUNCTION("GOOGLETRANSLATE(D53,""en"",""zh-CN"")"),"它采用紧身设计，凸显肌肉线条。")</f>
        <v>它采用紧身设计，凸显肌肉线条。</v>
      </c>
      <c r="P53" s="3" t="str">
        <f>IFERROR(__xludf.DUMMYFUNCTION("GOOGLETRANSLATE(E53,""en"",""zh-CN"")"),"它宽松飘逸，可以让你活动自如。")</f>
        <v>它宽松飘逸，可以让你活动自如。</v>
      </c>
      <c r="Q53" s="3" t="str">
        <f>IFERROR(__xludf.DUMMYFUNCTION("GOOGLETRANSLATE(F53,""en"",""zh-CN"")"),"它采用厚重保暖的面料制成。")</f>
        <v>它采用厚重保暖的面料制成。</v>
      </c>
      <c r="R53" s="3" t="str">
        <f>IFERROR(__xludf.DUMMYFUNCTION("GOOGLETRANSLATE(G53,""en"",""zh-CN"")"),"它的颜色鲜艳，便于辨认。")</f>
        <v>它的颜色鲜艳，便于辨认。</v>
      </c>
      <c r="S53" s="3" t="s">
        <v>385</v>
      </c>
      <c r="T53" s="3" t="str">
        <f>IFERROR(__xludf.DUMMYFUNCTION("GOOGLETRANSLATE(H53,""en"",""zh-CN"")"),"它宽松飘逸，可以让你活动自如。")</f>
        <v>它宽松飘逸，可以让你活动自如。</v>
      </c>
      <c r="U53" s="3" t="str">
        <f>IFERROR(__xludf.DUMMYFUNCTION("GOOGLETRANSLATE(I53,""en"",""zh-CN"")"),"太极拳服的特点是宽松舒适，采用轻质面料制成，以确保练习时的舒适性和活动自如。")</f>
        <v>太极拳服的特点是宽松舒适，采用轻质面料制成，以确保练习时的舒适性和活动自如。</v>
      </c>
      <c r="V53" s="2"/>
      <c r="W53" s="2"/>
      <c r="X53" s="2"/>
      <c r="Y53" s="2"/>
      <c r="Z53" s="2"/>
      <c r="AA53" s="2"/>
      <c r="AB53" s="2"/>
      <c r="AC53" s="2"/>
      <c r="AD53" s="2"/>
      <c r="AE53" s="2"/>
      <c r="AF53" s="2"/>
      <c r="AG53" s="2"/>
      <c r="AH53" s="2"/>
      <c r="AI53" s="2"/>
      <c r="AJ53" s="2"/>
      <c r="AK53" s="2"/>
      <c r="AL53" s="2"/>
    </row>
    <row r="54" ht="22.5" customHeight="1">
      <c r="A54" s="3" t="s">
        <v>371</v>
      </c>
      <c r="B54" s="4">
        <v>53.0</v>
      </c>
      <c r="C54" s="3" t="s">
        <v>386</v>
      </c>
      <c r="D54" s="3" t="s">
        <v>387</v>
      </c>
      <c r="E54" s="3" t="s">
        <v>388</v>
      </c>
      <c r="F54" s="3" t="s">
        <v>389</v>
      </c>
      <c r="G54" s="3" t="s">
        <v>390</v>
      </c>
      <c r="H54" s="3" t="s">
        <v>388</v>
      </c>
      <c r="I54" s="3" t="s">
        <v>391</v>
      </c>
      <c r="J54" s="2"/>
      <c r="K54" s="2"/>
      <c r="L54" s="3" t="s">
        <v>371</v>
      </c>
      <c r="M54" s="4">
        <v>53.0</v>
      </c>
      <c r="N54" s="3" t="str">
        <f>IFERROR(__xludf.DUMMYFUNCTION("GOOGLETRANSLATE(C54,""en"",""zh-CN"")"),"根据环境判断，这个小组在这里练习的可能原因是什么？")</f>
        <v>根据环境判断，这个小组在这里练习的可能原因是什么？</v>
      </c>
      <c r="O54" s="3" t="str">
        <f>IFERROR(__xludf.DUMMYFUNCTION("GOOGLETRANSLATE(D54,""en"",""zh-CN"")"),"设有表演舞台。")</f>
        <v>设有表演舞台。</v>
      </c>
      <c r="P54" s="3" t="str">
        <f>IFERROR(__xludf.DUMMYFUNCTION("GOOGLETRANSLATE(E54,""en"",""zh-CN"")"),"自然环境营造出宁静祥和的氛围。")</f>
        <v>自然环境营造出宁静祥和的氛围。</v>
      </c>
      <c r="Q54" s="3" t="str">
        <f>IFERROR(__xludf.DUMMYFUNCTION("GOOGLETRANSLATE(F54,""en"",""zh-CN"")"),"该区域专为高强度运动而设计。")</f>
        <v>该区域专为高强度运动而设计。</v>
      </c>
      <c r="R54" s="3" t="str">
        <f>IFERROR(__xludf.DUMMYFUNCTION("GOOGLETRANSLATE(G54,""en"",""zh-CN"")"),"地面湿滑，充满挑战。")</f>
        <v>地面湿滑，充满挑战。</v>
      </c>
      <c r="S54" s="3" t="s">
        <v>392</v>
      </c>
      <c r="T54" s="3" t="str">
        <f>IFERROR(__xludf.DUMMYFUNCTION("GOOGLETRANSLATE(H54,""en"",""zh-CN"")"),"自然环境营造出宁静祥和的氛围。")</f>
        <v>自然环境营造出宁静祥和的氛围。</v>
      </c>
      <c r="U54" s="3" t="str">
        <f>IFERROR(__xludf.DUMMYFUNCTION("GOOGLETRANSLATE(I54,""en"",""zh-CN"")"),"在公园等有树木的自然环境中练习太极拳，有助于提升这项运动的平静和冥想效果。")</f>
        <v>在公园等有树木的自然环境中练习太极拳，有助于提升这项运动的平静和冥想效果。</v>
      </c>
      <c r="V54" s="2"/>
      <c r="W54" s="2"/>
      <c r="X54" s="2"/>
      <c r="Y54" s="2"/>
      <c r="Z54" s="2"/>
      <c r="AA54" s="2"/>
      <c r="AB54" s="2"/>
      <c r="AC54" s="2"/>
      <c r="AD54" s="2"/>
      <c r="AE54" s="2"/>
      <c r="AF54" s="2"/>
      <c r="AG54" s="2"/>
      <c r="AH54" s="2"/>
      <c r="AI54" s="2"/>
      <c r="AJ54" s="2"/>
      <c r="AK54" s="2"/>
      <c r="AL54" s="2"/>
    </row>
    <row r="55" ht="22.5" customHeight="1">
      <c r="A55" s="3" t="s">
        <v>371</v>
      </c>
      <c r="B55" s="4">
        <v>54.0</v>
      </c>
      <c r="C55" s="3" t="s">
        <v>393</v>
      </c>
      <c r="D55" s="3" t="s">
        <v>394</v>
      </c>
      <c r="E55" s="3" t="s">
        <v>395</v>
      </c>
      <c r="F55" s="3" t="s">
        <v>396</v>
      </c>
      <c r="G55" s="3" t="s">
        <v>397</v>
      </c>
      <c r="H55" s="3" t="s">
        <v>396</v>
      </c>
      <c r="I55" s="3" t="s">
        <v>398</v>
      </c>
      <c r="J55" s="2"/>
      <c r="K55" s="2"/>
      <c r="L55" s="3" t="s">
        <v>371</v>
      </c>
      <c r="M55" s="4">
        <v>54.0</v>
      </c>
      <c r="N55" s="3" t="str">
        <f>IFERROR(__xludf.DUMMYFUNCTION("GOOGLETRANSLATE(C55,""en"",""zh-CN"")"),"前景中的练习者采用了稳健而低矮的站姿。这种姿势有助于改善哪些方面？")</f>
        <v>前景中的练习者采用了稳健而低矮的站姿。这种姿势有助于改善哪些方面？</v>
      </c>
      <c r="O55" s="3" t="str">
        <f>IFERROR(__xludf.DUMMYFUNCTION("GOOGLETRANSLATE(D55,""en"",""zh-CN"")"),"跳跃能力")</f>
        <v>跳跃能力</v>
      </c>
      <c r="P55" s="3" t="str">
        <f>IFERROR(__xludf.DUMMYFUNCTION("GOOGLETRANSLATE(E55,""en"",""zh-CN"")"),"心血管健康")</f>
        <v>心血管健康</v>
      </c>
      <c r="Q55" s="3" t="str">
        <f>IFERROR(__xludf.DUMMYFUNCTION("GOOGLETRANSLATE(F55,""en"",""zh-CN"")"),"腿部力量和平衡")</f>
        <v>腿部力量和平衡</v>
      </c>
      <c r="R55" s="3" t="str">
        <f>IFERROR(__xludf.DUMMYFUNCTION("GOOGLETRANSLATE(G55,""en"",""zh-CN"")"),"上半身肌肉质量")</f>
        <v>上半身肌肉质量</v>
      </c>
      <c r="S55" s="3" t="s">
        <v>399</v>
      </c>
      <c r="T55" s="3" t="str">
        <f>IFERROR(__xludf.DUMMYFUNCTION("GOOGLETRANSLATE(H55,""en"",""zh-CN"")"),"腿部力量和平衡")</f>
        <v>腿部力量和平衡</v>
      </c>
      <c r="U55" s="3" t="str">
        <f>IFERROR(__xludf.DUMMYFUNCTION("GOOGLETRANSLATE(I55,""en"",""zh-CN"")"),"低站姿，或称“马步”，对于建立稳固的基础、增强腿部力量和提升平衡能力至关重要。")</f>
        <v>低站姿，或称“马步”，对于建立稳固的基础、增强腿部力量和提升平衡能力至关重要。</v>
      </c>
      <c r="V55" s="2"/>
      <c r="W55" s="2"/>
      <c r="X55" s="2"/>
      <c r="Y55" s="2"/>
      <c r="Z55" s="2"/>
      <c r="AA55" s="2"/>
      <c r="AB55" s="2"/>
      <c r="AC55" s="2"/>
      <c r="AD55" s="2"/>
      <c r="AE55" s="2"/>
      <c r="AF55" s="2"/>
      <c r="AG55" s="2"/>
      <c r="AH55" s="2"/>
      <c r="AI55" s="2"/>
      <c r="AJ55" s="2"/>
      <c r="AK55" s="2"/>
      <c r="AL55" s="2"/>
    </row>
    <row r="56" ht="22.5" customHeight="1">
      <c r="A56" s="3" t="s">
        <v>371</v>
      </c>
      <c r="B56" s="4">
        <v>55.0</v>
      </c>
      <c r="C56" s="3" t="s">
        <v>400</v>
      </c>
      <c r="D56" s="3" t="s">
        <v>401</v>
      </c>
      <c r="E56" s="3" t="s">
        <v>402</v>
      </c>
      <c r="F56" s="3" t="s">
        <v>403</v>
      </c>
      <c r="G56" s="3" t="s">
        <v>404</v>
      </c>
      <c r="H56" s="3" t="s">
        <v>403</v>
      </c>
      <c r="I56" s="3" t="s">
        <v>405</v>
      </c>
      <c r="J56" s="2"/>
      <c r="K56" s="2"/>
      <c r="L56" s="3" t="s">
        <v>371</v>
      </c>
      <c r="M56" s="4">
        <v>55.0</v>
      </c>
      <c r="N56" s="3" t="str">
        <f>IFERROR(__xludf.DUMMYFUNCTION("GOOGLETRANSLATE(C56,""en"",""zh-CN"")"),"这种太极拳练习中缓慢、沉稳的动作的主要目的是什么？")</f>
        <v>这种太极拳练习中缓慢、沉稳的动作的主要目的是什么？</v>
      </c>
      <c r="O56" s="3" t="str">
        <f>IFERROR(__xludf.DUMMYFUNCTION("GOOGLETRANSLATE(D56,""en"",""zh-CN"")"),"创造美丽的视觉效果。")</f>
        <v>创造美丽的视觉效果。</v>
      </c>
      <c r="P56" s="3" t="str">
        <f>IFERROR(__xludf.DUMMYFUNCTION("GOOGLETRANSLATE(E56,""en"",""zh-CN"")"),"增强爆发力和速度。")</f>
        <v>增强爆发力和速度。</v>
      </c>
      <c r="Q56" s="3" t="str">
        <f>IFERROR(__xludf.DUMMYFUNCTION("GOOGLETRANSLATE(F56,""en"",""zh-CN"")"),"培养内在能量和精神专注力。")</f>
        <v>培养内在能量和精神专注力。</v>
      </c>
      <c r="R56" s="3" t="str">
        <f>IFERROR(__xludf.DUMMYFUNCTION("GOOGLETRANSLATE(G56,""en"",""zh-CN"")"),"剧烈运动后放松身心。")</f>
        <v>剧烈运动后放松身心。</v>
      </c>
      <c r="S56" s="3" t="s">
        <v>406</v>
      </c>
      <c r="T56" s="3" t="str">
        <f>IFERROR(__xludf.DUMMYFUNCTION("GOOGLETRANSLATE(H56,""en"",""zh-CN"")"),"培养内在能量和精神专注力。")</f>
        <v>培养内在能量和精神专注力。</v>
      </c>
      <c r="U56" s="3" t="str">
        <f>IFERROR(__xludf.DUMMYFUNCTION("GOOGLETRANSLATE(I56,""en"",""zh-CN"")"),"太极拳缓慢、可控的动作旨在帮助练习者专注于呼吸和内在能量（气），从而促进精神平静和正念状态。")</f>
        <v>太极拳缓慢、可控的动作旨在帮助练习者专注于呼吸和内在能量（气），从而促进精神平静和正念状态。</v>
      </c>
      <c r="V56" s="2"/>
      <c r="W56" s="2"/>
      <c r="X56" s="2"/>
      <c r="Y56" s="2"/>
      <c r="Z56" s="2"/>
      <c r="AA56" s="2"/>
      <c r="AB56" s="2"/>
      <c r="AC56" s="2"/>
      <c r="AD56" s="2"/>
      <c r="AE56" s="2"/>
      <c r="AF56" s="2"/>
      <c r="AG56" s="2"/>
      <c r="AH56" s="2"/>
      <c r="AI56" s="2"/>
      <c r="AJ56" s="2"/>
      <c r="AK56" s="2"/>
      <c r="AL56" s="2"/>
    </row>
    <row r="57" ht="22.5" customHeight="1">
      <c r="A57" s="3" t="s">
        <v>407</v>
      </c>
      <c r="B57" s="4">
        <v>56.0</v>
      </c>
      <c r="C57" s="3" t="s">
        <v>408</v>
      </c>
      <c r="D57" s="3" t="s">
        <v>409</v>
      </c>
      <c r="E57" s="3" t="s">
        <v>410</v>
      </c>
      <c r="F57" s="3" t="s">
        <v>411</v>
      </c>
      <c r="G57" s="3" t="s">
        <v>412</v>
      </c>
      <c r="H57" s="3" t="s">
        <v>410</v>
      </c>
      <c r="I57" s="3" t="s">
        <v>413</v>
      </c>
      <c r="J57" s="2"/>
      <c r="K57" s="2"/>
      <c r="L57" s="3" t="s">
        <v>407</v>
      </c>
      <c r="M57" s="4">
        <v>56.0</v>
      </c>
      <c r="N57" s="3" t="str">
        <f>IFERROR(__xludf.DUMMYFUNCTION("GOOGLETRANSLATE(C57,""en"",""zh-CN"")"),"图片中人群的多样性对太极拳有何启示？")</f>
        <v>图片中人群的多样性对太极拳有何启示？</v>
      </c>
      <c r="O57" s="3" t="str">
        <f>IFERROR(__xludf.DUMMYFUNCTION("GOOGLETRANSLATE(D57,""en"",""zh-CN"")"),"这是特定族群特有的习俗。")</f>
        <v>这是特定族群特有的习俗。</v>
      </c>
      <c r="P57" s="3" t="str">
        <f>IFERROR(__xludf.DUMMYFUNCTION("GOOGLETRANSLATE(E57,""en"",""zh-CN"")"),"它适合所有背景的人练习。")</f>
        <v>它适合所有背景的人练习。</v>
      </c>
      <c r="Q57" s="3" t="str">
        <f>IFERROR(__xludf.DUMMYFUNCTION("GOOGLETRANSLATE(F57,""en"",""zh-CN"")"),"这种锻炼方式只适合体能水平很高的人。")</f>
        <v>这种锻炼方式只适合体能水平很高的人。</v>
      </c>
      <c r="R57" s="3" t="str">
        <f>IFERROR(__xludf.DUMMYFUNCTION("GOOGLETRANSLATE(G57,""en"",""zh-CN"")"),"这种做法只适用于特定年龄段的人群。")</f>
        <v>这种做法只适用于特定年龄段的人群。</v>
      </c>
      <c r="S57" s="3" t="s">
        <v>414</v>
      </c>
      <c r="T57" s="3" t="str">
        <f>IFERROR(__xludf.DUMMYFUNCTION("GOOGLETRANSLATE(H57,""en"",""zh-CN"")"),"它适合所有背景的人练习。")</f>
        <v>它适合所有背景的人练习。</v>
      </c>
      <c r="U57" s="3" t="str">
        <f>IFERROR(__xludf.DUMMYFUNCTION("GOOGLETRANSLATE(I57,""en"",""zh-CN"")"),"图片显示不同年龄、性别和种族的人们一起练习太极拳，表明太极拳是一项广泛参与且包容性强的活动。")</f>
        <v>图片显示不同年龄、性别和种族的人们一起练习太极拳，表明太极拳是一项广泛参与且包容性强的活动。</v>
      </c>
      <c r="V57" s="2"/>
      <c r="W57" s="2"/>
      <c r="X57" s="2"/>
      <c r="Y57" s="2"/>
      <c r="Z57" s="2"/>
      <c r="AA57" s="2"/>
      <c r="AB57" s="2"/>
      <c r="AC57" s="2"/>
      <c r="AD57" s="2"/>
      <c r="AE57" s="2"/>
      <c r="AF57" s="2"/>
      <c r="AG57" s="2"/>
      <c r="AH57" s="2"/>
      <c r="AI57" s="2"/>
      <c r="AJ57" s="2"/>
      <c r="AK57" s="2"/>
      <c r="AL57" s="2"/>
    </row>
    <row r="58" ht="22.5" customHeight="1">
      <c r="A58" s="3" t="s">
        <v>407</v>
      </c>
      <c r="B58" s="4">
        <v>57.0</v>
      </c>
      <c r="C58" s="3" t="s">
        <v>415</v>
      </c>
      <c r="D58" s="3" t="s">
        <v>416</v>
      </c>
      <c r="E58" s="3" t="s">
        <v>417</v>
      </c>
      <c r="F58" s="3" t="s">
        <v>418</v>
      </c>
      <c r="G58" s="3" t="s">
        <v>419</v>
      </c>
      <c r="H58" s="3" t="s">
        <v>419</v>
      </c>
      <c r="I58" s="3" t="s">
        <v>420</v>
      </c>
      <c r="J58" s="2"/>
      <c r="K58" s="2"/>
      <c r="L58" s="3" t="s">
        <v>407</v>
      </c>
      <c r="M58" s="4">
        <v>57.0</v>
      </c>
      <c r="N58" s="3" t="str">
        <f>IFERROR(__xludf.DUMMYFUNCTION("GOOGLETRANSLATE(C58,""en"",""zh-CN"")"),"手掌朝前的这个手势有什么目的？")</f>
        <v>手掌朝前的这个手势有什么目的？</v>
      </c>
      <c r="O58" s="3" t="str">
        <f>IFERROR(__xludf.DUMMYFUNCTION("GOOGLETRANSLATE(D58,""en"",""zh-CN"")"),"这是一个表示欢迎的举动。")</f>
        <v>这是一个表示欢迎的举动。</v>
      </c>
      <c r="P58" s="3" t="str">
        <f>IFERROR(__xludf.DUMMYFUNCTION("GOOGLETRANSLATE(E58,""en"",""zh-CN"")"),"这是一个引人注目的动作。")</f>
        <v>这是一个引人注目的动作。</v>
      </c>
      <c r="Q58" s="3" t="str">
        <f>IFERROR(__xludf.DUMMYFUNCTION("GOOGLETRANSLATE(F58,""en"",""zh-CN"")"),"这是一个防守阻挡动作。")</f>
        <v>这是一个防守阻挡动作。</v>
      </c>
      <c r="R58" s="3" t="str">
        <f>IFERROR(__xludf.DUMMYFUNCTION("GOOGLETRANSLATE(G58,""en"",""zh-CN"")"),"这是一种“推”或“按”想象中的力量的姿势。")</f>
        <v>这是一种“推”或“按”想象中的力量的姿势。</v>
      </c>
      <c r="S58" s="3" t="s">
        <v>421</v>
      </c>
      <c r="T58" s="3" t="str">
        <f>IFERROR(__xludf.DUMMYFUNCTION("GOOGLETRANSLATE(H58,""en"",""zh-CN"")"),"这是一种“推”或“按”想象中的力量的姿势。")</f>
        <v>这是一种“推”或“按”想象中的力量的姿势。</v>
      </c>
      <c r="U58" s="3" t="str">
        <f>IFERROR(__xludf.DUMMYFUNCTION("GOOGLETRANSLATE(I58,""en"",""zh-CN"")"),"这种手部姿势是太极拳的基本动作，通常被称为“推手”，练习者施加轻柔的压力，就像推开一个假想的对手或外力一样。")</f>
        <v>这种手部姿势是太极拳的基本动作，通常被称为“推手”，练习者施加轻柔的压力，就像推开一个假想的对手或外力一样。</v>
      </c>
      <c r="V58" s="2"/>
      <c r="W58" s="2"/>
      <c r="X58" s="2"/>
      <c r="Y58" s="2"/>
      <c r="Z58" s="2"/>
      <c r="AA58" s="2"/>
      <c r="AB58" s="2"/>
      <c r="AC58" s="2"/>
      <c r="AD58" s="2"/>
      <c r="AE58" s="2"/>
      <c r="AF58" s="2"/>
      <c r="AG58" s="2"/>
      <c r="AH58" s="2"/>
      <c r="AI58" s="2"/>
      <c r="AJ58" s="2"/>
      <c r="AK58" s="2"/>
      <c r="AL58" s="2"/>
    </row>
    <row r="59" ht="22.5" customHeight="1">
      <c r="A59" s="3" t="s">
        <v>407</v>
      </c>
      <c r="B59" s="4">
        <v>58.0</v>
      </c>
      <c r="C59" s="3" t="s">
        <v>422</v>
      </c>
      <c r="D59" s="3" t="s">
        <v>423</v>
      </c>
      <c r="E59" s="3" t="s">
        <v>424</v>
      </c>
      <c r="F59" s="3" t="s">
        <v>425</v>
      </c>
      <c r="G59" s="3" t="s">
        <v>426</v>
      </c>
      <c r="H59" s="3" t="s">
        <v>426</v>
      </c>
      <c r="I59" s="3" t="s">
        <v>427</v>
      </c>
      <c r="J59" s="2"/>
      <c r="K59" s="2"/>
      <c r="L59" s="3" t="s">
        <v>407</v>
      </c>
      <c r="M59" s="4">
        <v>58.0</v>
      </c>
      <c r="N59" s="3" t="str">
        <f>IFERROR(__xludf.DUMMYFUNCTION("GOOGLETRANSLATE(C59,""en"",""zh-CN"")"),"为什么从业人员会佩戴手表或健身追踪器？")</f>
        <v>为什么从业人员会佩戴手表或健身追踪器？</v>
      </c>
      <c r="O59" s="3" t="str">
        <f>IFERROR(__xludf.DUMMYFUNCTION("GOOGLETRANSLATE(D59,""en"",""zh-CN"")"),"记录他们的步数和消耗的卡路里。")</f>
        <v>记录他们的步数和消耗的卡路里。</v>
      </c>
      <c r="P59" s="3" t="str">
        <f>IFERROR(__xludf.DUMMYFUNCTION("GOOGLETRANSLATE(E59,""en"",""zh-CN"")"),"把握他们的行动时机。")</f>
        <v>把握他们的行动时机。</v>
      </c>
      <c r="Q59" s="3" t="str">
        <f>IFERROR(__xludf.DUMMYFUNCTION("GOOGLETRANSLATE(F59,""en"",""zh-CN"")"),"用于标记会议的开始和结束。")</f>
        <v>用于标记会议的开始和结束。</v>
      </c>
      <c r="R59" s="3" t="str">
        <f>IFERROR(__xludf.DUMMYFUNCTION("GOOGLETRANSLATE(G59,""en"",""zh-CN"")"),"监测他们的心率和整体健康指标。")</f>
        <v>监测他们的心率和整体健康指标。</v>
      </c>
      <c r="S59" s="3" t="s">
        <v>428</v>
      </c>
      <c r="T59" s="3" t="str">
        <f>IFERROR(__xludf.DUMMYFUNCTION("GOOGLETRANSLATE(H59,""en"",""zh-CN"")"),"监测他们的心率和整体健康指标。")</f>
        <v>监测他们的心率和整体健康指标。</v>
      </c>
      <c r="U59" s="3" t="str">
        <f>IFERROR(__xludf.DUMMYFUNCTION("GOOGLETRANSLATE(I59,""en"",""zh-CN"")"),"现代太极拳练习者经常使用健身追踪器来监测心率等生物特征数据，这可以显示太极拳对心血管的微妙益处。")</f>
        <v>现代太极拳练习者经常使用健身追踪器来监测心率等生物特征数据，这可以显示太极拳对心血管的微妙益处。</v>
      </c>
      <c r="V59" s="2"/>
      <c r="W59" s="2"/>
      <c r="X59" s="2"/>
      <c r="Y59" s="2"/>
      <c r="Z59" s="2"/>
      <c r="AA59" s="2"/>
      <c r="AB59" s="2"/>
      <c r="AC59" s="2"/>
      <c r="AD59" s="2"/>
      <c r="AE59" s="2"/>
      <c r="AF59" s="2"/>
      <c r="AG59" s="2"/>
      <c r="AH59" s="2"/>
      <c r="AI59" s="2"/>
      <c r="AJ59" s="2"/>
      <c r="AK59" s="2"/>
      <c r="AL59" s="2"/>
    </row>
    <row r="60" ht="22.5" customHeight="1">
      <c r="A60" s="3" t="s">
        <v>407</v>
      </c>
      <c r="B60" s="4">
        <v>59.0</v>
      </c>
      <c r="C60" s="3" t="s">
        <v>429</v>
      </c>
      <c r="D60" s="3" t="s">
        <v>430</v>
      </c>
      <c r="E60" s="3" t="s">
        <v>431</v>
      </c>
      <c r="F60" s="3" t="s">
        <v>432</v>
      </c>
      <c r="G60" s="3" t="s">
        <v>433</v>
      </c>
      <c r="H60" s="3" t="s">
        <v>432</v>
      </c>
      <c r="I60" s="3" t="s">
        <v>434</v>
      </c>
      <c r="J60" s="2"/>
      <c r="K60" s="2"/>
      <c r="L60" s="3" t="s">
        <v>407</v>
      </c>
      <c r="M60" s="4">
        <v>59.0</v>
      </c>
      <c r="N60" s="3" t="str">
        <f>IFERROR(__xludf.DUMMYFUNCTION("GOOGLETRANSLATE(C60,""en"",""zh-CN"")"),"练习者们在轻松的户外环境中进行练习。这有什么好处？")</f>
        <v>练习者们在轻松的户外环境中进行练习。这有什么好处？</v>
      </c>
      <c r="O60" s="3" t="str">
        <f>IFERROR(__xludf.DUMMYFUNCTION("GOOGLETRANSLATE(D60,""en"",""zh-CN"")"),"它可以摆出更难的姿势。")</f>
        <v>它可以摆出更难的姿势。</v>
      </c>
      <c r="P60" s="3" t="str">
        <f>IFERROR(__xludf.DUMMYFUNCTION("GOOGLETRANSLATE(E60,""en"",""zh-CN"")"),"这里环境安静，适合深度集中注意力。")</f>
        <v>这里环境安静，适合深度集中注意力。</v>
      </c>
      <c r="Q60" s="3" t="str">
        <f>IFERROR(__xludf.DUMMYFUNCTION("GOOGLETRANSLATE(F60,""en"",""zh-CN"")"),"它提供了一个呼吸新鲜空气和补充维生素D的机会。")</f>
        <v>它提供了一个呼吸新鲜空气和补充维生素D的机会。</v>
      </c>
      <c r="R60" s="3" t="str">
        <f>IFERROR(__xludf.DUMMYFUNCTION("GOOGLETRANSLATE(G60,""en"",""zh-CN"")"),"它提供了一个竞争环境。")</f>
        <v>它提供了一个竞争环境。</v>
      </c>
      <c r="S60" s="3" t="s">
        <v>435</v>
      </c>
      <c r="T60" s="3" t="str">
        <f>IFERROR(__xludf.DUMMYFUNCTION("GOOGLETRANSLATE(H60,""en"",""zh-CN"")"),"它提供了一个呼吸新鲜空气和补充维生素D的机会。")</f>
        <v>它提供了一个呼吸新鲜空气和补充维生素D的机会。</v>
      </c>
      <c r="U60" s="3" t="str">
        <f>IFERROR(__xludf.DUMMYFUNCTION("GOOGLETRANSLATE(I60,""en"",""zh-CN"")"),"在户外练习太极拳可以带来新鲜空气、阳光（提供维生素 D）以及与大自然的联系等额外好处，从而增强练习的整体健康。")</f>
        <v>在户外练习太极拳可以带来新鲜空气、阳光（提供维生素 D）以及与大自然的联系等额外好处，从而增强练习的整体健康。</v>
      </c>
      <c r="V60" s="2"/>
      <c r="W60" s="2"/>
      <c r="X60" s="2"/>
      <c r="Y60" s="2"/>
      <c r="Z60" s="2"/>
      <c r="AA60" s="2"/>
      <c r="AB60" s="2"/>
      <c r="AC60" s="2"/>
      <c r="AD60" s="2"/>
      <c r="AE60" s="2"/>
      <c r="AF60" s="2"/>
      <c r="AG60" s="2"/>
      <c r="AH60" s="2"/>
      <c r="AI60" s="2"/>
      <c r="AJ60" s="2"/>
      <c r="AK60" s="2"/>
      <c r="AL60" s="2"/>
    </row>
    <row r="61" ht="22.5" customHeight="1">
      <c r="A61" s="3" t="s">
        <v>407</v>
      </c>
      <c r="B61" s="4">
        <v>60.0</v>
      </c>
      <c r="C61" s="3" t="s">
        <v>436</v>
      </c>
      <c r="D61" s="3" t="s">
        <v>437</v>
      </c>
      <c r="E61" s="3" t="s">
        <v>438</v>
      </c>
      <c r="F61" s="3" t="s">
        <v>439</v>
      </c>
      <c r="G61" s="3" t="s">
        <v>440</v>
      </c>
      <c r="H61" s="3" t="s">
        <v>439</v>
      </c>
      <c r="I61" s="3" t="s">
        <v>441</v>
      </c>
      <c r="J61" s="2"/>
      <c r="K61" s="2"/>
      <c r="L61" s="3" t="s">
        <v>407</v>
      </c>
      <c r="M61" s="4">
        <v>60.0</v>
      </c>
      <c r="N61" s="3" t="str">
        <f>IFERROR(__xludf.DUMMYFUNCTION("GOOGLETRANSLATE(C61,""en"",""zh-CN"")"),"前景中男子的主要关注点是什么？")</f>
        <v>前景中男子的主要关注点是什么？</v>
      </c>
      <c r="O61" s="3" t="str">
        <f>IFERROR(__xludf.DUMMYFUNCTION("GOOGLETRANSLATE(D61,""en"",""zh-CN"")"),"他的周围环境")</f>
        <v>他的周围环境</v>
      </c>
      <c r="P61" s="3" t="str">
        <f>IFERROR(__xludf.DUMMYFUNCTION("GOOGLETRANSLATE(E61,""en"",""zh-CN"")"),"他的教练")</f>
        <v>他的教练</v>
      </c>
      <c r="Q61" s="3" t="str">
        <f>IFERROR(__xludf.DUMMYFUNCTION("GOOGLETRANSLATE(F61,""en"",""zh-CN"")"),"他自己的双手")</f>
        <v>他自己的双手</v>
      </c>
      <c r="R61" s="3" t="str">
        <f>IFERROR(__xludf.DUMMYFUNCTION("GOOGLETRANSLATE(G61,""en"",""zh-CN"")"),"他的脚")</f>
        <v>他的脚</v>
      </c>
      <c r="S61" s="3" t="s">
        <v>442</v>
      </c>
      <c r="T61" s="3" t="str">
        <f>IFERROR(__xludf.DUMMYFUNCTION("GOOGLETRANSLATE(H61,""en"",""zh-CN"")"),"他自己的双手")</f>
        <v>他自己的双手</v>
      </c>
      <c r="U61" s="3" t="str">
        <f>IFERROR(__xludf.DUMMYFUNCTION("GOOGLETRANSLATE(I61,""en"",""zh-CN"")"),"男子目光专注地盯着自己的双手，表明他专注于太极拳动作所要引导的精确动作和内在能量（气）。")</f>
        <v>男子目光专注地盯着自己的双手，表明他专注于太极拳动作所要引导的精确动作和内在能量（气）。</v>
      </c>
      <c r="V61" s="2"/>
      <c r="W61" s="2"/>
      <c r="X61" s="2"/>
      <c r="Y61" s="2"/>
      <c r="Z61" s="2"/>
      <c r="AA61" s="2"/>
      <c r="AB61" s="2"/>
      <c r="AC61" s="2"/>
      <c r="AD61" s="2"/>
      <c r="AE61" s="2"/>
      <c r="AF61" s="2"/>
      <c r="AG61" s="2"/>
      <c r="AH61" s="2"/>
      <c r="AI61" s="2"/>
      <c r="AJ61" s="2"/>
      <c r="AK61" s="2"/>
      <c r="AL61" s="2"/>
    </row>
    <row r="62" ht="22.5" customHeight="1">
      <c r="A62" s="3" t="s">
        <v>443</v>
      </c>
      <c r="B62" s="4">
        <v>61.0</v>
      </c>
      <c r="C62" s="3" t="s">
        <v>444</v>
      </c>
      <c r="D62" s="3" t="s">
        <v>41</v>
      </c>
      <c r="E62" s="3" t="s">
        <v>445</v>
      </c>
      <c r="F62" s="3" t="s">
        <v>446</v>
      </c>
      <c r="G62" s="3" t="s">
        <v>43</v>
      </c>
      <c r="H62" s="3" t="s">
        <v>446</v>
      </c>
      <c r="I62" s="3" t="s">
        <v>447</v>
      </c>
      <c r="J62" s="2"/>
      <c r="K62" s="2"/>
      <c r="L62" s="3" t="s">
        <v>443</v>
      </c>
      <c r="M62" s="4">
        <v>61.0</v>
      </c>
      <c r="N62" s="3" t="str">
        <f>IFERROR(__xludf.DUMMYFUNCTION("GOOGLETRANSLATE(C62,""en"",""zh-CN"")"),"图片中环境的显著特征是什么？")</f>
        <v>图片中环境的显著特征是什么？</v>
      </c>
      <c r="O62" s="3" t="str">
        <f>IFERROR(__xludf.DUMMYFUNCTION("GOOGLETRANSLATE(D62,""en"",""zh-CN"")"),"一片茂密的森林")</f>
        <v>一片茂密的森林</v>
      </c>
      <c r="P62" s="3" t="str">
        <f>IFERROR(__xludf.DUMMYFUNCTION("GOOGLETRANSLATE(E62,""en"",""zh-CN"")"),"宁静的乡村景色")</f>
        <v>宁静的乡村景色</v>
      </c>
      <c r="Q62" s="3" t="str">
        <f>IFERROR(__xludf.DUMMYFUNCTION("GOOGLETRANSLATE(F62,""en"",""zh-CN"")"),"现代都市环境")</f>
        <v>现代都市环境</v>
      </c>
      <c r="R62" s="3" t="str">
        <f>IFERROR(__xludf.DUMMYFUNCTION("GOOGLETRANSLATE(G62,""en"",""zh-CN"")"),"室内工作室")</f>
        <v>室内工作室</v>
      </c>
      <c r="S62" s="3" t="s">
        <v>448</v>
      </c>
      <c r="T62" s="3" t="str">
        <f>IFERROR(__xludf.DUMMYFUNCTION("GOOGLETRANSLATE(H62,""en"",""zh-CN"")"),"现代都市环境")</f>
        <v>现代都市环境</v>
      </c>
      <c r="U62" s="3" t="str">
        <f>IFERROR(__xludf.DUMMYFUNCTION("GOOGLETRANSLATE(I62,""en"",""zh-CN"")"),"图片背景显示有一片水域和几栋高楼大厦，表明练习是在城市环境中进行的。")</f>
        <v>图片背景显示有一片水域和几栋高楼大厦，表明练习是在城市环境中进行的。</v>
      </c>
      <c r="V62" s="2"/>
      <c r="W62" s="2"/>
      <c r="X62" s="2"/>
      <c r="Y62" s="2"/>
      <c r="Z62" s="2"/>
      <c r="AA62" s="2"/>
      <c r="AB62" s="2"/>
      <c r="AC62" s="2"/>
      <c r="AD62" s="2"/>
      <c r="AE62" s="2"/>
      <c r="AF62" s="2"/>
      <c r="AG62" s="2"/>
      <c r="AH62" s="2"/>
      <c r="AI62" s="2"/>
      <c r="AJ62" s="2"/>
      <c r="AK62" s="2"/>
      <c r="AL62" s="2"/>
    </row>
    <row r="63" ht="22.5" customHeight="1">
      <c r="A63" s="3" t="s">
        <v>443</v>
      </c>
      <c r="B63" s="4">
        <v>62.0</v>
      </c>
      <c r="C63" s="3" t="s">
        <v>449</v>
      </c>
      <c r="D63" s="3" t="s">
        <v>29</v>
      </c>
      <c r="E63" s="3" t="s">
        <v>27</v>
      </c>
      <c r="F63" s="3" t="s">
        <v>28</v>
      </c>
      <c r="G63" s="3" t="s">
        <v>450</v>
      </c>
      <c r="H63" s="3" t="s">
        <v>28</v>
      </c>
      <c r="I63" s="3" t="s">
        <v>451</v>
      </c>
      <c r="J63" s="2"/>
      <c r="K63" s="2"/>
      <c r="L63" s="3" t="s">
        <v>443</v>
      </c>
      <c r="M63" s="4">
        <v>62.0</v>
      </c>
      <c r="N63" s="3" t="str">
        <f>IFERROR(__xludf.DUMMYFUNCTION("GOOGLETRANSLATE(C63,""en"",""zh-CN"")"),"练习者采取的姿势是：一条腿向前弯曲。这种姿势叫什么？")</f>
        <v>练习者采取的姿势是：一条腿向前弯曲。这种姿势叫什么？</v>
      </c>
      <c r="O63" s="3" t="str">
        <f>IFERROR(__xludf.DUMMYFUNCTION("GOOGLETRANSLATE(D63,""en"",""zh-CN"")"),"起重机姿态")</f>
        <v>起重机姿态</v>
      </c>
      <c r="P63" s="3" t="str">
        <f>IFERROR(__xludf.DUMMYFUNCTION("GOOGLETRANSLATE(E63,""en"",""zh-CN"")"),"马步")</f>
        <v>马步</v>
      </c>
      <c r="Q63" s="3" t="str">
        <f>IFERROR(__xludf.DUMMYFUNCTION("GOOGLETRANSLATE(F63,""en"",""zh-CN"")"),"弓步")</f>
        <v>弓步</v>
      </c>
      <c r="R63" s="3" t="str">
        <f>IFERROR(__xludf.DUMMYFUNCTION("GOOGLETRANSLATE(G63,""en"",""zh-CN"")"),"猫站姿")</f>
        <v>猫站姿</v>
      </c>
      <c r="S63" s="3" t="s">
        <v>452</v>
      </c>
      <c r="T63" s="3" t="str">
        <f>IFERROR(__xludf.DUMMYFUNCTION("GOOGLETRANSLATE(H63,""en"",""zh-CN"")"),"弓步")</f>
        <v>弓步</v>
      </c>
      <c r="U63" s="3" t="str">
        <f>IFERROR(__xludf.DUMMYFUNCTION("GOOGLETRANSLATE(I63,""en"",""zh-CN"")"),"练习者摆出经典的弓步姿势，这是太极拳中最常见、最基本的姿势之一，强调平衡和稳定性。")</f>
        <v>练习者摆出经典的弓步姿势，这是太极拳中最常见、最基本的姿势之一，强调平衡和稳定性。</v>
      </c>
      <c r="V63" s="2"/>
      <c r="W63" s="2"/>
      <c r="X63" s="2"/>
      <c r="Y63" s="2"/>
      <c r="Z63" s="2"/>
      <c r="AA63" s="2"/>
      <c r="AB63" s="2"/>
      <c r="AC63" s="2"/>
      <c r="AD63" s="2"/>
      <c r="AE63" s="2"/>
      <c r="AF63" s="2"/>
      <c r="AG63" s="2"/>
      <c r="AH63" s="2"/>
      <c r="AI63" s="2"/>
      <c r="AJ63" s="2"/>
      <c r="AK63" s="2"/>
      <c r="AL63" s="2"/>
    </row>
    <row r="64" ht="22.5" customHeight="1">
      <c r="A64" s="3" t="s">
        <v>443</v>
      </c>
      <c r="B64" s="4">
        <v>63.0</v>
      </c>
      <c r="C64" s="3" t="s">
        <v>453</v>
      </c>
      <c r="D64" s="3" t="s">
        <v>454</v>
      </c>
      <c r="E64" s="3" t="s">
        <v>455</v>
      </c>
      <c r="F64" s="3" t="s">
        <v>456</v>
      </c>
      <c r="G64" s="3" t="s">
        <v>457</v>
      </c>
      <c r="H64" s="3" t="s">
        <v>457</v>
      </c>
      <c r="I64" s="3" t="s">
        <v>458</v>
      </c>
      <c r="J64" s="2"/>
      <c r="K64" s="2"/>
      <c r="L64" s="3" t="s">
        <v>443</v>
      </c>
      <c r="M64" s="4">
        <v>63.0</v>
      </c>
      <c r="N64" s="3" t="str">
        <f>IFERROR(__xludf.DUMMYFUNCTION("GOOGLETRANSLATE(C64,""en"",""zh-CN"")"),"练习者双手置于胸前的姿势代表着什么？")</f>
        <v>练习者双手置于胸前的姿势代表着什么？</v>
      </c>
      <c r="O64" s="3" t="str">
        <f>IFERROR(__xludf.DUMMYFUNCTION("GOOGLETRANSLATE(D64,""en"",""zh-CN"")"),"战斗姿势")</f>
        <v>战斗姿势</v>
      </c>
      <c r="P64" s="3" t="str">
        <f>IFERROR(__xludf.DUMMYFUNCTION("GOOGLETRANSLATE(E64,""en"",""zh-CN"")"),"祈祷姿势")</f>
        <v>祈祷姿势</v>
      </c>
      <c r="Q64" s="3" t="str">
        <f>IFERROR(__xludf.DUMMYFUNCTION("GOOGLETRANSLATE(F64,""en"",""zh-CN"")"),"表格的开头")</f>
        <v>表格的开头</v>
      </c>
      <c r="R64" s="3" t="str">
        <f>IFERROR(__xludf.DUMMYFUNCTION("GOOGLETRANSLATE(G64,""en"",""zh-CN"")"),"持球姿势以控制能量")</f>
        <v>持球姿势以控制能量</v>
      </c>
      <c r="S64" s="3" t="s">
        <v>459</v>
      </c>
      <c r="T64" s="3" t="str">
        <f>IFERROR(__xludf.DUMMYFUNCTION("GOOGLETRANSLATE(H64,""en"",""zh-CN"")"),"持球姿势以控制能量")</f>
        <v>持球姿势以控制能量</v>
      </c>
      <c r="U64" s="3" t="str">
        <f>IFERROR(__xludf.DUMMYFUNCTION("GOOGLETRANSLATE(I64,""en"",""zh-CN"")"),"“持球”姿势是太极拳的基础动作，象征着内力（气）的聚集，为套路中的下一个动作做好准备。")</f>
        <v>“持球”姿势是太极拳的基础动作，象征着内力（气）的聚集，为套路中的下一个动作做好准备。</v>
      </c>
      <c r="V64" s="2"/>
      <c r="W64" s="2"/>
      <c r="X64" s="2"/>
      <c r="Y64" s="2"/>
      <c r="Z64" s="2"/>
      <c r="AA64" s="2"/>
      <c r="AB64" s="2"/>
      <c r="AC64" s="2"/>
      <c r="AD64" s="2"/>
      <c r="AE64" s="2"/>
      <c r="AF64" s="2"/>
      <c r="AG64" s="2"/>
      <c r="AH64" s="2"/>
      <c r="AI64" s="2"/>
      <c r="AJ64" s="2"/>
      <c r="AK64" s="2"/>
      <c r="AL64" s="2"/>
    </row>
    <row r="65" ht="22.5" customHeight="1">
      <c r="A65" s="3" t="s">
        <v>443</v>
      </c>
      <c r="B65" s="4">
        <v>64.0</v>
      </c>
      <c r="C65" s="3" t="s">
        <v>460</v>
      </c>
      <c r="D65" s="3" t="s">
        <v>461</v>
      </c>
      <c r="E65" s="3" t="s">
        <v>462</v>
      </c>
      <c r="F65" s="3" t="s">
        <v>463</v>
      </c>
      <c r="G65" s="3" t="s">
        <v>464</v>
      </c>
      <c r="H65" s="3" t="s">
        <v>463</v>
      </c>
      <c r="I65" s="3" t="s">
        <v>465</v>
      </c>
      <c r="J65" s="2"/>
      <c r="K65" s="2"/>
      <c r="L65" s="3" t="s">
        <v>443</v>
      </c>
      <c r="M65" s="4">
        <v>64.0</v>
      </c>
      <c r="N65" s="3" t="str">
        <f>IFERROR(__xludf.DUMMYFUNCTION("GOOGLETRANSLATE(C65,""en"",""zh-CN"")"),"画面中只有执业者一人。这暗​​示了这种执业方式的什么特点？")</f>
        <v>画面中只有执业者一人。这暗​​示了这种执业方式的什么特点？</v>
      </c>
      <c r="O65" s="3" t="str">
        <f>IFERROR(__xludf.DUMMYFUNCTION("GOOGLETRANSLATE(D65,""en"",""zh-CN"")"),"这是一门私人课程。")</f>
        <v>这是一门私人课程。</v>
      </c>
      <c r="P65" s="3" t="str">
        <f>IFERROR(__xludf.DUMMYFUNCTION("GOOGLETRANSLATE(E65,""en"",""zh-CN"")"),"这是一场正式演出。")</f>
        <v>这是一场正式演出。</v>
      </c>
      <c r="Q65" s="3" t="str">
        <f>IFERROR(__xludf.DUMMYFUNCTION("GOOGLETRANSLATE(F65,""en"",""zh-CN"")"),"这是一项独自进行的冥想练习。")</f>
        <v>这是一项独自进行的冥想练习。</v>
      </c>
      <c r="R65" s="3" t="str">
        <f>IFERROR(__xludf.DUMMYFUNCTION("GOOGLETRANSLATE(G65,""en"",""zh-CN"")"),"这是一项体能测试。")</f>
        <v>这是一项体能测试。</v>
      </c>
      <c r="S65" s="3" t="s">
        <v>466</v>
      </c>
      <c r="T65" s="3" t="str">
        <f>IFERROR(__xludf.DUMMYFUNCTION("GOOGLETRANSLATE(H65,""en"",""zh-CN"")"),"这是一项独自进行的冥想练习。")</f>
        <v>这是一项独自进行的冥想练习。</v>
      </c>
      <c r="U65" s="3" t="str">
        <f>IFERROR(__xludf.DUMMYFUNCTION("GOOGLETRANSLATE(I65,""en"",""zh-CN"")"),"一个人在宁静的环境中练习太极拳的画面，暗示着一种专注于个人健康和冥想的独处反思练习。")</f>
        <v>一个人在宁静的环境中练习太极拳的画面，暗示着一种专注于个人健康和冥想的独处反思练习。</v>
      </c>
      <c r="V65" s="2"/>
      <c r="W65" s="2"/>
      <c r="X65" s="2"/>
      <c r="Y65" s="2"/>
      <c r="Z65" s="2"/>
      <c r="AA65" s="2"/>
      <c r="AB65" s="2"/>
      <c r="AC65" s="2"/>
      <c r="AD65" s="2"/>
      <c r="AE65" s="2"/>
      <c r="AF65" s="2"/>
      <c r="AG65" s="2"/>
      <c r="AH65" s="2"/>
      <c r="AI65" s="2"/>
      <c r="AJ65" s="2"/>
      <c r="AK65" s="2"/>
      <c r="AL65" s="2"/>
    </row>
    <row r="66" ht="22.5" customHeight="1">
      <c r="A66" s="3" t="s">
        <v>443</v>
      </c>
      <c r="B66" s="4">
        <v>65.0</v>
      </c>
      <c r="C66" s="3" t="s">
        <v>467</v>
      </c>
      <c r="D66" s="3" t="s">
        <v>468</v>
      </c>
      <c r="E66" s="3" t="s">
        <v>469</v>
      </c>
      <c r="F66" s="3" t="s">
        <v>470</v>
      </c>
      <c r="G66" s="3" t="s">
        <v>471</v>
      </c>
      <c r="H66" s="3" t="s">
        <v>469</v>
      </c>
      <c r="I66" s="3" t="s">
        <v>472</v>
      </c>
      <c r="J66" s="2"/>
      <c r="K66" s="2"/>
      <c r="L66" s="3" t="s">
        <v>443</v>
      </c>
      <c r="M66" s="4">
        <v>65.0</v>
      </c>
      <c r="N66" s="3" t="str">
        <f>IFERROR(__xludf.DUMMYFUNCTION("GOOGLETRANSLATE(C66,""en"",""zh-CN"")"),"晴朗的蓝天和明媚的阳光预示着什么？")</f>
        <v>晴朗的蓝天和明媚的阳光预示着什么？</v>
      </c>
      <c r="O66" s="3" t="str">
        <f>IFERROR(__xludf.DUMMYFUNCTION("GOOGLETRANSLATE(D66,""en"",""zh-CN"")"),"天气可能寒冷多风。")</f>
        <v>天气可能寒冷多风。</v>
      </c>
      <c r="P66" s="3" t="str">
        <f>IFERROR(__xludf.DUMMYFUNCTION("GOOGLETRANSLATE(E66,""en"",""zh-CN"")"),"天气可能温暖宜人。")</f>
        <v>天气可能温暖宜人。</v>
      </c>
      <c r="Q66" s="3" t="str">
        <f>IFERROR(__xludf.DUMMYFUNCTION("GOOGLETRANSLATE(F66,""en"",""zh-CN"")"),"今天是阴天。")</f>
        <v>今天是阴天。</v>
      </c>
      <c r="R66" s="3" t="str">
        <f>IFERROR(__xludf.DUMMYFUNCTION("GOOGLETRANSLATE(G66,""en"",""zh-CN"")"),"已是深夜。")</f>
        <v>已是深夜。</v>
      </c>
      <c r="S66" s="3" t="s">
        <v>473</v>
      </c>
      <c r="T66" s="3" t="str">
        <f>IFERROR(__xludf.DUMMYFUNCTION("GOOGLETRANSLATE(H66,""en"",""zh-CN"")"),"天气可能温暖宜人。")</f>
        <v>天气可能温暖宜人。</v>
      </c>
      <c r="U66" s="3" t="str">
        <f>IFERROR(__xludf.DUMMYFUNCTION("GOOGLETRANSLATE(I66,""en"",""zh-CN"")"),"阳光明媚，万里无云，预示着美好的一天，这是进行太极拳等户外运动的理想条件。")</f>
        <v>阳光明媚，万里无云，预示着美好的一天，这是进行太极拳等户外运动的理想条件。</v>
      </c>
      <c r="V66" s="2"/>
      <c r="W66" s="2"/>
      <c r="X66" s="2"/>
      <c r="Y66" s="2"/>
      <c r="Z66" s="2"/>
      <c r="AA66" s="2"/>
      <c r="AB66" s="2"/>
      <c r="AC66" s="2"/>
      <c r="AD66" s="2"/>
      <c r="AE66" s="2"/>
      <c r="AF66" s="2"/>
      <c r="AG66" s="2"/>
      <c r="AH66" s="2"/>
      <c r="AI66" s="2"/>
      <c r="AJ66" s="2"/>
      <c r="AK66" s="2"/>
      <c r="AL66" s="2"/>
    </row>
    <row r="67" ht="22.5" customHeight="1">
      <c r="A67" s="3" t="s">
        <v>474</v>
      </c>
      <c r="B67" s="4">
        <v>66.0</v>
      </c>
      <c r="C67" s="3" t="s">
        <v>475</v>
      </c>
      <c r="D67" s="3" t="s">
        <v>476</v>
      </c>
      <c r="E67" s="3" t="s">
        <v>477</v>
      </c>
      <c r="F67" s="3" t="s">
        <v>478</v>
      </c>
      <c r="G67" s="3" t="s">
        <v>479</v>
      </c>
      <c r="H67" s="3" t="s">
        <v>478</v>
      </c>
      <c r="I67" s="3" t="s">
        <v>480</v>
      </c>
      <c r="J67" s="2"/>
      <c r="K67" s="2"/>
      <c r="L67" s="3" t="s">
        <v>474</v>
      </c>
      <c r="M67" s="4">
        <v>66.0</v>
      </c>
      <c r="N67" s="3" t="str">
        <f>IFERROR(__xludf.DUMMYFUNCTION("GOOGLETRANSLATE(C67,""en"",""zh-CN"")"),"图片中可以看到一些从业人员，背景是城市天际线。这可能是哪个城市？")</f>
        <v>图片中可以看到一些从业人员，背景是城市天际线。这可能是哪个城市？</v>
      </c>
      <c r="O67" s="3" t="str">
        <f>IFERROR(__xludf.DUMMYFUNCTION("GOOGLETRANSLATE(D67,""en"",""zh-CN"")"),"纽约市")</f>
        <v>纽约市</v>
      </c>
      <c r="P67" s="3" t="str">
        <f>IFERROR(__xludf.DUMMYFUNCTION("GOOGLETRANSLATE(E67,""en"",""zh-CN"")"),"伦敦")</f>
        <v>伦敦</v>
      </c>
      <c r="Q67" s="3" t="str">
        <f>IFERROR(__xludf.DUMMYFUNCTION("GOOGLETRANSLATE(F67,""en"",""zh-CN"")"),"上海")</f>
        <v>上海</v>
      </c>
      <c r="R67" s="3" t="str">
        <f>IFERROR(__xludf.DUMMYFUNCTION("GOOGLETRANSLATE(G67,""en"",""zh-CN"")"),"巴黎")</f>
        <v>巴黎</v>
      </c>
      <c r="S67" s="3" t="s">
        <v>481</v>
      </c>
      <c r="T67" s="3" t="str">
        <f>IFERROR(__xludf.DUMMYFUNCTION("GOOGLETRANSLATE(H67,""en"",""zh-CN"")"),"上海")</f>
        <v>上海</v>
      </c>
      <c r="U67" s="3" t="str">
        <f>IFERROR(__xludf.DUMMYFUNCTION("GOOGLETRANSLATE(I67,""en"",""zh-CN"")"),"背景中东方明珠塔独特的轮廓是上海的著名地标，因此很可能是拍摄地点。")</f>
        <v>背景中东方明珠塔独特的轮廓是上海的著名地标，因此很可能是拍摄地点。</v>
      </c>
      <c r="V67" s="2"/>
      <c r="W67" s="2"/>
      <c r="X67" s="2"/>
      <c r="Y67" s="2"/>
      <c r="Z67" s="2"/>
      <c r="AA67" s="2"/>
      <c r="AB67" s="2"/>
      <c r="AC67" s="2"/>
      <c r="AD67" s="2"/>
      <c r="AE67" s="2"/>
      <c r="AF67" s="2"/>
      <c r="AG67" s="2"/>
      <c r="AH67" s="2"/>
      <c r="AI67" s="2"/>
      <c r="AJ67" s="2"/>
      <c r="AK67" s="2"/>
      <c r="AL67" s="2"/>
    </row>
    <row r="68" ht="22.5" customHeight="1">
      <c r="A68" s="3" t="s">
        <v>474</v>
      </c>
      <c r="B68" s="4">
        <v>67.0</v>
      </c>
      <c r="C68" s="3" t="s">
        <v>482</v>
      </c>
      <c r="D68" s="3" t="s">
        <v>483</v>
      </c>
      <c r="E68" s="3" t="s">
        <v>484</v>
      </c>
      <c r="F68" s="3" t="s">
        <v>485</v>
      </c>
      <c r="G68" s="3" t="s">
        <v>486</v>
      </c>
      <c r="H68" s="3" t="s">
        <v>485</v>
      </c>
      <c r="I68" s="3" t="s">
        <v>487</v>
      </c>
      <c r="J68" s="2"/>
      <c r="K68" s="2"/>
      <c r="L68" s="3" t="s">
        <v>474</v>
      </c>
      <c r="M68" s="4">
        <v>67.0</v>
      </c>
      <c r="N68" s="3" t="str">
        <f>IFERROR(__xludf.DUMMYFUNCTION("GOOGLETRANSLATE(C68,""en"",""zh-CN"")"),"图中一位练习者抬起了一条腿。这个动作体现了什么？")</f>
        <v>图中一位练习者抬起了一条腿。这个动作体现了什么？</v>
      </c>
      <c r="O68" s="3" t="str">
        <f>IFERROR(__xludf.DUMMYFUNCTION("GOOGLETRANSLATE(D68,""en"",""zh-CN"")"),"跑步动作")</f>
        <v>跑步动作</v>
      </c>
      <c r="P68" s="3" t="str">
        <f>IFERROR(__xludf.DUMMYFUNCTION("GOOGLETRANSLATE(E68,""en"",""zh-CN"")"),"踢腿技巧")</f>
        <v>踢腿技巧</v>
      </c>
      <c r="Q68" s="3" t="str">
        <f>IFERROR(__xludf.DUMMYFUNCTION("GOOGLETRANSLATE(F68,""en"",""zh-CN"")"),"平衡的重要性")</f>
        <v>平衡的重要性</v>
      </c>
      <c r="R68" s="3" t="str">
        <f>IFERROR(__xludf.DUMMYFUNCTION("GOOGLETRANSLATE(G68,""en"",""zh-CN"")"),"高冲击力跳跃的开始")</f>
        <v>高冲击力跳跃的开始</v>
      </c>
      <c r="S68" s="3" t="s">
        <v>488</v>
      </c>
      <c r="T68" s="3" t="str">
        <f>IFERROR(__xludf.DUMMYFUNCTION("GOOGLETRANSLATE(H68,""en"",""zh-CN"")"),"平衡的重要性")</f>
        <v>平衡的重要性</v>
      </c>
      <c r="U68" s="3" t="str">
        <f>IFERROR(__xludf.DUMMYFUNCTION("GOOGLETRANSLATE(I68,""en"",""zh-CN"")"),"以这种方式抬腿，体现了太极拳所需的高度平衡能力，因为练习者必须将所有重量转移到一条腿上，同时保持身体稳定。")</f>
        <v>以这种方式抬腿，体现了太极拳所需的高度平衡能力，因为练习者必须将所有重量转移到一条腿上，同时保持身体稳定。</v>
      </c>
      <c r="V68" s="2"/>
      <c r="W68" s="2"/>
      <c r="X68" s="2"/>
      <c r="Y68" s="2"/>
      <c r="Z68" s="2"/>
      <c r="AA68" s="2"/>
      <c r="AB68" s="2"/>
      <c r="AC68" s="2"/>
      <c r="AD68" s="2"/>
      <c r="AE68" s="2"/>
      <c r="AF68" s="2"/>
      <c r="AG68" s="2"/>
      <c r="AH68" s="2"/>
      <c r="AI68" s="2"/>
      <c r="AJ68" s="2"/>
      <c r="AK68" s="2"/>
      <c r="AL68" s="2"/>
    </row>
    <row r="69" ht="22.5" customHeight="1">
      <c r="A69" s="3" t="s">
        <v>474</v>
      </c>
      <c r="B69" s="4">
        <v>68.0</v>
      </c>
      <c r="C69" s="3" t="s">
        <v>489</v>
      </c>
      <c r="D69" s="3" t="s">
        <v>490</v>
      </c>
      <c r="E69" s="3" t="s">
        <v>491</v>
      </c>
      <c r="F69" s="3" t="s">
        <v>492</v>
      </c>
      <c r="G69" s="3" t="s">
        <v>493</v>
      </c>
      <c r="H69" s="3" t="s">
        <v>492</v>
      </c>
      <c r="I69" s="3" t="s">
        <v>494</v>
      </c>
      <c r="J69" s="2"/>
      <c r="K69" s="2"/>
      <c r="L69" s="3" t="s">
        <v>474</v>
      </c>
      <c r="M69" s="4">
        <v>68.0</v>
      </c>
      <c r="N69" s="3" t="str">
        <f>IFERROR(__xludf.DUMMYFUNCTION("GOOGLETRANSLATE(C69,""en"",""zh-CN"")"),"深色服装和剪影效果在光线下的作用是什么？")</f>
        <v>深色服装和剪影效果在光线下的作用是什么？</v>
      </c>
      <c r="O69" s="3" t="str">
        <f>IFERROR(__xludf.DUMMYFUNCTION("GOOGLETRANSLATE(D69,""en"",""zh-CN"")"),"遮蔽从业者的面容。")</f>
        <v>遮蔽从业者的面容。</v>
      </c>
      <c r="P69" s="3" t="str">
        <f>IFERROR(__xludf.DUMMYFUNCTION("GOOGLETRANSLATE(E69,""en"",""zh-CN"")"),"为了使它们看起来更具戏剧性。")</f>
        <v>为了使它们看起来更具戏剧性。</v>
      </c>
      <c r="Q69" s="3" t="str">
        <f>IFERROR(__xludf.DUMMYFUNCTION("GOOGLETRANSLATE(F69,""en"",""zh-CN"")"),"为了突出他们动作的形状和流畅性。")</f>
        <v>为了突出他们动作的形状和流畅性。</v>
      </c>
      <c r="R69" s="3" t="str">
        <f>IFERROR(__xludf.DUMMYFUNCTION("GOOGLETRANSLATE(G69,""en"",""zh-CN"")"),"为了使它们看起来更小。")</f>
        <v>为了使它们看起来更小。</v>
      </c>
      <c r="S69" s="3" t="s">
        <v>495</v>
      </c>
      <c r="T69" s="3" t="str">
        <f>IFERROR(__xludf.DUMMYFUNCTION("GOOGLETRANSLATE(H69,""en"",""zh-CN"")"),"为了突出他们动作的形状和流畅性。")</f>
        <v>为了突出他们动作的形状和流畅性。</v>
      </c>
      <c r="U69" s="3" t="str">
        <f>IFERROR(__xludf.DUMMYFUNCTION("GOOGLETRANSLATE(I69,""en"",""zh-CN"")"),"轮廓效果突出了姿势和动作的优美流畅性，使形式本身成为焦点，而不是单个练习者。")</f>
        <v>轮廓效果突出了姿势和动作的优美流畅性，使形式本身成为焦点，而不是单个练习者。</v>
      </c>
      <c r="V69" s="2"/>
      <c r="W69" s="2"/>
      <c r="X69" s="2"/>
      <c r="Y69" s="2"/>
      <c r="Z69" s="2"/>
      <c r="AA69" s="2"/>
      <c r="AB69" s="2"/>
      <c r="AC69" s="2"/>
      <c r="AD69" s="2"/>
      <c r="AE69" s="2"/>
      <c r="AF69" s="2"/>
      <c r="AG69" s="2"/>
      <c r="AH69" s="2"/>
      <c r="AI69" s="2"/>
      <c r="AJ69" s="2"/>
      <c r="AK69" s="2"/>
      <c r="AL69" s="2"/>
    </row>
    <row r="70" ht="22.5" customHeight="1">
      <c r="A70" s="3" t="s">
        <v>474</v>
      </c>
      <c r="B70" s="4">
        <v>69.0</v>
      </c>
      <c r="C70" s="3" t="s">
        <v>496</v>
      </c>
      <c r="D70" s="3" t="s">
        <v>497</v>
      </c>
      <c r="E70" s="3" t="s">
        <v>498</v>
      </c>
      <c r="F70" s="3" t="s">
        <v>499</v>
      </c>
      <c r="G70" s="3" t="s">
        <v>500</v>
      </c>
      <c r="H70" s="3" t="s">
        <v>498</v>
      </c>
      <c r="I70" s="3" t="s">
        <v>501</v>
      </c>
      <c r="J70" s="2"/>
      <c r="K70" s="2"/>
      <c r="L70" s="3" t="s">
        <v>474</v>
      </c>
      <c r="M70" s="4">
        <v>69.0</v>
      </c>
      <c r="N70" s="3" t="str">
        <f>IFERROR(__xludf.DUMMYFUNCTION("GOOGLETRANSLATE(C70,""en"",""zh-CN"")"),"在这种城市环境中进行小组练习的主要好处是什么？")</f>
        <v>在这种城市环境中进行小组练习的主要好处是什么？</v>
      </c>
      <c r="O70" s="3" t="str">
        <f>IFERROR(__xludf.DUMMYFUNCTION("GOOGLETRANSLATE(D70,""en"",""zh-CN"")"),"它允许进行竞争性练习。")</f>
        <v>它允许进行竞争性练习。</v>
      </c>
      <c r="P70" s="3" t="str">
        <f>IFERROR(__xludf.DUMMYFUNCTION("GOOGLETRANSLATE(E70,""en"",""zh-CN"")"),"它能带来社区感和共同目标感。")</f>
        <v>它能带来社区感和共同目标感。</v>
      </c>
      <c r="Q70" s="3" t="str">
        <f>IFERROR(__xludf.DUMMYFUNCTION("GOOGLETRANSLATE(F70,""en"",""zh-CN"")"),"这是一个更具挑战性的环境。")</f>
        <v>这是一个更具挑战性的环境。</v>
      </c>
      <c r="R70" s="3" t="str">
        <f>IFERROR(__xludf.DUMMYFUNCTION("GOOGLETRANSLATE(G70,""en"",""zh-CN"")"),"这只是为了迎合游客而进行的表演。")</f>
        <v>这只是为了迎合游客而进行的表演。</v>
      </c>
      <c r="S70" s="3" t="s">
        <v>502</v>
      </c>
      <c r="T70" s="3" t="str">
        <f>IFERROR(__xludf.DUMMYFUNCTION("GOOGLETRANSLATE(H70,""en"",""zh-CN"")"),"它能带来社区感和共同目标感。")</f>
        <v>它能带来社区感和共同目标感。</v>
      </c>
      <c r="U70" s="3" t="str">
        <f>IFERROR(__xludf.DUMMYFUNCTION("GOOGLETRANSLATE(I70,""en"",""zh-CN"")"),"在繁忙的都市环境中，尤其是在公共场所，与一大群人一起练习太极拳，可以培养社区意识和共同的、平和的目标。")</f>
        <v>在繁忙的都市环境中，尤其是在公共场所，与一大群人一起练习太极拳，可以培养社区意识和共同的、平和的目标。</v>
      </c>
      <c r="V70" s="2"/>
      <c r="W70" s="2"/>
      <c r="X70" s="2"/>
      <c r="Y70" s="2"/>
      <c r="Z70" s="2"/>
      <c r="AA70" s="2"/>
      <c r="AB70" s="2"/>
      <c r="AC70" s="2"/>
      <c r="AD70" s="2"/>
      <c r="AE70" s="2"/>
      <c r="AF70" s="2"/>
      <c r="AG70" s="2"/>
      <c r="AH70" s="2"/>
      <c r="AI70" s="2"/>
      <c r="AJ70" s="2"/>
      <c r="AK70" s="2"/>
      <c r="AL70" s="2"/>
    </row>
    <row r="71" ht="22.5" customHeight="1">
      <c r="A71" s="3" t="s">
        <v>474</v>
      </c>
      <c r="B71" s="4">
        <v>70.0</v>
      </c>
      <c r="C71" s="3" t="s">
        <v>503</v>
      </c>
      <c r="D71" s="3" t="s">
        <v>504</v>
      </c>
      <c r="E71" s="3" t="s">
        <v>505</v>
      </c>
      <c r="F71" s="3" t="s">
        <v>506</v>
      </c>
      <c r="G71" s="3" t="s">
        <v>507</v>
      </c>
      <c r="H71" s="3" t="s">
        <v>506</v>
      </c>
      <c r="I71" s="3" t="s">
        <v>508</v>
      </c>
      <c r="J71" s="2"/>
      <c r="K71" s="2"/>
      <c r="L71" s="3" t="s">
        <v>474</v>
      </c>
      <c r="M71" s="4">
        <v>70.0</v>
      </c>
      <c r="N71" s="3" t="str">
        <f>IFERROR(__xludf.DUMMYFUNCTION("GOOGLETRANSLATE(C71,""en"",""zh-CN"")"),"这些姿势低矮而稳固。这样做有什么好处？")</f>
        <v>这些姿势低矮而稳固。这样做有什么好处？</v>
      </c>
      <c r="O71" s="3" t="str">
        <f>IFERROR(__xludf.DUMMYFUNCTION("GOOGLETRANSLATE(D71,""en"",""zh-CN"")"),"它能增强锻炼强度。")</f>
        <v>它能增强锻炼强度。</v>
      </c>
      <c r="P71" s="3" t="str">
        <f>IFERROR(__xludf.DUMMYFUNCTION("GOOGLETRANSLATE(E71,""en"",""zh-CN"")"),"这是为快速行动做准备。")</f>
        <v>这是为快速行动做准备。</v>
      </c>
      <c r="Q71" s="3" t="str">
        <f>IFERROR(__xludf.DUMMYFUNCTION("GOOGLETRANSLATE(F71,""en"",""zh-CN"")"),"它有助于从基础做起，增强力量和稳定性。")</f>
        <v>它有助于从基础做起，增强力量和稳定性。</v>
      </c>
      <c r="R71" s="3" t="str">
        <f>IFERROR(__xludf.DUMMYFUNCTION("GOOGLETRANSLATE(G71,""en"",""zh-CN"")"),"这是一种拉伸运动。")</f>
        <v>这是一种拉伸运动。</v>
      </c>
      <c r="S71" s="3" t="s">
        <v>509</v>
      </c>
      <c r="T71" s="3" t="str">
        <f>IFERROR(__xludf.DUMMYFUNCTION("GOOGLETRANSLATE(H71,""en"",""zh-CN"")"),"它有助于从基础做起，增强力量和稳定性。")</f>
        <v>它有助于从基础做起，增强力量和稳定性。</v>
      </c>
      <c r="U71" s="3" t="str">
        <f>IFERROR(__xludf.DUMMYFUNCTION("GOOGLETRANSLATE(I71,""en"",""zh-CN"")"),"低而稳的站姿旨在建立强大的基础或“根基”，这对于保持平衡以及从腿部和核心产生力量至关重要。")</f>
        <v>低而稳的站姿旨在建立强大的基础或“根基”，这对于保持平衡以及从腿部和核心产生力量至关重要。</v>
      </c>
      <c r="V71" s="2"/>
      <c r="W71" s="2"/>
      <c r="X71" s="2"/>
      <c r="Y71" s="2"/>
      <c r="Z71" s="2"/>
      <c r="AA71" s="2"/>
      <c r="AB71" s="2"/>
      <c r="AC71" s="2"/>
      <c r="AD71" s="2"/>
      <c r="AE71" s="2"/>
      <c r="AF71" s="2"/>
      <c r="AG71" s="2"/>
      <c r="AH71" s="2"/>
      <c r="AI71" s="2"/>
      <c r="AJ71" s="2"/>
      <c r="AK71" s="2"/>
      <c r="AL71" s="2"/>
    </row>
    <row r="72" ht="22.5" customHeight="1">
      <c r="A72" s="3" t="s">
        <v>510</v>
      </c>
      <c r="B72" s="4">
        <v>71.0</v>
      </c>
      <c r="C72" s="3" t="s">
        <v>511</v>
      </c>
      <c r="D72" s="3" t="s">
        <v>512</v>
      </c>
      <c r="E72" s="3" t="s">
        <v>513</v>
      </c>
      <c r="F72" s="3" t="s">
        <v>514</v>
      </c>
      <c r="G72" s="3" t="s">
        <v>515</v>
      </c>
      <c r="H72" s="3" t="s">
        <v>514</v>
      </c>
      <c r="I72" s="3" t="s">
        <v>516</v>
      </c>
      <c r="J72" s="2"/>
      <c r="K72" s="2"/>
      <c r="L72" s="3" t="s">
        <v>510</v>
      </c>
      <c r="M72" s="4">
        <v>71.0</v>
      </c>
      <c r="N72" s="3" t="str">
        <f>IFERROR(__xludf.DUMMYFUNCTION("GOOGLETRANSLATE(C72,""en"",""zh-CN"")"),"前景和背景中的男士们穿的是什么衣服？")</f>
        <v>前景和背景中的男士们穿的是什么衣服？</v>
      </c>
      <c r="O72" s="3" t="str">
        <f>IFERROR(__xludf.DUMMYFUNCTION("GOOGLETRANSLATE(D72,""en"",""zh-CN"")"),"和服")</f>
        <v>和服</v>
      </c>
      <c r="P72" s="3" t="str">
        <f>IFERROR(__xludf.DUMMYFUNCTION("GOOGLETRANSLATE(E72,""en"",""zh-CN"")"),"功夫服")</f>
        <v>功夫服</v>
      </c>
      <c r="Q72" s="3" t="str">
        <f>IFERROR(__xludf.DUMMYFUNCTION("GOOGLETRANSLATE(F72,""en"",""zh-CN"")"),"僧袍")</f>
        <v>僧袍</v>
      </c>
      <c r="R72" s="3" t="str">
        <f>IFERROR(__xludf.DUMMYFUNCTION("GOOGLETRANSLATE(G72,""en"",""zh-CN"")"),"休闲服装")</f>
        <v>休闲服装</v>
      </c>
      <c r="S72" s="3" t="s">
        <v>517</v>
      </c>
      <c r="T72" s="3" t="str">
        <f>IFERROR(__xludf.DUMMYFUNCTION("GOOGLETRANSLATE(H72,""en"",""zh-CN"")"),"僧袍")</f>
        <v>僧袍</v>
      </c>
      <c r="U72" s="3" t="str">
        <f>IFERROR(__xludf.DUMMYFUNCTION("GOOGLETRANSLATE(I72,""en"",""zh-CN"")"),"练习者们身着传统的僧袍（或类似的服装），这与少林寺等佛教寺院的武术训练相一致。")</f>
        <v>练习者们身着传统的僧袍（或类似的服装），这与少林寺等佛教寺院的武术训练相一致。</v>
      </c>
      <c r="V72" s="2"/>
      <c r="W72" s="2"/>
      <c r="X72" s="2"/>
      <c r="Y72" s="2"/>
      <c r="Z72" s="2"/>
      <c r="AA72" s="2"/>
      <c r="AB72" s="2"/>
      <c r="AC72" s="2"/>
      <c r="AD72" s="2"/>
      <c r="AE72" s="2"/>
      <c r="AF72" s="2"/>
      <c r="AG72" s="2"/>
      <c r="AH72" s="2"/>
      <c r="AI72" s="2"/>
      <c r="AJ72" s="2"/>
      <c r="AK72" s="2"/>
      <c r="AL72" s="2"/>
    </row>
    <row r="73" ht="22.5" customHeight="1">
      <c r="A73" s="3" t="s">
        <v>510</v>
      </c>
      <c r="B73" s="4">
        <v>72.0</v>
      </c>
      <c r="C73" s="3" t="s">
        <v>518</v>
      </c>
      <c r="D73" s="3" t="s">
        <v>519</v>
      </c>
      <c r="E73" s="3" t="s">
        <v>520</v>
      </c>
      <c r="F73" s="3" t="s">
        <v>521</v>
      </c>
      <c r="G73" s="3" t="s">
        <v>522</v>
      </c>
      <c r="H73" s="3" t="s">
        <v>519</v>
      </c>
      <c r="I73" s="3" t="s">
        <v>523</v>
      </c>
      <c r="J73" s="2"/>
      <c r="K73" s="2"/>
      <c r="L73" s="3" t="s">
        <v>510</v>
      </c>
      <c r="M73" s="4">
        <v>72.0</v>
      </c>
      <c r="N73" s="3" t="str">
        <f>IFERROR(__xludf.DUMMYFUNCTION("GOOGLETRANSLATE(C73,""en"",""zh-CN"")"),"这里展示的武术与太极拳的主要区别是什么？")</f>
        <v>这里展示的武术与太极拳的主要区别是什么？</v>
      </c>
      <c r="O73" s="3" t="str">
        <f>IFERROR(__xludf.DUMMYFUNCTION("GOOGLETRANSLATE(D73,""en"",""zh-CN"")"),"注重高强度、外向型运动。")</f>
        <v>注重高强度、外向型运动。</v>
      </c>
      <c r="P73" s="3" t="str">
        <f>IFERROR(__xludf.DUMMYFUNCTION("GOOGLETRANSLATE(E73,""en"",""zh-CN"")"),"使用武器。")</f>
        <v>使用武器。</v>
      </c>
      <c r="Q73" s="3" t="str">
        <f>IFERROR(__xludf.DUMMYFUNCTION("GOOGLETRANSLATE(F73,""en"",""zh-CN"")"),"对内能的依赖。")</f>
        <v>对内能的依赖。</v>
      </c>
      <c r="R73" s="3" t="str">
        <f>IFERROR(__xludf.DUMMYFUNCTION("GOOGLETRANSLATE(G73,""en"",""zh-CN"")"),"练习以小组形式进行。")</f>
        <v>练习以小组形式进行。</v>
      </c>
      <c r="S73" s="3" t="s">
        <v>524</v>
      </c>
      <c r="T73" s="3" t="str">
        <f>IFERROR(__xludf.DUMMYFUNCTION("GOOGLETRANSLATE(H73,""en"",""zh-CN"")"),"注重高强度、外向型运动。")</f>
        <v>注重高强度、外向型运动。</v>
      </c>
      <c r="U73" s="3" t="str">
        <f>IFERROR(__xludf.DUMMYFUNCTION("GOOGLETRANSLATE(I73,""en"",""zh-CN"")"),"图中所示的姿势来自功夫，功夫通常注重外在、动态和爆发性的动作，这与太极拳缓慢、柔和、内在的重点形成对比。")</f>
        <v>图中所示的姿势来自功夫，功夫通常注重外在、动态和爆发性的动作，这与太极拳缓慢、柔和、内在的重点形成对比。</v>
      </c>
      <c r="V73" s="2"/>
      <c r="W73" s="2"/>
      <c r="X73" s="2"/>
      <c r="Y73" s="2"/>
      <c r="Z73" s="2"/>
      <c r="AA73" s="2"/>
      <c r="AB73" s="2"/>
      <c r="AC73" s="2"/>
      <c r="AD73" s="2"/>
      <c r="AE73" s="2"/>
      <c r="AF73" s="2"/>
      <c r="AG73" s="2"/>
      <c r="AH73" s="2"/>
      <c r="AI73" s="2"/>
      <c r="AJ73" s="2"/>
      <c r="AK73" s="2"/>
      <c r="AL73" s="2"/>
    </row>
    <row r="74" ht="22.5" customHeight="1">
      <c r="A74" s="3" t="s">
        <v>510</v>
      </c>
      <c r="B74" s="4">
        <v>73.0</v>
      </c>
      <c r="C74" s="3" t="s">
        <v>525</v>
      </c>
      <c r="D74" s="3" t="s">
        <v>526</v>
      </c>
      <c r="E74" s="3" t="s">
        <v>527</v>
      </c>
      <c r="F74" s="3" t="s">
        <v>528</v>
      </c>
      <c r="G74" s="3" t="s">
        <v>529</v>
      </c>
      <c r="H74" s="3" t="s">
        <v>528</v>
      </c>
      <c r="I74" s="3" t="s">
        <v>530</v>
      </c>
      <c r="J74" s="2"/>
      <c r="K74" s="2"/>
      <c r="L74" s="3" t="s">
        <v>510</v>
      </c>
      <c r="M74" s="4">
        <v>73.0</v>
      </c>
      <c r="N74" s="3" t="str">
        <f>IFERROR(__xludf.DUMMYFUNCTION("GOOGLETRANSLATE(C74,""en"",""zh-CN"")"),"站在其他人身后的那位身穿黄色长袍的男子可能扮演什么角色？")</f>
        <v>站在其他人身后的那位身穿黄色长袍的男子可能扮演什么角色？</v>
      </c>
      <c r="O74" s="3" t="str">
        <f>IFERROR(__xludf.DUMMYFUNCTION("GOOGLETRANSLATE(D74,""en"",""zh-CN"")"),"一名旁观者")</f>
        <v>一名旁观者</v>
      </c>
      <c r="P74" s="3" t="str">
        <f>IFERROR(__xludf.DUMMYFUNCTION("GOOGLETRANSLATE(E74,""en"",""zh-CN"")"),"一名学生")</f>
        <v>一名学生</v>
      </c>
      <c r="Q74" s="3" t="str">
        <f>IFERROR(__xludf.DUMMYFUNCTION("GOOGLETRANSLATE(F74,""en"",""zh-CN"")"),"导师或大师")</f>
        <v>导师或大师</v>
      </c>
      <c r="R74" s="3" t="str">
        <f>IFERROR(__xludf.DUMMYFUNCTION("GOOGLETRANSLATE(G74,""en"",""zh-CN"")"),"一位游客")</f>
        <v>一位游客</v>
      </c>
      <c r="S74" s="3" t="s">
        <v>531</v>
      </c>
      <c r="T74" s="3" t="str">
        <f>IFERROR(__xludf.DUMMYFUNCTION("GOOGLETRANSLATE(H74,""en"",""zh-CN"")"),"导师或大师")</f>
        <v>导师或大师</v>
      </c>
      <c r="U74" s="3" t="str">
        <f>IFERROR(__xludf.DUMMYFUNCTION("GOOGLETRANSLATE(I74,""en"",""zh-CN"")"),"身穿黄色长袍的男子正用警惕的目光观察着其他学员，这表明他是一位资深学员、指导员或大师，正在监督他们的训练。")</f>
        <v>身穿黄色长袍的男子正用警惕的目光观察着其他学员，这表明他是一位资深学员、指导员或大师，正在监督他们的训练。</v>
      </c>
      <c r="V74" s="2"/>
      <c r="W74" s="2"/>
      <c r="X74" s="2"/>
      <c r="Y74" s="2"/>
      <c r="Z74" s="2"/>
      <c r="AA74" s="2"/>
      <c r="AB74" s="2"/>
      <c r="AC74" s="2"/>
      <c r="AD74" s="2"/>
      <c r="AE74" s="2"/>
      <c r="AF74" s="2"/>
      <c r="AG74" s="2"/>
      <c r="AH74" s="2"/>
      <c r="AI74" s="2"/>
      <c r="AJ74" s="2"/>
      <c r="AK74" s="2"/>
      <c r="AL74" s="2"/>
    </row>
    <row r="75" ht="22.5" customHeight="1">
      <c r="A75" s="3" t="s">
        <v>510</v>
      </c>
      <c r="B75" s="4">
        <v>74.0</v>
      </c>
      <c r="C75" s="3" t="s">
        <v>532</v>
      </c>
      <c r="D75" s="3" t="s">
        <v>533</v>
      </c>
      <c r="E75" s="3" t="s">
        <v>534</v>
      </c>
      <c r="F75" s="3" t="s">
        <v>535</v>
      </c>
      <c r="G75" s="3" t="s">
        <v>536</v>
      </c>
      <c r="H75" s="3" t="s">
        <v>535</v>
      </c>
      <c r="I75" s="3" t="s">
        <v>537</v>
      </c>
      <c r="J75" s="2"/>
      <c r="K75" s="2"/>
      <c r="L75" s="3" t="s">
        <v>510</v>
      </c>
      <c r="M75" s="4">
        <v>74.0</v>
      </c>
      <c r="N75" s="3" t="str">
        <f>IFERROR(__xludf.DUMMYFUNCTION("GOOGLETRANSLATE(C75,""en"",""zh-CN"")"),"这次培训的可能地点在哪里？")</f>
        <v>这次培训的可能地点在哪里？</v>
      </c>
      <c r="O75" s="3" t="str">
        <f>IFERROR(__xludf.DUMMYFUNCTION("GOOGLETRANSLATE(D75,""en"",""zh-CN"")"),"一家现代化的健身房")</f>
        <v>一家现代化的健身房</v>
      </c>
      <c r="P75" s="3" t="str">
        <f>IFERROR(__xludf.DUMMYFUNCTION("GOOGLETRANSLATE(E75,""en"",""zh-CN"")"),"城市公园")</f>
        <v>城市公园</v>
      </c>
      <c r="Q75" s="3" t="str">
        <f>IFERROR(__xludf.DUMMYFUNCTION("GOOGLETRANSLATE(F75,""en"",""zh-CN"")"),"一座传统的中国武术寺庙或学校")</f>
        <v>一座传统的中国武术寺庙或学校</v>
      </c>
      <c r="R75" s="3" t="str">
        <f>IFERROR(__xludf.DUMMYFUNCTION("GOOGLETRANSLATE(G75,""en"",""zh-CN"")"),"公共广场")</f>
        <v>公共广场</v>
      </c>
      <c r="S75" s="3" t="s">
        <v>538</v>
      </c>
      <c r="T75" s="3" t="str">
        <f>IFERROR(__xludf.DUMMYFUNCTION("GOOGLETRANSLATE(H75,""en"",""zh-CN"")"),"一座传统的中国武术寺庙或学校")</f>
        <v>一座传统的中国武术寺庙或学校</v>
      </c>
      <c r="U75" s="3" t="str">
        <f>IFERROR(__xludf.DUMMYFUNCTION("GOOGLETRANSLATE(I75,""en"",""zh-CN"")"),"传统中国建筑和艺术品的背景，加上僧侣般的装束，表明训练是在传统的武术寺庙或学校进行的。")</f>
        <v>传统中国建筑和艺术品的背景，加上僧侣般的装束，表明训练是在传统的武术寺庙或学校进行的。</v>
      </c>
      <c r="V75" s="2"/>
      <c r="W75" s="2"/>
      <c r="X75" s="2"/>
      <c r="Y75" s="2"/>
      <c r="Z75" s="2"/>
      <c r="AA75" s="2"/>
      <c r="AB75" s="2"/>
      <c r="AC75" s="2"/>
      <c r="AD75" s="2"/>
      <c r="AE75" s="2"/>
      <c r="AF75" s="2"/>
      <c r="AG75" s="2"/>
      <c r="AH75" s="2"/>
      <c r="AI75" s="2"/>
      <c r="AJ75" s="2"/>
      <c r="AK75" s="2"/>
      <c r="AL75" s="2"/>
    </row>
    <row r="76" ht="22.5" customHeight="1">
      <c r="A76" s="3" t="s">
        <v>510</v>
      </c>
      <c r="B76" s="4">
        <v>75.0</v>
      </c>
      <c r="C76" s="3" t="s">
        <v>539</v>
      </c>
      <c r="D76" s="3" t="s">
        <v>540</v>
      </c>
      <c r="E76" s="3" t="s">
        <v>541</v>
      </c>
      <c r="F76" s="3" t="s">
        <v>542</v>
      </c>
      <c r="G76" s="3" t="s">
        <v>543</v>
      </c>
      <c r="H76" s="3" t="s">
        <v>542</v>
      </c>
      <c r="I76" s="3" t="s">
        <v>544</v>
      </c>
      <c r="J76" s="2"/>
      <c r="K76" s="2"/>
      <c r="L76" s="3" t="s">
        <v>510</v>
      </c>
      <c r="M76" s="4">
        <v>75.0</v>
      </c>
      <c r="N76" s="3" t="str">
        <f>IFERROR(__xludf.DUMMYFUNCTION("GOOGLETRANSLATE(C76,""en"",""zh-CN"")"),"学生们摆出低而宽的站姿。这种站姿在这种武术中的主要目的是什么？")</f>
        <v>学生们摆出低而宽的站姿。这种站姿在这种武术中的主要目的是什么？</v>
      </c>
      <c r="O76" s="3" t="str">
        <f>IFERROR(__xludf.DUMMYFUNCTION("GOOGLETRANSLATE(D76,""en"",""zh-CN"")"),"为了显得更具威慑力。")</f>
        <v>为了显得更具威慑力。</v>
      </c>
      <c r="P76" s="3" t="str">
        <f>IFERROR(__xludf.DUMMYFUNCTION("GOOGLETRANSLATE(E76,""en"",""zh-CN"")"),"拉伸大腿内侧。")</f>
        <v>拉伸大腿内侧。</v>
      </c>
      <c r="Q76" s="3" t="str">
        <f>IFERROR(__xludf.DUMMYFUNCTION("GOOGLETRANSLATE(F76,""en"",""zh-CN"")"),"为强有力的行动奠定坚实稳定的基础。")</f>
        <v>为强有力的行动奠定坚实稳定的基础。</v>
      </c>
      <c r="R76" s="3" t="str">
        <f>IFERROR(__xludf.DUMMYFUNCTION("GOOGLETRANSLATE(G76,""en"",""zh-CN"")"),"为了展现他们的灵活性。")</f>
        <v>为了展现他们的灵活性。</v>
      </c>
      <c r="S76" s="3" t="s">
        <v>545</v>
      </c>
      <c r="T76" s="3" t="str">
        <f>IFERROR(__xludf.DUMMYFUNCTION("GOOGLETRANSLATE(H76,""en"",""zh-CN"")"),"为强有力的行动奠定坚实稳定的基础。")</f>
        <v>为强有力的行动奠定坚实稳定的基础。</v>
      </c>
      <c r="U76" s="3" t="str">
        <f>IFERROR(__xludf.DUMMYFUNCTION("GOOGLETRANSLATE(I76,""en"",""zh-CN"")"),"马步是许多功夫流派的基本组成部分，用于锻炼强壮的腿部肌肉、增强核心力量和提供稳定性。")</f>
        <v>马步是许多功夫流派的基本组成部分，用于锻炼强壮的腿部肌肉、增强核心力量和提供稳定性。</v>
      </c>
      <c r="V76" s="2"/>
      <c r="W76" s="2"/>
      <c r="X76" s="2"/>
      <c r="Y76" s="2"/>
      <c r="Z76" s="2"/>
      <c r="AA76" s="2"/>
      <c r="AB76" s="2"/>
      <c r="AC76" s="2"/>
      <c r="AD76" s="2"/>
      <c r="AE76" s="2"/>
      <c r="AF76" s="2"/>
      <c r="AG76" s="2"/>
      <c r="AH76" s="2"/>
      <c r="AI76" s="2"/>
      <c r="AJ76" s="2"/>
      <c r="AK76" s="2"/>
      <c r="AL76" s="2"/>
    </row>
    <row r="77" ht="22.5" customHeight="1">
      <c r="A77" s="3" t="s">
        <v>546</v>
      </c>
      <c r="B77" s="4">
        <v>76.0</v>
      </c>
      <c r="C77" s="3" t="s">
        <v>547</v>
      </c>
      <c r="D77" s="3" t="s">
        <v>548</v>
      </c>
      <c r="E77" s="3" t="s">
        <v>549</v>
      </c>
      <c r="F77" s="3" t="s">
        <v>550</v>
      </c>
      <c r="G77" s="3" t="s">
        <v>551</v>
      </c>
      <c r="H77" s="3" t="s">
        <v>548</v>
      </c>
      <c r="I77" s="3" t="s">
        <v>552</v>
      </c>
      <c r="J77" s="2"/>
      <c r="K77" s="2"/>
      <c r="L77" s="3" t="s">
        <v>546</v>
      </c>
      <c r="M77" s="4">
        <v>76.0</v>
      </c>
      <c r="N77" s="3" t="str">
        <f>IFERROR(__xludf.DUMMYFUNCTION("GOOGLETRANSLATE(C77,""en"",""zh-CN"")"),"练习者手持一根长而直的武器。这在中国武术中叫什么？")</f>
        <v>练习者手持一根长而直的武器。这在中国武术中叫什么？</v>
      </c>
      <c r="O77" s="3" t="str">
        <f>IFERROR(__xludf.DUMMYFUNCTION("GOOGLETRANSLATE(D77,""en"",""zh-CN"")"),"一支长矛")</f>
        <v>一支长矛</v>
      </c>
      <c r="P77" s="3" t="str">
        <f>IFERROR(__xludf.DUMMYFUNCTION("GOOGLETRANSLATE(E77,""en"",""zh-CN"")"),"一根棍子")</f>
        <v>一根棍子</v>
      </c>
      <c r="Q77" s="3" t="str">
        <f>IFERROR(__xludf.DUMMYFUNCTION("GOOGLETRANSLATE(F77,""en"",""zh-CN"")"),"一把剑")</f>
        <v>一把剑</v>
      </c>
      <c r="R77" s="3" t="str">
        <f>IFERROR(__xludf.DUMMYFUNCTION("GOOGLETRANSLATE(G77,""en"",""zh-CN"")"),"简")</f>
        <v>简</v>
      </c>
      <c r="S77" s="3" t="s">
        <v>553</v>
      </c>
      <c r="T77" s="3" t="str">
        <f>IFERROR(__xludf.DUMMYFUNCTION("GOOGLETRANSLATE(H77,""en"",""zh-CN"")"),"一支长矛")</f>
        <v>一支长矛</v>
      </c>
      <c r="U77" s="3" t="str">
        <f>IFERROR(__xludf.DUMMYFUNCTION("GOOGLETRANSLATE(I77,""en"",""zh-CN"")"),"这种长而独特的武器，刀刃锋利，带有红色穗子，是长矛（羌），是中国武术表演中常见的武器。")</f>
        <v>这种长而独特的武器，刀刃锋利，带有红色穗子，是长矛（羌），是中国武术表演中常见的武器。</v>
      </c>
      <c r="V77" s="2"/>
      <c r="W77" s="2"/>
      <c r="X77" s="2"/>
      <c r="Y77" s="2"/>
      <c r="Z77" s="2"/>
      <c r="AA77" s="2"/>
      <c r="AB77" s="2"/>
      <c r="AC77" s="2"/>
      <c r="AD77" s="2"/>
      <c r="AE77" s="2"/>
      <c r="AF77" s="2"/>
      <c r="AG77" s="2"/>
      <c r="AH77" s="2"/>
      <c r="AI77" s="2"/>
      <c r="AJ77" s="2"/>
      <c r="AK77" s="2"/>
      <c r="AL77" s="2"/>
    </row>
    <row r="78" ht="22.5" customHeight="1">
      <c r="A78" s="3" t="s">
        <v>546</v>
      </c>
      <c r="B78" s="4">
        <v>77.0</v>
      </c>
      <c r="C78" s="3" t="s">
        <v>554</v>
      </c>
      <c r="D78" s="3" t="s">
        <v>555</v>
      </c>
      <c r="E78" s="3" t="s">
        <v>556</v>
      </c>
      <c r="F78" s="3" t="s">
        <v>557</v>
      </c>
      <c r="G78" s="3" t="s">
        <v>558</v>
      </c>
      <c r="H78" s="3" t="s">
        <v>557</v>
      </c>
      <c r="I78" s="3" t="s">
        <v>559</v>
      </c>
      <c r="J78" s="2"/>
      <c r="K78" s="2"/>
      <c r="L78" s="3" t="s">
        <v>546</v>
      </c>
      <c r="M78" s="4">
        <v>77.0</v>
      </c>
      <c r="N78" s="3" t="str">
        <f>IFERROR(__xludf.DUMMYFUNCTION("GOOGLETRANSLATE(C78,""en"",""zh-CN"")"),"服装和表演的整体美感如何？")</f>
        <v>服装和表演的整体美感如何？</v>
      </c>
      <c r="O78" s="3" t="str">
        <f>IFERROR(__xludf.DUMMYFUNCTION("GOOGLETRANSLATE(D78,""en"",""zh-CN"")"),"简洁而微妙")</f>
        <v>简洁而微妙</v>
      </c>
      <c r="P78" s="3" t="str">
        <f>IFERROR(__xludf.DUMMYFUNCTION("GOOGLETRANSLATE(E78,""en"",""zh-CN"")"),"传统而低调")</f>
        <v>传统而低调</v>
      </c>
      <c r="Q78" s="3" t="str">
        <f>IFERROR(__xludf.DUMMYFUNCTION("GOOGLETRANSLATE(F78,""en"",""zh-CN"")"),"色彩斑斓，引人入胜")</f>
        <v>色彩斑斓，引人入胜</v>
      </c>
      <c r="R78" s="3" t="str">
        <f>IFERROR(__xludf.DUMMYFUNCTION("GOOGLETRANSLATE(G78,""en"",""zh-CN"")"),"休闲非正式")</f>
        <v>休闲非正式</v>
      </c>
      <c r="S78" s="3" t="s">
        <v>560</v>
      </c>
      <c r="T78" s="3" t="str">
        <f>IFERROR(__xludf.DUMMYFUNCTION("GOOGLETRANSLATE(H78,""en"",""zh-CN"")"),"色彩斑斓，引人入胜")</f>
        <v>色彩斑斓，引人入胜</v>
      </c>
      <c r="U78" s="3" t="str">
        <f>IFERROR(__xludf.DUMMYFUNCTION("GOOGLETRANSLATE(I78,""en"",""zh-CN"")"),"练习者鲜艳的粉色和金色制服，以及充满活力的姿势，预示着一场精彩纷呈、扣人心弦的表演，这是武术等竞技武术的典型特征。")</f>
        <v>练习者鲜艳的粉色和金色制服，以及充满活力的姿势，预示着一场精彩纷呈、扣人心弦的表演，这是武术等竞技武术的典型特征。</v>
      </c>
      <c r="V78" s="2"/>
      <c r="W78" s="2"/>
      <c r="X78" s="2"/>
      <c r="Y78" s="2"/>
      <c r="Z78" s="2"/>
      <c r="AA78" s="2"/>
      <c r="AB78" s="2"/>
      <c r="AC78" s="2"/>
      <c r="AD78" s="2"/>
      <c r="AE78" s="2"/>
      <c r="AF78" s="2"/>
      <c r="AG78" s="2"/>
      <c r="AH78" s="2"/>
      <c r="AI78" s="2"/>
      <c r="AJ78" s="2"/>
      <c r="AK78" s="2"/>
      <c r="AL78" s="2"/>
    </row>
    <row r="79" ht="22.5" customHeight="1">
      <c r="A79" s="3" t="s">
        <v>546</v>
      </c>
      <c r="B79" s="4">
        <v>78.0</v>
      </c>
      <c r="C79" s="3" t="s">
        <v>561</v>
      </c>
      <c r="D79" s="3" t="s">
        <v>562</v>
      </c>
      <c r="E79" s="3" t="s">
        <v>563</v>
      </c>
      <c r="F79" s="3" t="s">
        <v>564</v>
      </c>
      <c r="G79" s="3" t="s">
        <v>565</v>
      </c>
      <c r="H79" s="3" t="s">
        <v>565</v>
      </c>
      <c r="I79" s="3" t="s">
        <v>566</v>
      </c>
      <c r="J79" s="2"/>
      <c r="K79" s="2"/>
      <c r="L79" s="3" t="s">
        <v>546</v>
      </c>
      <c r="M79" s="4">
        <v>78.0</v>
      </c>
      <c r="N79" s="3" t="str">
        <f>IFERROR(__xludf.DUMMYFUNCTION("GOOGLETRANSLATE(C79,""en"",""zh-CN"")"),"长矛上的长红色流苏有什么用途？")</f>
        <v>长矛上的长红色流苏有什么用途？</v>
      </c>
      <c r="O79" s="3" t="str">
        <f>IFERROR(__xludf.DUMMYFUNCTION("GOOGLETRANSLATE(D79,""en"",""zh-CN"")"),"为了增强抓握力。")</f>
        <v>为了增强抓握力。</v>
      </c>
      <c r="P79" s="3" t="str">
        <f>IFERROR(__xludf.DUMMYFUNCTION("GOOGLETRANSLATE(E79,""en"",""zh-CN"")"),"起到装饰作用。")</f>
        <v>起到装饰作用。</v>
      </c>
      <c r="Q79" s="3" t="str">
        <f>IFERROR(__xludf.DUMMYFUNCTION("GOOGLETRANSLATE(F79,""en"",""zh-CN"")"),"增加尖端重量。")</f>
        <v>增加尖端重量。</v>
      </c>
      <c r="R79" s="3" t="str">
        <f>IFERROR(__xludf.DUMMYFUNCTION("GOOGLETRANSLATE(G79,""en"",""zh-CN"")"),"起到平衡作用并提供视觉美感。")</f>
        <v>起到平衡作用并提供视觉美感。</v>
      </c>
      <c r="S79" s="3" t="s">
        <v>567</v>
      </c>
      <c r="T79" s="3" t="str">
        <f>IFERROR(__xludf.DUMMYFUNCTION("GOOGLETRANSLATE(H79,""en"",""zh-CN"")"),"起到平衡作用并提供视觉美感。")</f>
        <v>起到平衡作用并提供视觉美感。</v>
      </c>
      <c r="U79" s="3" t="str">
        <f>IFERROR(__xludf.DUMMYFUNCTION("GOOGLETRANSLATE(I79,""en"",""zh-CN"")"),"流苏为表演增添了视觉奇观，飘逸的轨迹突显了长矛的速度和圆周运动。")</f>
        <v>流苏为表演增添了视觉奇观，飘逸的轨迹突显了长矛的速度和圆周运动。</v>
      </c>
      <c r="V79" s="2"/>
      <c r="W79" s="2"/>
      <c r="X79" s="2"/>
      <c r="Y79" s="2"/>
      <c r="Z79" s="2"/>
      <c r="AA79" s="2"/>
      <c r="AB79" s="2"/>
      <c r="AC79" s="2"/>
      <c r="AD79" s="2"/>
      <c r="AE79" s="2"/>
      <c r="AF79" s="2"/>
      <c r="AG79" s="2"/>
      <c r="AH79" s="2"/>
      <c r="AI79" s="2"/>
      <c r="AJ79" s="2"/>
      <c r="AK79" s="2"/>
      <c r="AL79" s="2"/>
    </row>
    <row r="80" ht="22.5" customHeight="1">
      <c r="A80" s="3" t="s">
        <v>546</v>
      </c>
      <c r="B80" s="4">
        <v>79.0</v>
      </c>
      <c r="C80" s="3" t="s">
        <v>568</v>
      </c>
      <c r="D80" s="3" t="s">
        <v>569</v>
      </c>
      <c r="E80" s="3" t="s">
        <v>570</v>
      </c>
      <c r="F80" s="3" t="s">
        <v>571</v>
      </c>
      <c r="G80" s="3" t="s">
        <v>572</v>
      </c>
      <c r="H80" s="3" t="s">
        <v>571</v>
      </c>
      <c r="I80" s="3" t="s">
        <v>573</v>
      </c>
      <c r="J80" s="2"/>
      <c r="K80" s="2"/>
      <c r="L80" s="3" t="s">
        <v>546</v>
      </c>
      <c r="M80" s="4">
        <v>79.0</v>
      </c>
      <c r="N80" s="3" t="str">
        <f>IFERROR(__xludf.DUMMYFUNCTION("GOOGLETRANSLATE(C80,""en"",""zh-CN"")"),"场景似乎是一个铺着蓝色垫子的竞技场。这暗示着什么背景信息？")</f>
        <v>场景似乎是一个铺着蓝色垫子的竞技场。这暗示着什么背景信息？</v>
      </c>
      <c r="O80" s="3" t="str">
        <f>IFERROR(__xludf.DUMMYFUNCTION("GOOGLETRANSLATE(D80,""en"",""zh-CN"")"),"这是一种非正式的做法。")</f>
        <v>这是一种非正式的做法。</v>
      </c>
      <c r="P80" s="3" t="str">
        <f>IFERROR(__xludf.DUMMYFUNCTION("GOOGLETRANSLATE(E80,""en"",""zh-CN"")"),"这是一场公开示威活动。")</f>
        <v>这是一场公开示威活动。</v>
      </c>
      <c r="Q80" s="3" t="str">
        <f>IFERROR(__xludf.DUMMYFUNCTION("GOOGLETRANSLATE(F80,""en"",""zh-CN"")"),"这是一场武术比赛或表演。")</f>
        <v>这是一场武术比赛或表演。</v>
      </c>
      <c r="R80" s="3" t="str">
        <f>IFERROR(__xludf.DUMMYFUNCTION("GOOGLETRANSLATE(G80,""en"",""zh-CN"")"),"这是一个研讨会。")</f>
        <v>这是一个研讨会。</v>
      </c>
      <c r="S80" s="3" t="s">
        <v>574</v>
      </c>
      <c r="T80" s="3" t="str">
        <f>IFERROR(__xludf.DUMMYFUNCTION("GOOGLETRANSLATE(H80,""en"",""zh-CN"")"),"这是一场武术比赛或表演。")</f>
        <v>这是一场武术比赛或表演。</v>
      </c>
      <c r="U80" s="3" t="str">
        <f>IFERROR(__xludf.DUMMYFUNCTION("GOOGLETRANSLATE(I80,""en"",""zh-CN"")"),"场地布置，包括特定的垫子、舞台和正式服装，都符合武术比赛等竞技武术赛事的风格。")</f>
        <v>场地布置，包括特定的垫子、舞台和正式服装，都符合武术比赛等竞技武术赛事的风格。</v>
      </c>
      <c r="V80" s="2"/>
      <c r="W80" s="2"/>
      <c r="X80" s="2"/>
      <c r="Y80" s="2"/>
      <c r="Z80" s="2"/>
      <c r="AA80" s="2"/>
      <c r="AB80" s="2"/>
      <c r="AC80" s="2"/>
      <c r="AD80" s="2"/>
      <c r="AE80" s="2"/>
      <c r="AF80" s="2"/>
      <c r="AG80" s="2"/>
      <c r="AH80" s="2"/>
      <c r="AI80" s="2"/>
      <c r="AJ80" s="2"/>
      <c r="AK80" s="2"/>
      <c r="AL80" s="2"/>
    </row>
    <row r="81" ht="22.5" customHeight="1">
      <c r="A81" s="3" t="s">
        <v>546</v>
      </c>
      <c r="B81" s="4">
        <v>80.0</v>
      </c>
      <c r="C81" s="3" t="s">
        <v>575</v>
      </c>
      <c r="D81" s="3" t="s">
        <v>576</v>
      </c>
      <c r="E81" s="3" t="s">
        <v>577</v>
      </c>
      <c r="F81" s="3" t="s">
        <v>578</v>
      </c>
      <c r="G81" s="3" t="s">
        <v>579</v>
      </c>
      <c r="H81" s="3" t="s">
        <v>577</v>
      </c>
      <c r="I81" s="3" t="s">
        <v>580</v>
      </c>
      <c r="J81" s="2"/>
      <c r="K81" s="2"/>
      <c r="L81" s="3" t="s">
        <v>546</v>
      </c>
      <c r="M81" s="4">
        <v>80.0</v>
      </c>
      <c r="N81" s="3" t="str">
        <f>IFERROR(__xludf.DUMMYFUNCTION("GOOGLETRANSLATE(C81,""en"",""zh-CN"")"),"实践者的关注点是什么？")</f>
        <v>实践者的关注点是什么？</v>
      </c>
      <c r="O81" s="3" t="str">
        <f>IFERROR(__xludf.DUMMYFUNCTION("GOOGLETRANSLATE(D81,""en"",""zh-CN"")"),"人群")</f>
        <v>人群</v>
      </c>
      <c r="P81" s="3" t="str">
        <f>IFERROR(__xludf.DUMMYFUNCTION("GOOGLETRANSLATE(E81,""en"",""zh-CN"")"),"武器")</f>
        <v>武器</v>
      </c>
      <c r="Q81" s="3" t="str">
        <f>IFERROR(__xludf.DUMMYFUNCTION("GOOGLETRANSLATE(F81,""en"",""zh-CN"")"),"对手")</f>
        <v>对手</v>
      </c>
      <c r="R81" s="3" t="str">
        <f>IFERROR(__xludf.DUMMYFUNCTION("GOOGLETRANSLATE(G81,""en"",""zh-CN"")"),"摄影师")</f>
        <v>摄影师</v>
      </c>
      <c r="S81" s="3" t="s">
        <v>581</v>
      </c>
      <c r="T81" s="3" t="str">
        <f>IFERROR(__xludf.DUMMYFUNCTION("GOOGLETRANSLATE(H81,""en"",""zh-CN"")"),"武器")</f>
        <v>武器</v>
      </c>
      <c r="U81" s="3" t="str">
        <f>IFERROR(__xludf.DUMMYFUNCTION("GOOGLETRANSLATE(I81,""en"",""zh-CN"")"),"她目光专注地盯着长矛，展现出表演中精准挥舞武器所需的高度专注和控制力。")</f>
        <v>她目光专注地盯着长矛，展现出表演中精准挥舞武器所需的高度专注和控制力。</v>
      </c>
      <c r="V81" s="2"/>
      <c r="W81" s="2"/>
      <c r="X81" s="2"/>
      <c r="Y81" s="2"/>
      <c r="Z81" s="2"/>
      <c r="AA81" s="2"/>
      <c r="AB81" s="2"/>
      <c r="AC81" s="2"/>
      <c r="AD81" s="2"/>
      <c r="AE81" s="2"/>
      <c r="AF81" s="2"/>
      <c r="AG81" s="2"/>
      <c r="AH81" s="2"/>
      <c r="AI81" s="2"/>
      <c r="AJ81" s="2"/>
      <c r="AK81" s="2"/>
      <c r="AL81" s="2"/>
    </row>
    <row r="82" ht="22.5" customHeight="1">
      <c r="A82" s="3" t="s">
        <v>582</v>
      </c>
      <c r="B82" s="4">
        <v>81.0</v>
      </c>
      <c r="C82" s="3" t="s">
        <v>583</v>
      </c>
      <c r="D82" s="3" t="s">
        <v>21</v>
      </c>
      <c r="E82" s="3" t="s">
        <v>23</v>
      </c>
      <c r="F82" s="3" t="s">
        <v>22</v>
      </c>
      <c r="G82" s="3" t="s">
        <v>584</v>
      </c>
      <c r="H82" s="3" t="s">
        <v>22</v>
      </c>
      <c r="I82" s="3" t="s">
        <v>585</v>
      </c>
      <c r="J82" s="2"/>
      <c r="K82" s="2"/>
      <c r="L82" s="3" t="s">
        <v>582</v>
      </c>
      <c r="M82" s="4">
        <v>81.0</v>
      </c>
      <c r="N82" s="3" t="str">
        <f>IFERROR(__xludf.DUMMYFUNCTION("GOOGLETRANSLATE(C82,""en"",""zh-CN"")"),"练习者手持一把直剑。这种剑叫什么名字？")</f>
        <v>练习者手持一把直剑。这种剑叫什么名字？</v>
      </c>
      <c r="O82" s="3" t="str">
        <f>IFERROR(__xludf.DUMMYFUNCTION("GOOGLETRANSLATE(D82,""en"",""zh-CN"")"),"武士刀")</f>
        <v>武士刀</v>
      </c>
      <c r="P82" s="3" t="str">
        <f>IFERROR(__xludf.DUMMYFUNCTION("GOOGLETRANSLATE(E82,""en"",""zh-CN"")"),"军刀")</f>
        <v>军刀</v>
      </c>
      <c r="Q82" s="3" t="str">
        <f>IFERROR(__xludf.DUMMYFUNCTION("GOOGLETRANSLATE(F82,""en"",""zh-CN"")"),"建")</f>
        <v>建</v>
      </c>
      <c r="R82" s="3" t="str">
        <f>IFERROR(__xludf.DUMMYFUNCTION("GOOGLETRANSLATE(G82,""en"",""zh-CN"")"),"细剑")</f>
        <v>细剑</v>
      </c>
      <c r="S82" s="3" t="s">
        <v>586</v>
      </c>
      <c r="T82" s="3" t="str">
        <f>IFERROR(__xludf.DUMMYFUNCTION("GOOGLETRANSLATE(H82,""en"",""zh-CN"")"),"建")</f>
        <v>建</v>
      </c>
      <c r="U82" s="3" t="str">
        <f>IFERROR(__xludf.DUMMYFUNCTION("GOOGLETRANSLATE(I82,""en"",""zh-CN"")"),"这把剑是剑，一种直的双刃中国剑，常用于太极拳和其他中国武术中。")</f>
        <v>这把剑是剑，一种直的双刃中国剑，常用于太极拳和其他中国武术中。</v>
      </c>
      <c r="V82" s="2"/>
      <c r="W82" s="2"/>
      <c r="X82" s="2"/>
      <c r="Y82" s="2"/>
      <c r="Z82" s="2"/>
      <c r="AA82" s="2"/>
      <c r="AB82" s="2"/>
      <c r="AC82" s="2"/>
      <c r="AD82" s="2"/>
      <c r="AE82" s="2"/>
      <c r="AF82" s="2"/>
      <c r="AG82" s="2"/>
      <c r="AH82" s="2"/>
      <c r="AI82" s="2"/>
      <c r="AJ82" s="2"/>
      <c r="AK82" s="2"/>
      <c r="AL82" s="2"/>
    </row>
    <row r="83" ht="22.5" customHeight="1">
      <c r="A83" s="3" t="s">
        <v>582</v>
      </c>
      <c r="B83" s="4">
        <v>82.0</v>
      </c>
      <c r="C83" s="3" t="s">
        <v>587</v>
      </c>
      <c r="D83" s="3" t="s">
        <v>27</v>
      </c>
      <c r="E83" s="3" t="s">
        <v>29</v>
      </c>
      <c r="F83" s="3" t="s">
        <v>30</v>
      </c>
      <c r="G83" s="3" t="s">
        <v>28</v>
      </c>
      <c r="H83" s="3" t="s">
        <v>27</v>
      </c>
      <c r="I83" s="3" t="s">
        <v>588</v>
      </c>
      <c r="J83" s="2"/>
      <c r="K83" s="2"/>
      <c r="L83" s="3" t="s">
        <v>582</v>
      </c>
      <c r="M83" s="4">
        <v>82.0</v>
      </c>
      <c r="N83" s="3" t="str">
        <f>IFERROR(__xludf.DUMMYFUNCTION("GOOGLETRANSLATE(C83,""en"",""zh-CN"")"),"练习者采用低而宽的站姿。这种太极拳基本站姿叫什么？")</f>
        <v>练习者采用低而宽的站姿。这种太极拳基本站姿叫什么？</v>
      </c>
      <c r="O83" s="3" t="str">
        <f>IFERROR(__xludf.DUMMYFUNCTION("GOOGLETRANSLATE(D83,""en"",""zh-CN"")"),"马步")</f>
        <v>马步</v>
      </c>
      <c r="P83" s="3" t="str">
        <f>IFERROR(__xludf.DUMMYFUNCTION("GOOGLETRANSLATE(E83,""en"",""zh-CN"")"),"起重机姿态")</f>
        <v>起重机姿态</v>
      </c>
      <c r="Q83" s="3" t="str">
        <f>IFERROR(__xludf.DUMMYFUNCTION("GOOGLETRANSLATE(F83,""en"",""zh-CN"")"),"空位")</f>
        <v>空位</v>
      </c>
      <c r="R83" s="3" t="str">
        <f>IFERROR(__xludf.DUMMYFUNCTION("GOOGLETRANSLATE(G83,""en"",""zh-CN"")"),"弓步")</f>
        <v>弓步</v>
      </c>
      <c r="S83" s="3" t="s">
        <v>589</v>
      </c>
      <c r="T83" s="3" t="str">
        <f>IFERROR(__xludf.DUMMYFUNCTION("GOOGLETRANSLATE(H83,""en"",""zh-CN"")"),"马步")</f>
        <v>马步</v>
      </c>
      <c r="U83" s="3" t="str">
        <f>IFERROR(__xludf.DUMMYFUNCTION("GOOGLETRANSLATE(I83,""en"",""zh-CN"")"),"双脚平行、宽阔对称的站姿是马步，这是增强腿部力量和稳定性的基础姿势。")</f>
        <v>双脚平行、宽阔对称的站姿是马步，这是增强腿部力量和稳定性的基础姿势。</v>
      </c>
      <c r="V83" s="2"/>
      <c r="W83" s="2"/>
      <c r="X83" s="2"/>
      <c r="Y83" s="2"/>
      <c r="Z83" s="2"/>
      <c r="AA83" s="2"/>
      <c r="AB83" s="2"/>
      <c r="AC83" s="2"/>
      <c r="AD83" s="2"/>
      <c r="AE83" s="2"/>
      <c r="AF83" s="2"/>
      <c r="AG83" s="2"/>
      <c r="AH83" s="2"/>
      <c r="AI83" s="2"/>
      <c r="AJ83" s="2"/>
      <c r="AK83" s="2"/>
      <c r="AL83" s="2"/>
    </row>
    <row r="84" ht="22.5" customHeight="1">
      <c r="A84" s="3" t="s">
        <v>582</v>
      </c>
      <c r="B84" s="4">
        <v>83.0</v>
      </c>
      <c r="C84" s="3" t="s">
        <v>590</v>
      </c>
      <c r="D84" s="3" t="s">
        <v>591</v>
      </c>
      <c r="E84" s="3" t="s">
        <v>592</v>
      </c>
      <c r="F84" s="3" t="s">
        <v>593</v>
      </c>
      <c r="G84" s="3" t="s">
        <v>594</v>
      </c>
      <c r="H84" s="3" t="s">
        <v>593</v>
      </c>
      <c r="I84" s="3" t="s">
        <v>595</v>
      </c>
      <c r="J84" s="2"/>
      <c r="K84" s="2"/>
      <c r="L84" s="3" t="s">
        <v>582</v>
      </c>
      <c r="M84" s="4">
        <v>83.0</v>
      </c>
      <c r="N84" s="3" t="str">
        <f>IFERROR(__xludf.DUMMYFUNCTION("GOOGLETRANSLATE(C84,""en"",""zh-CN"")"),"背景是纯蓝色的底布，上面有一条白线。这样的背景暗示了怎样的场景？")</f>
        <v>背景是纯蓝色的底布，上面有一条白线。这样的背景暗示了怎样的场景？</v>
      </c>
      <c r="O84" s="3" t="str">
        <f>IFERROR(__xludf.DUMMYFUNCTION("GOOGLETRANSLATE(D84,""en"",""zh-CN"")"),"这是一个露天公园。")</f>
        <v>这是一个露天公园。</v>
      </c>
      <c r="P84" s="3" t="str">
        <f>IFERROR(__xludf.DUMMYFUNCTION("GOOGLETRANSLATE(E84,""en"",""zh-CN"")"),"这是一个室内练习室。")</f>
        <v>这是一个室内练习室。</v>
      </c>
      <c r="Q84" s="3" t="str">
        <f>IFERROR(__xludf.DUMMYFUNCTION("GOOGLETRANSLATE(F84,""en"",""zh-CN"")"),"这是一个竞争激烈的领域。")</f>
        <v>这是一个竞争激烈的领域。</v>
      </c>
      <c r="R84" s="3" t="str">
        <f>IFERROR(__xludf.DUMMYFUNCTION("GOOGLETRANSLATE(G84,""en"",""zh-CN"")"),"这是一个舞台。")</f>
        <v>这是一个舞台。</v>
      </c>
      <c r="S84" s="3" t="s">
        <v>596</v>
      </c>
      <c r="T84" s="3" t="str">
        <f>IFERROR(__xludf.DUMMYFUNCTION("GOOGLETRANSLATE(H84,""en"",""zh-CN"")"),"这是一个竞争激烈的领域。")</f>
        <v>这是一个竞争激烈的领域。</v>
      </c>
      <c r="U84" s="3" t="str">
        <f>IFERROR(__xludf.DUMMYFUNCTION("GOOGLETRANSLATE(I84,""en"",""zh-CN"")"),"纯蓝色和白色线条是武术比赛垫的标准特征，表明这是一场正式或竞技性赛事。")</f>
        <v>纯蓝色和白色线条是武术比赛垫的标准特征，表明这是一场正式或竞技性赛事。</v>
      </c>
      <c r="V84" s="2"/>
      <c r="W84" s="2"/>
      <c r="X84" s="2"/>
      <c r="Y84" s="2"/>
      <c r="Z84" s="2"/>
      <c r="AA84" s="2"/>
      <c r="AB84" s="2"/>
      <c r="AC84" s="2"/>
      <c r="AD84" s="2"/>
      <c r="AE84" s="2"/>
      <c r="AF84" s="2"/>
      <c r="AG84" s="2"/>
      <c r="AH84" s="2"/>
      <c r="AI84" s="2"/>
      <c r="AJ84" s="2"/>
      <c r="AK84" s="2"/>
      <c r="AL84" s="2"/>
    </row>
    <row r="85" ht="22.5" customHeight="1">
      <c r="A85" s="3" t="s">
        <v>582</v>
      </c>
      <c r="B85" s="4">
        <v>84.0</v>
      </c>
      <c r="C85" s="3" t="s">
        <v>597</v>
      </c>
      <c r="D85" s="3" t="s">
        <v>598</v>
      </c>
      <c r="E85" s="3" t="s">
        <v>599</v>
      </c>
      <c r="F85" s="3" t="s">
        <v>600</v>
      </c>
      <c r="G85" s="3" t="s">
        <v>601</v>
      </c>
      <c r="H85" s="3" t="s">
        <v>600</v>
      </c>
      <c r="I85" s="3" t="s">
        <v>602</v>
      </c>
      <c r="J85" s="2"/>
      <c r="K85" s="2"/>
      <c r="L85" s="3" t="s">
        <v>582</v>
      </c>
      <c r="M85" s="4">
        <v>84.0</v>
      </c>
      <c r="N85" s="3" t="str">
        <f>IFERROR(__xludf.DUMMYFUNCTION("GOOGLETRANSLATE(C85,""en"",""zh-CN"")"),"该从业人员的制服是什么款式的？")</f>
        <v>该从业人员的制服是什么款式的？</v>
      </c>
      <c r="O85" s="3" t="str">
        <f>IFERROR(__xludf.DUMMYFUNCTION("GOOGLETRANSLATE(D85,""en"",""zh-CN"")"),"现代和西方")</f>
        <v>现代和西方</v>
      </c>
      <c r="P85" s="3" t="str">
        <f>IFERROR(__xludf.DUMMYFUNCTION("GOOGLETRANSLATE(E85,""en"",""zh-CN"")"),"简单明了")</f>
        <v>简单明了</v>
      </c>
      <c r="Q85" s="3" t="str">
        <f>IFERROR(__xludf.DUMMYFUNCTION("GOOGLETRANSLATE(F85,""en"",""zh-CN"")"),"饰以传统刺绣")</f>
        <v>饰以传统刺绣</v>
      </c>
      <c r="R85" s="3" t="str">
        <f>IFERROR(__xludf.DUMMYFUNCTION("GOOGLETRANSLATE(G85,""en"",""zh-CN"")"),"军事风格")</f>
        <v>军事风格</v>
      </c>
      <c r="S85" s="3" t="s">
        <v>603</v>
      </c>
      <c r="T85" s="3" t="str">
        <f>IFERROR(__xludf.DUMMYFUNCTION("GOOGLETRANSLATE(H85,""en"",""zh-CN"")"),"饰以传统刺绣")</f>
        <v>饰以传统刺绣</v>
      </c>
      <c r="U85" s="3" t="str">
        <f>IFERROR(__xludf.DUMMYFUNCTION("GOOGLETRANSLATE(I85,""en"",""zh-CN"")"),"白色制服饰有精美的传统中国刺绣，这是武术或太极比赛服的常见设计。")</f>
        <v>白色制服饰有精美的传统中国刺绣，这是武术或太极比赛服的常见设计。</v>
      </c>
      <c r="V85" s="2"/>
      <c r="W85" s="2"/>
      <c r="X85" s="2"/>
      <c r="Y85" s="2"/>
      <c r="Z85" s="2"/>
      <c r="AA85" s="2"/>
      <c r="AB85" s="2"/>
      <c r="AC85" s="2"/>
      <c r="AD85" s="2"/>
      <c r="AE85" s="2"/>
      <c r="AF85" s="2"/>
      <c r="AG85" s="2"/>
      <c r="AH85" s="2"/>
      <c r="AI85" s="2"/>
      <c r="AJ85" s="2"/>
      <c r="AK85" s="2"/>
      <c r="AL85" s="2"/>
    </row>
    <row r="86" ht="22.5" customHeight="1">
      <c r="A86" s="3" t="s">
        <v>582</v>
      </c>
      <c r="B86" s="4">
        <v>85.0</v>
      </c>
      <c r="C86" s="3" t="s">
        <v>604</v>
      </c>
      <c r="D86" s="3" t="s">
        <v>605</v>
      </c>
      <c r="E86" s="3" t="s">
        <v>606</v>
      </c>
      <c r="F86" s="3" t="s">
        <v>607</v>
      </c>
      <c r="G86" s="3" t="s">
        <v>608</v>
      </c>
      <c r="H86" s="3" t="s">
        <v>607</v>
      </c>
      <c r="I86" s="3" t="s">
        <v>609</v>
      </c>
      <c r="J86" s="2"/>
      <c r="K86" s="2"/>
      <c r="L86" s="3" t="s">
        <v>582</v>
      </c>
      <c r="M86" s="4">
        <v>85.0</v>
      </c>
      <c r="N86" s="3" t="str">
        <f>IFERROR(__xludf.DUMMYFUNCTION("GOOGLETRANSLATE(C86,""en"",""zh-CN"")"),"实践者的目光聚焦在哪里？")</f>
        <v>实践者的目光聚焦在哪里？</v>
      </c>
      <c r="O86" s="3" t="str">
        <f>IFERROR(__xludf.DUMMYFUNCTION("GOOGLETRANSLATE(D86,""en"",""zh-CN"")"),"观众")</f>
        <v>观众</v>
      </c>
      <c r="P86" s="3" t="str">
        <f>IFERROR(__xludf.DUMMYFUNCTION("GOOGLETRANSLATE(E86,""en"",""zh-CN"")"),"她的脚")</f>
        <v>她的脚</v>
      </c>
      <c r="Q86" s="3" t="str">
        <f>IFERROR(__xludf.DUMMYFUNCTION("GOOGLETRANSLATE(F86,""en"",""zh-CN"")"),"剑尖")</f>
        <v>剑尖</v>
      </c>
      <c r="R86" s="3" t="str">
        <f>IFERROR(__xludf.DUMMYFUNCTION("GOOGLETRANSLATE(G86,""en"",""zh-CN"")"),"对手")</f>
        <v>对手</v>
      </c>
      <c r="S86" s="3" t="s">
        <v>610</v>
      </c>
      <c r="T86" s="3" t="str">
        <f>IFERROR(__xludf.DUMMYFUNCTION("GOOGLETRANSLATE(H86,""en"",""zh-CN"")"),"剑尖")</f>
        <v>剑尖</v>
      </c>
      <c r="U86" s="3" t="str">
        <f>IFERROR(__xludf.DUMMYFUNCTION("GOOGLETRANSLATE(I86,""en"",""zh-CN"")"),"练习者将目光集中在剑尖上，这是在武器套路表演中保持专注和控制的常用技巧。")</f>
        <v>练习者将目光集中在剑尖上，这是在武器套路表演中保持专注和控制的常用技巧。</v>
      </c>
      <c r="V86" s="2"/>
      <c r="W86" s="2"/>
      <c r="X86" s="2"/>
      <c r="Y86" s="2"/>
      <c r="Z86" s="2"/>
      <c r="AA86" s="2"/>
      <c r="AB86" s="2"/>
      <c r="AC86" s="2"/>
      <c r="AD86" s="2"/>
      <c r="AE86" s="2"/>
      <c r="AF86" s="2"/>
      <c r="AG86" s="2"/>
      <c r="AH86" s="2"/>
      <c r="AI86" s="2"/>
      <c r="AJ86" s="2"/>
      <c r="AK86" s="2"/>
      <c r="AL86" s="2"/>
    </row>
    <row r="87" ht="22.5" customHeight="1">
      <c r="A87" s="3" t="s">
        <v>611</v>
      </c>
      <c r="B87" s="4">
        <v>86.0</v>
      </c>
      <c r="C87" s="3" t="s">
        <v>612</v>
      </c>
      <c r="D87" s="3" t="s">
        <v>613</v>
      </c>
      <c r="E87" s="3" t="s">
        <v>614</v>
      </c>
      <c r="F87" s="3" t="s">
        <v>615</v>
      </c>
      <c r="G87" s="3" t="s">
        <v>616</v>
      </c>
      <c r="H87" s="3" t="s">
        <v>615</v>
      </c>
      <c r="I87" s="3" t="s">
        <v>617</v>
      </c>
      <c r="J87" s="2"/>
      <c r="K87" s="2"/>
      <c r="L87" s="3" t="s">
        <v>611</v>
      </c>
      <c r="M87" s="4">
        <v>86.0</v>
      </c>
      <c r="N87" s="3" t="str">
        <f>IFERROR(__xludf.DUMMYFUNCTION("GOOGLETRANSLATE(C87,""en"",""zh-CN"")"),"这张图片中，这群人服装最突出的特点是什么？")</f>
        <v>这张图片中，这群人服装最突出的特点是什么？</v>
      </c>
      <c r="O87" s="3" t="str">
        <f>IFERROR(__xludf.DUMMYFUNCTION("GOOGLETRANSLATE(D87,""en"",""zh-CN"")"),"他们的鞋子")</f>
        <v>他们的鞋子</v>
      </c>
      <c r="P87" s="3" t="str">
        <f>IFERROR(__xludf.DUMMYFUNCTION("GOOGLETRANSLATE(E87,""en"",""zh-CN"")"),"他们的腰带")</f>
        <v>他们的腰带</v>
      </c>
      <c r="Q87" s="3" t="str">
        <f>IFERROR(__xludf.DUMMYFUNCTION("GOOGLETRANSLATE(F87,""en"",""zh-CN"")"),"他们的红黑制服")</f>
        <v>他们的红黑制服</v>
      </c>
      <c r="R87" s="3" t="str">
        <f>IFERROR(__xludf.DUMMYFUNCTION("GOOGLETRANSLATE(G87,""en"",""zh-CN"")"),"他们的发型")</f>
        <v>他们的发型</v>
      </c>
      <c r="S87" s="3" t="s">
        <v>618</v>
      </c>
      <c r="T87" s="3" t="str">
        <f>IFERROR(__xludf.DUMMYFUNCTION("GOOGLETRANSLATE(H87,""en"",""zh-CN"")"),"他们的红黑制服")</f>
        <v>他们的红黑制服</v>
      </c>
      <c r="U87" s="3" t="str">
        <f>IFERROR(__xludf.DUMMYFUNCTION("GOOGLETRANSLATE(I87,""en"",""zh-CN"")"),"最引人注目的特点是制服的颜色和款式，制服为红色，带有黑色滚边，这是太极拳和功夫学校常见的配色方案。")</f>
        <v>最引人注目的特点是制服的颜色和款式，制服为红色，带有黑色滚边，这是太极拳和功夫学校常见的配色方案。</v>
      </c>
      <c r="V87" s="2"/>
      <c r="W87" s="2"/>
      <c r="X87" s="2"/>
      <c r="Y87" s="2"/>
      <c r="Z87" s="2"/>
      <c r="AA87" s="2"/>
      <c r="AB87" s="2"/>
      <c r="AC87" s="2"/>
      <c r="AD87" s="2"/>
      <c r="AE87" s="2"/>
      <c r="AF87" s="2"/>
      <c r="AG87" s="2"/>
      <c r="AH87" s="2"/>
      <c r="AI87" s="2"/>
      <c r="AJ87" s="2"/>
      <c r="AK87" s="2"/>
      <c r="AL87" s="2"/>
    </row>
    <row r="88" ht="22.5" customHeight="1">
      <c r="A88" s="3" t="s">
        <v>611</v>
      </c>
      <c r="B88" s="4">
        <v>87.0</v>
      </c>
      <c r="C88" s="3" t="s">
        <v>619</v>
      </c>
      <c r="D88" s="3" t="s">
        <v>620</v>
      </c>
      <c r="E88" s="3" t="s">
        <v>621</v>
      </c>
      <c r="F88" s="3" t="s">
        <v>536</v>
      </c>
      <c r="G88" s="3" t="s">
        <v>622</v>
      </c>
      <c r="H88" s="3" t="s">
        <v>622</v>
      </c>
      <c r="I88" s="3" t="s">
        <v>623</v>
      </c>
      <c r="J88" s="2"/>
      <c r="K88" s="2"/>
      <c r="L88" s="3" t="s">
        <v>611</v>
      </c>
      <c r="M88" s="4">
        <v>87.0</v>
      </c>
      <c r="N88" s="3" t="str">
        <f>IFERROR(__xludf.DUMMYFUNCTION("GOOGLETRANSLATE(C88,""en"",""zh-CN"")"),"根据场景判断，这是什么类型的地点？")</f>
        <v>根据场景判断，这是什么类型的地点？</v>
      </c>
      <c r="O88" s="3" t="str">
        <f>IFERROR(__xludf.DUMMYFUNCTION("GOOGLETRANSLATE(D88,""en"",""zh-CN"")"),"户外公园")</f>
        <v>户外公园</v>
      </c>
      <c r="P88" s="3" t="str">
        <f>IFERROR(__xludf.DUMMYFUNCTION("GOOGLETRANSLATE(E88,""en"",""zh-CN"")"),"正式的比赛场地")</f>
        <v>正式的比赛场地</v>
      </c>
      <c r="Q88" s="3" t="str">
        <f>IFERROR(__xludf.DUMMYFUNCTION("GOOGLETRANSLATE(F88,""en"",""zh-CN"")"),"公共广场")</f>
        <v>公共广场</v>
      </c>
      <c r="R88" s="3" t="str">
        <f>IFERROR(__xludf.DUMMYFUNCTION("GOOGLETRANSLATE(G88,""en"",""zh-CN"")"),"室内工作室或训练厅")</f>
        <v>室内工作室或训练厅</v>
      </c>
      <c r="S88" s="3" t="s">
        <v>624</v>
      </c>
      <c r="T88" s="3" t="str">
        <f>IFERROR(__xludf.DUMMYFUNCTION("GOOGLETRANSLATE(H88,""en"",""zh-CN"")"),"室内工作室或训练厅")</f>
        <v>室内工作室或训练厅</v>
      </c>
      <c r="U88" s="3" t="str">
        <f>IFERROR(__xludf.DUMMYFUNCTION("GOOGLETRANSLATE(I88,""en"",""zh-CN"")"),"图片显示了光滑的木地板、消防出口标志和宽敞的开放空间，这些都是室内武术或舞蹈工作室的特征。")</f>
        <v>图片显示了光滑的木地板、消防出口标志和宽敞的开放空间，这些都是室内武术或舞蹈工作室的特征。</v>
      </c>
      <c r="V88" s="2"/>
      <c r="W88" s="2"/>
      <c r="X88" s="2"/>
      <c r="Y88" s="2"/>
      <c r="Z88" s="2"/>
      <c r="AA88" s="2"/>
      <c r="AB88" s="2"/>
      <c r="AC88" s="2"/>
      <c r="AD88" s="2"/>
      <c r="AE88" s="2"/>
      <c r="AF88" s="2"/>
      <c r="AG88" s="2"/>
      <c r="AH88" s="2"/>
      <c r="AI88" s="2"/>
      <c r="AJ88" s="2"/>
      <c r="AK88" s="2"/>
      <c r="AL88" s="2"/>
    </row>
    <row r="89" ht="22.5" customHeight="1">
      <c r="A89" s="3" t="s">
        <v>611</v>
      </c>
      <c r="B89" s="4">
        <v>88.0</v>
      </c>
      <c r="C89" s="3" t="s">
        <v>625</v>
      </c>
      <c r="D89" s="3" t="s">
        <v>626</v>
      </c>
      <c r="E89" s="3" t="s">
        <v>627</v>
      </c>
      <c r="F89" s="3" t="s">
        <v>628</v>
      </c>
      <c r="G89" s="3" t="s">
        <v>629</v>
      </c>
      <c r="H89" s="3" t="s">
        <v>628</v>
      </c>
      <c r="I89" s="3" t="s">
        <v>630</v>
      </c>
      <c r="J89" s="2"/>
      <c r="K89" s="2"/>
      <c r="L89" s="3" t="s">
        <v>611</v>
      </c>
      <c r="M89" s="4">
        <v>88.0</v>
      </c>
      <c r="N89" s="3" t="str">
        <f>IFERROR(__xludf.DUMMYFUNCTION("GOOGLETRANSLATE(C89,""en"",""zh-CN"")"),"这群人正在做类似的动作。这说明了什么？")</f>
        <v>这群人正在做类似的动作。这说明了什么？</v>
      </c>
      <c r="O89" s="3" t="str">
        <f>IFERROR(__xludf.DUMMYFUNCTION("GOOGLETRANSLATE(D89,""en"",""zh-CN"")"),"这是一种新的舞蹈潮流。")</f>
        <v>这是一种新的舞蹈潮流。</v>
      </c>
      <c r="P89" s="3" t="str">
        <f>IFERROR(__xludf.DUMMYFUNCTION("GOOGLETRANSLATE(E89,""en"",""zh-CN"")"),"这是同步热身。")</f>
        <v>这是同步热身。</v>
      </c>
      <c r="Q89" s="3" t="str">
        <f>IFERROR(__xludf.DUMMYFUNCTION("GOOGLETRANSLATE(F89,""en"",""zh-CN"")"),"他们正在按照老师教的形式进行练习。")</f>
        <v>他们正在按照老师教的形式进行练习。</v>
      </c>
      <c r="R89" s="3" t="str">
        <f>IFERROR(__xludf.DUMMYFUNCTION("GOOGLETRANSLATE(G89,""en"",""zh-CN"")"),"这是一项自由发挥的创意练习。")</f>
        <v>这是一项自由发挥的创意练习。</v>
      </c>
      <c r="S89" s="3" t="s">
        <v>631</v>
      </c>
      <c r="T89" s="3" t="str">
        <f>IFERROR(__xludf.DUMMYFUNCTION("GOOGLETRANSLATE(H89,""en"",""zh-CN"")"),"他们正在按照老师教的形式进行练习。")</f>
        <v>他们正在按照老师教的形式进行练习。</v>
      </c>
      <c r="U89" s="3" t="str">
        <f>IFERROR(__xludf.DUMMYFUNCTION("GOOGLETRANSLATE(I89,""en"",""zh-CN"")"),"同步的动作表明，该团体正在练习特定的太极拳套路或动作序列，很可能是在教练的指导下进行的。")</f>
        <v>同步的动作表明，该团体正在练习特定的太极拳套路或动作序列，很可能是在教练的指导下进行的。</v>
      </c>
      <c r="V89" s="2"/>
      <c r="W89" s="2"/>
      <c r="X89" s="2"/>
      <c r="Y89" s="2"/>
      <c r="Z89" s="2"/>
      <c r="AA89" s="2"/>
      <c r="AB89" s="2"/>
      <c r="AC89" s="2"/>
      <c r="AD89" s="2"/>
      <c r="AE89" s="2"/>
      <c r="AF89" s="2"/>
      <c r="AG89" s="2"/>
      <c r="AH89" s="2"/>
      <c r="AI89" s="2"/>
      <c r="AJ89" s="2"/>
      <c r="AK89" s="2"/>
      <c r="AL89" s="2"/>
    </row>
    <row r="90" ht="22.5" customHeight="1">
      <c r="A90" s="3" t="s">
        <v>611</v>
      </c>
      <c r="B90" s="4">
        <v>89.0</v>
      </c>
      <c r="C90" s="3" t="s">
        <v>632</v>
      </c>
      <c r="D90" s="3" t="s">
        <v>633</v>
      </c>
      <c r="E90" s="3" t="s">
        <v>634</v>
      </c>
      <c r="F90" s="3" t="s">
        <v>635</v>
      </c>
      <c r="G90" s="3" t="s">
        <v>636</v>
      </c>
      <c r="H90" s="3" t="s">
        <v>635</v>
      </c>
      <c r="I90" s="3" t="s">
        <v>637</v>
      </c>
      <c r="J90" s="2"/>
      <c r="K90" s="2"/>
      <c r="L90" s="3" t="s">
        <v>611</v>
      </c>
      <c r="M90" s="4">
        <v>89.0</v>
      </c>
      <c r="N90" s="3" t="str">
        <f>IFERROR(__xludf.DUMMYFUNCTION("GOOGLETRANSLATE(C90,""en"",""zh-CN"")"),"班级学生年龄分布如此分散的可能原因是什么？")</f>
        <v>班级学生年龄分布如此分散的可能原因是什么？</v>
      </c>
      <c r="O90" s="3" t="str">
        <f>IFERROR(__xludf.DUMMYFUNCTION("GOOGLETRANSLATE(D90,""en"",""zh-CN"")"),"太极拳简单易学，人人都能学会。")</f>
        <v>太极拳简单易学，人人都能学会。</v>
      </c>
      <c r="P90" s="3" t="str">
        <f>IFERROR(__xludf.DUMMYFUNCTION("GOOGLETRANSLATE(E90,""en"",""zh-CN"")"),"这是一项家庭活动。")</f>
        <v>这是一项家庭活动。</v>
      </c>
      <c r="Q90" s="3" t="str">
        <f>IFERROR(__xludf.DUMMYFUNCTION("GOOGLETRANSLATE(F90,""en"",""zh-CN"")"),"太极拳适合不同体能水平和年龄段的人练习。")</f>
        <v>太极拳适合不同体能水平和年龄段的人练习。</v>
      </c>
      <c r="R90" s="3" t="str">
        <f>IFERROR(__xludf.DUMMYFUNCTION("GOOGLETRANSLATE(G90,""en"",""zh-CN"")"),"本课程仅面向初学者。")</f>
        <v>本课程仅面向初学者。</v>
      </c>
      <c r="S90" s="3" t="s">
        <v>638</v>
      </c>
      <c r="T90" s="3" t="str">
        <f>IFERROR(__xludf.DUMMYFUNCTION("GOOGLETRANSLATE(H90,""en"",""zh-CN"")"),"太极拳适合不同体能水平和年龄段的人练习。")</f>
        <v>太极拳适合不同体能水平和年龄段的人练习。</v>
      </c>
      <c r="U90" s="3" t="str">
        <f>IFERROR(__xludf.DUMMYFUNCTION("GOOGLETRANSLATE(I90,""en"",""zh-CN"")"),"太极拳温和、低冲击性的特点使其成为各个年龄段和健身水平的人的理想运动，营造了包容性的环境。")</f>
        <v>太极拳温和、低冲击性的特点使其成为各个年龄段和健身水平的人的理想运动，营造了包容性的环境。</v>
      </c>
      <c r="V90" s="2"/>
      <c r="W90" s="2"/>
      <c r="X90" s="2"/>
      <c r="Y90" s="2"/>
      <c r="Z90" s="2"/>
      <c r="AA90" s="2"/>
      <c r="AB90" s="2"/>
      <c r="AC90" s="2"/>
      <c r="AD90" s="2"/>
      <c r="AE90" s="2"/>
      <c r="AF90" s="2"/>
      <c r="AG90" s="2"/>
      <c r="AH90" s="2"/>
      <c r="AI90" s="2"/>
      <c r="AJ90" s="2"/>
      <c r="AK90" s="2"/>
      <c r="AL90" s="2"/>
    </row>
    <row r="91" ht="22.5" customHeight="1">
      <c r="A91" s="3" t="s">
        <v>611</v>
      </c>
      <c r="B91" s="4">
        <v>90.0</v>
      </c>
      <c r="C91" s="3" t="s">
        <v>639</v>
      </c>
      <c r="D91" s="3" t="s">
        <v>640</v>
      </c>
      <c r="E91" s="3" t="s">
        <v>641</v>
      </c>
      <c r="F91" s="3" t="s">
        <v>642</v>
      </c>
      <c r="G91" s="3" t="s">
        <v>643</v>
      </c>
      <c r="H91" s="3" t="s">
        <v>642</v>
      </c>
      <c r="I91" s="3" t="s">
        <v>644</v>
      </c>
      <c r="J91" s="2"/>
      <c r="K91" s="2"/>
      <c r="L91" s="3" t="s">
        <v>611</v>
      </c>
      <c r="M91" s="4">
        <v>90.0</v>
      </c>
      <c r="N91" s="3" t="str">
        <f>IFERROR(__xludf.DUMMYFUNCTION("GOOGLETRANSLATE(C91,""en"",""zh-CN"")"),"伸展、张开的手掌姿势的目的是什么？")</f>
        <v>伸展、张开的手掌姿势的目的是什么？</v>
      </c>
      <c r="O91" s="3" t="str">
        <f>IFERROR(__xludf.DUMMYFUNCTION("GOOGLETRANSLATE(D91,""en"",""zh-CN"")"),"表示问候。")</f>
        <v>表示问候。</v>
      </c>
      <c r="P91" s="3" t="str">
        <f>IFERROR(__xludf.DUMMYFUNCTION("GOOGLETRANSLATE(E91,""en"",""zh-CN"")"),"表示已做好战斗准备。")</f>
        <v>表示已做好战斗准备。</v>
      </c>
      <c r="Q91" s="3" t="str">
        <f>IFERROR(__xludf.DUMMYFUNCTION("GOOGLETRANSLATE(F91,""en"",""zh-CN"")"),"表示“推”或“压”的动作。")</f>
        <v>表示“推”或“压”的动作。</v>
      </c>
      <c r="R91" s="3" t="str">
        <f>IFERROR(__xludf.DUMMYFUNCTION("GOOGLETRANSLATE(G91,""en"",""zh-CN"")"),"接住物体。")</f>
        <v>接住物体。</v>
      </c>
      <c r="S91" s="3" t="s">
        <v>645</v>
      </c>
      <c r="T91" s="3" t="str">
        <f>IFERROR(__xludf.DUMMYFUNCTION("GOOGLETRANSLATE(H91,""en"",""zh-CN"")"),"表示“推”或“压”的动作。")</f>
        <v>表示“推”或“压”的动作。</v>
      </c>
      <c r="U91" s="3" t="str">
        <f>IFERROR(__xludf.DUMMYFUNCTION("GOOGLETRANSLATE(I91,""en"",""zh-CN"")"),"手掌张开，掌心向前，是太极拳的经典姿势，用来表示以柔和的内推方式施力，而不是握紧拳头或进行击打。")</f>
        <v>手掌张开，掌心向前，是太极拳的经典姿势，用来表示以柔和的内推方式施力，而不是握紧拳头或进行击打。</v>
      </c>
      <c r="V91" s="2"/>
      <c r="W91" s="2"/>
      <c r="X91" s="2"/>
      <c r="Y91" s="2"/>
      <c r="Z91" s="2"/>
      <c r="AA91" s="2"/>
      <c r="AB91" s="2"/>
      <c r="AC91" s="2"/>
      <c r="AD91" s="2"/>
      <c r="AE91" s="2"/>
      <c r="AF91" s="2"/>
      <c r="AG91" s="2"/>
      <c r="AH91" s="2"/>
      <c r="AI91" s="2"/>
      <c r="AJ91" s="2"/>
      <c r="AK91" s="2"/>
      <c r="AL91" s="2"/>
    </row>
    <row r="92" ht="22.5" customHeight="1">
      <c r="A92" s="3" t="s">
        <v>646</v>
      </c>
      <c r="B92" s="4">
        <v>91.0</v>
      </c>
      <c r="C92" s="3" t="s">
        <v>647</v>
      </c>
      <c r="D92" s="3" t="s">
        <v>648</v>
      </c>
      <c r="E92" s="3" t="s">
        <v>649</v>
      </c>
      <c r="F92" s="3" t="s">
        <v>650</v>
      </c>
      <c r="G92" s="3" t="s">
        <v>651</v>
      </c>
      <c r="H92" s="3" t="s">
        <v>650</v>
      </c>
      <c r="I92" s="3" t="s">
        <v>652</v>
      </c>
      <c r="J92" s="2"/>
      <c r="K92" s="2"/>
      <c r="L92" s="3" t="s">
        <v>646</v>
      </c>
      <c r="M92" s="4">
        <v>91.0</v>
      </c>
      <c r="N92" s="3" t="str">
        <f>IFERROR(__xludf.DUMMYFUNCTION("GOOGLETRANSLATE(C92,""en"",""zh-CN"")"),"该团体的姿态传达出怎样的整体氛围？")</f>
        <v>该团体的姿态传达出怎样的整体氛围？</v>
      </c>
      <c r="O92" s="3" t="str">
        <f>IFERROR(__xludf.DUMMYFUNCTION("GOOGLETRANSLATE(D92,""en"",""zh-CN"")"),"具有竞争力和进取心")</f>
        <v>具有竞争力和进取心</v>
      </c>
      <c r="P92" s="3" t="str">
        <f>IFERROR(__xludf.DUMMYFUNCTION("GOOGLETRANSLATE(E92,""en"",""zh-CN"")"),"充满活力且节奏快")</f>
        <v>充满活力且节奏快</v>
      </c>
      <c r="Q92" s="3" t="str">
        <f>IFERROR(__xludf.DUMMYFUNCTION("GOOGLETRANSLATE(F92,""en"",""zh-CN"")"),"平静放松")</f>
        <v>平静放松</v>
      </c>
      <c r="R92" s="3" t="str">
        <f>IFERROR(__xludf.DUMMYFUNCTION("GOOGLETRANSLATE(G92,""en"",""zh-CN"")"),"混乱且无序")</f>
        <v>混乱且无序</v>
      </c>
      <c r="S92" s="3" t="s">
        <v>653</v>
      </c>
      <c r="T92" s="3" t="str">
        <f>IFERROR(__xludf.DUMMYFUNCTION("GOOGLETRANSLATE(H92,""en"",""zh-CN"")"),"平静放松")</f>
        <v>平静放松</v>
      </c>
      <c r="U92" s="3" t="str">
        <f>IFERROR(__xludf.DUMMYFUNCTION("GOOGLETRANSLATE(I92,""en"",""zh-CN"")"),"人们动作缓慢而沉稳，姿态专注而放松，展现出一种平静祥和的集体运动氛围。")</f>
        <v>人们动作缓慢而沉稳，姿态专注而放松，展现出一种平静祥和的集体运动氛围。</v>
      </c>
      <c r="V92" s="2"/>
      <c r="W92" s="2"/>
      <c r="X92" s="2"/>
      <c r="Y92" s="2"/>
      <c r="Z92" s="2"/>
      <c r="AA92" s="2"/>
      <c r="AB92" s="2"/>
      <c r="AC92" s="2"/>
      <c r="AD92" s="2"/>
      <c r="AE92" s="2"/>
      <c r="AF92" s="2"/>
      <c r="AG92" s="2"/>
      <c r="AH92" s="2"/>
      <c r="AI92" s="2"/>
      <c r="AJ92" s="2"/>
      <c r="AK92" s="2"/>
      <c r="AL92" s="2"/>
    </row>
    <row r="93" ht="22.5" customHeight="1">
      <c r="A93" s="3" t="s">
        <v>646</v>
      </c>
      <c r="B93" s="4">
        <v>92.0</v>
      </c>
      <c r="C93" s="3" t="s">
        <v>654</v>
      </c>
      <c r="D93" s="3" t="s">
        <v>655</v>
      </c>
      <c r="E93" s="3" t="s">
        <v>656</v>
      </c>
      <c r="F93" s="3" t="s">
        <v>657</v>
      </c>
      <c r="G93" s="3" t="s">
        <v>658</v>
      </c>
      <c r="H93" s="3" t="s">
        <v>656</v>
      </c>
      <c r="I93" s="3" t="s">
        <v>659</v>
      </c>
      <c r="J93" s="2"/>
      <c r="K93" s="2"/>
      <c r="L93" s="3" t="s">
        <v>646</v>
      </c>
      <c r="M93" s="4">
        <v>92.0</v>
      </c>
      <c r="N93" s="3" t="str">
        <f>IFERROR(__xludf.DUMMYFUNCTION("GOOGLETRANSLATE(C93,""en"",""zh-CN"")"),"从业人员所处的环境是怎样的？")</f>
        <v>从业人员所处的环境是怎样的？</v>
      </c>
      <c r="O93" s="3" t="str">
        <f>IFERROR(__xludf.DUMMYFUNCTION("GOOGLETRANSLATE(D93,""en"",""zh-CN"")"),"一条城市街道")</f>
        <v>一条城市街道</v>
      </c>
      <c r="P93" s="3" t="str">
        <f>IFERROR(__xludf.DUMMYFUNCTION("GOOGLETRANSLATE(E93,""en"",""zh-CN"")"),"植物园或公园")</f>
        <v>植物园或公园</v>
      </c>
      <c r="Q93" s="3" t="str">
        <f>IFERROR(__xludf.DUMMYFUNCTION("GOOGLETRANSLATE(F93,""en"",""zh-CN"")"),"学校体育馆")</f>
        <v>学校体育馆</v>
      </c>
      <c r="R93" s="3" t="str">
        <f>IFERROR(__xludf.DUMMYFUNCTION("GOOGLETRANSLATE(G93,""en"",""zh-CN"")"),"购物中心")</f>
        <v>购物中心</v>
      </c>
      <c r="S93" s="3" t="s">
        <v>660</v>
      </c>
      <c r="T93" s="3" t="str">
        <f>IFERROR(__xludf.DUMMYFUNCTION("GOOGLETRANSLATE(H93,""en"",""zh-CN"")"),"植物园或公园")</f>
        <v>植物园或公园</v>
      </c>
      <c r="U93" s="3" t="str">
        <f>IFERROR(__xludf.DUMMYFUNCTION("GOOGLETRANSLATE(I93,""en"",""zh-CN"")"),"背景是郁郁葱葱的绿植、树木和木栅栏，表明练习是在自然的户外公园或花园环境中进行的。")</f>
        <v>背景是郁郁葱葱的绿植、树木和木栅栏，表明练习是在自然的户外公园或花园环境中进行的。</v>
      </c>
      <c r="V93" s="2"/>
      <c r="W93" s="2"/>
      <c r="X93" s="2"/>
      <c r="Y93" s="2"/>
      <c r="Z93" s="2"/>
      <c r="AA93" s="2"/>
      <c r="AB93" s="2"/>
      <c r="AC93" s="2"/>
      <c r="AD93" s="2"/>
      <c r="AE93" s="2"/>
      <c r="AF93" s="2"/>
      <c r="AG93" s="2"/>
      <c r="AH93" s="2"/>
      <c r="AI93" s="2"/>
      <c r="AJ93" s="2"/>
      <c r="AK93" s="2"/>
      <c r="AL93" s="2"/>
    </row>
    <row r="94" ht="22.5" customHeight="1">
      <c r="A94" s="3" t="s">
        <v>646</v>
      </c>
      <c r="B94" s="4">
        <v>93.0</v>
      </c>
      <c r="C94" s="3" t="s">
        <v>661</v>
      </c>
      <c r="D94" s="3" t="s">
        <v>662</v>
      </c>
      <c r="E94" s="3" t="s">
        <v>663</v>
      </c>
      <c r="F94" s="3" t="s">
        <v>664</v>
      </c>
      <c r="G94" s="3" t="s">
        <v>665</v>
      </c>
      <c r="H94" s="3" t="s">
        <v>664</v>
      </c>
      <c r="I94" s="3" t="s">
        <v>666</v>
      </c>
      <c r="J94" s="2"/>
      <c r="K94" s="2"/>
      <c r="L94" s="3" t="s">
        <v>646</v>
      </c>
      <c r="M94" s="4">
        <v>93.0</v>
      </c>
      <c r="N94" s="3" t="str">
        <f>IFERROR(__xludf.DUMMYFUNCTION("GOOGLETRANSLATE(C94,""en"",""zh-CN"")"),"为什么穿白衬衫的男子的姿势是太极拳练习的关键要素？")</f>
        <v>为什么穿白衬衫的男子的姿势是太极拳练习的关键要素？</v>
      </c>
      <c r="O94" s="3" t="str">
        <f>IFERROR(__xludf.DUMMYFUNCTION("GOOGLETRANSLATE(D94,""en"",""zh-CN"")"),"这是一个高强度的有氧运动姿势。")</f>
        <v>这是一个高强度的有氧运动姿势。</v>
      </c>
      <c r="P94" s="3" t="str">
        <f>IFERROR(__xludf.DUMMYFUNCTION("GOOGLETRANSLATE(E94,""en"",""zh-CN"")"),"这展现了他的实力。")</f>
        <v>这展现了他的实力。</v>
      </c>
      <c r="Q94" s="3" t="str">
        <f>IFERROR(__xludf.DUMMYFUNCTION("GOOGLETRANSLATE(F94,""en"",""zh-CN"")"),"它展现了这种姿势所需的平衡和重心转移。")</f>
        <v>它展现了这种姿势所需的平衡和重心转移。</v>
      </c>
      <c r="R94" s="3" t="str">
        <f>IFERROR(__xludf.DUMMYFUNCTION("GOOGLETRANSLATE(G94,""en"",""zh-CN"")"),"这是一个简单的休息姿势。")</f>
        <v>这是一个简单的休息姿势。</v>
      </c>
      <c r="S94" s="3" t="s">
        <v>667</v>
      </c>
      <c r="T94" s="3" t="str">
        <f>IFERROR(__xludf.DUMMYFUNCTION("GOOGLETRANSLATE(H94,""en"",""zh-CN"")"),"它展现了这种姿势所需的平衡和重心转移。")</f>
        <v>它展现了这种姿势所需的平衡和重心转移。</v>
      </c>
      <c r="U94" s="3" t="str">
        <f>IFERROR(__xludf.DUMMYFUNCTION("GOOGLETRANSLATE(I94,""en"",""zh-CN"")"),"男子的姿势，一条腿弯曲，重心转移，体现了太极拳重心转移的原理，这对于动作的流畅性、平衡性和稳定性至关重要。")</f>
        <v>男子的姿势，一条腿弯曲，重心转移，体现了太极拳重心转移的原理，这对于动作的流畅性、平衡性和稳定性至关重要。</v>
      </c>
      <c r="V94" s="2"/>
      <c r="W94" s="2"/>
      <c r="X94" s="2"/>
      <c r="Y94" s="2"/>
      <c r="Z94" s="2"/>
      <c r="AA94" s="2"/>
      <c r="AB94" s="2"/>
      <c r="AC94" s="2"/>
      <c r="AD94" s="2"/>
      <c r="AE94" s="2"/>
      <c r="AF94" s="2"/>
      <c r="AG94" s="2"/>
      <c r="AH94" s="2"/>
      <c r="AI94" s="2"/>
      <c r="AJ94" s="2"/>
      <c r="AK94" s="2"/>
      <c r="AL94" s="2"/>
    </row>
    <row r="95" ht="22.5" customHeight="1">
      <c r="A95" s="3" t="s">
        <v>646</v>
      </c>
      <c r="B95" s="4">
        <v>94.0</v>
      </c>
      <c r="C95" s="3" t="s">
        <v>668</v>
      </c>
      <c r="D95" s="3" t="s">
        <v>669</v>
      </c>
      <c r="E95" s="3" t="s">
        <v>670</v>
      </c>
      <c r="F95" s="3" t="s">
        <v>671</v>
      </c>
      <c r="G95" s="3" t="s">
        <v>672</v>
      </c>
      <c r="H95" s="3" t="s">
        <v>670</v>
      </c>
      <c r="I95" s="3" t="s">
        <v>673</v>
      </c>
      <c r="J95" s="2"/>
      <c r="K95" s="2"/>
      <c r="L95" s="3" t="s">
        <v>646</v>
      </c>
      <c r="M95" s="4">
        <v>94.0</v>
      </c>
      <c r="N95" s="3" t="str">
        <f>IFERROR(__xludf.DUMMYFUNCTION("GOOGLETRANSLATE(C95,""en"",""zh-CN"")"),"小组一起练习的可能目的是什么？")</f>
        <v>小组一起练习的可能目的是什么？</v>
      </c>
      <c r="O95" s="3" t="str">
        <f>IFERROR(__xludf.DUMMYFUNCTION("GOOGLETRANSLATE(D95,""en"",""zh-CN"")"),"相互竞争。")</f>
        <v>相互竞争。</v>
      </c>
      <c r="P95" s="3" t="str">
        <f>IFERROR(__xludf.DUMMYFUNCTION("GOOGLETRANSLATE(E95,""en"",""zh-CN"")"),"社交和从事共同的兴趣爱好。")</f>
        <v>社交和从事共同的兴趣爱好。</v>
      </c>
      <c r="Q95" s="3" t="str">
        <f>IFERROR(__xludf.DUMMYFUNCTION("GOOGLETRANSLATE(F95,""en"",""zh-CN"")"),"向观众展示他们的技能。")</f>
        <v>向观众展示他们的技能。</v>
      </c>
      <c r="R95" s="3" t="str">
        <f>IFERROR(__xludf.DUMMYFUNCTION("GOOGLETRANSLATE(G95,""en"",""zh-CN"")"),"为比赛做准备。")</f>
        <v>为比赛做准备。</v>
      </c>
      <c r="S95" s="3" t="s">
        <v>674</v>
      </c>
      <c r="T95" s="3" t="str">
        <f>IFERROR(__xludf.DUMMYFUNCTION("GOOGLETRANSLATE(H95,""en"",""zh-CN"")"),"社交和从事共同的兴趣爱好。")</f>
        <v>社交和从事共同的兴趣爱好。</v>
      </c>
      <c r="U95" s="3" t="str">
        <f>IFERROR(__xludf.DUMMYFUNCTION("GOOGLETRANSLATE(I95,""en"",""zh-CN"")"),"这种非正式的群体环境表明，人们聚集在一起是为了社交，并共同享受太极拳带来的健康和社会益处。")</f>
        <v>这种非正式的群体环境表明，人们聚集在一起是为了社交，并共同享受太极拳带来的健康和社会益处。</v>
      </c>
      <c r="V95" s="2"/>
      <c r="W95" s="2"/>
      <c r="X95" s="2"/>
      <c r="Y95" s="2"/>
      <c r="Z95" s="2"/>
      <c r="AA95" s="2"/>
      <c r="AB95" s="2"/>
      <c r="AC95" s="2"/>
      <c r="AD95" s="2"/>
      <c r="AE95" s="2"/>
      <c r="AF95" s="2"/>
      <c r="AG95" s="2"/>
      <c r="AH95" s="2"/>
      <c r="AI95" s="2"/>
      <c r="AJ95" s="2"/>
      <c r="AK95" s="2"/>
      <c r="AL95" s="2"/>
    </row>
    <row r="96" ht="22.5" customHeight="1">
      <c r="A96" s="3" t="s">
        <v>646</v>
      </c>
      <c r="B96" s="4">
        <v>95.0</v>
      </c>
      <c r="C96" s="3" t="s">
        <v>675</v>
      </c>
      <c r="D96" s="3" t="s">
        <v>676</v>
      </c>
      <c r="E96" s="3" t="s">
        <v>677</v>
      </c>
      <c r="F96" s="3" t="s">
        <v>678</v>
      </c>
      <c r="G96" s="3" t="s">
        <v>679</v>
      </c>
      <c r="H96" s="3" t="s">
        <v>677</v>
      </c>
      <c r="I96" s="3" t="s">
        <v>680</v>
      </c>
      <c r="J96" s="2"/>
      <c r="K96" s="2"/>
      <c r="L96" s="3" t="s">
        <v>646</v>
      </c>
      <c r="M96" s="4">
        <v>95.0</v>
      </c>
      <c r="N96" s="3" t="str">
        <f>IFERROR(__xludf.DUMMYFUNCTION("GOOGLETRANSLATE(C96,""en"",""zh-CN"")"),"身穿太极服的人与其他太极拳练习者的主要区别是什么？")</f>
        <v>身穿太极服的人与其他太极拳练习者的主要区别是什么？</v>
      </c>
      <c r="O96" s="3" t="str">
        <f>IFERROR(__xludf.DUMMYFUNCTION("GOOGLETRANSLATE(D96,""en"",""zh-CN"")"),"只有一位是教师。")</f>
        <v>只有一位是教师。</v>
      </c>
      <c r="P96" s="3" t="str">
        <f>IFERROR(__xludf.DUMMYFUNCTION("GOOGLETRANSLATE(E96,""en"",""zh-CN"")"),"统一的着装表明了这种做法的正式性或传统性。")</f>
        <v>统一的着装表明了这种做法的正式性或传统性。</v>
      </c>
      <c r="Q96" s="3" t="str">
        <f>IFERROR(__xludf.DUMMYFUNCTION("GOOGLETRANSLATE(F96,""en"",""zh-CN"")"),"制服提供了更好的行动灵活性。")</f>
        <v>制服提供了更好的行动灵活性。</v>
      </c>
      <c r="R96" s="3" t="str">
        <f>IFERROR(__xludf.DUMMYFUNCTION("GOOGLETRANSLATE(G96,""en"",""zh-CN"")"),"只有一位是经验丰富的从业者。")</f>
        <v>只有一位是经验丰富的从业者。</v>
      </c>
      <c r="S96" s="3" t="s">
        <v>681</v>
      </c>
      <c r="T96" s="3" t="str">
        <f>IFERROR(__xludf.DUMMYFUNCTION("GOOGLETRANSLATE(H96,""en"",""zh-CN"")"),"统一的着装表明了这种做法的正式性或传统性。")</f>
        <v>统一的着装表明了这种做法的正式性或传统性。</v>
      </c>
      <c r="U96" s="3" t="str">
        <f>IFERROR(__xludf.DUMMYFUNCTION("GOOGLETRANSLATE(I96,""en"",""zh-CN"")"),"虽然任何人都可以练习太极拳，但穿着传统太极拳服的人可能是教练或经验丰富的练习者，他们遵循太极拳更正式的练习方式。")</f>
        <v>虽然任何人都可以练习太极拳，但穿着传统太极拳服的人可能是教练或经验丰富的练习者，他们遵循太极拳更正式的练习方式。</v>
      </c>
      <c r="V96" s="2"/>
      <c r="W96" s="2"/>
      <c r="X96" s="2"/>
      <c r="Y96" s="2"/>
      <c r="Z96" s="2"/>
      <c r="AA96" s="2"/>
      <c r="AB96" s="2"/>
      <c r="AC96" s="2"/>
      <c r="AD96" s="2"/>
      <c r="AE96" s="2"/>
      <c r="AF96" s="2"/>
      <c r="AG96" s="2"/>
      <c r="AH96" s="2"/>
      <c r="AI96" s="2"/>
      <c r="AJ96" s="2"/>
      <c r="AK96" s="2"/>
      <c r="AL96" s="2"/>
    </row>
    <row r="97" ht="22.5" customHeight="1">
      <c r="A97" s="3" t="s">
        <v>682</v>
      </c>
      <c r="B97" s="4">
        <v>96.0</v>
      </c>
      <c r="C97" s="3" t="s">
        <v>436</v>
      </c>
      <c r="D97" s="3" t="s">
        <v>437</v>
      </c>
      <c r="E97" s="3" t="s">
        <v>438</v>
      </c>
      <c r="F97" s="3" t="s">
        <v>683</v>
      </c>
      <c r="G97" s="3" t="s">
        <v>684</v>
      </c>
      <c r="H97" s="3" t="s">
        <v>683</v>
      </c>
      <c r="I97" s="3" t="s">
        <v>685</v>
      </c>
      <c r="J97" s="2"/>
      <c r="K97" s="2"/>
      <c r="L97" s="3" t="s">
        <v>682</v>
      </c>
      <c r="M97" s="4">
        <v>96.0</v>
      </c>
      <c r="N97" s="3" t="str">
        <f>IFERROR(__xludf.DUMMYFUNCTION("GOOGLETRANSLATE(C97,""en"",""zh-CN"")"),"前景中男子的主要关注点是什么？")</f>
        <v>前景中男子的主要关注点是什么？</v>
      </c>
      <c r="O97" s="3" t="str">
        <f>IFERROR(__xludf.DUMMYFUNCTION("GOOGLETRANSLATE(D97,""en"",""zh-CN"")"),"他的周围环境")</f>
        <v>他的周围环境</v>
      </c>
      <c r="P97" s="3" t="str">
        <f>IFERROR(__xludf.DUMMYFUNCTION("GOOGLETRANSLATE(E97,""en"",""zh-CN"")"),"他的教练")</f>
        <v>他的教练</v>
      </c>
      <c r="Q97" s="3" t="str">
        <f>IFERROR(__xludf.DUMMYFUNCTION("GOOGLETRANSLATE(F97,""en"",""zh-CN"")"),"他的手和身体的动作")</f>
        <v>他的手和身体的动作</v>
      </c>
      <c r="R97" s="3" t="str">
        <f>IFERROR(__xludf.DUMMYFUNCTION("GOOGLETRANSLATE(G97,""en"",""zh-CN"")"),"他的伙伴们的行动")</f>
        <v>他的伙伴们的行动</v>
      </c>
      <c r="S97" s="3" t="s">
        <v>686</v>
      </c>
      <c r="T97" s="3" t="str">
        <f>IFERROR(__xludf.DUMMYFUNCTION("GOOGLETRANSLATE(H97,""en"",""zh-CN"")"),"他的手和身体的动作")</f>
        <v>他的手和身体的动作</v>
      </c>
      <c r="U97" s="3" t="str">
        <f>IFERROR(__xludf.DUMMYFUNCTION("GOOGLETRANSLATE(I97,""en"",""zh-CN"")"),"男子的目光向下，专注于自己的双手和身体姿势，这是太极拳冥想和自我反思本质的关键部分。")</f>
        <v>男子的目光向下，专注于自己的双手和身体姿势，这是太极拳冥想和自我反思本质的关键部分。</v>
      </c>
      <c r="V97" s="2"/>
      <c r="W97" s="2"/>
      <c r="X97" s="2"/>
      <c r="Y97" s="2"/>
      <c r="Z97" s="2"/>
      <c r="AA97" s="2"/>
      <c r="AB97" s="2"/>
      <c r="AC97" s="2"/>
      <c r="AD97" s="2"/>
      <c r="AE97" s="2"/>
      <c r="AF97" s="2"/>
      <c r="AG97" s="2"/>
      <c r="AH97" s="2"/>
      <c r="AI97" s="2"/>
      <c r="AJ97" s="2"/>
      <c r="AK97" s="2"/>
      <c r="AL97" s="2"/>
    </row>
    <row r="98" ht="22.5" customHeight="1">
      <c r="A98" s="3" t="s">
        <v>682</v>
      </c>
      <c r="B98" s="4">
        <v>97.0</v>
      </c>
      <c r="C98" s="3" t="s">
        <v>687</v>
      </c>
      <c r="D98" s="3" t="s">
        <v>688</v>
      </c>
      <c r="E98" s="3" t="s">
        <v>689</v>
      </c>
      <c r="F98" s="3" t="s">
        <v>690</v>
      </c>
      <c r="G98" s="3" t="s">
        <v>691</v>
      </c>
      <c r="H98" s="3" t="s">
        <v>690</v>
      </c>
      <c r="I98" s="3" t="s">
        <v>692</v>
      </c>
      <c r="J98" s="2"/>
      <c r="K98" s="2"/>
      <c r="L98" s="3" t="s">
        <v>682</v>
      </c>
      <c r="M98" s="4">
        <v>97.0</v>
      </c>
      <c r="N98" s="3" t="str">
        <f>IFERROR(__xludf.DUMMYFUNCTION("GOOGLETRANSLATE(C98,""en"",""zh-CN"")"),"男人脖子上围着的毛巾有什么象征意义？")</f>
        <v>男人脖子上围着的毛巾有什么象征意义？</v>
      </c>
      <c r="O98" s="3" t="str">
        <f>IFERROR(__xludf.DUMMYFUNCTION("GOOGLETRANSLATE(D98,""en"",""zh-CN"")"),"它是一种时尚配饰。")</f>
        <v>它是一种时尚配饰。</v>
      </c>
      <c r="P98" s="3" t="str">
        <f>IFERROR(__xludf.DUMMYFUNCTION("GOOGLETRANSLATE(E98,""en"",""zh-CN"")"),"这是剧烈运动的标志。")</f>
        <v>这是剧烈运动的标志。</v>
      </c>
      <c r="Q98" s="3" t="str">
        <f>IFERROR(__xludf.DUMMYFUNCTION("GOOGLETRANSLATE(F98,""en"",""zh-CN"")"),"它用于运动后擦去汗水。")</f>
        <v>它用于运动后擦去汗水。</v>
      </c>
      <c r="R98" s="3" t="str">
        <f>IFERROR(__xludf.DUMMYFUNCTION("GOOGLETRANSLATE(G98,""en"",""zh-CN"")"),"这是礼仪用品。")</f>
        <v>这是礼仪用品。</v>
      </c>
      <c r="S98" s="3" t="s">
        <v>693</v>
      </c>
      <c r="T98" s="3" t="str">
        <f>IFERROR(__xludf.DUMMYFUNCTION("GOOGLETRANSLATE(H98,""en"",""zh-CN"")"),"它用于运动后擦去汗水。")</f>
        <v>它用于运动后擦去汗水。</v>
      </c>
      <c r="U98" s="3" t="str">
        <f>IFERROR(__xludf.DUMMYFUNCTION("GOOGLETRANSLATE(I98,""en"",""zh-CN"")"),"毛巾的存在表明，虽然太极拳是一种温和的运动，但仍然会导致出汗，这表明它是一种体力锻炼。")</f>
        <v>毛巾的存在表明，虽然太极拳是一种温和的运动，但仍然会导致出汗，这表明它是一种体力锻炼。</v>
      </c>
      <c r="V98" s="2"/>
      <c r="W98" s="2"/>
      <c r="X98" s="2"/>
      <c r="Y98" s="2"/>
      <c r="Z98" s="2"/>
      <c r="AA98" s="2"/>
      <c r="AB98" s="2"/>
      <c r="AC98" s="2"/>
      <c r="AD98" s="2"/>
      <c r="AE98" s="2"/>
      <c r="AF98" s="2"/>
      <c r="AG98" s="2"/>
      <c r="AH98" s="2"/>
      <c r="AI98" s="2"/>
      <c r="AJ98" s="2"/>
      <c r="AK98" s="2"/>
      <c r="AL98" s="2"/>
    </row>
    <row r="99" ht="22.5" customHeight="1">
      <c r="A99" s="3" t="s">
        <v>682</v>
      </c>
      <c r="B99" s="4">
        <v>98.0</v>
      </c>
      <c r="C99" s="3" t="s">
        <v>694</v>
      </c>
      <c r="D99" s="3" t="s">
        <v>695</v>
      </c>
      <c r="E99" s="3" t="s">
        <v>696</v>
      </c>
      <c r="F99" s="3" t="s">
        <v>697</v>
      </c>
      <c r="G99" s="3" t="s">
        <v>698</v>
      </c>
      <c r="H99" s="3" t="s">
        <v>696</v>
      </c>
      <c r="I99" s="3" t="s">
        <v>699</v>
      </c>
      <c r="J99" s="2"/>
      <c r="K99" s="2"/>
      <c r="L99" s="3" t="s">
        <v>682</v>
      </c>
      <c r="M99" s="4">
        <v>98.0</v>
      </c>
      <c r="N99" s="3" t="str">
        <f>IFERROR(__xludf.DUMMYFUNCTION("GOOGLETRANSLATE(C99,""en"",""zh-CN"")"),"练习者们身处轻松的露天环境中。这有什么好处呢？")</f>
        <v>练习者们身处轻松的露天环境中。这有什么好处呢？</v>
      </c>
      <c r="O99" s="3" t="str">
        <f>IFERROR(__xludf.DUMMYFUNCTION("GOOGLETRANSLATE(D99,""en"",""zh-CN"")"),"这是避免支付健身房会员费的一种方法。")</f>
        <v>这是避免支付健身房会员费的一种方法。</v>
      </c>
      <c r="P99" s="3" t="str">
        <f>IFERROR(__xludf.DUMMYFUNCTION("GOOGLETRANSLATE(E99,""en"",""zh-CN"")"),"它有助于改善呼吸和提升思维清晰度。")</f>
        <v>它有助于改善呼吸和提升思维清晰度。</v>
      </c>
      <c r="Q99" s="3" t="str">
        <f>IFERROR(__xludf.DUMMYFUNCTION("GOOGLETRANSLATE(F99,""en"",""zh-CN"")"),"它为比赛提供场地。")</f>
        <v>它为比赛提供场地。</v>
      </c>
      <c r="R99" s="3" t="str">
        <f>IFERROR(__xludf.DUMMYFUNCTION("GOOGLETRANSLATE(G99,""en"",""zh-CN"")"),"这是唯一可以练习太极拳的地方。")</f>
        <v>这是唯一可以练习太极拳的地方。</v>
      </c>
      <c r="S99" s="3" t="s">
        <v>700</v>
      </c>
      <c r="T99" s="3" t="str">
        <f>IFERROR(__xludf.DUMMYFUNCTION("GOOGLETRANSLATE(H99,""en"",""zh-CN"")"),"它有助于改善呼吸和提升思维清晰度。")</f>
        <v>它有助于改善呼吸和提升思维清晰度。</v>
      </c>
      <c r="U99" s="3" t="str">
        <f>IFERROR(__xludf.DUMMYFUNCTION("GOOGLETRANSLATE(I99,""en"",""zh-CN"")"),"人们认为，在空气清新的露天环境中练习太极拳可以增强呼吸练习和冥想的效果，从而促进更清晰的思维和身心健康。")</f>
        <v>人们认为，在空气清新的露天环境中练习太极拳可以增强呼吸练习和冥想的效果，从而促进更清晰的思维和身心健康。</v>
      </c>
      <c r="V99" s="2"/>
      <c r="W99" s="2"/>
      <c r="X99" s="2"/>
      <c r="Y99" s="2"/>
      <c r="Z99" s="2"/>
      <c r="AA99" s="2"/>
      <c r="AB99" s="2"/>
      <c r="AC99" s="2"/>
      <c r="AD99" s="2"/>
      <c r="AE99" s="2"/>
      <c r="AF99" s="2"/>
      <c r="AG99" s="2"/>
      <c r="AH99" s="2"/>
      <c r="AI99" s="2"/>
      <c r="AJ99" s="2"/>
      <c r="AK99" s="2"/>
      <c r="AL99" s="2"/>
    </row>
    <row r="100" ht="22.5" customHeight="1">
      <c r="A100" s="3" t="s">
        <v>682</v>
      </c>
      <c r="B100" s="4">
        <v>99.0</v>
      </c>
      <c r="C100" s="3" t="s">
        <v>701</v>
      </c>
      <c r="D100" s="3" t="s">
        <v>702</v>
      </c>
      <c r="E100" s="3" t="s">
        <v>703</v>
      </c>
      <c r="F100" s="3" t="s">
        <v>704</v>
      </c>
      <c r="G100" s="3" t="s">
        <v>705</v>
      </c>
      <c r="H100" s="3" t="s">
        <v>704</v>
      </c>
      <c r="I100" s="3" t="s">
        <v>706</v>
      </c>
      <c r="J100" s="2"/>
      <c r="K100" s="2"/>
      <c r="L100" s="3" t="s">
        <v>682</v>
      </c>
      <c r="M100" s="4">
        <v>99.0</v>
      </c>
      <c r="N100" s="3" t="str">
        <f>IFERROR(__xludf.DUMMYFUNCTION("GOOGLETRANSLATE(C100,""en"",""zh-CN"")"),"练习者姿势放松的可能原因是什么？")</f>
        <v>练习者姿势放松的可能原因是什么？</v>
      </c>
      <c r="O100" s="3" t="str">
        <f>IFERROR(__xludf.DUMMYFUNCTION("GOOGLETRANSLATE(D100,""en"",""zh-CN"")"),"他们很累。")</f>
        <v>他们很累。</v>
      </c>
      <c r="P100" s="3" t="str">
        <f>IFERROR(__xludf.DUMMYFUNCTION("GOOGLETRANSLATE(E100,""en"",""zh-CN"")"),"他们没有认真对待这次锻炼。")</f>
        <v>他们没有认真对待这次锻炼。</v>
      </c>
      <c r="Q100" s="3" t="str">
        <f>IFERROR(__xludf.DUMMYFUNCTION("GOOGLETRANSLATE(F100,""en"",""zh-CN"")"),"他们注重的是流畅性和优雅，而不是紧张感。")</f>
        <v>他们注重的是流畅性和优雅，而不是紧张感。</v>
      </c>
      <c r="R100" s="3" t="str">
        <f>IFERROR(__xludf.DUMMYFUNCTION("GOOGLETRANSLATE(G100,""en"",""zh-CN"")"),"他们跑步后正在降温。")</f>
        <v>他们跑步后正在降温。</v>
      </c>
      <c r="S100" s="3" t="s">
        <v>707</v>
      </c>
      <c r="T100" s="3" t="str">
        <f>IFERROR(__xludf.DUMMYFUNCTION("GOOGLETRANSLATE(H100,""en"",""zh-CN"")"),"他们注重的是流畅性和优雅，而不是紧张感。")</f>
        <v>他们注重的是流畅性和优雅，而不是紧张感。</v>
      </c>
      <c r="U100" s="3" t="str">
        <f>IFERROR(__xludf.DUMMYFUNCTION("GOOGLETRANSLATE(I100,""en"",""zh-CN"")"),"太极拳强调放松和流畅（宋），练习者有意识地避免肌肉紧张，以保证能量和动作的顺畅流动。")</f>
        <v>太极拳强调放松和流畅（宋），练习者有意识地避免肌肉紧张，以保证能量和动作的顺畅流动。</v>
      </c>
      <c r="V100" s="2"/>
      <c r="W100" s="2"/>
      <c r="X100" s="2"/>
      <c r="Y100" s="2"/>
      <c r="Z100" s="2"/>
      <c r="AA100" s="2"/>
      <c r="AB100" s="2"/>
      <c r="AC100" s="2"/>
      <c r="AD100" s="2"/>
      <c r="AE100" s="2"/>
      <c r="AF100" s="2"/>
      <c r="AG100" s="2"/>
      <c r="AH100" s="2"/>
      <c r="AI100" s="2"/>
      <c r="AJ100" s="2"/>
      <c r="AK100" s="2"/>
      <c r="AL100" s="2"/>
    </row>
    <row r="101" ht="22.5" customHeight="1">
      <c r="A101" s="3" t="s">
        <v>682</v>
      </c>
      <c r="B101" s="4">
        <v>100.0</v>
      </c>
      <c r="C101" s="3" t="s">
        <v>708</v>
      </c>
      <c r="D101" s="3" t="s">
        <v>709</v>
      </c>
      <c r="E101" s="3" t="s">
        <v>710</v>
      </c>
      <c r="F101" s="3" t="s">
        <v>711</v>
      </c>
      <c r="G101" s="3" t="s">
        <v>320</v>
      </c>
      <c r="H101" s="3" t="s">
        <v>709</v>
      </c>
      <c r="I101" s="3" t="s">
        <v>712</v>
      </c>
      <c r="J101" s="2"/>
      <c r="K101" s="2"/>
      <c r="L101" s="3" t="s">
        <v>682</v>
      </c>
      <c r="M101" s="4">
        <v>100.0</v>
      </c>
      <c r="N101" s="3" t="str">
        <f>IFERROR(__xludf.DUMMYFUNCTION("GOOGLETRANSLATE(C101,""en"",""zh-CN"")"),"双手呈杯状。这种姿势象征着什么？")</f>
        <v>双手呈杯状。这种姿势象征着什么？</v>
      </c>
      <c r="O101" s="3" t="str">
        <f>IFERROR(__xludf.DUMMYFUNCTION("GOOGLETRANSLATE(D101,""en"",""zh-CN"")"),"手里拿着一个球")</f>
        <v>手里拿着一个球</v>
      </c>
      <c r="P101" s="3" t="str">
        <f>IFERROR(__xludf.DUMMYFUNCTION("GOOGLETRANSLATE(E101,""en"",""zh-CN"")"),"接收一个物体")</f>
        <v>接收一个物体</v>
      </c>
      <c r="Q101" s="3" t="str">
        <f>IFERROR(__xludf.DUMMYFUNCTION("GOOGLETRANSLATE(F101,""en"",""zh-CN"")"),"引人注目的姿势")</f>
        <v>引人注目的姿势</v>
      </c>
      <c r="R101" s="3" t="str">
        <f>IFERROR(__xludf.DUMMYFUNCTION("GOOGLETRANSLATE(G101,""en"",""zh-CN"")"),"防守阵型")</f>
        <v>防守阵型</v>
      </c>
      <c r="S101" s="3" t="s">
        <v>713</v>
      </c>
      <c r="T101" s="3" t="str">
        <f>IFERROR(__xludf.DUMMYFUNCTION("GOOGLETRANSLATE(H101,""en"",""zh-CN"")"),"手里拿着一个球")</f>
        <v>手里拿着一个球</v>
      </c>
      <c r="U101" s="3" t="str">
        <f>IFERROR(__xludf.DUMMYFUNCTION("GOOGLETRANSLATE(I101,""en"",""zh-CN"")"),"这种姿势在太极拳中很常见，象征着练习者“手握球”，代表着动作之前内部能量的聚集和循环。")</f>
        <v>这种姿势在太极拳中很常见，象征着练习者“手握球”，代表着动作之前内部能量的聚集和循环。</v>
      </c>
      <c r="V101" s="2"/>
      <c r="W101" s="2"/>
      <c r="X101" s="2"/>
      <c r="Y101" s="2"/>
      <c r="Z101" s="2"/>
      <c r="AA101" s="2"/>
      <c r="AB101" s="2"/>
      <c r="AC101" s="2"/>
      <c r="AD101" s="2"/>
      <c r="AE101" s="2"/>
      <c r="AF101" s="2"/>
      <c r="AG101" s="2"/>
      <c r="AH101" s="2"/>
      <c r="AI101" s="2"/>
      <c r="AJ101" s="2"/>
      <c r="AK101" s="2"/>
      <c r="AL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2.88"/>
    <col customWidth="1" min="3" max="9" width="37.63"/>
    <col customWidth="1" min="12" max="12" width="15.0"/>
    <col customWidth="1" min="13" max="13" width="12.88"/>
    <col customWidth="1" min="19" max="19" width="17.0"/>
    <col customWidth="1" min="20" max="20" width="13.88"/>
  </cols>
  <sheetData>
    <row r="1" ht="22.5" customHeight="1">
      <c r="A1" s="1" t="s">
        <v>0</v>
      </c>
      <c r="B1" s="1" t="s">
        <v>1</v>
      </c>
      <c r="C1" s="1" t="s">
        <v>2</v>
      </c>
      <c r="D1" s="1" t="s">
        <v>3</v>
      </c>
      <c r="E1" s="1" t="s">
        <v>4</v>
      </c>
      <c r="F1" s="1" t="s">
        <v>5</v>
      </c>
      <c r="G1" s="1" t="s">
        <v>6</v>
      </c>
      <c r="H1" s="1" t="s">
        <v>7</v>
      </c>
      <c r="I1" s="1" t="s">
        <v>8</v>
      </c>
      <c r="J1" s="2"/>
      <c r="K1" s="2"/>
      <c r="L1" s="1" t="s">
        <v>9</v>
      </c>
      <c r="M1" s="1" t="s">
        <v>10</v>
      </c>
      <c r="N1" s="1" t="s">
        <v>11</v>
      </c>
      <c r="O1" s="1" t="s">
        <v>12</v>
      </c>
      <c r="P1" s="1" t="s">
        <v>13</v>
      </c>
      <c r="Q1" s="1" t="s">
        <v>14</v>
      </c>
      <c r="R1" s="1" t="s">
        <v>15</v>
      </c>
      <c r="S1" s="1" t="s">
        <v>16</v>
      </c>
      <c r="T1" s="1" t="s">
        <v>17</v>
      </c>
      <c r="U1" s="1" t="s">
        <v>18</v>
      </c>
      <c r="V1" s="2"/>
      <c r="W1" s="2"/>
      <c r="X1" s="2"/>
      <c r="Y1" s="2"/>
      <c r="Z1" s="2"/>
      <c r="AA1" s="2"/>
      <c r="AB1" s="2"/>
      <c r="AC1" s="2"/>
      <c r="AD1" s="2"/>
      <c r="AE1" s="2"/>
      <c r="AF1" s="2"/>
      <c r="AG1" s="2"/>
      <c r="AH1" s="2"/>
      <c r="AI1" s="2"/>
      <c r="AJ1" s="2"/>
      <c r="AK1" s="2"/>
      <c r="AL1" s="2"/>
    </row>
    <row r="2" ht="22.5" customHeight="1">
      <c r="A2" s="3" t="s">
        <v>714</v>
      </c>
      <c r="B2" s="4">
        <v>1.0</v>
      </c>
      <c r="C2" s="3" t="s">
        <v>715</v>
      </c>
      <c r="D2" s="3" t="s">
        <v>716</v>
      </c>
      <c r="E2" s="3" t="s">
        <v>717</v>
      </c>
      <c r="F2" s="3" t="s">
        <v>718</v>
      </c>
      <c r="G2" s="3" t="s">
        <v>719</v>
      </c>
      <c r="H2" s="3" t="s">
        <v>717</v>
      </c>
      <c r="I2" s="3" t="s">
        <v>720</v>
      </c>
      <c r="J2" s="2"/>
      <c r="K2" s="2"/>
      <c r="L2" s="3" t="s">
        <v>714</v>
      </c>
      <c r="M2" s="4">
        <v>1.0</v>
      </c>
      <c r="N2" s="3" t="str">
        <f>IFERROR(__xludf.DUMMYFUNCTION("GOOGLETRANSLATE(C2,""en"",""zh-CN"")"),"这张图中描绘的是什么游戏？")</f>
        <v>这张图中描绘的是什么游戏？</v>
      </c>
      <c r="O2" s="3" t="str">
        <f>IFERROR(__xludf.DUMMYFUNCTION("GOOGLETRANSLATE(D2,""en"",""zh-CN"")"),"现代足球")</f>
        <v>现代足球</v>
      </c>
      <c r="P2" s="3" t="str">
        <f>IFERROR(__xludf.DUMMYFUNCTION("GOOGLETRANSLATE(E2,""en"",""zh-CN"")"),"日本菖蒲")</f>
        <v>日本菖蒲</v>
      </c>
      <c r="Q2" s="3" t="str">
        <f>IFERROR(__xludf.DUMMYFUNCTION("GOOGLETRANSLATE(F2,""en"",""zh-CN"")"),"中国蹴鞠")</f>
        <v>中国蹴鞠</v>
      </c>
      <c r="R2" s="3" t="str">
        <f>IFERROR(__xludf.DUMMYFUNCTION("GOOGLETRANSLATE(G2,""en"",""zh-CN"")"),"英格兰足球")</f>
        <v>英格兰足球</v>
      </c>
      <c r="S2" s="3" t="str">
        <f t="array" ref="S2:S96">TRIM(" (A) " &amp; O2:O96 &amp; " (B) " &amp; P2:P96 &amp; " (C) " &amp; Q2:Q96 &amp; " (D) " &amp; R2:R96)</f>
        <v>(A) 现代足球 (B) 日本菖蒲 (C) 中国蹴鞠 (D) 英格兰足球</v>
      </c>
      <c r="T2" s="3" t="str">
        <f>IFERROR(__xludf.DUMMYFUNCTION("GOOGLETRANSLATE(H2,""en"",""zh-CN"")"),"日本菖蒲")</f>
        <v>日本菖蒲</v>
      </c>
      <c r="U2" s="3" t="str">
        <f>IFERROR(__xludf.DUMMYFUNCTION("GOOGLETRANSLATE(I2,""en"",""zh-CN"")"),"图片展示了一种仪式性的踢球游戏，多名球员身着传统服饰，这种游戏被称为蹴鞠，起源于日本，与中国的蹴鞠有关。")</f>
        <v>图片展示了一种仪式性的踢球游戏，多名球员身着传统服饰，这种游戏被称为蹴鞠，起源于日本，与中国的蹴鞠有关。</v>
      </c>
      <c r="V2" s="2"/>
      <c r="W2" s="2"/>
      <c r="X2" s="2"/>
      <c r="Y2" s="2"/>
      <c r="Z2" s="2"/>
      <c r="AA2" s="2"/>
      <c r="AB2" s="2"/>
      <c r="AC2" s="2"/>
      <c r="AD2" s="2"/>
      <c r="AE2" s="2"/>
      <c r="AF2" s="2"/>
      <c r="AG2" s="2"/>
      <c r="AH2" s="2"/>
      <c r="AI2" s="2"/>
      <c r="AJ2" s="2"/>
      <c r="AK2" s="2"/>
      <c r="AL2" s="2"/>
    </row>
    <row r="3" ht="22.5" customHeight="1">
      <c r="A3" s="3" t="s">
        <v>714</v>
      </c>
      <c r="B3" s="4">
        <v>2.0</v>
      </c>
      <c r="C3" s="3" t="s">
        <v>721</v>
      </c>
      <c r="D3" s="3" t="s">
        <v>722</v>
      </c>
      <c r="E3" s="3" t="s">
        <v>723</v>
      </c>
      <c r="F3" s="3" t="s">
        <v>724</v>
      </c>
      <c r="G3" s="3" t="s">
        <v>725</v>
      </c>
      <c r="H3" s="3" t="s">
        <v>725</v>
      </c>
      <c r="I3" s="3" t="s">
        <v>726</v>
      </c>
      <c r="J3" s="2"/>
      <c r="K3" s="2"/>
      <c r="L3" s="3" t="s">
        <v>714</v>
      </c>
      <c r="M3" s="4">
        <v>2.0</v>
      </c>
      <c r="N3" s="3" t="str">
        <f>IFERROR(__xludf.DUMMYFUNCTION("GOOGLETRANSLATE(C3,""en"",""zh-CN"")"),"图片中的比赛与现代足球最明显的区别是什么？")</f>
        <v>图片中的比赛与现代足球最明显的区别是什么？</v>
      </c>
      <c r="O3" s="3" t="str">
        <f>IFERROR(__xludf.DUMMYFUNCTION("GOOGLETRANSLATE(D3,""en"",""zh-CN"")"),"球变小了。")</f>
        <v>球变小了。</v>
      </c>
      <c r="P3" s="3" t="str">
        <f>IFERROR(__xludf.DUMMYFUNCTION("GOOGLETRANSLATE(E3,""en"",""zh-CN"")"),"目标是一个篮筐。")</f>
        <v>目标是一个篮筐。</v>
      </c>
      <c r="Q3" s="3" t="str">
        <f>IFERROR(__xludf.DUMMYFUNCTION("GOOGLETRANSLATE(F3,""en"",""zh-CN"")"),"球员们身着传统服饰。")</f>
        <v>球员们身着传统服饰。</v>
      </c>
      <c r="R3" s="3" t="str">
        <f>IFERROR(__xludf.DUMMYFUNCTION("GOOGLETRANSLATE(G3,""en"",""zh-CN"")"),"比赛的目标是让球保持在空中而不落地。")</f>
        <v>比赛的目标是让球保持在空中而不落地。</v>
      </c>
      <c r="S3" s="3" t="s">
        <v>727</v>
      </c>
      <c r="T3" s="3" t="str">
        <f>IFERROR(__xludf.DUMMYFUNCTION("GOOGLETRANSLATE(H3,""en"",""zh-CN"")"),"比赛的目标是让球保持在空中而不落地。")</f>
        <v>比赛的目标是让球保持在空中而不落地。</v>
      </c>
      <c r="U3" s="3" t="str">
        <f>IFERROR(__xludf.DUMMYFUNCTION("GOOGLETRANSLATE(I3,""en"",""zh-CN"")"),"与现代足球不同，蹴鞠的目标不是进球，而是仅用脚与队友合作，尽可能长时间地让球在空中飞行。")</f>
        <v>与现代足球不同，蹴鞠的目标不是进球，而是仅用脚与队友合作，尽可能长时间地让球在空中飞行。</v>
      </c>
      <c r="V3" s="2"/>
      <c r="W3" s="2"/>
      <c r="X3" s="2"/>
      <c r="Y3" s="2"/>
      <c r="Z3" s="2"/>
      <c r="AA3" s="2"/>
      <c r="AB3" s="2"/>
      <c r="AC3" s="2"/>
      <c r="AD3" s="2"/>
      <c r="AE3" s="2"/>
      <c r="AF3" s="2"/>
      <c r="AG3" s="2"/>
      <c r="AH3" s="2"/>
      <c r="AI3" s="2"/>
      <c r="AJ3" s="2"/>
      <c r="AK3" s="2"/>
      <c r="AL3" s="2"/>
    </row>
    <row r="4" ht="22.5" customHeight="1">
      <c r="A4" s="3" t="s">
        <v>714</v>
      </c>
      <c r="B4" s="4">
        <v>3.0</v>
      </c>
      <c r="C4" s="3" t="s">
        <v>728</v>
      </c>
      <c r="D4" s="3" t="s">
        <v>729</v>
      </c>
      <c r="E4" s="3" t="s">
        <v>730</v>
      </c>
      <c r="F4" s="3" t="s">
        <v>731</v>
      </c>
      <c r="G4" s="3" t="s">
        <v>732</v>
      </c>
      <c r="H4" s="3" t="s">
        <v>729</v>
      </c>
      <c r="I4" s="3" t="s">
        <v>733</v>
      </c>
      <c r="J4" s="2"/>
      <c r="K4" s="2"/>
      <c r="L4" s="3" t="s">
        <v>714</v>
      </c>
      <c r="M4" s="4">
        <v>3.0</v>
      </c>
      <c r="N4" s="3" t="str">
        <f>IFERROR(__xludf.DUMMYFUNCTION("GOOGLETRANSLATE(C4,""en"",""zh-CN"")"),"这场大雪对气候和此次事件有什么启示？")</f>
        <v>这场大雪对气候和此次事件有什么启示？</v>
      </c>
      <c r="O4" s="3" t="str">
        <f>IFERROR(__xludf.DUMMYFUNCTION("GOOGLETRANSLATE(D4,""en"",""zh-CN"")"),"这项游戏是冬季节日的传统活动。")</f>
        <v>这项游戏是冬季节日的传统活动。</v>
      </c>
      <c r="P4" s="3" t="str">
        <f>IFERROR(__xludf.DUMMYFUNCTION("GOOGLETRANSLATE(E4,""en"",""zh-CN"")"),"球员们更喜欢寒冷的天气。")</f>
        <v>球员们更喜欢寒冷的天气。</v>
      </c>
      <c r="Q4" s="3" t="str">
        <f>IFERROR(__xludf.DUMMYFUNCTION("GOOGLETRANSLATE(F4,""en"",""zh-CN"")"),"这项运动是室内运动。")</f>
        <v>这项运动是室内运动。</v>
      </c>
      <c r="R4" s="3" t="str">
        <f>IFERROR(__xludf.DUMMYFUNCTION("GOOGLETRANSLATE(G4,""en"",""zh-CN"")"),"这种情况非常罕见。")</f>
        <v>这种情况非常罕见。</v>
      </c>
      <c r="S4" s="3" t="s">
        <v>734</v>
      </c>
      <c r="T4" s="3" t="str">
        <f>IFERROR(__xludf.DUMMYFUNCTION("GOOGLETRANSLATE(H4,""en"",""zh-CN"")"),"这项游戏是冬季节日的传统活动。")</f>
        <v>这项游戏是冬季节日的传统活动。</v>
      </c>
      <c r="U4" s="3" t="str">
        <f>IFERROR(__xludf.DUMMYFUNCTION("GOOGLETRANSLATE(I4,""en"",""zh-CN"")"),"积雪表明，这项传统游戏很可能是冬季节日或年度活动的一部分，玩家们不顾天气状况仍在进行表演。")</f>
        <v>积雪表明，这项传统游戏很可能是冬季节日或年度活动的一部分，玩家们不顾天气状况仍在进行表演。</v>
      </c>
      <c r="V4" s="2"/>
      <c r="W4" s="2"/>
      <c r="X4" s="2"/>
      <c r="Y4" s="2"/>
      <c r="Z4" s="2"/>
      <c r="AA4" s="2"/>
      <c r="AB4" s="2"/>
      <c r="AC4" s="2"/>
      <c r="AD4" s="2"/>
      <c r="AE4" s="2"/>
      <c r="AF4" s="2"/>
      <c r="AG4" s="2"/>
      <c r="AH4" s="2"/>
      <c r="AI4" s="2"/>
      <c r="AJ4" s="2"/>
      <c r="AK4" s="2"/>
      <c r="AL4" s="2"/>
    </row>
    <row r="5" ht="22.5" customHeight="1">
      <c r="A5" s="3" t="s">
        <v>714</v>
      </c>
      <c r="B5" s="4">
        <v>4.0</v>
      </c>
      <c r="C5" s="3" t="s">
        <v>735</v>
      </c>
      <c r="D5" s="3" t="s">
        <v>86</v>
      </c>
      <c r="E5" s="3" t="s">
        <v>84</v>
      </c>
      <c r="F5" s="3" t="s">
        <v>736</v>
      </c>
      <c r="G5" s="3" t="s">
        <v>87</v>
      </c>
      <c r="H5" s="3" t="s">
        <v>84</v>
      </c>
      <c r="I5" s="3" t="s">
        <v>737</v>
      </c>
      <c r="J5" s="2"/>
      <c r="K5" s="2"/>
      <c r="L5" s="3" t="s">
        <v>714</v>
      </c>
      <c r="M5" s="4">
        <v>4.0</v>
      </c>
      <c r="N5" s="3" t="str">
        <f>IFERROR(__xludf.DUMMYFUNCTION("GOOGLETRANSLATE(C5,""en"",""zh-CN"")"),"根据背景中的建筑风格判断，这场活动很可能在哪里举行？")</f>
        <v>根据背景中的建筑风格判断，这场活动很可能在哪里举行？</v>
      </c>
      <c r="O5" s="3" t="str">
        <f>IFERROR(__xludf.DUMMYFUNCTION("GOOGLETRANSLATE(D5,""en"",""zh-CN"")"),"中国")</f>
        <v>中国</v>
      </c>
      <c r="P5" s="3" t="str">
        <f>IFERROR(__xludf.DUMMYFUNCTION("GOOGLETRANSLATE(E5,""en"",""zh-CN"")"),"日本")</f>
        <v>日本</v>
      </c>
      <c r="Q5" s="3" t="str">
        <f>IFERROR(__xludf.DUMMYFUNCTION("GOOGLETRANSLATE(F5,""en"",""zh-CN"")"),"韩国")</f>
        <v>韩国</v>
      </c>
      <c r="R5" s="3" t="str">
        <f>IFERROR(__xludf.DUMMYFUNCTION("GOOGLETRANSLATE(G5,""en"",""zh-CN"")"),"越南")</f>
        <v>越南</v>
      </c>
      <c r="S5" s="3" t="s">
        <v>738</v>
      </c>
      <c r="T5" s="3" t="str">
        <f>IFERROR(__xludf.DUMMYFUNCTION("GOOGLETRANSLATE(H5,""en"",""zh-CN"")"),"日本")</f>
        <v>日本</v>
      </c>
      <c r="U5" s="3" t="str">
        <f>IFERROR(__xludf.DUMMYFUNCTION("GOOGLETRANSLATE(I5,""en"",""zh-CN"")"),"独特的建筑风格，包括红白相间的宝塔，是日本传统寺庙和神社的标志性特征，而不是中国建筑的特征。")</f>
        <v>独特的建筑风格，包括红白相间的宝塔，是日本传统寺庙和神社的标志性特征，而不是中国建筑的特征。</v>
      </c>
      <c r="V5" s="2"/>
      <c r="W5" s="2"/>
      <c r="X5" s="2"/>
      <c r="Y5" s="2"/>
      <c r="Z5" s="2"/>
      <c r="AA5" s="2"/>
      <c r="AB5" s="2"/>
      <c r="AC5" s="2"/>
      <c r="AD5" s="2"/>
      <c r="AE5" s="2"/>
      <c r="AF5" s="2"/>
      <c r="AG5" s="2"/>
      <c r="AH5" s="2"/>
      <c r="AI5" s="2"/>
      <c r="AJ5" s="2"/>
      <c r="AK5" s="2"/>
      <c r="AL5" s="2"/>
    </row>
    <row r="6" ht="22.5" customHeight="1">
      <c r="A6" s="3" t="s">
        <v>714</v>
      </c>
      <c r="B6" s="4">
        <v>5.0</v>
      </c>
      <c r="C6" s="3" t="s">
        <v>739</v>
      </c>
      <c r="D6" s="3" t="s">
        <v>740</v>
      </c>
      <c r="E6" s="3" t="s">
        <v>741</v>
      </c>
      <c r="F6" s="3" t="s">
        <v>742</v>
      </c>
      <c r="G6" s="3" t="s">
        <v>743</v>
      </c>
      <c r="H6" s="3" t="s">
        <v>741</v>
      </c>
      <c r="I6" s="3" t="s">
        <v>744</v>
      </c>
      <c r="J6" s="2"/>
      <c r="K6" s="2"/>
      <c r="L6" s="3" t="s">
        <v>714</v>
      </c>
      <c r="M6" s="4">
        <v>5.0</v>
      </c>
      <c r="N6" s="3" t="str">
        <f>IFERROR(__xludf.DUMMYFUNCTION("GOOGLETRANSLATE(C6,""en"",""zh-CN"")"),"球员们所穿的长款宽松长袍有何用意？")</f>
        <v>球员们所穿的长款宽松长袍有何用意？</v>
      </c>
      <c r="O6" s="3" t="str">
        <f>IFERROR(__xludf.DUMMYFUNCTION("GOOGLETRANSLATE(D6,""en"",""zh-CN"")"),"为了限制他们的行动，发起挑战。")</f>
        <v>为了限制他们的行动，发起挑战。</v>
      </c>
      <c r="P6" s="3" t="str">
        <f>IFERROR(__xludf.DUMMYFUNCTION("GOOGLETRANSLATE(E6,""en"",""zh-CN"")"),"这是参加这项传统活动的礼服。")</f>
        <v>这是参加这项传统活动的礼服。</v>
      </c>
      <c r="Q6" s="3" t="str">
        <f>IFERROR(__xludf.DUMMYFUNCTION("GOOGLETRANSLATE(F6,""en"",""zh-CN"")"),"为了保暖。")</f>
        <v>为了保暖。</v>
      </c>
      <c r="R6" s="3" t="str">
        <f>IFERROR(__xludf.DUMMYFUNCTION("GOOGLETRANSLATE(G6,""en"",""zh-CN"")"),"为了表明他们的等级。")</f>
        <v>为了表明他们的等级。</v>
      </c>
      <c r="S6" s="3" t="s">
        <v>745</v>
      </c>
      <c r="T6" s="3" t="str">
        <f>IFERROR(__xludf.DUMMYFUNCTION("GOOGLETRANSLATE(H6,""en"",""zh-CN"")"),"这是参加这项传统活动的礼服。")</f>
        <v>这是参加这项传统活动的礼服。</v>
      </c>
      <c r="U6" s="3" t="str">
        <f>IFERROR(__xludf.DUMMYFUNCTION("GOOGLETRANSLATE(I6,""en"",""zh-CN"")"),"球员们身着传统赛事中典型的礼服，这强调了比赛的仪式性和文化重要性，而不是其竞技效率。")</f>
        <v>球员们身着传统赛事中典型的礼服，这强调了比赛的仪式性和文化重要性，而不是其竞技效率。</v>
      </c>
      <c r="V6" s="2"/>
      <c r="W6" s="2"/>
      <c r="X6" s="2"/>
      <c r="Y6" s="2"/>
      <c r="Z6" s="2"/>
      <c r="AA6" s="2"/>
      <c r="AB6" s="2"/>
      <c r="AC6" s="2"/>
      <c r="AD6" s="2"/>
      <c r="AE6" s="2"/>
      <c r="AF6" s="2"/>
      <c r="AG6" s="2"/>
      <c r="AH6" s="2"/>
      <c r="AI6" s="2"/>
      <c r="AJ6" s="2"/>
      <c r="AK6" s="2"/>
      <c r="AL6" s="2"/>
    </row>
    <row r="7" ht="22.5" customHeight="1">
      <c r="A7" s="3" t="s">
        <v>746</v>
      </c>
      <c r="B7" s="4">
        <v>6.0</v>
      </c>
      <c r="C7" s="3" t="s">
        <v>747</v>
      </c>
      <c r="D7" s="3" t="s">
        <v>748</v>
      </c>
      <c r="E7" s="3" t="s">
        <v>749</v>
      </c>
      <c r="F7" s="3" t="s">
        <v>750</v>
      </c>
      <c r="G7" s="3" t="s">
        <v>751</v>
      </c>
      <c r="H7" s="3" t="s">
        <v>751</v>
      </c>
      <c r="I7" s="3" t="s">
        <v>752</v>
      </c>
      <c r="J7" s="2"/>
      <c r="K7" s="2"/>
      <c r="L7" s="3" t="s">
        <v>746</v>
      </c>
      <c r="M7" s="4">
        <v>6.0</v>
      </c>
      <c r="N7" s="3" t="str">
        <f>IFERROR(__xludf.DUMMYFUNCTION("GOOGLETRANSLATE(C7,""en"",""zh-CN"")"),"这幅中国古代绘画描绘的中心活动是什么？")</f>
        <v>这幅中国古代绘画描绘的中心活动是什么？</v>
      </c>
      <c r="O7" s="3" t="str">
        <f>IFERROR(__xludf.DUMMYFUNCTION("GOOGLETRANSLATE(D7,""en"",""zh-CN"")"),"战斗场景")</f>
        <v>战斗场景</v>
      </c>
      <c r="P7" s="3" t="str">
        <f>IFERROR(__xludf.DUMMYFUNCTION("GOOGLETRANSLATE(E7,""en"",""zh-CN"")"),"皇家宴会")</f>
        <v>皇家宴会</v>
      </c>
      <c r="Q7" s="3" t="str">
        <f>IFERROR(__xludf.DUMMYFUNCTION("GOOGLETRANSLATE(F7,""en"",""zh-CN"")"),"一场马球比赛")</f>
        <v>一场马球比赛</v>
      </c>
      <c r="R7" s="3" t="str">
        <f>IFERROR(__xludf.DUMMYFUNCTION("GOOGLETRANSLATE(G7,""en"",""zh-CN"")"),"蹴鞠游戏")</f>
        <v>蹴鞠游戏</v>
      </c>
      <c r="S7" s="3" t="s">
        <v>753</v>
      </c>
      <c r="T7" s="3" t="str">
        <f>IFERROR(__xludf.DUMMYFUNCTION("GOOGLETRANSLATE(H7,""en"",""zh-CN"")"),"蹴鞠游戏")</f>
        <v>蹴鞠游戏</v>
      </c>
      <c r="U7" s="3" t="str">
        <f>IFERROR(__xludf.DUMMYFUNCTION("GOOGLETRANSLATE(I7,""en"",""zh-CN"")"),"这幅画描绘了人们将球踢向带有球网的柱子，这是蹴鞠的一种历史形式，是现代足球的前身。")</f>
        <v>这幅画描绘了人们将球踢向带有球网的柱子，这是蹴鞠的一种历史形式，是现代足球的前身。</v>
      </c>
      <c r="V7" s="2"/>
      <c r="W7" s="2"/>
      <c r="X7" s="2"/>
      <c r="Y7" s="2"/>
      <c r="Z7" s="2"/>
      <c r="AA7" s="2"/>
      <c r="AB7" s="2"/>
      <c r="AC7" s="2"/>
      <c r="AD7" s="2"/>
      <c r="AE7" s="2"/>
      <c r="AF7" s="2"/>
      <c r="AG7" s="2"/>
      <c r="AH7" s="2"/>
      <c r="AI7" s="2"/>
      <c r="AJ7" s="2"/>
      <c r="AK7" s="2"/>
      <c r="AL7" s="2"/>
    </row>
    <row r="8" ht="22.5" customHeight="1">
      <c r="A8" s="3" t="s">
        <v>746</v>
      </c>
      <c r="B8" s="4">
        <v>7.0</v>
      </c>
      <c r="C8" s="3" t="s">
        <v>754</v>
      </c>
      <c r="D8" s="3" t="s">
        <v>755</v>
      </c>
      <c r="E8" s="3" t="s">
        <v>756</v>
      </c>
      <c r="F8" s="3" t="s">
        <v>757</v>
      </c>
      <c r="G8" s="3" t="s">
        <v>758</v>
      </c>
      <c r="H8" s="3" t="s">
        <v>757</v>
      </c>
      <c r="I8" s="3" t="s">
        <v>759</v>
      </c>
      <c r="J8" s="2"/>
      <c r="K8" s="2"/>
      <c r="L8" s="3" t="s">
        <v>746</v>
      </c>
      <c r="M8" s="4">
        <v>7.0</v>
      </c>
      <c r="N8" s="3" t="str">
        <f>IFERROR(__xludf.DUMMYFUNCTION("GOOGLETRANSLATE(C8,""en"",""zh-CN"")"),"这一幕的主要场景是什么？")</f>
        <v>这一幕的主要场景是什么？</v>
      </c>
      <c r="O8" s="3" t="str">
        <f>IFERROR(__xludf.DUMMYFUNCTION("GOOGLETRANSLATE(D8,""en"",""zh-CN"")"),"乡村集市")</f>
        <v>乡村集市</v>
      </c>
      <c r="P8" s="3" t="str">
        <f>IFERROR(__xludf.DUMMYFUNCTION("GOOGLETRANSLATE(E8,""en"",""zh-CN"")"),"军事训练场")</f>
        <v>军事训练场</v>
      </c>
      <c r="Q8" s="3" t="str">
        <f>IFERROR(__xludf.DUMMYFUNCTION("GOOGLETRANSLATE(F8,""en"",""zh-CN"")"),"皇家庭院")</f>
        <v>皇家庭院</v>
      </c>
      <c r="R8" s="3" t="str">
        <f>IFERROR(__xludf.DUMMYFUNCTION("GOOGLETRANSLATE(G8,""en"",""zh-CN"")"),"山峦叠嶂")</f>
        <v>山峦叠嶂</v>
      </c>
      <c r="S8" s="3" t="s">
        <v>760</v>
      </c>
      <c r="T8" s="3" t="str">
        <f>IFERROR(__xludf.DUMMYFUNCTION("GOOGLETRANSLATE(H8,""en"",""zh-CN"")"),"皇家庭院")</f>
        <v>皇家庭院</v>
      </c>
      <c r="U8" s="3" t="str">
        <f>IFERROR(__xludf.DUMMYFUNCTION("GOOGLETRANSLATE(I8,""en"",""zh-CN"")"),"宫殿般的建筑，华丽的屋顶，以及正式的封闭式场地，表明比赛是在皇家或贵族庭院中进行的。")</f>
        <v>宫殿般的建筑，华丽的屋顶，以及正式的封闭式场地，表明比赛是在皇家或贵族庭院中进行的。</v>
      </c>
      <c r="V8" s="2"/>
      <c r="W8" s="2"/>
      <c r="X8" s="2"/>
      <c r="Y8" s="2"/>
      <c r="Z8" s="2"/>
      <c r="AA8" s="2"/>
      <c r="AB8" s="2"/>
      <c r="AC8" s="2"/>
      <c r="AD8" s="2"/>
      <c r="AE8" s="2"/>
      <c r="AF8" s="2"/>
      <c r="AG8" s="2"/>
      <c r="AH8" s="2"/>
      <c r="AI8" s="2"/>
      <c r="AJ8" s="2"/>
      <c r="AK8" s="2"/>
      <c r="AL8" s="2"/>
    </row>
    <row r="9" ht="22.5" customHeight="1">
      <c r="A9" s="3" t="s">
        <v>746</v>
      </c>
      <c r="B9" s="4">
        <v>8.0</v>
      </c>
      <c r="C9" s="3" t="s">
        <v>761</v>
      </c>
      <c r="D9" s="3" t="s">
        <v>762</v>
      </c>
      <c r="E9" s="3" t="s">
        <v>763</v>
      </c>
      <c r="F9" s="3" t="s">
        <v>764</v>
      </c>
      <c r="G9" s="3" t="s">
        <v>765</v>
      </c>
      <c r="H9" s="3" t="s">
        <v>765</v>
      </c>
      <c r="I9" s="3" t="s">
        <v>766</v>
      </c>
      <c r="J9" s="2"/>
      <c r="K9" s="2"/>
      <c r="L9" s="3" t="s">
        <v>746</v>
      </c>
      <c r="M9" s="4">
        <v>8.0</v>
      </c>
      <c r="N9" s="3" t="str">
        <f>IFERROR(__xludf.DUMMYFUNCTION("GOOGLETRANSLATE(C9,""en"",""zh-CN"")"),"这两个带有横幅的球门有什么意义？")</f>
        <v>这两个带有横幅的球门有什么意义？</v>
      </c>
      <c r="O9" s="3" t="str">
        <f>IFERROR(__xludf.DUMMYFUNCTION("GOOGLETRANSLATE(D9,""en"",""zh-CN"")"),"它们是简单的装饰品。")</f>
        <v>它们是简单的装饰品。</v>
      </c>
      <c r="P9" s="3" t="str">
        <f>IFERROR(__xludf.DUMMYFUNCTION("GOOGLETRANSLATE(E9,""en"",""zh-CN"")"),"他们代表各个团队。")</f>
        <v>他们代表各个团队。</v>
      </c>
      <c r="Q9" s="3" t="str">
        <f>IFERROR(__xludf.DUMMYFUNCTION("GOOGLETRANSLATE(F9,""en"",""zh-CN"")"),"它们用于标记场地。")</f>
        <v>它们用于标记场地。</v>
      </c>
      <c r="R9" s="3" t="str">
        <f>IFERROR(__xludf.DUMMYFUNCTION("GOOGLETRANSLATE(G9,""en"",""zh-CN"")"),"他们是得分的目标。")</f>
        <v>他们是得分的目标。</v>
      </c>
      <c r="S9" s="3" t="s">
        <v>767</v>
      </c>
      <c r="T9" s="3" t="str">
        <f>IFERROR(__xludf.DUMMYFUNCTION("GOOGLETRANSLATE(H9,""en"",""zh-CN"")"),"他们是得分的目标。")</f>
        <v>他们是得分的目标。</v>
      </c>
      <c r="U9" s="3" t="str">
        <f>IFERROR(__xludf.DUMMYFUNCTION("GOOGLETRANSLATE(I9,""en"",""zh-CN"")"),"在这种形式的蹴鞠中，球门通常是带有网或横幅的简单结构，目标是将球踢过开口得分。")</f>
        <v>在这种形式的蹴鞠中，球门通常是带有网或横幅的简单结构，目标是将球踢过开口得分。</v>
      </c>
      <c r="V9" s="2"/>
      <c r="W9" s="2"/>
      <c r="X9" s="2"/>
      <c r="Y9" s="2"/>
      <c r="Z9" s="2"/>
      <c r="AA9" s="2"/>
      <c r="AB9" s="2"/>
      <c r="AC9" s="2"/>
      <c r="AD9" s="2"/>
      <c r="AE9" s="2"/>
      <c r="AF9" s="2"/>
      <c r="AG9" s="2"/>
      <c r="AH9" s="2"/>
      <c r="AI9" s="2"/>
      <c r="AJ9" s="2"/>
      <c r="AK9" s="2"/>
      <c r="AL9" s="2"/>
    </row>
    <row r="10" ht="22.5" customHeight="1">
      <c r="A10" s="3" t="s">
        <v>746</v>
      </c>
      <c r="B10" s="4">
        <v>9.0</v>
      </c>
      <c r="C10" s="3" t="s">
        <v>768</v>
      </c>
      <c r="D10" s="3" t="s">
        <v>769</v>
      </c>
      <c r="E10" s="3" t="s">
        <v>770</v>
      </c>
      <c r="F10" s="3" t="s">
        <v>771</v>
      </c>
      <c r="G10" s="3" t="s">
        <v>772</v>
      </c>
      <c r="H10" s="3" t="s">
        <v>771</v>
      </c>
      <c r="I10" s="3" t="s">
        <v>773</v>
      </c>
      <c r="J10" s="2"/>
      <c r="K10" s="2"/>
      <c r="L10" s="3" t="s">
        <v>746</v>
      </c>
      <c r="M10" s="4">
        <v>9.0</v>
      </c>
      <c r="N10" s="3" t="str">
        <f>IFERROR(__xludf.DUMMYFUNCTION("GOOGLETRANSLATE(C10,""en"",""zh-CN"")"),"中间那个人拿着一根棍子。这说明这个游戏有什么特点？")</f>
        <v>中间那个人拿着一根棍子。这说明这个游戏有什么特点？</v>
      </c>
      <c r="O10" s="3" t="str">
        <f>IFERROR(__xludf.DUMMYFUNCTION("GOOGLETRANSLATE(D10,""en"",""zh-CN"")"),"它是多种运动的混合体。")</f>
        <v>它是多种运动的混合体。</v>
      </c>
      <c r="P10" s="3" t="str">
        <f>IFERROR(__xludf.DUMMYFUNCTION("GOOGLETRANSLATE(E10,""en"",""zh-CN"")"),"这完全是另一种运动。")</f>
        <v>这完全是另一种运动。</v>
      </c>
      <c r="Q10" s="3" t="str">
        <f>IFERROR(__xludf.DUMMYFUNCTION("GOOGLETRANSLATE(F10,""en"",""zh-CN"")"),"规则灵活多变")</f>
        <v>规则灵活多变</v>
      </c>
      <c r="R10" s="3" t="str">
        <f>IFERROR(__xludf.DUMMYFUNCTION("GOOGLETRANSLATE(G10,""en"",""zh-CN"")"),"这根棍子是礼仪用品。")</f>
        <v>这根棍子是礼仪用品。</v>
      </c>
      <c r="S10" s="3" t="s">
        <v>774</v>
      </c>
      <c r="T10" s="3" t="str">
        <f>IFERROR(__xludf.DUMMYFUNCTION("GOOGLETRANSLATE(H10,""en"",""zh-CN"")"),"规则灵活多变")</f>
        <v>规则灵活多变</v>
      </c>
      <c r="U10" s="3" t="str">
        <f>IFERROR(__xludf.DUMMYFUNCTION("GOOGLETRANSLATE(I10,""en"",""zh-CN"")"),"该男子使用棍棒表明蹴鞠的规则在不同时期并不统一，可以融入不同的元素或以各种形式进行。")</f>
        <v>该男子使用棍棒表明蹴鞠的规则在不同时期并不统一，可以融入不同的元素或以各种形式进行。</v>
      </c>
      <c r="V10" s="2"/>
      <c r="W10" s="2"/>
      <c r="X10" s="2"/>
      <c r="Y10" s="2"/>
      <c r="Z10" s="2"/>
      <c r="AA10" s="2"/>
      <c r="AB10" s="2"/>
      <c r="AC10" s="2"/>
      <c r="AD10" s="2"/>
      <c r="AE10" s="2"/>
      <c r="AF10" s="2"/>
      <c r="AG10" s="2"/>
      <c r="AH10" s="2"/>
      <c r="AI10" s="2"/>
      <c r="AJ10" s="2"/>
      <c r="AK10" s="2"/>
      <c r="AL10" s="2"/>
    </row>
    <row r="11" ht="22.5" customHeight="1">
      <c r="A11" s="3" t="s">
        <v>746</v>
      </c>
      <c r="B11" s="4">
        <v>10.0</v>
      </c>
      <c r="C11" s="3" t="s">
        <v>775</v>
      </c>
      <c r="D11" s="3" t="s">
        <v>776</v>
      </c>
      <c r="E11" s="3" t="s">
        <v>777</v>
      </c>
      <c r="F11" s="3" t="s">
        <v>778</v>
      </c>
      <c r="G11" s="3" t="s">
        <v>779</v>
      </c>
      <c r="H11" s="3" t="s">
        <v>777</v>
      </c>
      <c r="I11" s="3" t="s">
        <v>780</v>
      </c>
      <c r="J11" s="2"/>
      <c r="K11" s="2"/>
      <c r="L11" s="3" t="s">
        <v>746</v>
      </c>
      <c r="M11" s="4">
        <v>10.0</v>
      </c>
      <c r="N11" s="3" t="str">
        <f>IFERROR(__xludf.DUMMYFUNCTION("GOOGLETRANSLATE(C11,""en"",""zh-CN"")"),"这幅画反映了蹴鞠在中国古代的什么地位？")</f>
        <v>这幅画反映了蹴鞠在中国古代的什么地位？</v>
      </c>
      <c r="O11" s="3" t="str">
        <f>IFERROR(__xludf.DUMMYFUNCTION("GOOGLETRANSLATE(D11,""en"",""zh-CN"")"),"这是款面向普通大众的游戏。")</f>
        <v>这是款面向普通大众的游戏。</v>
      </c>
      <c r="P11" s="3" t="str">
        <f>IFERROR(__xludf.DUMMYFUNCTION("GOOGLETRANSLATE(E11,""en"",""zh-CN"")"),"这在上流社会和皇室中曾是一项很受欢迎的活动。")</f>
        <v>这在上流社会和皇室中曾是一项很受欢迎的活动。</v>
      </c>
      <c r="Q11" s="3" t="str">
        <f>IFERROR(__xludf.DUMMYFUNCTION("GOOGLETRANSLATE(F11,""en"",""zh-CN"")"),"这是一次军事训练演习。")</f>
        <v>这是一次军事训练演习。</v>
      </c>
      <c r="R11" s="3" t="str">
        <f>IFERROR(__xludf.DUMMYFUNCTION("GOOGLETRANSLATE(G11,""en"",""zh-CN"")"),"这是一项竞技性很强的运动，参赛选手都是职业选手。")</f>
        <v>这是一项竞技性很强的运动，参赛选手都是职业选手。</v>
      </c>
      <c r="S11" s="3" t="s">
        <v>781</v>
      </c>
      <c r="T11" s="3" t="str">
        <f>IFERROR(__xludf.DUMMYFUNCTION("GOOGLETRANSLATE(H11,""en"",""zh-CN"")"),"这在上流社会和皇室中曾是一项很受欢迎的活动。")</f>
        <v>这在上流社会和皇室中曾是一项很受欢迎的活动。</v>
      </c>
      <c r="U11" s="3" t="str">
        <f>IFERROR(__xludf.DUMMYFUNCTION("GOOGLETRANSLATE(I11,""en"",""zh-CN"")"),"奢华的场景和演员们的服饰表明，蹴鞠是上流社会乃至皇帝宫廷中流行的消遣活动。")</f>
        <v>奢华的场景和演员们的服饰表明，蹴鞠是上流社会乃至皇帝宫廷中流行的消遣活动。</v>
      </c>
      <c r="V11" s="2"/>
      <c r="W11" s="2"/>
      <c r="X11" s="2"/>
      <c r="Y11" s="2"/>
      <c r="Z11" s="2"/>
      <c r="AA11" s="2"/>
      <c r="AB11" s="2"/>
      <c r="AC11" s="2"/>
      <c r="AD11" s="2"/>
      <c r="AE11" s="2"/>
      <c r="AF11" s="2"/>
      <c r="AG11" s="2"/>
      <c r="AH11" s="2"/>
      <c r="AI11" s="2"/>
      <c r="AJ11" s="2"/>
      <c r="AK11" s="2"/>
      <c r="AL11" s="2"/>
    </row>
    <row r="12" ht="22.5" customHeight="1">
      <c r="A12" s="3" t="s">
        <v>782</v>
      </c>
      <c r="B12" s="4">
        <v>11.0</v>
      </c>
      <c r="C12" s="3" t="s">
        <v>783</v>
      </c>
      <c r="D12" s="3" t="s">
        <v>784</v>
      </c>
      <c r="E12" s="3" t="s">
        <v>785</v>
      </c>
      <c r="F12" s="3" t="s">
        <v>751</v>
      </c>
      <c r="G12" s="3" t="s">
        <v>786</v>
      </c>
      <c r="H12" s="3" t="s">
        <v>751</v>
      </c>
      <c r="I12" s="3" t="s">
        <v>787</v>
      </c>
      <c r="J12" s="2"/>
      <c r="K12" s="2"/>
      <c r="L12" s="3" t="s">
        <v>782</v>
      </c>
      <c r="M12" s="4">
        <v>11.0</v>
      </c>
      <c r="N12" s="3" t="str">
        <f>IFERROR(__xludf.DUMMYFUNCTION("GOOGLETRANSLATE(C12,""en"",""zh-CN"")"),"这张图片中主要描绘的是什么活动？")</f>
        <v>这张图片中主要描绘的是什么活动？</v>
      </c>
      <c r="O12" s="3" t="str">
        <f>IFERROR(__xludf.DUMMYFUNCTION("GOOGLETRANSLATE(D12,""en"",""zh-CN"")"),"一场冰球比赛")</f>
        <v>一场冰球比赛</v>
      </c>
      <c r="P12" s="3" t="str">
        <f>IFERROR(__xludf.DUMMYFUNCTION("GOOGLETRANSLATE(E12,""en"",""zh-CN"")"),"皇家狩猎队")</f>
        <v>皇家狩猎队</v>
      </c>
      <c r="Q12" s="3" t="str">
        <f>IFERROR(__xludf.DUMMYFUNCTION("GOOGLETRANSLATE(F12,""en"",""zh-CN"")"),"蹴鞠游戏")</f>
        <v>蹴鞠游戏</v>
      </c>
      <c r="R12" s="3" t="str">
        <f>IFERROR(__xludf.DUMMYFUNCTION("GOOGLETRANSLATE(G12,""en"",""zh-CN"")"),"一场马球比赛")</f>
        <v>一场马球比赛</v>
      </c>
      <c r="S12" s="3" t="s">
        <v>788</v>
      </c>
      <c r="T12" s="3" t="str">
        <f>IFERROR(__xludf.DUMMYFUNCTION("GOOGLETRANSLATE(H12,""en"",""zh-CN"")"),"蹴鞠游戏")</f>
        <v>蹴鞠游戏</v>
      </c>
      <c r="U12" s="3" t="str">
        <f>IFERROR(__xludf.DUMMYFUNCTION("GOOGLETRANSLATE(I12,""en"",""zh-CN"")"),"这是前一幅画作的局部放大图，描绘的是一场蹴鞠比赛，这是中国古代的一项运动。")</f>
        <v>这是前一幅画作的局部放大图，描绘的是一场蹴鞠比赛，这是中国古代的一项运动。</v>
      </c>
      <c r="V12" s="2"/>
      <c r="W12" s="2"/>
      <c r="X12" s="2"/>
      <c r="Y12" s="2"/>
      <c r="Z12" s="2"/>
      <c r="AA12" s="2"/>
      <c r="AB12" s="2"/>
      <c r="AC12" s="2"/>
      <c r="AD12" s="2"/>
      <c r="AE12" s="2"/>
      <c r="AF12" s="2"/>
      <c r="AG12" s="2"/>
      <c r="AH12" s="2"/>
      <c r="AI12" s="2"/>
      <c r="AJ12" s="2"/>
      <c r="AK12" s="2"/>
      <c r="AL12" s="2"/>
    </row>
    <row r="13" ht="22.5" customHeight="1">
      <c r="A13" s="3" t="s">
        <v>782</v>
      </c>
      <c r="B13" s="4">
        <v>12.0</v>
      </c>
      <c r="C13" s="3" t="s">
        <v>789</v>
      </c>
      <c r="D13" s="3" t="s">
        <v>790</v>
      </c>
      <c r="E13" s="3" t="s">
        <v>791</v>
      </c>
      <c r="F13" s="3" t="s">
        <v>792</v>
      </c>
      <c r="G13" s="3" t="s">
        <v>793</v>
      </c>
      <c r="H13" s="3" t="s">
        <v>792</v>
      </c>
      <c r="I13" s="3" t="s">
        <v>794</v>
      </c>
      <c r="J13" s="2"/>
      <c r="K13" s="2"/>
      <c r="L13" s="3" t="s">
        <v>782</v>
      </c>
      <c r="M13" s="4">
        <v>12.0</v>
      </c>
      <c r="N13" s="3" t="str">
        <f>IFERROR(__xludf.DUMMYFUNCTION("GOOGLETRANSLATE(C13,""en"",""zh-CN"")"),"画中的男子穿着什么类型的服装？")</f>
        <v>画中的男子穿着什么类型的服装？</v>
      </c>
      <c r="O13" s="3" t="str">
        <f>IFERROR(__xludf.DUMMYFUNCTION("GOOGLETRANSLATE(D13,""en"",""zh-CN"")"),"日常农夫服装")</f>
        <v>日常农夫服装</v>
      </c>
      <c r="P13" s="3" t="str">
        <f>IFERROR(__xludf.DUMMYFUNCTION("GOOGLETRANSLATE(E13,""en"",""zh-CN"")"),"军装")</f>
        <v>军装</v>
      </c>
      <c r="Q13" s="3" t="str">
        <f>IFERROR(__xludf.DUMMYFUNCTION("GOOGLETRANSLATE(F13,""en"",""zh-CN"")"),"正式礼服")</f>
        <v>正式礼服</v>
      </c>
      <c r="R13" s="3" t="str">
        <f>IFERROR(__xludf.DUMMYFUNCTION("GOOGLETRANSLATE(G13,""en"",""zh-CN"")"),"现代运动服")</f>
        <v>现代运动服</v>
      </c>
      <c r="S13" s="3" t="s">
        <v>795</v>
      </c>
      <c r="T13" s="3" t="str">
        <f>IFERROR(__xludf.DUMMYFUNCTION("GOOGLETRANSLATE(H13,""en"",""zh-CN"")"),"正式礼服")</f>
        <v>正式礼服</v>
      </c>
      <c r="U13" s="3" t="str">
        <f>IFERROR(__xludf.DUMMYFUNCTION("GOOGLETRANSLATE(I13,""en"",""zh-CN"")"),"男士们身着正式长袍和礼帽，表明他们较高的社会地位和活动的正式性质。")</f>
        <v>男士们身着正式长袍和礼帽，表明他们较高的社会地位和活动的正式性质。</v>
      </c>
      <c r="V13" s="2"/>
      <c r="W13" s="2"/>
      <c r="X13" s="2"/>
      <c r="Y13" s="2"/>
      <c r="Z13" s="2"/>
      <c r="AA13" s="2"/>
      <c r="AB13" s="2"/>
      <c r="AC13" s="2"/>
      <c r="AD13" s="2"/>
      <c r="AE13" s="2"/>
      <c r="AF13" s="2"/>
      <c r="AG13" s="2"/>
      <c r="AH13" s="2"/>
      <c r="AI13" s="2"/>
      <c r="AJ13" s="2"/>
      <c r="AK13" s="2"/>
      <c r="AL13" s="2"/>
    </row>
    <row r="14" ht="22.5" customHeight="1">
      <c r="A14" s="3" t="s">
        <v>782</v>
      </c>
      <c r="B14" s="4">
        <v>13.0</v>
      </c>
      <c r="C14" s="3" t="s">
        <v>796</v>
      </c>
      <c r="D14" s="3" t="s">
        <v>797</v>
      </c>
      <c r="E14" s="3" t="s">
        <v>798</v>
      </c>
      <c r="F14" s="3" t="s">
        <v>799</v>
      </c>
      <c r="G14" s="3" t="s">
        <v>800</v>
      </c>
      <c r="H14" s="3" t="s">
        <v>799</v>
      </c>
      <c r="I14" s="3" t="s">
        <v>801</v>
      </c>
      <c r="J14" s="2"/>
      <c r="K14" s="2"/>
      <c r="L14" s="3" t="s">
        <v>782</v>
      </c>
      <c r="M14" s="4">
        <v>13.0</v>
      </c>
      <c r="N14" s="3" t="str">
        <f>IFERROR(__xludf.DUMMYFUNCTION("GOOGLETRANSLATE(C14,""en"",""zh-CN"")"),"身穿橙色长袍的男子正准备击球。这暗示着怎样的比赛风格？")</f>
        <v>身穿橙色长袍的男子正准备击球。这暗示着怎样的比赛风格？</v>
      </c>
      <c r="O14" s="3" t="str">
        <f>IFERROR(__xludf.DUMMYFUNCTION("GOOGLETRANSLATE(D14,""en"",""zh-CN"")"),"比赛节奏快，对抗性强。")</f>
        <v>比赛节奏快，对抗性强。</v>
      </c>
      <c r="P14" s="3" t="str">
        <f>IFERROR(__xludf.DUMMYFUNCTION("GOOGLETRANSLATE(E14,""en"",""zh-CN"")"),"这场游戏是一种节奏缓慢的仪式。")</f>
        <v>这场游戏是一种节奏缓慢的仪式。</v>
      </c>
      <c r="Q14" s="3" t="str">
        <f>IFERROR(__xludf.DUMMYFUNCTION("GOOGLETRANSLATE(F14,""en"",""zh-CN"")"),"游戏内容是用物体击球。")</f>
        <v>游戏内容是用物体击球。</v>
      </c>
      <c r="R14" s="3" t="str">
        <f>IFERROR(__xludf.DUMMYFUNCTION("GOOGLETRANSLATE(G14,""en"",""zh-CN"")"),"这款游戏是单人游戏。")</f>
        <v>这款游戏是单人游戏。</v>
      </c>
      <c r="S14" s="3" t="s">
        <v>802</v>
      </c>
      <c r="T14" s="3" t="str">
        <f>IFERROR(__xludf.DUMMYFUNCTION("GOOGLETRANSLATE(H14,""en"",""zh-CN"")"),"游戏内容是用物体击球。")</f>
        <v>游戏内容是用物体击球。</v>
      </c>
      <c r="U14" s="3" t="str">
        <f>IFERROR(__xludf.DUMMYFUNCTION("GOOGLETRANSLATE(I14,""en"",""zh-CN"")"),"男子举起球杆准备击球的姿势表明，这种蹴鞠变种球并非完全用脚踢。")</f>
        <v>男子举起球杆准备击球的姿势表明，这种蹴鞠变种球并非完全用脚踢。</v>
      </c>
      <c r="V14" s="2"/>
      <c r="W14" s="2"/>
      <c r="X14" s="2"/>
      <c r="Y14" s="2"/>
      <c r="Z14" s="2"/>
      <c r="AA14" s="2"/>
      <c r="AB14" s="2"/>
      <c r="AC14" s="2"/>
      <c r="AD14" s="2"/>
      <c r="AE14" s="2"/>
      <c r="AF14" s="2"/>
      <c r="AG14" s="2"/>
      <c r="AH14" s="2"/>
      <c r="AI14" s="2"/>
      <c r="AJ14" s="2"/>
      <c r="AK14" s="2"/>
      <c r="AL14" s="2"/>
    </row>
    <row r="15" ht="22.5" customHeight="1">
      <c r="A15" s="3" t="s">
        <v>782</v>
      </c>
      <c r="B15" s="4">
        <v>14.0</v>
      </c>
      <c r="C15" s="3" t="s">
        <v>803</v>
      </c>
      <c r="D15" s="3" t="s">
        <v>804</v>
      </c>
      <c r="E15" s="3" t="s">
        <v>762</v>
      </c>
      <c r="F15" s="3" t="s">
        <v>805</v>
      </c>
      <c r="G15" s="3" t="s">
        <v>806</v>
      </c>
      <c r="H15" s="3" t="s">
        <v>806</v>
      </c>
      <c r="I15" s="3" t="s">
        <v>807</v>
      </c>
      <c r="J15" s="2"/>
      <c r="K15" s="2"/>
      <c r="L15" s="3" t="s">
        <v>782</v>
      </c>
      <c r="M15" s="4">
        <v>14.0</v>
      </c>
      <c r="N15" s="3" t="str">
        <f>IFERROR(__xludf.DUMMYFUNCTION("GOOGLETRANSLATE(C15,""en"",""zh-CN"")"),"球场上的小红旗有什么意义？")</f>
        <v>球场上的小红旗有什么意义？</v>
      </c>
      <c r="O15" s="3" t="str">
        <f>IFERROR(__xludf.DUMMYFUNCTION("GOOGLETRANSLATE(D15,""en"",""zh-CN"")"),"它们是球队标记物。")</f>
        <v>它们是球队标记物。</v>
      </c>
      <c r="P15" s="3" t="str">
        <f>IFERROR(__xludf.DUMMYFUNCTION("GOOGLETRANSLATE(E15,""en"",""zh-CN"")"),"它们是简单的装饰品。")</f>
        <v>它们是简单的装饰品。</v>
      </c>
      <c r="Q15" s="3" t="str">
        <f>IFERROR(__xludf.DUMMYFUNCTION("GOOGLETRANSLATE(F15,""en"",""zh-CN"")"),"它们会成为球员的障碍。")</f>
        <v>它们会成为球员的障碍。</v>
      </c>
      <c r="R15" s="3" t="str">
        <f>IFERROR(__xludf.DUMMYFUNCTION("GOOGLETRANSLATE(G15,""en"",""zh-CN"")"),"它们是球门柱或目标。")</f>
        <v>它们是球门柱或目标。</v>
      </c>
      <c r="S15" s="3" t="s">
        <v>808</v>
      </c>
      <c r="T15" s="3" t="str">
        <f>IFERROR(__xludf.DUMMYFUNCTION("GOOGLETRANSLATE(H15,""en"",""zh-CN"")"),"它们是球门柱或目标。")</f>
        <v>它们是球门柱或目标。</v>
      </c>
      <c r="U15" s="3" t="str">
        <f>IFERROR(__xludf.DUMMYFUNCTION("GOOGLETRANSLATE(I15,""en"",""zh-CN"")"),"这些小旗子是球门或目标的标记，球员们的目标是将球击过这些标记来得分。")</f>
        <v>这些小旗子是球门或目标的标记，球员们的目标是将球击过这些标记来得分。</v>
      </c>
      <c r="V15" s="2"/>
      <c r="W15" s="2"/>
      <c r="X15" s="2"/>
      <c r="Y15" s="2"/>
      <c r="Z15" s="2"/>
      <c r="AA15" s="2"/>
      <c r="AB15" s="2"/>
      <c r="AC15" s="2"/>
      <c r="AD15" s="2"/>
      <c r="AE15" s="2"/>
      <c r="AF15" s="2"/>
      <c r="AG15" s="2"/>
      <c r="AH15" s="2"/>
      <c r="AI15" s="2"/>
      <c r="AJ15" s="2"/>
      <c r="AK15" s="2"/>
      <c r="AL15" s="2"/>
    </row>
    <row r="16" ht="22.5" customHeight="1">
      <c r="A16" s="3" t="s">
        <v>782</v>
      </c>
      <c r="B16" s="4">
        <v>15.0</v>
      </c>
      <c r="C16" s="3" t="s">
        <v>809</v>
      </c>
      <c r="D16" s="3" t="s">
        <v>810</v>
      </c>
      <c r="E16" s="3" t="s">
        <v>811</v>
      </c>
      <c r="F16" s="3" t="s">
        <v>812</v>
      </c>
      <c r="G16" s="3" t="s">
        <v>813</v>
      </c>
      <c r="H16" s="3" t="s">
        <v>812</v>
      </c>
      <c r="I16" s="3" t="s">
        <v>814</v>
      </c>
      <c r="J16" s="2"/>
      <c r="K16" s="2"/>
      <c r="L16" s="3" t="s">
        <v>782</v>
      </c>
      <c r="M16" s="4">
        <v>15.0</v>
      </c>
      <c r="N16" s="3" t="str">
        <f>IFERROR(__xludf.DUMMYFUNCTION("GOOGLETRANSLATE(C16,""en"",""zh-CN"")"),"从这幅画中可以推断出游戏的社会层面是什么？")</f>
        <v>从这幅画中可以推断出游戏的社会层面是什么？</v>
      </c>
      <c r="O16" s="3" t="str">
        <f>IFERROR(__xludf.DUMMYFUNCTION("GOOGLETRANSLATE(D16,""en"",""zh-CN"")"),"这是一场为单个家庭举办的私人活动。")</f>
        <v>这是一场为单个家庭举办的私人活动。</v>
      </c>
      <c r="P16" s="3" t="str">
        <f>IFERROR(__xludf.DUMMYFUNCTION("GOOGLETRANSLATE(E16,""en"",""zh-CN"")"),"这是一场盛大的公开活动。")</f>
        <v>这是一场盛大的公开活动。</v>
      </c>
      <c r="Q16" s="3" t="str">
        <f>IFERROR(__xludf.DUMMYFUNCTION("GOOGLETRANSLATE(F16,""en"",""zh-CN"")"),"这是皇室的一种娱乐和休闲方式。")</f>
        <v>这是皇室的一种娱乐和休闲方式。</v>
      </c>
      <c r="R16" s="3" t="str">
        <f>IFERROR(__xludf.DUMMYFUNCTION("GOOGLETRANSLATE(G16,""en"",""zh-CN"")"),"这是一项竞技性很强的运动，有职业联赛。")</f>
        <v>这是一项竞技性很强的运动，有职业联赛。</v>
      </c>
      <c r="S16" s="3" t="s">
        <v>815</v>
      </c>
      <c r="T16" s="3" t="str">
        <f>IFERROR(__xludf.DUMMYFUNCTION("GOOGLETRANSLATE(H16,""en"",""zh-CN"")"),"这是皇室的一种娱乐和休闲方式。")</f>
        <v>这是皇室的一种娱乐和休闲方式。</v>
      </c>
      <c r="U16" s="3" t="str">
        <f>IFERROR(__xludf.DUMMYFUNCTION("GOOGLETRANSLATE(I16,""en"",""zh-CN"")"),"这幅画描绘了在正式的宫廷环境中，有侍从在场演奏蹴鞠的场景，这表明蹴鞠是宫廷的一种高雅娱乐形式。")</f>
        <v>这幅画描绘了在正式的宫廷环境中，有侍从在场演奏蹴鞠的场景，这表明蹴鞠是宫廷的一种高雅娱乐形式。</v>
      </c>
      <c r="V16" s="2"/>
      <c r="W16" s="2"/>
      <c r="X16" s="2"/>
      <c r="Y16" s="2"/>
      <c r="Z16" s="2"/>
      <c r="AA16" s="2"/>
      <c r="AB16" s="2"/>
      <c r="AC16" s="2"/>
      <c r="AD16" s="2"/>
      <c r="AE16" s="2"/>
      <c r="AF16" s="2"/>
      <c r="AG16" s="2"/>
      <c r="AH16" s="2"/>
      <c r="AI16" s="2"/>
      <c r="AJ16" s="2"/>
      <c r="AK16" s="2"/>
      <c r="AL16" s="2"/>
    </row>
    <row r="17" ht="22.5" customHeight="1">
      <c r="A17" s="3" t="s">
        <v>816</v>
      </c>
      <c r="B17" s="4">
        <v>16.0</v>
      </c>
      <c r="C17" s="3" t="s">
        <v>817</v>
      </c>
      <c r="D17" s="3" t="s">
        <v>716</v>
      </c>
      <c r="E17" s="3" t="s">
        <v>718</v>
      </c>
      <c r="F17" s="3" t="s">
        <v>717</v>
      </c>
      <c r="G17" s="3" t="s">
        <v>818</v>
      </c>
      <c r="H17" s="3" t="s">
        <v>718</v>
      </c>
      <c r="I17" s="3" t="s">
        <v>819</v>
      </c>
      <c r="J17" s="2"/>
      <c r="K17" s="2"/>
      <c r="L17" s="3" t="s">
        <v>816</v>
      </c>
      <c r="M17" s="4">
        <v>16.0</v>
      </c>
      <c r="N17" s="3" t="str">
        <f>IFERROR(__xludf.DUMMYFUNCTION("GOOGLETRANSLATE(C17,""en"",""zh-CN"")"),"图片展示的是一项历史运动的现代复原。这项运动是什么？")</f>
        <v>图片展示的是一项历史运动的现代复原。这项运动是什么？</v>
      </c>
      <c r="O17" s="3" t="str">
        <f>IFERROR(__xludf.DUMMYFUNCTION("GOOGLETRANSLATE(D17,""en"",""zh-CN"")"),"现代足球")</f>
        <v>现代足球</v>
      </c>
      <c r="P17" s="3" t="str">
        <f>IFERROR(__xludf.DUMMYFUNCTION("GOOGLETRANSLATE(E17,""en"",""zh-CN"")"),"中国蹴鞠")</f>
        <v>中国蹴鞠</v>
      </c>
      <c r="Q17" s="3" t="str">
        <f>IFERROR(__xludf.DUMMYFUNCTION("GOOGLETRANSLATE(F17,""en"",""zh-CN"")"),"日本菖蒲")</f>
        <v>日本菖蒲</v>
      </c>
      <c r="R17" s="3" t="str">
        <f>IFERROR(__xludf.DUMMYFUNCTION("GOOGLETRANSLATE(G17,""en"",""zh-CN"")"),"美式橄榄球")</f>
        <v>美式橄榄球</v>
      </c>
      <c r="S17" s="3" t="s">
        <v>820</v>
      </c>
      <c r="T17" s="3" t="str">
        <f>IFERROR(__xludf.DUMMYFUNCTION("GOOGLETRANSLATE(H17,""en"",""zh-CN"")"),"中国蹴鞠")</f>
        <v>中国蹴鞠</v>
      </c>
      <c r="U17" s="3" t="str">
        <f>IFERROR(__xludf.DUMMYFUNCTION("GOOGLETRANSLATE(I17,""en"",""zh-CN"")"),"图片显示，身着传统服饰的球员正在进行球类运动，这是对蹴鞠（中国古代足球的前身）的现代复兴。")</f>
        <v>图片显示，身着传统服饰的球员正在进行球类运动，这是对蹴鞠（中国古代足球的前身）的现代复兴。</v>
      </c>
      <c r="V17" s="2"/>
      <c r="W17" s="2"/>
      <c r="X17" s="2"/>
      <c r="Y17" s="2"/>
      <c r="Z17" s="2"/>
      <c r="AA17" s="2"/>
      <c r="AB17" s="2"/>
      <c r="AC17" s="2"/>
      <c r="AD17" s="2"/>
      <c r="AE17" s="2"/>
      <c r="AF17" s="2"/>
      <c r="AG17" s="2"/>
      <c r="AH17" s="2"/>
      <c r="AI17" s="2"/>
      <c r="AJ17" s="2"/>
      <c r="AK17" s="2"/>
      <c r="AL17" s="2"/>
    </row>
    <row r="18" ht="22.5" customHeight="1">
      <c r="A18" s="3" t="s">
        <v>816</v>
      </c>
      <c r="B18" s="4">
        <v>17.0</v>
      </c>
      <c r="C18" s="3" t="s">
        <v>821</v>
      </c>
      <c r="D18" s="3" t="s">
        <v>822</v>
      </c>
      <c r="E18" s="3" t="s">
        <v>823</v>
      </c>
      <c r="F18" s="3" t="s">
        <v>824</v>
      </c>
      <c r="G18" s="3" t="s">
        <v>825</v>
      </c>
      <c r="H18" s="3" t="s">
        <v>823</v>
      </c>
      <c r="I18" s="3" t="s">
        <v>826</v>
      </c>
      <c r="J18" s="2"/>
      <c r="K18" s="2"/>
      <c r="L18" s="3" t="s">
        <v>816</v>
      </c>
      <c r="M18" s="4">
        <v>17.0</v>
      </c>
      <c r="N18" s="3" t="str">
        <f>IFERROR(__xludf.DUMMYFUNCTION("GOOGLETRANSLATE(C18,""en"",""zh-CN"")"),"左边的球员和右边的球员有什么显著区别？")</f>
        <v>左边的球员和右边的球员有什么显著区别？</v>
      </c>
      <c r="O18" s="3" t="str">
        <f>IFERROR(__xludf.DUMMYFUNCTION("GOOGLETRANSLATE(D18,""en"",""zh-CN"")"),"一支球队按照现代规则比赛，另一支球队则没有。")</f>
        <v>一支球队按照现代规则比赛，另一支球队则没有。</v>
      </c>
      <c r="P18" s="3" t="str">
        <f>IFERROR(__xludf.DUMMYFUNCTION("GOOGLETRANSLATE(E18,""en"",""zh-CN"")"),"一支队伍身着传统服饰，另一支队伍则身着现代与传统服饰混搭的服装。")</f>
        <v>一支队伍身着传统服饰，另一支队伍则身着现代与传统服饰混搭的服装。</v>
      </c>
      <c r="Q18" s="3" t="str">
        <f>IFERROR(__xludf.DUMMYFUNCTION("GOOGLETRANSLATE(F18,""en"",""zh-CN"")"),"其中一支球队使用的是不同的比赛用球。")</f>
        <v>其中一支球队使用的是不同的比赛用球。</v>
      </c>
      <c r="R18" s="3" t="str">
        <f>IFERROR(__xludf.DUMMYFUNCTION("GOOGLETRANSLATE(G18,""en"",""zh-CN"")"),"一支队伍穿着队服，另一支队伍没有。")</f>
        <v>一支队伍穿着队服，另一支队伍没有。</v>
      </c>
      <c r="S18" s="3" t="s">
        <v>827</v>
      </c>
      <c r="T18" s="3" t="str">
        <f>IFERROR(__xludf.DUMMYFUNCTION("GOOGLETRANSLATE(H18,""en"",""zh-CN"")"),"一支队伍身着传统服饰，另一支队伍则身着现代与传统服饰混搭的服装。")</f>
        <v>一支队伍身着传统服饰，另一支队伍则身着现代与传统服饰混搭的服装。</v>
      </c>
      <c r="U18" s="3" t="str">
        <f>IFERROR(__xludf.DUMMYFUNCTION("GOOGLETRANSLATE(I18,""en"",""zh-CN"")"),"右边的球员身着中国传统蹴鞠服饰，而左边的两名球员则穿着现代休闲运动服，形成了视觉上的对比。")</f>
        <v>右边的球员身着中国传统蹴鞠服饰，而左边的两名球员则穿着现代休闲运动服，形成了视觉上的对比。</v>
      </c>
      <c r="V18" s="2"/>
      <c r="W18" s="2"/>
      <c r="X18" s="2"/>
      <c r="Y18" s="2"/>
      <c r="Z18" s="2"/>
      <c r="AA18" s="2"/>
      <c r="AB18" s="2"/>
      <c r="AC18" s="2"/>
      <c r="AD18" s="2"/>
      <c r="AE18" s="2"/>
      <c r="AF18" s="2"/>
      <c r="AG18" s="2"/>
      <c r="AH18" s="2"/>
      <c r="AI18" s="2"/>
      <c r="AJ18" s="2"/>
      <c r="AK18" s="2"/>
      <c r="AL18" s="2"/>
    </row>
    <row r="19" ht="22.5" customHeight="1">
      <c r="A19" s="3" t="s">
        <v>816</v>
      </c>
      <c r="B19" s="4">
        <v>18.0</v>
      </c>
      <c r="C19" s="3" t="s">
        <v>828</v>
      </c>
      <c r="D19" s="3" t="s">
        <v>829</v>
      </c>
      <c r="E19" s="3" t="s">
        <v>830</v>
      </c>
      <c r="F19" s="3" t="s">
        <v>831</v>
      </c>
      <c r="G19" s="3" t="s">
        <v>832</v>
      </c>
      <c r="H19" s="3" t="s">
        <v>831</v>
      </c>
      <c r="I19" s="3" t="s">
        <v>833</v>
      </c>
      <c r="J19" s="2"/>
      <c r="K19" s="2"/>
      <c r="L19" s="3" t="s">
        <v>816</v>
      </c>
      <c r="M19" s="4">
        <v>18.0</v>
      </c>
      <c r="N19" s="3" t="str">
        <f>IFERROR(__xludf.DUMMYFUNCTION("GOOGLETRANSLATE(C19,""en"",""zh-CN"")"),"这种复原方式对当今蹴鞠的文化意义有何启示？")</f>
        <v>这种复原方式对当今蹴鞠的文化意义有何启示？</v>
      </c>
      <c r="O19" s="3" t="str">
        <f>IFERROR(__xludf.DUMMYFUNCTION("GOOGLETRANSLATE(D19,""en"",""zh-CN"")"),"它已被遗忘。")</f>
        <v>它已被遗忘。</v>
      </c>
      <c r="P19" s="3" t="str">
        <f>IFERROR(__xludf.DUMMYFUNCTION("GOOGLETRANSLATE(E19,""en"",""zh-CN"")"),"它至今仍作为一项竞技运动进行。")</f>
        <v>它至今仍作为一项竞技运动进行。</v>
      </c>
      <c r="Q19" s="3" t="str">
        <f>IFERROR(__xludf.DUMMYFUNCTION("GOOGLETRANSLATE(F19,""en"",""zh-CN"")"),"这是一个值得庆祝的历史文化传统。")</f>
        <v>这是一个值得庆祝的历史文化传统。</v>
      </c>
      <c r="R19" s="3" t="str">
        <f>IFERROR(__xludf.DUMMYFUNCTION("GOOGLETRANSLATE(G19,""en"",""zh-CN"")"),"这是一项室内运动。")</f>
        <v>这是一项室内运动。</v>
      </c>
      <c r="S19" s="3" t="s">
        <v>834</v>
      </c>
      <c r="T19" s="3" t="str">
        <f>IFERROR(__xludf.DUMMYFUNCTION("GOOGLETRANSLATE(H19,""en"",""zh-CN"")"),"这是一个值得庆祝的历史文化传统。")</f>
        <v>这是一个值得庆祝的历史文化传统。</v>
      </c>
      <c r="U19" s="3" t="str">
        <f>IFERROR(__xludf.DUMMYFUNCTION("GOOGLETRANSLATE(I19,""en"",""zh-CN"")"),"身着传统服饰的公开表演表明，蹴鞠作为中国文化遗产的重要组成部分，正在得到保护和传承。")</f>
        <v>身着传统服饰的公开表演表明，蹴鞠作为中国文化遗产的重要组成部分，正在得到保护和传承。</v>
      </c>
      <c r="V19" s="2"/>
      <c r="W19" s="2"/>
      <c r="X19" s="2"/>
      <c r="Y19" s="2"/>
      <c r="Z19" s="2"/>
      <c r="AA19" s="2"/>
      <c r="AB19" s="2"/>
      <c r="AC19" s="2"/>
      <c r="AD19" s="2"/>
      <c r="AE19" s="2"/>
      <c r="AF19" s="2"/>
      <c r="AG19" s="2"/>
      <c r="AH19" s="2"/>
      <c r="AI19" s="2"/>
      <c r="AJ19" s="2"/>
      <c r="AK19" s="2"/>
      <c r="AL19" s="2"/>
    </row>
    <row r="20" ht="22.5" customHeight="1">
      <c r="A20" s="3" t="s">
        <v>816</v>
      </c>
      <c r="B20" s="4">
        <v>19.0</v>
      </c>
      <c r="C20" s="3" t="s">
        <v>835</v>
      </c>
      <c r="D20" s="3" t="s">
        <v>836</v>
      </c>
      <c r="E20" s="3" t="s">
        <v>837</v>
      </c>
      <c r="F20" s="3" t="s">
        <v>838</v>
      </c>
      <c r="G20" s="3" t="s">
        <v>839</v>
      </c>
      <c r="H20" s="3" t="s">
        <v>836</v>
      </c>
      <c r="I20" s="3" t="s">
        <v>840</v>
      </c>
      <c r="J20" s="2"/>
      <c r="K20" s="2"/>
      <c r="L20" s="3" t="s">
        <v>816</v>
      </c>
      <c r="M20" s="4">
        <v>19.0</v>
      </c>
      <c r="N20" s="3" t="str">
        <f>IFERROR(__xludf.DUMMYFUNCTION("GOOGLETRANSLATE(C20,""en"",""zh-CN"")"),"地面上画的正方形有什么用途？")</f>
        <v>地面上画的正方形有什么用途？</v>
      </c>
      <c r="O20" s="3" t="str">
        <f>IFERROR(__xludf.DUMMYFUNCTION("GOOGLETRANSLATE(D20,""en"",""zh-CN"")"),"这是比赛场地的轮廓图。")</f>
        <v>这是比赛场地的轮廓图。</v>
      </c>
      <c r="P20" s="3" t="str">
        <f>IFERROR(__xludf.DUMMYFUNCTION("GOOGLETRANSLATE(E20,""en"",""zh-CN"")"),"这是球员们必须遵守的界限。")</f>
        <v>这是球员们必须遵守的界限。</v>
      </c>
      <c r="Q20" s="3" t="str">
        <f>IFERROR(__xludf.DUMMYFUNCTION("GOOGLETRANSLATE(F20,""en"",""zh-CN"")"),"这是得分的球门线。")</f>
        <v>这是得分的球门线。</v>
      </c>
      <c r="R20" s="3" t="str">
        <f>IFERROR(__xludf.DUMMYFUNCTION("GOOGLETRANSLATE(G20,""en"",""zh-CN"")"),"它是历史事件的象征。")</f>
        <v>它是历史事件的象征。</v>
      </c>
      <c r="S20" s="3" t="s">
        <v>841</v>
      </c>
      <c r="T20" s="3" t="str">
        <f>IFERROR(__xludf.DUMMYFUNCTION("GOOGLETRANSLATE(H20,""en"",""zh-CN"")"),"这是比赛场地的轮廓图。")</f>
        <v>这是比赛场地的轮廓图。</v>
      </c>
      <c r="U20" s="3" t="str">
        <f>IFERROR(__xludf.DUMMYFUNCTION("GOOGLETRANSLATE(I20,""en"",""zh-CN"")"),"人行道上的白线标出了比赛区域的边界，就像在正式的体育表演赛中一样。")</f>
        <v>人行道上的白线标出了比赛区域的边界，就像在正式的体育表演赛中一样。</v>
      </c>
      <c r="V20" s="2"/>
      <c r="W20" s="2"/>
      <c r="X20" s="2"/>
      <c r="Y20" s="2"/>
      <c r="Z20" s="2"/>
      <c r="AA20" s="2"/>
      <c r="AB20" s="2"/>
      <c r="AC20" s="2"/>
      <c r="AD20" s="2"/>
      <c r="AE20" s="2"/>
      <c r="AF20" s="2"/>
      <c r="AG20" s="2"/>
      <c r="AH20" s="2"/>
      <c r="AI20" s="2"/>
      <c r="AJ20" s="2"/>
      <c r="AK20" s="2"/>
      <c r="AL20" s="2"/>
    </row>
    <row r="21" ht="22.5" customHeight="1">
      <c r="A21" s="3" t="s">
        <v>816</v>
      </c>
      <c r="B21" s="4">
        <v>20.0</v>
      </c>
      <c r="C21" s="3" t="s">
        <v>842</v>
      </c>
      <c r="D21" s="3" t="s">
        <v>843</v>
      </c>
      <c r="E21" s="3" t="s">
        <v>844</v>
      </c>
      <c r="F21" s="3" t="s">
        <v>845</v>
      </c>
      <c r="G21" s="3" t="s">
        <v>846</v>
      </c>
      <c r="H21" s="3" t="s">
        <v>844</v>
      </c>
      <c r="I21" s="3" t="s">
        <v>847</v>
      </c>
      <c r="J21" s="2"/>
      <c r="K21" s="2"/>
      <c r="L21" s="3" t="s">
        <v>816</v>
      </c>
      <c r="M21" s="4">
        <v>20.0</v>
      </c>
      <c r="N21" s="3" t="str">
        <f>IFERROR(__xludf.DUMMYFUNCTION("GOOGLETRANSLATE(C21,""en"",""zh-CN"")"),"这两位现代球员来自不同的种族。这说明这项赛事有什么特点？")</f>
        <v>这两位现代球员来自不同的种族。这说明这项赛事有什么特点？</v>
      </c>
      <c r="O21" s="3" t="str">
        <f>IFERROR(__xludf.DUMMYFUNCTION("GOOGLETRANSLATE(D21,""en"",""zh-CN"")"),"这是一场不同国家之间的比赛。")</f>
        <v>这是一场不同国家之间的比赛。</v>
      </c>
      <c r="P21" s="3" t="str">
        <f>IFERROR(__xludf.DUMMYFUNCTION("GOOGLETRANSLATE(E21,""en"",""zh-CN"")"),"这是一次文化交流活动。")</f>
        <v>这是一次文化交流活动。</v>
      </c>
      <c r="Q21" s="3" t="str">
        <f>IFERROR(__xludf.DUMMYFUNCTION("GOOGLETRANSLATE(F21,""en"",""zh-CN"")"),"这是一场职业比赛。")</f>
        <v>这是一场职业比赛。</v>
      </c>
      <c r="R21" s="3" t="str">
        <f>IFERROR(__xludf.DUMMYFUNCTION("GOOGLETRANSLATE(G21,""en"",""zh-CN"")"),"这是一款轻松友好的休闲游戏。")</f>
        <v>这是一款轻松友好的休闲游戏。</v>
      </c>
      <c r="S21" s="3" t="s">
        <v>848</v>
      </c>
      <c r="T21" s="3" t="str">
        <f>IFERROR(__xludf.DUMMYFUNCTION("GOOGLETRANSLATE(H21,""en"",""zh-CN"")"),"这是一次文化交流活动。")</f>
        <v>这是一次文化交流活动。</v>
      </c>
      <c r="U21" s="3" t="str">
        <f>IFERROR(__xludf.DUMMYFUNCTION("GOOGLETRANSLATE(I21,""en"",""zh-CN"")"),"传统与现代服饰的混搭，以及球员的多样性，表明这是一场文化交流或公开展示，而不是一场正式的传统比赛。")</f>
        <v>传统与现代服饰的混搭，以及球员的多样性，表明这是一场文化交流或公开展示，而不是一场正式的传统比赛。</v>
      </c>
      <c r="V21" s="2"/>
      <c r="W21" s="2"/>
      <c r="X21" s="2"/>
      <c r="Y21" s="2"/>
      <c r="Z21" s="2"/>
      <c r="AA21" s="2"/>
      <c r="AB21" s="2"/>
      <c r="AC21" s="2"/>
      <c r="AD21" s="2"/>
      <c r="AE21" s="2"/>
      <c r="AF21" s="2"/>
      <c r="AG21" s="2"/>
      <c r="AH21" s="2"/>
      <c r="AI21" s="2"/>
      <c r="AJ21" s="2"/>
      <c r="AK21" s="2"/>
      <c r="AL21" s="2"/>
    </row>
    <row r="22" ht="22.5" customHeight="1">
      <c r="A22" s="3" t="s">
        <v>849</v>
      </c>
      <c r="B22" s="4">
        <v>21.0</v>
      </c>
      <c r="C22" s="3" t="s">
        <v>850</v>
      </c>
      <c r="D22" s="3" t="s">
        <v>851</v>
      </c>
      <c r="E22" s="3" t="s">
        <v>852</v>
      </c>
      <c r="F22" s="3" t="s">
        <v>853</v>
      </c>
      <c r="G22" s="3" t="s">
        <v>854</v>
      </c>
      <c r="H22" s="3" t="s">
        <v>853</v>
      </c>
      <c r="I22" s="3" t="s">
        <v>855</v>
      </c>
      <c r="J22" s="2"/>
      <c r="K22" s="2"/>
      <c r="L22" s="3" t="s">
        <v>849</v>
      </c>
      <c r="M22" s="4">
        <v>21.0</v>
      </c>
      <c r="N22" s="3" t="str">
        <f>IFERROR(__xludf.DUMMYFUNCTION("GOOGLETRANSLATE(C22,""en"",""zh-CN"")"),"这幅画描绘的主要活动是什么？")</f>
        <v>这幅画描绘的主要活动是什么？</v>
      </c>
      <c r="O22" s="3" t="str">
        <f>IFERROR(__xludf.DUMMYFUNCTION("GOOGLETRANSLATE(D22,""en"",""zh-CN"")"),"一场高尔夫球赛")</f>
        <v>一场高尔夫球赛</v>
      </c>
      <c r="P22" s="3" t="str">
        <f>IFERROR(__xludf.DUMMYFUNCTION("GOOGLETRANSLATE(E22,""en"",""zh-CN"")"),"射箭游戏")</f>
        <v>射箭游戏</v>
      </c>
      <c r="Q22" s="3" t="str">
        <f>IFERROR(__xludf.DUMMYFUNCTION("GOOGLETRANSLATE(F22,""en"",""zh-CN"")"),"楚万棋")</f>
        <v>楚万棋</v>
      </c>
      <c r="R22" s="3" t="str">
        <f>IFERROR(__xludf.DUMMYFUNCTION("GOOGLETRANSLATE(G22,""en"",""zh-CN"")"),"一场板球比赛")</f>
        <v>一场板球比赛</v>
      </c>
      <c r="S22" s="3" t="s">
        <v>856</v>
      </c>
      <c r="T22" s="3" t="str">
        <f>IFERROR(__xludf.DUMMYFUNCTION("GOOGLETRANSLATE(H22,""en"",""zh-CN"")"),"楚万棋")</f>
        <v>楚万棋</v>
      </c>
      <c r="U22" s="3" t="str">
        <f>IFERROR(__xludf.DUMMYFUNCTION("GOOGLETRANSLATE(I22,""en"",""zh-CN"")"),"图片显示两个人正在玩一种用球和球棍击打球向球门或目标的游戏，这是击球游戏的典型特征，击球游戏类似于高尔夫或槌球。")</f>
        <v>图片显示两个人正在玩一种用球和球棍击打球向球门或目标的游戏，这是击球游戏的典型特征，击球游戏类似于高尔夫或槌球。</v>
      </c>
      <c r="V22" s="2"/>
      <c r="W22" s="2"/>
      <c r="X22" s="2"/>
      <c r="Y22" s="2"/>
      <c r="Z22" s="2"/>
      <c r="AA22" s="2"/>
      <c r="AB22" s="2"/>
      <c r="AC22" s="2"/>
      <c r="AD22" s="2"/>
      <c r="AE22" s="2"/>
      <c r="AF22" s="2"/>
      <c r="AG22" s="2"/>
      <c r="AH22" s="2"/>
      <c r="AI22" s="2"/>
      <c r="AJ22" s="2"/>
      <c r="AK22" s="2"/>
      <c r="AL22" s="2"/>
    </row>
    <row r="23" ht="22.5" customHeight="1">
      <c r="A23" s="3" t="s">
        <v>849</v>
      </c>
      <c r="B23" s="4">
        <v>22.0</v>
      </c>
      <c r="C23" s="3" t="s">
        <v>857</v>
      </c>
      <c r="D23" s="3" t="s">
        <v>858</v>
      </c>
      <c r="E23" s="3" t="s">
        <v>859</v>
      </c>
      <c r="F23" s="3" t="s">
        <v>860</v>
      </c>
      <c r="G23" s="3" t="s">
        <v>861</v>
      </c>
      <c r="H23" s="3" t="s">
        <v>860</v>
      </c>
      <c r="I23" s="3" t="s">
        <v>862</v>
      </c>
      <c r="J23" s="2"/>
      <c r="K23" s="2"/>
      <c r="L23" s="3" t="s">
        <v>849</v>
      </c>
      <c r="M23" s="4">
        <v>22.0</v>
      </c>
      <c r="N23" s="3" t="str">
        <f>IFERROR(__xludf.DUMMYFUNCTION("GOOGLETRANSLATE(C23,""en"",""zh-CN"")"),"地上那个像花瓶一样的物体是做什么用的？")</f>
        <v>地上那个像花瓶一样的物体是做什么用的？</v>
      </c>
      <c r="O23" s="3" t="str">
        <f>IFERROR(__xludf.DUMMYFUNCTION("GOOGLETRANSLATE(D23,""en"",""zh-CN"")"),"这是一个饮水器皿。")</f>
        <v>这是一个饮水器皿。</v>
      </c>
      <c r="P23" s="3" t="str">
        <f>IFERROR(__xludf.DUMMYFUNCTION("GOOGLETRANSLATE(E23,""en"",""zh-CN"")"),"它是一种装饰品。")</f>
        <v>它是一种装饰品。</v>
      </c>
      <c r="Q23" s="3" t="str">
        <f>IFERROR(__xludf.DUMMYFUNCTION("GOOGLETRANSLATE(F23,""en"",""zh-CN"")"),"它是目标或目的。")</f>
        <v>它是目标或目的。</v>
      </c>
      <c r="R23" s="3" t="str">
        <f>IFERROR(__xludf.DUMMYFUNCTION("GOOGLETRANSLATE(G23,""en"",""zh-CN"")"),"这是用来放置球的占位符。")</f>
        <v>这是用来放置球的占位符。</v>
      </c>
      <c r="S23" s="3" t="s">
        <v>863</v>
      </c>
      <c r="T23" s="3" t="str">
        <f>IFERROR(__xludf.DUMMYFUNCTION("GOOGLETRANSLATE(H23,""en"",""zh-CN"")"),"它是目标或目的。")</f>
        <v>它是目标或目的。</v>
      </c>
      <c r="U23" s="3" t="str">
        <f>IFERROR(__xludf.DUMMYFUNCTION("GOOGLETRANSLATE(I23,""en"",""zh-CN"")"),"花瓶、长棍和球，在类似于现代高尔夫或槌球的游戏中，可以作为目标或球洞，目标是将球击入其中。")</f>
        <v>花瓶、长棍和球，在类似于现代高尔夫或槌球的游戏中，可以作为目标或球洞，目标是将球击入其中。</v>
      </c>
      <c r="V23" s="2"/>
      <c r="W23" s="2"/>
      <c r="X23" s="2"/>
      <c r="Y23" s="2"/>
      <c r="Z23" s="2"/>
      <c r="AA23" s="2"/>
      <c r="AB23" s="2"/>
      <c r="AC23" s="2"/>
      <c r="AD23" s="2"/>
      <c r="AE23" s="2"/>
      <c r="AF23" s="2"/>
      <c r="AG23" s="2"/>
      <c r="AH23" s="2"/>
      <c r="AI23" s="2"/>
      <c r="AJ23" s="2"/>
      <c r="AK23" s="2"/>
      <c r="AL23" s="2"/>
    </row>
    <row r="24" ht="22.5" customHeight="1">
      <c r="A24" s="3" t="s">
        <v>849</v>
      </c>
      <c r="B24" s="4">
        <v>23.0</v>
      </c>
      <c r="C24" s="3" t="s">
        <v>864</v>
      </c>
      <c r="D24" s="3" t="s">
        <v>865</v>
      </c>
      <c r="E24" s="3" t="s">
        <v>866</v>
      </c>
      <c r="F24" s="3" t="s">
        <v>867</v>
      </c>
      <c r="G24" s="3" t="s">
        <v>868</v>
      </c>
      <c r="H24" s="3" t="s">
        <v>866</v>
      </c>
      <c r="I24" s="3" t="s">
        <v>869</v>
      </c>
      <c r="J24" s="2"/>
      <c r="K24" s="2"/>
      <c r="L24" s="3" t="s">
        <v>849</v>
      </c>
      <c r="M24" s="4">
        <v>23.0</v>
      </c>
      <c r="N24" s="3" t="str">
        <f>IFERROR(__xludf.DUMMYFUNCTION("GOOGLETRANSLATE(C24,""en"",""zh-CN"")"),"这两个人物形象传达了怎样的整体氛围？")</f>
        <v>这两个人物形象传达了怎样的整体氛围？</v>
      </c>
      <c r="O24" s="3" t="str">
        <f>IFERROR(__xludf.DUMMYFUNCTION("GOOGLETRANSLATE(D24,""en"",""zh-CN"")"),"积极进取，富有竞争力")</f>
        <v>积极进取，富有竞争力</v>
      </c>
      <c r="P24" s="3" t="str">
        <f>IFERROR(__xludf.DUMMYFUNCTION("GOOGLETRANSLATE(E24,""en"",""zh-CN"")"),"轻松自在")</f>
        <v>轻松自在</v>
      </c>
      <c r="Q24" s="3" t="str">
        <f>IFERROR(__xludf.DUMMYFUNCTION("GOOGLETRANSLATE(F24,""en"",""zh-CN"")"),"严肃而庄重的")</f>
        <v>严肃而庄重的</v>
      </c>
      <c r="R24" s="3" t="str">
        <f>IFERROR(__xludf.DUMMYFUNCTION("GOOGLETRANSLATE(G24,""en"",""zh-CN"")"),"专注而投入")</f>
        <v>专注而投入</v>
      </c>
      <c r="S24" s="3" t="s">
        <v>870</v>
      </c>
      <c r="T24" s="3" t="str">
        <f>IFERROR(__xludf.DUMMYFUNCTION("GOOGLETRANSLATE(H24,""en"",""zh-CN"")"),"轻松自在")</f>
        <v>轻松自在</v>
      </c>
      <c r="U24" s="3" t="str">
        <f>IFERROR(__xludf.DUMMYFUNCTION("GOOGLETRANSLATE(I24,""en"",""zh-CN"")"),"两人放松的姿态和略带滑稽的面部表情表明，这场比赛是一种悠闲的、轻松的消遣，而不是一场严肃的比赛。")</f>
        <v>两人放松的姿态和略带滑稽的面部表情表明，这场比赛是一种悠闲的、轻松的消遣，而不是一场严肃的比赛。</v>
      </c>
      <c r="V24" s="2"/>
      <c r="W24" s="2"/>
      <c r="X24" s="2"/>
      <c r="Y24" s="2"/>
      <c r="Z24" s="2"/>
      <c r="AA24" s="2"/>
      <c r="AB24" s="2"/>
      <c r="AC24" s="2"/>
      <c r="AD24" s="2"/>
      <c r="AE24" s="2"/>
      <c r="AF24" s="2"/>
      <c r="AG24" s="2"/>
      <c r="AH24" s="2"/>
      <c r="AI24" s="2"/>
      <c r="AJ24" s="2"/>
      <c r="AK24" s="2"/>
      <c r="AL24" s="2"/>
    </row>
    <row r="25" ht="22.5" customHeight="1">
      <c r="A25" s="3" t="s">
        <v>849</v>
      </c>
      <c r="B25" s="4">
        <v>24.0</v>
      </c>
      <c r="C25" s="3" t="s">
        <v>871</v>
      </c>
      <c r="D25" s="3" t="s">
        <v>872</v>
      </c>
      <c r="E25" s="3" t="s">
        <v>873</v>
      </c>
      <c r="F25" s="3" t="s">
        <v>874</v>
      </c>
      <c r="G25" s="3" t="s">
        <v>875</v>
      </c>
      <c r="H25" s="3" t="s">
        <v>874</v>
      </c>
      <c r="I25" s="3" t="s">
        <v>876</v>
      </c>
      <c r="J25" s="2"/>
      <c r="K25" s="2"/>
      <c r="L25" s="3" t="s">
        <v>849</v>
      </c>
      <c r="M25" s="4">
        <v>24.0</v>
      </c>
      <c r="N25" s="3" t="str">
        <f>IFERROR(__xludf.DUMMYFUNCTION("GOOGLETRANSLATE(C25,""en"",""zh-CN"")"),"这些人穿的是什么类型的衣服？")</f>
        <v>这些人穿的是什么类型的衣服？</v>
      </c>
      <c r="O25" s="3" t="str">
        <f>IFERROR(__xludf.DUMMYFUNCTION("GOOGLETRANSLATE(D25,""en"",""zh-CN"")"),"简朴的农夫服装")</f>
        <v>简朴的农夫服装</v>
      </c>
      <c r="P25" s="3" t="str">
        <f>IFERROR(__xludf.DUMMYFUNCTION("GOOGLETRANSLATE(E25,""en"",""zh-CN"")"),"正式军装")</f>
        <v>正式军装</v>
      </c>
      <c r="Q25" s="3" t="str">
        <f>IFERROR(__xludf.DUMMYFUNCTION("GOOGLETRANSLATE(F25,""en"",""zh-CN"")"),"传统汉服")</f>
        <v>传统汉服</v>
      </c>
      <c r="R25" s="3" t="str">
        <f>IFERROR(__xludf.DUMMYFUNCTION("GOOGLETRANSLATE(G25,""en"",""zh-CN"")"),"现代服装")</f>
        <v>现代服装</v>
      </c>
      <c r="S25" s="3" t="s">
        <v>877</v>
      </c>
      <c r="T25" s="3" t="str">
        <f>IFERROR(__xludf.DUMMYFUNCTION("GOOGLETRANSLATE(H25,""en"",""zh-CN"")"),"传统汉服")</f>
        <v>传统汉服</v>
      </c>
      <c r="U25" s="3" t="str">
        <f>IFERROR(__xludf.DUMMYFUNCTION("GOOGLETRANSLATE(I25,""en"",""zh-CN"")"),"宽松的长袍是汉族传统服饰的款式，表明场景设定在中国古代或皇室时期。")</f>
        <v>宽松的长袍是汉族传统服饰的款式，表明场景设定在中国古代或皇室时期。</v>
      </c>
      <c r="V25" s="2"/>
      <c r="W25" s="2"/>
      <c r="X25" s="2"/>
      <c r="Y25" s="2"/>
      <c r="Z25" s="2"/>
      <c r="AA25" s="2"/>
      <c r="AB25" s="2"/>
      <c r="AC25" s="2"/>
      <c r="AD25" s="2"/>
      <c r="AE25" s="2"/>
      <c r="AF25" s="2"/>
      <c r="AG25" s="2"/>
      <c r="AH25" s="2"/>
      <c r="AI25" s="2"/>
      <c r="AJ25" s="2"/>
      <c r="AK25" s="2"/>
      <c r="AL25" s="2"/>
    </row>
    <row r="26" ht="22.5" customHeight="1">
      <c r="A26" s="3" t="s">
        <v>849</v>
      </c>
      <c r="B26" s="4">
        <v>25.0</v>
      </c>
      <c r="C26" s="3" t="s">
        <v>878</v>
      </c>
      <c r="D26" s="3" t="s">
        <v>879</v>
      </c>
      <c r="E26" s="3" t="s">
        <v>880</v>
      </c>
      <c r="F26" s="3" t="s">
        <v>881</v>
      </c>
      <c r="G26" s="3" t="s">
        <v>882</v>
      </c>
      <c r="H26" s="3" t="s">
        <v>881</v>
      </c>
      <c r="I26" s="3" t="s">
        <v>883</v>
      </c>
      <c r="J26" s="2"/>
      <c r="K26" s="2"/>
      <c r="L26" s="3" t="s">
        <v>849</v>
      </c>
      <c r="M26" s="4">
        <v>25.0</v>
      </c>
      <c r="N26" s="3" t="str">
        <f>IFERROR(__xludf.DUMMYFUNCTION("GOOGLETRANSLATE(C26,""en"",""zh-CN"")"),"由此可以推断出这些球员的社会地位如何？")</f>
        <v>由此可以推断出这些球员的社会地位如何？</v>
      </c>
      <c r="O26" s="3" t="str">
        <f>IFERROR(__xludf.DUMMYFUNCTION("GOOGLETRANSLATE(D26,""en"",""zh-CN"")"),"他们的社会地位很低。")</f>
        <v>他们的社会地位很低。</v>
      </c>
      <c r="P26" s="3" t="str">
        <f>IFERROR(__xludf.DUMMYFUNCTION("GOOGLETRANSLATE(E26,""en"",""zh-CN"")"),"他们是农民。")</f>
        <v>他们是农民。</v>
      </c>
      <c r="Q26" s="3" t="str">
        <f>IFERROR(__xludf.DUMMYFUNCTION("GOOGLETRANSLATE(F26,""en"",""zh-CN"")"),"他们属于较高的社会阶层。")</f>
        <v>他们属于较高的社会阶层。</v>
      </c>
      <c r="R26" s="3" t="str">
        <f>IFERROR(__xludf.DUMMYFUNCTION("GOOGLETRANSLATE(G26,""en"",""zh-CN"")"),"他们是士兵。")</f>
        <v>他们是士兵。</v>
      </c>
      <c r="S26" s="3" t="s">
        <v>884</v>
      </c>
      <c r="T26" s="3" t="str">
        <f>IFERROR(__xludf.DUMMYFUNCTION("GOOGLETRANSLATE(H26,""en"",""zh-CN"")"),"他们属于较高的社会阶层。")</f>
        <v>他们属于较高的社会阶层。</v>
      </c>
      <c r="U26" s="3" t="str">
        <f>IFERROR(__xludf.DUMMYFUNCTION("GOOGLETRANSLATE(I26,""en"",""zh-CN"")"),"干净整洁的长袍和轻松的比赛环境表明，这种游戏是富裕阶层或精英阶层的消遣，他们不从事体力劳动。")</f>
        <v>干净整洁的长袍和轻松的比赛环境表明，这种游戏是富裕阶层或精英阶层的消遣，他们不从事体力劳动。</v>
      </c>
      <c r="V26" s="2"/>
      <c r="W26" s="2"/>
      <c r="X26" s="2"/>
      <c r="Y26" s="2"/>
      <c r="Z26" s="2"/>
      <c r="AA26" s="2"/>
      <c r="AB26" s="2"/>
      <c r="AC26" s="2"/>
      <c r="AD26" s="2"/>
      <c r="AE26" s="2"/>
      <c r="AF26" s="2"/>
      <c r="AG26" s="2"/>
      <c r="AH26" s="2"/>
      <c r="AI26" s="2"/>
      <c r="AJ26" s="2"/>
      <c r="AK26" s="2"/>
      <c r="AL26" s="2"/>
    </row>
    <row r="27" ht="22.5" customHeight="1">
      <c r="A27" s="3" t="s">
        <v>885</v>
      </c>
      <c r="B27" s="4">
        <v>26.0</v>
      </c>
      <c r="C27" s="3" t="s">
        <v>886</v>
      </c>
      <c r="D27" s="3" t="s">
        <v>887</v>
      </c>
      <c r="E27" s="3" t="s">
        <v>200</v>
      </c>
      <c r="F27" s="3" t="s">
        <v>888</v>
      </c>
      <c r="G27" s="3" t="s">
        <v>889</v>
      </c>
      <c r="H27" s="3" t="s">
        <v>888</v>
      </c>
      <c r="I27" s="3" t="s">
        <v>890</v>
      </c>
      <c r="J27" s="2"/>
      <c r="K27" s="2"/>
      <c r="L27" s="3" t="s">
        <v>885</v>
      </c>
      <c r="M27" s="4">
        <v>26.0</v>
      </c>
      <c r="N27" s="3" t="str">
        <f>IFERROR(__xludf.DUMMYFUNCTION("GOOGLETRANSLATE(C27,""en"",""zh-CN"")"),"图中所示的主要活动是什么？")</f>
        <v>图中所示的主要活动是什么？</v>
      </c>
      <c r="O27" s="3" t="str">
        <f>IFERROR(__xludf.DUMMYFUNCTION("GOOGLETRANSLATE(D27,""en"",""zh-CN"")"),"阅兵式")</f>
        <v>阅兵式</v>
      </c>
      <c r="P27" s="3" t="str">
        <f>IFERROR(__xludf.DUMMYFUNCTION("GOOGLETRANSLATE(E27,""en"",""zh-CN"")"),"一套体操动作")</f>
        <v>一套体操动作</v>
      </c>
      <c r="Q27" s="3" t="str">
        <f>IFERROR(__xludf.DUMMYFUNCTION("GOOGLETRANSLATE(F27,""en"",""zh-CN"")"),"蹴鞠展览或训练课程")</f>
        <v>蹴鞠展览或训练课程</v>
      </c>
      <c r="R27" s="3" t="str">
        <f>IFERROR(__xludf.DUMMYFUNCTION("GOOGLETRANSLATE(G27,""en"",""zh-CN"")"),"武术表演")</f>
        <v>武术表演</v>
      </c>
      <c r="S27" s="3" t="s">
        <v>891</v>
      </c>
      <c r="T27" s="3" t="str">
        <f>IFERROR(__xludf.DUMMYFUNCTION("GOOGLETRANSLATE(H27,""en"",""zh-CN"")"),"蹴鞠展览或训练课程")</f>
        <v>蹴鞠展览或训练课程</v>
      </c>
      <c r="U27" s="3" t="str">
        <f>IFERROR(__xludf.DUMMYFUNCTION("GOOGLETRANSLATE(I27,""en"",""zh-CN"")"),"图片显示一群身着传统蹴鞠服饰的人正在练习蹴鞠，这表明他们正在进行蹴鞠表演或训练。")</f>
        <v>图片显示一群身着传统蹴鞠服饰的人正在练习蹴鞠，这表明他们正在进行蹴鞠表演或训练。</v>
      </c>
      <c r="V27" s="2"/>
      <c r="W27" s="2"/>
      <c r="X27" s="2"/>
      <c r="Y27" s="2"/>
      <c r="Z27" s="2"/>
      <c r="AA27" s="2"/>
      <c r="AB27" s="2"/>
      <c r="AC27" s="2"/>
      <c r="AD27" s="2"/>
      <c r="AE27" s="2"/>
      <c r="AF27" s="2"/>
      <c r="AG27" s="2"/>
      <c r="AH27" s="2"/>
      <c r="AI27" s="2"/>
      <c r="AJ27" s="2"/>
      <c r="AK27" s="2"/>
      <c r="AL27" s="2"/>
    </row>
    <row r="28" ht="22.5" customHeight="1">
      <c r="A28" s="3" t="s">
        <v>885</v>
      </c>
      <c r="B28" s="4">
        <v>27.0</v>
      </c>
      <c r="C28" s="3" t="s">
        <v>892</v>
      </c>
      <c r="D28" s="3" t="s">
        <v>893</v>
      </c>
      <c r="E28" s="3" t="s">
        <v>894</v>
      </c>
      <c r="F28" s="3" t="s">
        <v>895</v>
      </c>
      <c r="G28" s="3" t="s">
        <v>896</v>
      </c>
      <c r="H28" s="3" t="s">
        <v>895</v>
      </c>
      <c r="I28" s="3" t="s">
        <v>897</v>
      </c>
      <c r="J28" s="2"/>
      <c r="K28" s="2"/>
      <c r="L28" s="3" t="s">
        <v>885</v>
      </c>
      <c r="M28" s="4">
        <v>27.0</v>
      </c>
      <c r="N28" s="3" t="str">
        <f>IFERROR(__xludf.DUMMYFUNCTION("GOOGLETRANSLATE(C28,""en"",""zh-CN"")"),"前景中的人拿着球在做什么？")</f>
        <v>前景中的人拿着球在做什么？</v>
      </c>
      <c r="O28" s="3" t="str">
        <f>IFERROR(__xludf.DUMMYFUNCTION("GOOGLETRANSLATE(D28,""en"",""zh-CN"")"),"他正忙得焦头烂额。")</f>
        <v>他正忙得焦头烂额。</v>
      </c>
      <c r="P28" s="3" t="str">
        <f>IFERROR(__xludf.DUMMYFUNCTION("GOOGLETRANSLATE(E28,""en"",""zh-CN"")"),"他正用手接住它。")</f>
        <v>他正用手接住它。</v>
      </c>
      <c r="Q28" s="3" t="str">
        <f>IFERROR(__xludf.DUMMYFUNCTION("GOOGLETRANSLATE(F28,""en"",""zh-CN"")"),"他正把球踢进球门。")</f>
        <v>他正把球踢进球门。</v>
      </c>
      <c r="R28" s="3" t="str">
        <f>IFERROR(__xludf.DUMMYFUNCTION("GOOGLETRANSLATE(G28,""en"",""zh-CN"")"),"他正把它放在背上颠来颠去。")</f>
        <v>他正把它放在背上颠来颠去。</v>
      </c>
      <c r="S28" s="3" t="s">
        <v>898</v>
      </c>
      <c r="T28" s="3" t="str">
        <f>IFERROR(__xludf.DUMMYFUNCTION("GOOGLETRANSLATE(H28,""en"",""zh-CN"")"),"他正把球踢进球门。")</f>
        <v>他正把球踢进球门。</v>
      </c>
      <c r="U28" s="3" t="str">
        <f>IFERROR(__xludf.DUMMYFUNCTION("GOOGLETRANSLATE(I28,""en"",""zh-CN"")"),"前景中的人用脚向上踢球，演示了一种让球保持在空中的技巧，这是蹴鞠许多流派的关键技能。")</f>
        <v>前景中的人用脚向上踢球，演示了一种让球保持在空中的技巧，这是蹴鞠许多流派的关键技能。</v>
      </c>
      <c r="V28" s="2"/>
      <c r="W28" s="2"/>
      <c r="X28" s="2"/>
      <c r="Y28" s="2"/>
      <c r="Z28" s="2"/>
      <c r="AA28" s="2"/>
      <c r="AB28" s="2"/>
      <c r="AC28" s="2"/>
      <c r="AD28" s="2"/>
      <c r="AE28" s="2"/>
      <c r="AF28" s="2"/>
      <c r="AG28" s="2"/>
      <c r="AH28" s="2"/>
      <c r="AI28" s="2"/>
      <c r="AJ28" s="2"/>
      <c r="AK28" s="2"/>
      <c r="AL28" s="2"/>
    </row>
    <row r="29" ht="22.5" customHeight="1">
      <c r="A29" s="3" t="s">
        <v>885</v>
      </c>
      <c r="B29" s="4">
        <v>28.0</v>
      </c>
      <c r="C29" s="3" t="s">
        <v>899</v>
      </c>
      <c r="D29" s="3" t="s">
        <v>900</v>
      </c>
      <c r="E29" s="3" t="s">
        <v>901</v>
      </c>
      <c r="F29" s="3" t="s">
        <v>902</v>
      </c>
      <c r="G29" s="3" t="s">
        <v>903</v>
      </c>
      <c r="H29" s="3" t="s">
        <v>902</v>
      </c>
      <c r="I29" s="3" t="s">
        <v>904</v>
      </c>
      <c r="J29" s="2"/>
      <c r="K29" s="2"/>
      <c r="L29" s="3" t="s">
        <v>885</v>
      </c>
      <c r="M29" s="4">
        <v>28.0</v>
      </c>
      <c r="N29" s="3" t="str">
        <f>IFERROR(__xludf.DUMMYFUNCTION("GOOGLETRANSLATE(C29,""en"",""zh-CN"")"),"该团体身处现代化的赛场。这说明这项赛事有什么特点？")</f>
        <v>该团体身处现代化的赛场。这说明这项赛事有什么特点？</v>
      </c>
      <c r="O29" s="3" t="str">
        <f>IFERROR(__xludf.DUMMYFUNCTION("GOOGLETRANSLATE(D29,""en"",""zh-CN"")"),"这是一场正式的比赛。")</f>
        <v>这是一场正式的比赛。</v>
      </c>
      <c r="P29" s="3" t="str">
        <f>IFERROR(__xludf.DUMMYFUNCTION("GOOGLETRANSLATE(E29,""en"",""zh-CN"")"),"这是为一部历史电影进行的表演。")</f>
        <v>这是为一部历史电影进行的表演。</v>
      </c>
      <c r="Q29" s="3" t="str">
        <f>IFERROR(__xludf.DUMMYFUNCTION("GOOGLETRANSLATE(F29,""en"",""zh-CN"")"),"这是对一项古老运动的现代复兴。")</f>
        <v>这是对一项古老运动的现代复兴。</v>
      </c>
      <c r="R29" s="3" t="str">
        <f>IFERROR(__xludf.DUMMYFUNCTION("GOOGLETRANSLATE(G29,""en"",""zh-CN"")"),"这是一种非正式的做法。")</f>
        <v>这是一种非正式的做法。</v>
      </c>
      <c r="S29" s="3" t="s">
        <v>905</v>
      </c>
      <c r="T29" s="3" t="str">
        <f>IFERROR(__xludf.DUMMYFUNCTION("GOOGLETRANSLATE(H29,""en"",""zh-CN"")"),"这是对一项古老运动的现代复兴。")</f>
        <v>这是对一项古老运动的现代复兴。</v>
      </c>
      <c r="U29" s="3" t="str">
        <f>IFERROR(__xludf.DUMMYFUNCTION("GOOGLETRANSLATE(I29,""en"",""zh-CN"")"),"人造草坪场地、现代照明和背景中的横幅表明，这是一场庆祝蹴鞠这项历史悠久的运动的现代活动。")</f>
        <v>人造草坪场地、现代照明和背景中的横幅表明，这是一场庆祝蹴鞠这项历史悠久的运动的现代活动。</v>
      </c>
      <c r="V29" s="2"/>
      <c r="W29" s="2"/>
      <c r="X29" s="2"/>
      <c r="Y29" s="2"/>
      <c r="Z29" s="2"/>
      <c r="AA29" s="2"/>
      <c r="AB29" s="2"/>
      <c r="AC29" s="2"/>
      <c r="AD29" s="2"/>
      <c r="AE29" s="2"/>
      <c r="AF29" s="2"/>
      <c r="AG29" s="2"/>
      <c r="AH29" s="2"/>
      <c r="AI29" s="2"/>
      <c r="AJ29" s="2"/>
      <c r="AK29" s="2"/>
      <c r="AL29" s="2"/>
    </row>
    <row r="30" ht="22.5" customHeight="1">
      <c r="A30" s="3" t="s">
        <v>885</v>
      </c>
      <c r="B30" s="4">
        <v>29.0</v>
      </c>
      <c r="C30" s="3" t="s">
        <v>906</v>
      </c>
      <c r="D30" s="3" t="s">
        <v>907</v>
      </c>
      <c r="E30" s="3" t="s">
        <v>908</v>
      </c>
      <c r="F30" s="3" t="s">
        <v>909</v>
      </c>
      <c r="G30" s="3" t="s">
        <v>910</v>
      </c>
      <c r="H30" s="3" t="s">
        <v>909</v>
      </c>
      <c r="I30" s="3" t="s">
        <v>911</v>
      </c>
      <c r="J30" s="2"/>
      <c r="K30" s="2"/>
      <c r="L30" s="3" t="s">
        <v>885</v>
      </c>
      <c r="M30" s="4">
        <v>29.0</v>
      </c>
      <c r="N30" s="3" t="str">
        <f>IFERROR(__xludf.DUMMYFUNCTION("GOOGLETRANSLATE(C30,""en"",""zh-CN"")"),"这两排人的目的是什么？")</f>
        <v>这两排人的目的是什么？</v>
      </c>
      <c r="O30" s="3" t="str">
        <f>IFERROR(__xludf.DUMMYFUNCTION("GOOGLETRANSLATE(D30,""en"",""zh-CN"")"),"他们是旁观者。")</f>
        <v>他们是旁观者。</v>
      </c>
      <c r="P30" s="3" t="str">
        <f>IFERROR(__xludf.DUMMYFUNCTION("GOOGLETRANSLATE(E30,""en"",""zh-CN"")"),"他们正在等待轮到自己上场。")</f>
        <v>他们正在等待轮到自己上场。</v>
      </c>
      <c r="Q30" s="3" t="str">
        <f>IFERROR(__xludf.DUMMYFUNCTION("GOOGLETRANSLATE(F30,""en"",""zh-CN"")"),"他们是两支对立的队伍。")</f>
        <v>他们是两支对立的队伍。</v>
      </c>
      <c r="R30" s="3" t="str">
        <f>IFERROR(__xludf.DUMMYFUNCTION("GOOGLETRANSLATE(G30,""en"",""zh-CN"")"),"他们担任仪仗队成员。")</f>
        <v>他们担任仪仗队成员。</v>
      </c>
      <c r="S30" s="3" t="s">
        <v>912</v>
      </c>
      <c r="T30" s="3" t="str">
        <f>IFERROR(__xludf.DUMMYFUNCTION("GOOGLETRANSLATE(H30,""en"",""zh-CN"")"),"他们是两支对立的队伍。")</f>
        <v>他们是两支对立的队伍。</v>
      </c>
      <c r="U30" s="3" t="str">
        <f>IFERROR(__xludf.DUMMYFUNCTION("GOOGLETRANSLATE(I30,""en"",""zh-CN"")"),"球员们被分成两列，一列是红色，一列是蓝色，这表明他们是蹴鞠比赛或表演中的两支竞争队伍。")</f>
        <v>球员们被分成两列，一列是红色，一列是蓝色，这表明他们是蹴鞠比赛或表演中的两支竞争队伍。</v>
      </c>
      <c r="V30" s="2"/>
      <c r="W30" s="2"/>
      <c r="X30" s="2"/>
      <c r="Y30" s="2"/>
      <c r="Z30" s="2"/>
      <c r="AA30" s="2"/>
      <c r="AB30" s="2"/>
      <c r="AC30" s="2"/>
      <c r="AD30" s="2"/>
      <c r="AE30" s="2"/>
      <c r="AF30" s="2"/>
      <c r="AG30" s="2"/>
      <c r="AH30" s="2"/>
      <c r="AI30" s="2"/>
      <c r="AJ30" s="2"/>
      <c r="AK30" s="2"/>
      <c r="AL30" s="2"/>
    </row>
    <row r="31" ht="22.5" customHeight="1">
      <c r="A31" s="3" t="s">
        <v>885</v>
      </c>
      <c r="B31" s="4">
        <v>30.0</v>
      </c>
      <c r="C31" s="3" t="s">
        <v>913</v>
      </c>
      <c r="D31" s="3" t="s">
        <v>914</v>
      </c>
      <c r="E31" s="3" t="s">
        <v>915</v>
      </c>
      <c r="F31" s="3" t="s">
        <v>916</v>
      </c>
      <c r="G31" s="3" t="s">
        <v>917</v>
      </c>
      <c r="H31" s="3" t="s">
        <v>917</v>
      </c>
      <c r="I31" s="3" t="s">
        <v>918</v>
      </c>
      <c r="J31" s="2"/>
      <c r="K31" s="2"/>
      <c r="L31" s="3" t="s">
        <v>885</v>
      </c>
      <c r="M31" s="4">
        <v>30.0</v>
      </c>
      <c r="N31" s="3" t="str">
        <f>IFERROR(__xludf.DUMMYFUNCTION("GOOGLETRANSLATE(C31,""en"",""zh-CN"")"),"这种形式的蹴鞠与现代足球有什么显著区别？")</f>
        <v>这种形式的蹴鞠与现代足球有什么显著区别？</v>
      </c>
      <c r="O31" s="3" t="str">
        <f>IFERROR(__xludf.DUMMYFUNCTION("GOOGLETRANSLATE(D31,""en"",""zh-CN"")"),"允许使用双手。")</f>
        <v>允许使用双手。</v>
      </c>
      <c r="P31" s="3" t="str">
        <f>IFERROR(__xludf.DUMMYFUNCTION("GOOGLETRANSLATE(E31,""en"",""zh-CN"")"),"比赛没有裁判。")</f>
        <v>比赛没有裁判。</v>
      </c>
      <c r="Q31" s="3" t="str">
        <f>IFERROR(__xludf.DUMMYFUNCTION("GOOGLETRANSLATE(F31,""en"",""zh-CN"")"),"它没有正式的目标。")</f>
        <v>它没有正式的目标。</v>
      </c>
      <c r="R31" s="3" t="str">
        <f>IFERROR(__xludf.DUMMYFUNCTION("GOOGLETRANSLATE(G31,""en"",""zh-CN"")"),"重点在于杂技技巧和控球能力，而不是进球。")</f>
        <v>重点在于杂技技巧和控球能力，而不是进球。</v>
      </c>
      <c r="S31" s="3" t="s">
        <v>919</v>
      </c>
      <c r="T31" s="3" t="str">
        <f>IFERROR(__xludf.DUMMYFUNCTION("GOOGLETRANSLATE(H31,""en"",""zh-CN"")"),"重点在于杂技技巧和控球能力，而不是进球。")</f>
        <v>重点在于杂技技巧和控球能力，而不是进球。</v>
      </c>
      <c r="U31" s="3" t="str">
        <f>IFERROR(__xludf.DUMMYFUNCTION("GOOGLETRANSLATE(I31,""en"",""zh-CN"")"),"本次蹴鞠展览的重点在于一名球员展示高水平的控球和杂技技巧，这是某些历史蹴鞠形式的关键要素，这与现代足球以进球为导向的性质截然不同。")</f>
        <v>本次蹴鞠展览的重点在于一名球员展示高水平的控球和杂技技巧，这是某些历史蹴鞠形式的关键要素，这与现代足球以进球为导向的性质截然不同。</v>
      </c>
      <c r="V31" s="2"/>
      <c r="W31" s="2"/>
      <c r="X31" s="2"/>
      <c r="Y31" s="2"/>
      <c r="Z31" s="2"/>
      <c r="AA31" s="2"/>
      <c r="AB31" s="2"/>
      <c r="AC31" s="2"/>
      <c r="AD31" s="2"/>
      <c r="AE31" s="2"/>
      <c r="AF31" s="2"/>
      <c r="AG31" s="2"/>
      <c r="AH31" s="2"/>
      <c r="AI31" s="2"/>
      <c r="AJ31" s="2"/>
      <c r="AK31" s="2"/>
      <c r="AL31" s="2"/>
    </row>
    <row r="32" ht="22.5" customHeight="1">
      <c r="A32" s="3" t="s">
        <v>920</v>
      </c>
      <c r="B32" s="4">
        <v>31.0</v>
      </c>
      <c r="C32" s="3" t="s">
        <v>921</v>
      </c>
      <c r="D32" s="3" t="s">
        <v>887</v>
      </c>
      <c r="E32" s="3" t="s">
        <v>922</v>
      </c>
      <c r="F32" s="3" t="s">
        <v>201</v>
      </c>
      <c r="G32" s="3" t="s">
        <v>785</v>
      </c>
      <c r="H32" s="3" t="s">
        <v>785</v>
      </c>
      <c r="I32" s="3" t="s">
        <v>923</v>
      </c>
      <c r="J32" s="2"/>
      <c r="K32" s="2"/>
      <c r="L32" s="3" t="s">
        <v>920</v>
      </c>
      <c r="M32" s="4">
        <v>31.0</v>
      </c>
      <c r="N32" s="3" t="str">
        <f>IFERROR(__xludf.DUMMYFUNCTION("GOOGLETRANSLATE(C32,""en"",""zh-CN"")"),"这幅构图复杂的画作描绘的主要活动是什么？")</f>
        <v>这幅构图复杂的画作描绘的主要活动是什么？</v>
      </c>
      <c r="O32" s="3" t="str">
        <f>IFERROR(__xludf.DUMMYFUNCTION("GOOGLETRANSLATE(D32,""en"",""zh-CN"")"),"阅兵式")</f>
        <v>阅兵式</v>
      </c>
      <c r="P32" s="3" t="str">
        <f>IFERROR(__xludf.DUMMYFUNCTION("GOOGLETRANSLATE(E32,""en"",""zh-CN"")"),"一场赛马")</f>
        <v>一场赛马</v>
      </c>
      <c r="Q32" s="3" t="str">
        <f>IFERROR(__xludf.DUMMYFUNCTION("GOOGLETRANSLATE(F32,""en"",""zh-CN"")"),"一场摔跤比赛")</f>
        <v>一场摔跤比赛</v>
      </c>
      <c r="R32" s="3" t="str">
        <f>IFERROR(__xludf.DUMMYFUNCTION("GOOGLETRANSLATE(G32,""en"",""zh-CN"")"),"皇家狩猎队")</f>
        <v>皇家狩猎队</v>
      </c>
      <c r="S32" s="3" t="s">
        <v>924</v>
      </c>
      <c r="T32" s="3" t="str">
        <f>IFERROR(__xludf.DUMMYFUNCTION("GOOGLETRANSLATE(H32,""en"",""zh-CN"")"),"皇家狩猎队")</f>
        <v>皇家狩猎队</v>
      </c>
      <c r="U32" s="3" t="str">
        <f>IFERROR(__xludf.DUMMYFUNCTION("GOOGLETRANSLATE(I32,""en"",""zh-CN"")"),"这幅画描绘了许多骑马的人、骆驼和一大群人，暗示着一场类似皇家狩猎队的大型活动。")</f>
        <v>这幅画描绘了许多骑马的人、骆驼和一大群人，暗示着一场类似皇家狩猎队的大型活动。</v>
      </c>
      <c r="V32" s="2"/>
      <c r="W32" s="2"/>
      <c r="X32" s="2"/>
      <c r="Y32" s="2"/>
      <c r="Z32" s="2"/>
      <c r="AA32" s="2"/>
      <c r="AB32" s="2"/>
      <c r="AC32" s="2"/>
      <c r="AD32" s="2"/>
      <c r="AE32" s="2"/>
      <c r="AF32" s="2"/>
      <c r="AG32" s="2"/>
      <c r="AH32" s="2"/>
      <c r="AI32" s="2"/>
      <c r="AJ32" s="2"/>
      <c r="AK32" s="2"/>
      <c r="AL32" s="2"/>
    </row>
    <row r="33" ht="22.5" customHeight="1">
      <c r="A33" s="3" t="s">
        <v>920</v>
      </c>
      <c r="B33" s="4">
        <v>32.0</v>
      </c>
      <c r="C33" s="3" t="s">
        <v>925</v>
      </c>
      <c r="D33" s="3" t="s">
        <v>926</v>
      </c>
      <c r="E33" s="3" t="s">
        <v>927</v>
      </c>
      <c r="F33" s="3" t="s">
        <v>928</v>
      </c>
      <c r="G33" s="3" t="s">
        <v>929</v>
      </c>
      <c r="H33" s="3" t="s">
        <v>928</v>
      </c>
      <c r="I33" s="3" t="s">
        <v>930</v>
      </c>
      <c r="J33" s="2"/>
      <c r="K33" s="2"/>
      <c r="L33" s="3" t="s">
        <v>920</v>
      </c>
      <c r="M33" s="4">
        <v>32.0</v>
      </c>
      <c r="N33" s="3" t="str">
        <f>IFERROR(__xludf.DUMMYFUNCTION("GOOGLETRANSLATE(C33,""en"",""zh-CN"")"),"左边坐着的这群男人有什么显著特征？")</f>
        <v>左边坐着的这群男人有什么显著特征？</v>
      </c>
      <c r="O33" s="3" t="str">
        <f>IFERROR(__xludf.DUMMYFUNCTION("GOOGLETRANSLATE(D33,""en"",""zh-CN"")"),"他们穿着现代服装。")</f>
        <v>他们穿着现代服装。</v>
      </c>
      <c r="P33" s="3" t="str">
        <f>IFERROR(__xludf.DUMMYFUNCTION("GOOGLETRANSLATE(E33,""en"",""zh-CN"")"),"他们身穿传统军装。")</f>
        <v>他们身穿传统军装。</v>
      </c>
      <c r="Q33" s="3" t="str">
        <f>IFERROR(__xludf.DUMMYFUNCTION("GOOGLETRANSLATE(F33,""en"",""zh-CN"")"),"他们社会地位很高，很可能是贵族或官员。")</f>
        <v>他们社会地位很高，很可能是贵族或官员。</v>
      </c>
      <c r="R33" s="3" t="str">
        <f>IFERROR(__xludf.DUMMYFUNCTION("GOOGLETRANSLATE(G33,""en"",""zh-CN"")"),"他们正在表演一种仪式舞蹈。")</f>
        <v>他们正在表演一种仪式舞蹈。</v>
      </c>
      <c r="S33" s="3" t="s">
        <v>931</v>
      </c>
      <c r="T33" s="3" t="str">
        <f>IFERROR(__xludf.DUMMYFUNCTION("GOOGLETRANSLATE(H33,""en"",""zh-CN"")"),"他们社会地位很高，很可能是贵族或官员。")</f>
        <v>他们社会地位很高，很可能是贵族或官员。</v>
      </c>
      <c r="U33" s="3" t="str">
        <f>IFERROR(__xludf.DUMMYFUNCTION("GOOGLETRANSLATE(I33,""en"",""zh-CN"")"),"这群男人坐在装饰华丽的地毯上，摆出权威的姿态，表明他们是正在观望事件的高级官员或贵族。")</f>
        <v>这群男人坐在装饰华丽的地毯上，摆出权威的姿态，表明他们是正在观望事件的高级官员或贵族。</v>
      </c>
      <c r="V33" s="2"/>
      <c r="W33" s="2"/>
      <c r="X33" s="2"/>
      <c r="Y33" s="2"/>
      <c r="Z33" s="2"/>
      <c r="AA33" s="2"/>
      <c r="AB33" s="2"/>
      <c r="AC33" s="2"/>
      <c r="AD33" s="2"/>
      <c r="AE33" s="2"/>
      <c r="AF33" s="2"/>
      <c r="AG33" s="2"/>
      <c r="AH33" s="2"/>
      <c r="AI33" s="2"/>
      <c r="AJ33" s="2"/>
      <c r="AK33" s="2"/>
      <c r="AL33" s="2"/>
    </row>
    <row r="34" ht="22.5" customHeight="1">
      <c r="A34" s="3" t="s">
        <v>920</v>
      </c>
      <c r="B34" s="4">
        <v>33.0</v>
      </c>
      <c r="C34" s="3" t="s">
        <v>932</v>
      </c>
      <c r="D34" s="3" t="s">
        <v>933</v>
      </c>
      <c r="E34" s="3" t="s">
        <v>934</v>
      </c>
      <c r="F34" s="3" t="s">
        <v>935</v>
      </c>
      <c r="G34" s="3" t="s">
        <v>936</v>
      </c>
      <c r="H34" s="3" t="s">
        <v>936</v>
      </c>
      <c r="I34" s="3" t="s">
        <v>937</v>
      </c>
      <c r="J34" s="2"/>
      <c r="K34" s="2"/>
      <c r="L34" s="3" t="s">
        <v>920</v>
      </c>
      <c r="M34" s="4">
        <v>33.0</v>
      </c>
      <c r="N34" s="3" t="str">
        <f>IFERROR(__xludf.DUMMYFUNCTION("GOOGLETRANSLATE(C34,""en"",""zh-CN"")"),"画作中哪个关键元素表明了某个文化事件？")</f>
        <v>画作中哪个关键元素表明了某个文化事件？</v>
      </c>
      <c r="O34" s="3" t="str">
        <f>IFERROR(__xludf.DUMMYFUNCTION("GOOGLETRANSLATE(D34,""en"",""zh-CN"")"),"动物的存在")</f>
        <v>动物的存在</v>
      </c>
      <c r="P34" s="3" t="str">
        <f>IFERROR(__xludf.DUMMYFUNCTION("GOOGLETRANSLATE(E34,""en"",""zh-CN"")"),"自然景观")</f>
        <v>自然景观</v>
      </c>
      <c r="Q34" s="3" t="str">
        <f>IFERROR(__xludf.DUMMYFUNCTION("GOOGLETRANSLATE(F34,""en"",""zh-CN"")"),"大批人群")</f>
        <v>大批人群</v>
      </c>
      <c r="R34" s="3" t="str">
        <f>IFERROR(__xludf.DUMMYFUNCTION("GOOGLETRANSLATE(G34,""en"",""zh-CN"")"),"包括摔跤和射箭等不同的活动。")</f>
        <v>包括摔跤和射箭等不同的活动。</v>
      </c>
      <c r="S34" s="3" t="s">
        <v>938</v>
      </c>
      <c r="T34" s="3" t="str">
        <f>IFERROR(__xludf.DUMMYFUNCTION("GOOGLETRANSLATE(H34,""en"",""zh-CN"")"),"包括摔跤和射箭等不同的活动。")</f>
        <v>包括摔跤和射箭等不同的活动。</v>
      </c>
      <c r="U34" s="3" t="str">
        <f>IFERROR(__xludf.DUMMYFUNCTION("GOOGLETRANSLATE(I34,""en"",""zh-CN"")"),"这幅画描绘了各种娱乐形式，包括中心的摔跤比赛和看起来像是球赛的场景，表明这是一个有各种活动的节日或盛大文化活动。")</f>
        <v>这幅画描绘了各种娱乐形式，包括中心的摔跤比赛和看起来像是球赛的场景，表明这是一个有各种活动的节日或盛大文化活动。</v>
      </c>
      <c r="V34" s="2"/>
      <c r="W34" s="2"/>
      <c r="X34" s="2"/>
      <c r="Y34" s="2"/>
      <c r="Z34" s="2"/>
      <c r="AA34" s="2"/>
      <c r="AB34" s="2"/>
      <c r="AC34" s="2"/>
      <c r="AD34" s="2"/>
      <c r="AE34" s="2"/>
      <c r="AF34" s="2"/>
      <c r="AG34" s="2"/>
      <c r="AH34" s="2"/>
      <c r="AI34" s="2"/>
      <c r="AJ34" s="2"/>
      <c r="AK34" s="2"/>
      <c r="AL34" s="2"/>
    </row>
    <row r="35" ht="22.5" customHeight="1">
      <c r="A35" s="3" t="s">
        <v>920</v>
      </c>
      <c r="B35" s="4">
        <v>34.0</v>
      </c>
      <c r="C35" s="3" t="s">
        <v>939</v>
      </c>
      <c r="D35" s="3" t="s">
        <v>940</v>
      </c>
      <c r="E35" s="3" t="s">
        <v>941</v>
      </c>
      <c r="F35" s="3" t="s">
        <v>942</v>
      </c>
      <c r="G35" s="3" t="s">
        <v>943</v>
      </c>
      <c r="H35" s="3" t="s">
        <v>941</v>
      </c>
      <c r="I35" s="3" t="s">
        <v>944</v>
      </c>
      <c r="J35" s="2"/>
      <c r="K35" s="2"/>
      <c r="L35" s="3" t="s">
        <v>920</v>
      </c>
      <c r="M35" s="4">
        <v>34.0</v>
      </c>
      <c r="N35" s="3" t="str">
        <f>IFERROR(__xludf.DUMMYFUNCTION("GOOGLETRANSLATE(C35,""en"",""zh-CN"")"),"不同背景的人们对于这次活动有何看法？")</f>
        <v>不同背景的人们对于这次活动有何看法？</v>
      </c>
      <c r="O35" s="3" t="str">
        <f>IFERROR(__xludf.DUMMYFUNCTION("GOOGLETRANSLATE(D35,""en"",""zh-CN"")"),"这是为单一民族群体举办的庆祝活动。")</f>
        <v>这是为单一民族群体举办的庆祝活动。</v>
      </c>
      <c r="P35" s="3" t="str">
        <f>IFERROR(__xludf.DUMMYFUNCTION("GOOGLETRANSLATE(E35,""en"",""zh-CN"")"),"这是不同团体的一次官方聚会。")</f>
        <v>这是不同团体的一次官方聚会。</v>
      </c>
      <c r="Q35" s="3" t="str">
        <f>IFERROR(__xludf.DUMMYFUNCTION("GOOGLETRANSLATE(F35,""en"",""zh-CN"")"),"这是一次朋友间的非正式聚会。")</f>
        <v>这是一次朋友间的非正式聚会。</v>
      </c>
      <c r="R35" s="3" t="str">
        <f>IFERROR(__xludf.DUMMYFUNCTION("GOOGLETRANSLATE(G35,""en"",""zh-CN"")"),"这是一次军事演习。")</f>
        <v>这是一次军事演习。</v>
      </c>
      <c r="S35" s="3" t="s">
        <v>945</v>
      </c>
      <c r="T35" s="3" t="str">
        <f>IFERROR(__xludf.DUMMYFUNCTION("GOOGLETRANSLATE(H35,""en"",""zh-CN"")"),"这是不同团体的一次官方聚会。")</f>
        <v>这是不同团体的一次官方聚会。</v>
      </c>
      <c r="U35" s="3" t="str">
        <f>IFERROR(__xludf.DUMMYFUNCTION("GOOGLETRANSLATE(I35,""en"",""zh-CN"")"),"这幅画描绘了不同种族的人们，穿着各式各样的服装和帽子，表明这是一场不同种族群体聚集在一起的正式聚会或庆祝活动。")</f>
        <v>这幅画描绘了不同种族的人们，穿着各式各样的服装和帽子，表明这是一场不同种族群体聚集在一起的正式聚会或庆祝活动。</v>
      </c>
      <c r="V35" s="2"/>
      <c r="W35" s="2"/>
      <c r="X35" s="2"/>
      <c r="Y35" s="2"/>
      <c r="Z35" s="2"/>
      <c r="AA35" s="2"/>
      <c r="AB35" s="2"/>
      <c r="AC35" s="2"/>
      <c r="AD35" s="2"/>
      <c r="AE35" s="2"/>
      <c r="AF35" s="2"/>
      <c r="AG35" s="2"/>
      <c r="AH35" s="2"/>
      <c r="AI35" s="2"/>
      <c r="AJ35" s="2"/>
      <c r="AK35" s="2"/>
      <c r="AL35" s="2"/>
    </row>
    <row r="36" ht="22.5" customHeight="1">
      <c r="A36" s="3" t="s">
        <v>920</v>
      </c>
      <c r="B36" s="4">
        <v>35.0</v>
      </c>
      <c r="C36" s="3" t="s">
        <v>946</v>
      </c>
      <c r="D36" s="3" t="s">
        <v>947</v>
      </c>
      <c r="E36" s="3" t="s">
        <v>948</v>
      </c>
      <c r="F36" s="3" t="s">
        <v>949</v>
      </c>
      <c r="G36" s="3" t="s">
        <v>950</v>
      </c>
      <c r="H36" s="3" t="s">
        <v>950</v>
      </c>
      <c r="I36" s="3" t="s">
        <v>951</v>
      </c>
      <c r="J36" s="2"/>
      <c r="K36" s="2"/>
      <c r="L36" s="3" t="s">
        <v>920</v>
      </c>
      <c r="M36" s="4">
        <v>35.0</v>
      </c>
      <c r="N36" s="3" t="str">
        <f>IFERROR(__xludf.DUMMYFUNCTION("GOOGLETRANSLATE(C36,""en"",""zh-CN"")"),"大型帐篷以及骆驼和马匹的出现，暗示着怎样的环境？")</f>
        <v>大型帐篷以及骆驼和马匹的出现，暗示着怎样的环境？</v>
      </c>
      <c r="O36" s="3" t="str">
        <f>IFERROR(__xludf.DUMMYFUNCTION("GOOGLETRANSLATE(D36,""en"",""zh-CN"")"),"一座正式的、永久性的宫殿")</f>
        <v>一座正式的、永久性的宫殿</v>
      </c>
      <c r="P36" s="3" t="str">
        <f>IFERROR(__xludf.DUMMYFUNCTION("GOOGLETRANSLATE(E36,""en"",""zh-CN"")"),"城市街头市场")</f>
        <v>城市街头市场</v>
      </c>
      <c r="Q36" s="3" t="str">
        <f>IFERROR(__xludf.DUMMYFUNCTION("GOOGLETRANSLATE(F36,""en"",""zh-CN"")"),"一个偏远的军事营地")</f>
        <v>一个偏远的军事营地</v>
      </c>
      <c r="R36" s="3" t="str">
        <f>IFERROR(__xludf.DUMMYFUNCTION("GOOGLETRANSLATE(G36,""en"",""zh-CN"")"),"为一次盛大的远足活动而设立的临时营地")</f>
        <v>为一次盛大的远足活动而设立的临时营地</v>
      </c>
      <c r="S36" s="3" t="s">
        <v>952</v>
      </c>
      <c r="T36" s="3" t="str">
        <f>IFERROR(__xludf.DUMMYFUNCTION("GOOGLETRANSLATE(H36,""en"",""zh-CN"")"),"为一次盛大的远足活动而设立的临时营地")</f>
        <v>为一次盛大的远足活动而设立的临时营地</v>
      </c>
      <c r="U36" s="3" t="str">
        <f>IFERROR(__xludf.DUMMYFUNCTION("GOOGLETRANSLATE(I36,""en"",""zh-CN"")"),"大型帐篷和骆驼的出现表明这是一个临时搭建的场所，很可能是为了举办大型活动或远足，这对于皇家狩猎队来说是很典型的。")</f>
        <v>大型帐篷和骆驼的出现表明这是一个临时搭建的场所，很可能是为了举办大型活动或远足，这对于皇家狩猎队来说是很典型的。</v>
      </c>
      <c r="V36" s="2"/>
      <c r="W36" s="2"/>
      <c r="X36" s="2"/>
      <c r="Y36" s="2"/>
      <c r="Z36" s="2"/>
      <c r="AA36" s="2"/>
      <c r="AB36" s="2"/>
      <c r="AC36" s="2"/>
      <c r="AD36" s="2"/>
      <c r="AE36" s="2"/>
      <c r="AF36" s="2"/>
      <c r="AG36" s="2"/>
      <c r="AH36" s="2"/>
      <c r="AI36" s="2"/>
      <c r="AJ36" s="2"/>
      <c r="AK36" s="2"/>
      <c r="AL36" s="2"/>
    </row>
    <row r="37" ht="22.5" customHeight="1">
      <c r="A37" s="3" t="s">
        <v>953</v>
      </c>
      <c r="B37" s="4">
        <v>36.0</v>
      </c>
      <c r="C37" s="3" t="s">
        <v>954</v>
      </c>
      <c r="D37" s="3" t="s">
        <v>955</v>
      </c>
      <c r="E37" s="3" t="s">
        <v>956</v>
      </c>
      <c r="F37" s="3" t="s">
        <v>957</v>
      </c>
      <c r="G37" s="3" t="s">
        <v>958</v>
      </c>
      <c r="H37" s="3" t="s">
        <v>956</v>
      </c>
      <c r="I37" s="3" t="s">
        <v>959</v>
      </c>
      <c r="J37" s="2"/>
      <c r="K37" s="2"/>
      <c r="L37" s="3" t="s">
        <v>953</v>
      </c>
      <c r="M37" s="4">
        <v>36.0</v>
      </c>
      <c r="N37" s="3" t="str">
        <f>IFERROR(__xludf.DUMMYFUNCTION("GOOGLETRANSLATE(C37,""en"",""zh-CN"")"),"图片中心的主要物体是什么？")</f>
        <v>图片中心的主要物体是什么？</v>
      </c>
      <c r="O37" s="3" t="str">
        <f>IFERROR(__xludf.DUMMYFUNCTION("GOOGLETRANSLATE(D37,""en"",""zh-CN"")"),"奖杯")</f>
        <v>奖杯</v>
      </c>
      <c r="P37" s="3" t="str">
        <f>IFERROR(__xludf.DUMMYFUNCTION("GOOGLETRANSLATE(E37,""en"",""zh-CN"")"),"蹴鞠的传统进球")</f>
        <v>蹴鞠的传统进球</v>
      </c>
      <c r="Q37" s="3" t="str">
        <f>IFERROR(__xludf.DUMMYFUNCTION("GOOGLETRANSLATE(F37,""en"",""zh-CN"")"),"仪式拱门")</f>
        <v>仪式拱门</v>
      </c>
      <c r="R37" s="3" t="str">
        <f>IFERROR(__xludf.DUMMYFUNCTION("GOOGLETRANSLATE(G37,""en"",""zh-CN"")"),"现代足球门")</f>
        <v>现代足球门</v>
      </c>
      <c r="S37" s="3" t="s">
        <v>960</v>
      </c>
      <c r="T37" s="3" t="str">
        <f>IFERROR(__xludf.DUMMYFUNCTION("GOOGLETRANSLATE(H37,""en"",""zh-CN"")"),"蹴鞠的传统进球")</f>
        <v>蹴鞠的传统进球</v>
      </c>
      <c r="U37" s="3" t="str">
        <f>IFERROR(__xludf.DUMMYFUNCTION("GOOGLETRANSLATE(I37,""en"",""zh-CN"")"),"中央那精巧的红金相间建筑，形似带有圆环的传统中国门，是蹴鞠球门的复制品。")</f>
        <v>中央那精巧的红金相间建筑，形似带有圆环的传统中国门，是蹴鞠球门的复制品。</v>
      </c>
      <c r="V37" s="2"/>
      <c r="W37" s="2"/>
      <c r="X37" s="2"/>
      <c r="Y37" s="2"/>
      <c r="Z37" s="2"/>
      <c r="AA37" s="2"/>
      <c r="AB37" s="2"/>
      <c r="AC37" s="2"/>
      <c r="AD37" s="2"/>
      <c r="AE37" s="2"/>
      <c r="AF37" s="2"/>
      <c r="AG37" s="2"/>
      <c r="AH37" s="2"/>
      <c r="AI37" s="2"/>
      <c r="AJ37" s="2"/>
      <c r="AK37" s="2"/>
      <c r="AL37" s="2"/>
    </row>
    <row r="38" ht="22.5" customHeight="1">
      <c r="A38" s="3" t="s">
        <v>953</v>
      </c>
      <c r="B38" s="4">
        <v>37.0</v>
      </c>
      <c r="C38" s="3" t="s">
        <v>961</v>
      </c>
      <c r="D38" s="3" t="s">
        <v>962</v>
      </c>
      <c r="E38" s="3" t="s">
        <v>963</v>
      </c>
      <c r="F38" s="3" t="s">
        <v>964</v>
      </c>
      <c r="G38" s="3" t="s">
        <v>965</v>
      </c>
      <c r="H38" s="3" t="s">
        <v>963</v>
      </c>
      <c r="I38" s="3" t="s">
        <v>966</v>
      </c>
      <c r="J38" s="2"/>
      <c r="K38" s="2"/>
      <c r="L38" s="3" t="s">
        <v>953</v>
      </c>
      <c r="M38" s="4">
        <v>37.0</v>
      </c>
      <c r="N38" s="3" t="str">
        <f>IFERROR(__xludf.DUMMYFUNCTION("GOOGLETRANSLATE(C38,""en"",""zh-CN"")"),"貉的进球反映了比赛的什么风格？")</f>
        <v>貉的进球反映了比赛的什么风格？</v>
      </c>
      <c r="O38" s="3" t="str">
        <f>IFERROR(__xludf.DUMMYFUNCTION("GOOGLETRANSLATE(D38,""en"",""zh-CN"")"),"游戏内容是将球踢给队友。")</f>
        <v>游戏内容是将球踢给队友。</v>
      </c>
      <c r="P38" s="3" t="str">
        <f>IFERROR(__xludf.DUMMYFUNCTION("GOOGLETRANSLATE(E38,""en"",""zh-CN"")"),"游戏内容是将球踢过一个高高的圆环。")</f>
        <v>游戏内容是将球踢过一个高高的圆环。</v>
      </c>
      <c r="Q38" s="3" t="str">
        <f>IFERROR(__xludf.DUMMYFUNCTION("GOOGLETRANSLATE(F38,""en"",""zh-CN"")"),"游戏的目标是将球射入宽阔的球门。")</f>
        <v>游戏的目标是将球射入宽阔的球门。</v>
      </c>
      <c r="R38" s="3" t="str">
        <f>IFERROR(__xludf.DUMMYFUNCTION("GOOGLETRANSLATE(G38,""en"",""zh-CN"")"),"游戏的目标是将球踢入地面上的小圆形目标中。")</f>
        <v>游戏的目标是将球踢入地面上的小圆形目标中。</v>
      </c>
      <c r="S38" s="3" t="s">
        <v>967</v>
      </c>
      <c r="T38" s="3" t="str">
        <f>IFERROR(__xludf.DUMMYFUNCTION("GOOGLETRANSLATE(H38,""en"",""zh-CN"")"),"游戏内容是将球踢过一个高高的圆环。")</f>
        <v>游戏内容是将球踢过一个高高的圆环。</v>
      </c>
      <c r="U38" s="3" t="str">
        <f>IFERROR(__xludf.DUMMYFUNCTION("GOOGLETRANSLATE(I38,""en"",""zh-CN"")"),"在这种形式的蹴鞠中，目标是将球踢过一个小型、高架的圆环得分，而不是像传统的足球那样踢入一个宽阔的球门。")</f>
        <v>在这种形式的蹴鞠中，目标是将球踢过一个小型、高架的圆环得分，而不是像传统的足球那样踢入一个宽阔的球门。</v>
      </c>
      <c r="V38" s="2"/>
      <c r="W38" s="2"/>
      <c r="X38" s="2"/>
      <c r="Y38" s="2"/>
      <c r="Z38" s="2"/>
      <c r="AA38" s="2"/>
      <c r="AB38" s="2"/>
      <c r="AC38" s="2"/>
      <c r="AD38" s="2"/>
      <c r="AE38" s="2"/>
      <c r="AF38" s="2"/>
      <c r="AG38" s="2"/>
      <c r="AH38" s="2"/>
      <c r="AI38" s="2"/>
      <c r="AJ38" s="2"/>
      <c r="AK38" s="2"/>
      <c r="AL38" s="2"/>
    </row>
    <row r="39" ht="22.5" customHeight="1">
      <c r="A39" s="3" t="s">
        <v>953</v>
      </c>
      <c r="B39" s="4">
        <v>38.0</v>
      </c>
      <c r="C39" s="3" t="s">
        <v>968</v>
      </c>
      <c r="D39" s="3" t="s">
        <v>969</v>
      </c>
      <c r="E39" s="3" t="s">
        <v>970</v>
      </c>
      <c r="F39" s="3" t="s">
        <v>971</v>
      </c>
      <c r="G39" s="3" t="s">
        <v>972</v>
      </c>
      <c r="H39" s="3" t="s">
        <v>970</v>
      </c>
      <c r="I39" s="3" t="s">
        <v>973</v>
      </c>
      <c r="J39" s="2"/>
      <c r="K39" s="2"/>
      <c r="L39" s="3" t="s">
        <v>953</v>
      </c>
      <c r="M39" s="4">
        <v>38.0</v>
      </c>
      <c r="N39" s="3" t="str">
        <f>IFERROR(__xludf.DUMMYFUNCTION("GOOGLETRANSLATE(C39,""en"",""zh-CN"")"),"球员的服装与比赛场地之间有什么显著的对比？")</f>
        <v>球员的服装与比赛场地之间有什么显著的对比？</v>
      </c>
      <c r="O39" s="3" t="str">
        <f>IFERROR(__xludf.DUMMYFUNCTION("GOOGLETRANSLATE(D39,""en"",""zh-CN"")"),"球员们身着现代服装，在草地上比赛。")</f>
        <v>球员们身着现代服装，在草地上比赛。</v>
      </c>
      <c r="P39" s="3" t="str">
        <f>IFERROR(__xludf.DUMMYFUNCTION("GOOGLETRANSLATE(E39,""en"",""zh-CN"")"),"球员们身着传统服饰，在人造草坪球场上比赛。")</f>
        <v>球员们身着传统服饰，在人造草坪球场上比赛。</v>
      </c>
      <c r="Q39" s="3" t="str">
        <f>IFERROR(__xludf.DUMMYFUNCTION("GOOGLETRANSLATE(F39,""en"",""zh-CN"")"),"球员们身穿军装，在泥土地场上比赛。")</f>
        <v>球员们身穿军装，在泥土地场上比赛。</v>
      </c>
      <c r="R39" s="3" t="str">
        <f>IFERROR(__xludf.DUMMYFUNCTION("GOOGLETRANSLATE(G39,""en"",""zh-CN"")"),"球员们身着便服，在水泥球场上比赛。")</f>
        <v>球员们身着便服，在水泥球场上比赛。</v>
      </c>
      <c r="S39" s="3" t="s">
        <v>974</v>
      </c>
      <c r="T39" s="3" t="str">
        <f>IFERROR(__xludf.DUMMYFUNCTION("GOOGLETRANSLATE(H39,""en"",""zh-CN"")"),"球员们身着传统服饰，在人造草坪球场上比赛。")</f>
        <v>球员们身着传统服饰，在人造草坪球场上比赛。</v>
      </c>
      <c r="U39" s="3" t="str">
        <f>IFERROR(__xludf.DUMMYFUNCTION("GOOGLETRANSLATE(I39,""en"",""zh-CN"")"),"球员们身着中国传统蹴鞠服，但比赛却是在现代化的草皮球场上进行的，形成了鲜明的对比。")</f>
        <v>球员们身着中国传统蹴鞠服，但比赛却是在现代化的草皮球场上进行的，形成了鲜明的对比。</v>
      </c>
      <c r="V39" s="2"/>
      <c r="W39" s="2"/>
      <c r="X39" s="2"/>
      <c r="Y39" s="2"/>
      <c r="Z39" s="2"/>
      <c r="AA39" s="2"/>
      <c r="AB39" s="2"/>
      <c r="AC39" s="2"/>
      <c r="AD39" s="2"/>
      <c r="AE39" s="2"/>
      <c r="AF39" s="2"/>
      <c r="AG39" s="2"/>
      <c r="AH39" s="2"/>
      <c r="AI39" s="2"/>
      <c r="AJ39" s="2"/>
      <c r="AK39" s="2"/>
      <c r="AL39" s="2"/>
    </row>
    <row r="40" ht="22.5" customHeight="1">
      <c r="A40" s="3" t="s">
        <v>953</v>
      </c>
      <c r="B40" s="4">
        <v>39.0</v>
      </c>
      <c r="C40" s="3" t="s">
        <v>975</v>
      </c>
      <c r="D40" s="3" t="s">
        <v>976</v>
      </c>
      <c r="E40" s="3" t="s">
        <v>977</v>
      </c>
      <c r="F40" s="3" t="s">
        <v>978</v>
      </c>
      <c r="G40" s="3" t="s">
        <v>979</v>
      </c>
      <c r="H40" s="3" t="s">
        <v>977</v>
      </c>
      <c r="I40" s="3" t="s">
        <v>980</v>
      </c>
      <c r="J40" s="2"/>
      <c r="K40" s="2"/>
      <c r="L40" s="3" t="s">
        <v>953</v>
      </c>
      <c r="M40" s="4">
        <v>39.0</v>
      </c>
      <c r="N40" s="3" t="str">
        <f>IFERROR(__xludf.DUMMYFUNCTION("GOOGLETRANSLATE(C40,""en"",""zh-CN"")"),"两组球员之间隔着球门。这说明比赛的性质如何？")</f>
        <v>两组球员之间隔着球门。这说明比赛的性质如何？</v>
      </c>
      <c r="O40" s="3" t="str">
        <f>IFERROR(__xludf.DUMMYFUNCTION("GOOGLETRANSLATE(D40,""en"",""zh-CN"")"),"这场游戏是单人表演。")</f>
        <v>这场游戏是单人表演。</v>
      </c>
      <c r="P40" s="3" t="str">
        <f>IFERROR(__xludf.DUMMYFUNCTION("GOOGLETRANSLATE(E40,""en"",""zh-CN"")"),"这是一场两队对抗的比赛。")</f>
        <v>这是一场两队对抗的比赛。</v>
      </c>
      <c r="Q40" s="3" t="str">
        <f>IFERROR(__xludf.DUMMYFUNCTION("GOOGLETRANSLATE(F40,""en"",""zh-CN"")"),"这些团体都是旁观者。")</f>
        <v>这些团体都是旁观者。</v>
      </c>
      <c r="R40" s="3" t="str">
        <f>IFERROR(__xludf.DUMMYFUNCTION("GOOGLETRANSLATE(G40,""en"",""zh-CN"")"),"这些小组隶属于同一个培训课程。")</f>
        <v>这些小组隶属于同一个培训课程。</v>
      </c>
      <c r="S40" s="3" t="s">
        <v>981</v>
      </c>
      <c r="T40" s="3" t="str">
        <f>IFERROR(__xludf.DUMMYFUNCTION("GOOGLETRANSLATE(H40,""en"",""zh-CN"")"),"这是一场两队对抗的比赛。")</f>
        <v>这是一场两队对抗的比赛。</v>
      </c>
      <c r="U40" s="3" t="str">
        <f>IFERROR(__xludf.DUMMYFUNCTION("GOOGLETRANSLATE(I40,""en"",""zh-CN"")"),"球员们被分成两个截然不同的组，一组身穿红色球衣，一组身穿蓝色球衣，分别位于球门的两侧，这表明他们是两支竞争的队伍。")</f>
        <v>球员们被分成两个截然不同的组，一组身穿红色球衣，一组身穿蓝色球衣，分别位于球门的两侧，这表明他们是两支竞争的队伍。</v>
      </c>
      <c r="V40" s="2"/>
      <c r="W40" s="2"/>
      <c r="X40" s="2"/>
      <c r="Y40" s="2"/>
      <c r="Z40" s="2"/>
      <c r="AA40" s="2"/>
      <c r="AB40" s="2"/>
      <c r="AC40" s="2"/>
      <c r="AD40" s="2"/>
      <c r="AE40" s="2"/>
      <c r="AF40" s="2"/>
      <c r="AG40" s="2"/>
      <c r="AH40" s="2"/>
      <c r="AI40" s="2"/>
      <c r="AJ40" s="2"/>
      <c r="AK40" s="2"/>
      <c r="AL40" s="2"/>
    </row>
    <row r="41" ht="22.5" customHeight="1">
      <c r="A41" s="3" t="s">
        <v>953</v>
      </c>
      <c r="B41" s="4">
        <v>40.0</v>
      </c>
      <c r="C41" s="3" t="s">
        <v>982</v>
      </c>
      <c r="D41" s="3" t="s">
        <v>983</v>
      </c>
      <c r="E41" s="3" t="s">
        <v>984</v>
      </c>
      <c r="F41" s="3" t="s">
        <v>985</v>
      </c>
      <c r="G41" s="3" t="s">
        <v>986</v>
      </c>
      <c r="H41" s="3" t="s">
        <v>985</v>
      </c>
      <c r="I41" s="3" t="s">
        <v>987</v>
      </c>
      <c r="J41" s="2"/>
      <c r="K41" s="2"/>
      <c r="L41" s="3" t="s">
        <v>953</v>
      </c>
      <c r="M41" s="4">
        <v>40.0</v>
      </c>
      <c r="N41" s="3" t="str">
        <f>IFERROR(__xludf.DUMMYFUNCTION("GOOGLETRANSLATE(C41,""en"",""zh-CN"")"),"本次活动的主要目的是什么？")</f>
        <v>本次活动的主要目的是什么？</v>
      </c>
      <c r="O41" s="3" t="str">
        <f>IFERROR(__xludf.DUMMYFUNCTION("GOOGLETRANSLATE(D41,""en"",""zh-CN"")"),"一项职业体育赛事。")</f>
        <v>一项职业体育赛事。</v>
      </c>
      <c r="P41" s="3" t="str">
        <f>IFERROR(__xludf.DUMMYFUNCTION("GOOGLETRANSLATE(E41,""en"",""zh-CN"")"),"一场轻松友好的非正式游戏。")</f>
        <v>一场轻松友好的非正式游戏。</v>
      </c>
      <c r="Q41" s="3" t="str">
        <f>IFERROR(__xludf.DUMMYFUNCTION("GOOGLETRANSLATE(F41,""en"",""zh-CN"")"),"历史文化展览。")</f>
        <v>历史文化展览。</v>
      </c>
      <c r="R41" s="3" t="str">
        <f>IFERROR(__xludf.DUMMYFUNCTION("GOOGLETRANSLATE(G41,""en"",""zh-CN"")"),"为现代团队举办的训练课程。")</f>
        <v>为现代团队举办的训练课程。</v>
      </c>
      <c r="S41" s="3" t="s">
        <v>988</v>
      </c>
      <c r="T41" s="3" t="str">
        <f>IFERROR(__xludf.DUMMYFUNCTION("GOOGLETRANSLATE(H41,""en"",""zh-CN"")"),"历史文化展览。")</f>
        <v>历史文化展览。</v>
      </c>
      <c r="U41" s="3" t="str">
        <f>IFERROR(__xludf.DUMMYFUNCTION("GOOGLETRANSLATE(I41,""en"",""zh-CN"")"),"传统的服装、符合历史的蹴鞠球门以及带有汉字的横幅表明，这是一场旨在展示这项历史运动的公共展览或文化活动。")</f>
        <v>传统的服装、符合历史的蹴鞠球门以及带有汉字的横幅表明，这是一场旨在展示这项历史运动的公共展览或文化活动。</v>
      </c>
      <c r="V41" s="2"/>
      <c r="W41" s="2"/>
      <c r="X41" s="2"/>
      <c r="Y41" s="2"/>
      <c r="Z41" s="2"/>
      <c r="AA41" s="2"/>
      <c r="AB41" s="2"/>
      <c r="AC41" s="2"/>
      <c r="AD41" s="2"/>
      <c r="AE41" s="2"/>
      <c r="AF41" s="2"/>
      <c r="AG41" s="2"/>
      <c r="AH41" s="2"/>
      <c r="AI41" s="2"/>
      <c r="AJ41" s="2"/>
      <c r="AK41" s="2"/>
      <c r="AL41" s="2"/>
    </row>
    <row r="42" ht="22.5" customHeight="1">
      <c r="A42" s="3" t="s">
        <v>989</v>
      </c>
      <c r="B42" s="4">
        <v>41.0</v>
      </c>
      <c r="C42" s="3" t="s">
        <v>990</v>
      </c>
      <c r="D42" s="3" t="s">
        <v>991</v>
      </c>
      <c r="E42" s="3" t="s">
        <v>992</v>
      </c>
      <c r="F42" s="3" t="s">
        <v>993</v>
      </c>
      <c r="G42" s="3" t="s">
        <v>994</v>
      </c>
      <c r="H42" s="3" t="s">
        <v>992</v>
      </c>
      <c r="I42" s="3" t="s">
        <v>995</v>
      </c>
      <c r="J42" s="2"/>
      <c r="K42" s="2"/>
      <c r="L42" s="3" t="s">
        <v>989</v>
      </c>
      <c r="M42" s="4">
        <v>41.0</v>
      </c>
      <c r="N42" s="3" t="str">
        <f>IFERROR(__xludf.DUMMYFUNCTION("GOOGLETRANSLATE(C42,""en"",""zh-CN"")"),"图片中主要发生的活动是什么？")</f>
        <v>图片中主要发生的活动是什么？</v>
      </c>
      <c r="O42" s="3" t="str">
        <f>IFERROR(__xludf.DUMMYFUNCTION("GOOGLETRANSLATE(D42,""en"",""zh-CN"")"),"一场中国戏曲表演。")</f>
        <v>一场中国戏曲表演。</v>
      </c>
      <c r="P42" s="3" t="str">
        <f>IFERROR(__xludf.DUMMYFUNCTION("GOOGLETRANSLATE(E42,""en"",""zh-CN"")"),"传统体育运动的演示。")</f>
        <v>传统体育运动的演示。</v>
      </c>
      <c r="Q42" s="3" t="str">
        <f>IFERROR(__xludf.DUMMYFUNCTION("GOOGLETRANSLATE(F42,""en"",""zh-CN"")"),"有游行的节日。")</f>
        <v>有游行的节日。</v>
      </c>
      <c r="R42" s="3" t="str">
        <f>IFERROR(__xludf.DUMMYFUNCTION("GOOGLETRANSLATE(G42,""en"",""zh-CN"")"),"功夫表演。")</f>
        <v>功夫表演。</v>
      </c>
      <c r="S42" s="3" t="s">
        <v>996</v>
      </c>
      <c r="T42" s="3" t="str">
        <f>IFERROR(__xludf.DUMMYFUNCTION("GOOGLETRANSLATE(H42,""en"",""zh-CN"")"),"传统体育运动的演示。")</f>
        <v>传统体育运动的演示。</v>
      </c>
      <c r="U42" s="3" t="str">
        <f>IFERROR(__xludf.DUMMYFUNCTION("GOOGLETRANSLATE(I42,""en"",""zh-CN"")"),"图片显示，身着传统服饰的男子正在进行一场以仪式性球门为标志的球类运动，这是中国古代体育运动蹴鞠的表演。")</f>
        <v>图片显示，身着传统服饰的男子正在进行一场以仪式性球门为标志的球类运动，这是中国古代体育运动蹴鞠的表演。</v>
      </c>
      <c r="V42" s="2"/>
      <c r="W42" s="2"/>
      <c r="X42" s="2"/>
      <c r="Y42" s="2"/>
      <c r="Z42" s="2"/>
      <c r="AA42" s="2"/>
      <c r="AB42" s="2"/>
      <c r="AC42" s="2"/>
      <c r="AD42" s="2"/>
      <c r="AE42" s="2"/>
      <c r="AF42" s="2"/>
      <c r="AG42" s="2"/>
      <c r="AH42" s="2"/>
      <c r="AI42" s="2"/>
      <c r="AJ42" s="2"/>
      <c r="AK42" s="2"/>
      <c r="AL42" s="2"/>
    </row>
    <row r="43" ht="22.5" customHeight="1">
      <c r="A43" s="3" t="s">
        <v>989</v>
      </c>
      <c r="B43" s="4">
        <v>42.0</v>
      </c>
      <c r="C43" s="3" t="s">
        <v>997</v>
      </c>
      <c r="D43" s="3" t="s">
        <v>998</v>
      </c>
      <c r="E43" s="3" t="s">
        <v>999</v>
      </c>
      <c r="F43" s="3" t="s">
        <v>1000</v>
      </c>
      <c r="G43" s="3" t="s">
        <v>1001</v>
      </c>
      <c r="H43" s="3" t="s">
        <v>999</v>
      </c>
      <c r="I43" s="3" t="s">
        <v>1002</v>
      </c>
      <c r="J43" s="2"/>
      <c r="K43" s="2"/>
      <c r="L43" s="3" t="s">
        <v>989</v>
      </c>
      <c r="M43" s="4">
        <v>42.0</v>
      </c>
      <c r="N43" s="3" t="str">
        <f>IFERROR(__xludf.DUMMYFUNCTION("GOOGLETRANSLATE(C43,""en"",""zh-CN"")"),"这种蹴鞠形式的球门柱结构说明了什么？")</f>
        <v>这种蹴鞠形式的球门柱结构说明了什么？</v>
      </c>
      <c r="O43" s="3" t="str">
        <f>IFERROR(__xludf.DUMMYFUNCTION("GOOGLETRANSLATE(D43,""en"",""zh-CN"")"),"这是一项现代创新。")</f>
        <v>这是一项现代创新。</v>
      </c>
      <c r="P43" s="3" t="str">
        <f>IFERROR(__xludf.DUMMYFUNCTION("GOOGLETRANSLATE(E43,""en"",""zh-CN"")"),"它是历史球门的复制品。")</f>
        <v>它是历史球门的复制品。</v>
      </c>
      <c r="Q43" s="3" t="str">
        <f>IFERROR(__xludf.DUMMYFUNCTION("GOOGLETRANSLATE(F43,""en"",""zh-CN"")"),"它是一种仪式用拱门。")</f>
        <v>它是一种仪式用拱门。</v>
      </c>
      <c r="R43" s="3" t="str">
        <f>IFERROR(__xludf.DUMMYFUNCTION("GOOGLETRANSLATE(G43,""en"",""zh-CN"")"),"这是一个简单的网。")</f>
        <v>这是一个简单的网。</v>
      </c>
      <c r="S43" s="3" t="s">
        <v>1003</v>
      </c>
      <c r="T43" s="3" t="str">
        <f>IFERROR(__xludf.DUMMYFUNCTION("GOOGLETRANSLATE(H43,""en"",""zh-CN"")"),"它是历史球门的复制品。")</f>
        <v>它是历史球门的复制品。</v>
      </c>
      <c r="U43" s="3" t="str">
        <f>IFERROR(__xludf.DUMMYFUNCTION("GOOGLETRANSLATE(I43,""en"",""zh-CN"")"),"这个大型、红色、装饰华丽的结构，中间有一个圆环，是现代仿照古代蹴鞠中使用的球门而建的，被称为“单人蹴鞠”或“双人蹴鞠”。")</f>
        <v>这个大型、红色、装饰华丽的结构，中间有一个圆环，是现代仿照古代蹴鞠中使用的球门而建的，被称为“单人蹴鞠”或“双人蹴鞠”。</v>
      </c>
      <c r="V43" s="2"/>
      <c r="W43" s="2"/>
      <c r="X43" s="2"/>
      <c r="Y43" s="2"/>
      <c r="Z43" s="2"/>
      <c r="AA43" s="2"/>
      <c r="AB43" s="2"/>
      <c r="AC43" s="2"/>
      <c r="AD43" s="2"/>
      <c r="AE43" s="2"/>
      <c r="AF43" s="2"/>
      <c r="AG43" s="2"/>
      <c r="AH43" s="2"/>
      <c r="AI43" s="2"/>
      <c r="AJ43" s="2"/>
      <c r="AK43" s="2"/>
      <c r="AL43" s="2"/>
    </row>
    <row r="44" ht="22.5" customHeight="1">
      <c r="A44" s="3" t="s">
        <v>989</v>
      </c>
      <c r="B44" s="4">
        <v>43.0</v>
      </c>
      <c r="C44" s="3" t="s">
        <v>1004</v>
      </c>
      <c r="D44" s="3" t="s">
        <v>1005</v>
      </c>
      <c r="E44" s="3" t="s">
        <v>1006</v>
      </c>
      <c r="F44" s="3" t="s">
        <v>1007</v>
      </c>
      <c r="G44" s="3" t="s">
        <v>1008</v>
      </c>
      <c r="H44" s="3" t="s">
        <v>1008</v>
      </c>
      <c r="I44" s="3" t="s">
        <v>1009</v>
      </c>
      <c r="J44" s="2"/>
      <c r="K44" s="2"/>
      <c r="L44" s="3" t="s">
        <v>989</v>
      </c>
      <c r="M44" s="4">
        <v>43.0</v>
      </c>
      <c r="N44" s="3" t="str">
        <f>IFERROR(__xludf.DUMMYFUNCTION("GOOGLETRANSLATE(C44,""en"",""zh-CN"")"),"比赛场地的主要特征是什么？")</f>
        <v>比赛场地的主要特征是什么？</v>
      </c>
      <c r="O44" s="3" t="str">
        <f>IFERROR(__xludf.DUMMYFUNCTION("GOOGLETRANSLATE(D44,""en"",""zh-CN"")"),"这是一个现代化的、人造草坪球场。")</f>
        <v>这是一个现代化的、人造草坪球场。</v>
      </c>
      <c r="P44" s="3" t="str">
        <f>IFERROR(__xludf.DUMMYFUNCTION("GOOGLETRANSLATE(E44,""en"",""zh-CN"")"),"这是一片绿草茵茵的户外场地。")</f>
        <v>这是一片绿草茵茵的户外场地。</v>
      </c>
      <c r="Q44" s="3" t="str">
        <f>IFERROR(__xludf.DUMMYFUNCTION("GOOGLETRANSLATE(F44,""en"",""zh-CN"")"),"这是一个历史悠久的室内体育馆。")</f>
        <v>这是一个历史悠久的室内体育馆。</v>
      </c>
      <c r="R44" s="3" t="str">
        <f>IFERROR(__xludf.DUMMYFUNCTION("GOOGLETRANSLATE(G44,""en"",""zh-CN"")"),"这是一个铺砌石板的庭院，具有传统的中国建筑风格。")</f>
        <v>这是一个铺砌石板的庭院，具有传统的中国建筑风格。</v>
      </c>
      <c r="S44" s="3" t="s">
        <v>1010</v>
      </c>
      <c r="T44" s="3" t="str">
        <f>IFERROR(__xludf.DUMMYFUNCTION("GOOGLETRANSLATE(H44,""en"",""zh-CN"")"),"这是一个铺砌石板的庭院，具有传统的中国建筑风格。")</f>
        <v>这是一个铺砌石板的庭院，具有传统的中国建筑风格。</v>
      </c>
      <c r="U44" s="3" t="str">
        <f>IFERROR(__xludf.DUMMYFUNCTION("GOOGLETRANSLATE(I44,""en"",""zh-CN"")"),"球员们在铺好的场地上进行表演，周围环绕着传统的中国建筑，这为蹴鞠表演提供了历史真实的背景。")</f>
        <v>球员们在铺好的场地上进行表演，周围环绕着传统的中国建筑，这为蹴鞠表演提供了历史真实的背景。</v>
      </c>
      <c r="V44" s="2"/>
      <c r="W44" s="2"/>
      <c r="X44" s="2"/>
      <c r="Y44" s="2"/>
      <c r="Z44" s="2"/>
      <c r="AA44" s="2"/>
      <c r="AB44" s="2"/>
      <c r="AC44" s="2"/>
      <c r="AD44" s="2"/>
      <c r="AE44" s="2"/>
      <c r="AF44" s="2"/>
      <c r="AG44" s="2"/>
      <c r="AH44" s="2"/>
      <c r="AI44" s="2"/>
      <c r="AJ44" s="2"/>
      <c r="AK44" s="2"/>
      <c r="AL44" s="2"/>
    </row>
    <row r="45" ht="22.5" customHeight="1">
      <c r="A45" s="3" t="s">
        <v>989</v>
      </c>
      <c r="B45" s="4">
        <v>44.0</v>
      </c>
      <c r="C45" s="3" t="s">
        <v>1011</v>
      </c>
      <c r="D45" s="3" t="s">
        <v>907</v>
      </c>
      <c r="E45" s="3" t="s">
        <v>1012</v>
      </c>
      <c r="F45" s="3" t="s">
        <v>1013</v>
      </c>
      <c r="G45" s="3" t="s">
        <v>1014</v>
      </c>
      <c r="H45" s="3" t="s">
        <v>907</v>
      </c>
      <c r="I45" s="3" t="s">
        <v>1015</v>
      </c>
      <c r="J45" s="2"/>
      <c r="K45" s="2"/>
      <c r="L45" s="3" t="s">
        <v>989</v>
      </c>
      <c r="M45" s="4">
        <v>44.0</v>
      </c>
      <c r="N45" s="3" t="str">
        <f>IFERROR(__xludf.DUMMYFUNCTION("GOOGLETRANSLATE(C45,""en"",""zh-CN"")"),"背景中的人群扮演着什么角色？")</f>
        <v>背景中的人群扮演着什么角色？</v>
      </c>
      <c r="O45" s="3" t="str">
        <f>IFERROR(__xludf.DUMMYFUNCTION("GOOGLETRANSLATE(D45,""en"",""zh-CN"")"),"他们是旁观者。")</f>
        <v>他们是旁观者。</v>
      </c>
      <c r="P45" s="3" t="str">
        <f>IFERROR(__xludf.DUMMYFUNCTION("GOOGLETRANSLATE(E45,""en"",""zh-CN"")"),"他们是其他玩家。")</f>
        <v>他们是其他玩家。</v>
      </c>
      <c r="Q45" s="3" t="str">
        <f>IFERROR(__xludf.DUMMYFUNCTION("GOOGLETRANSLATE(F45,""en"",""zh-CN"")"),"他们是法官。")</f>
        <v>他们是法官。</v>
      </c>
      <c r="R45" s="3" t="str">
        <f>IFERROR(__xludf.DUMMYFUNCTION("GOOGLETRANSLATE(G45,""en"",""zh-CN"")"),"他们都在等待轮到自己。")</f>
        <v>他们都在等待轮到自己。</v>
      </c>
      <c r="S45" s="3" t="s">
        <v>1016</v>
      </c>
      <c r="T45" s="3" t="str">
        <f>IFERROR(__xludf.DUMMYFUNCTION("GOOGLETRANSLATE(H45,""en"",""zh-CN"")"),"他们是旁观者。")</f>
        <v>他们是旁观者。</v>
      </c>
      <c r="U45" s="3" t="str">
        <f>IFERROR(__xludf.DUMMYFUNCTION("GOOGLETRANSLATE(I45,""en"",""zh-CN"")"),"背景中的人们，包括大人和孩子，都在观看比赛，这表明他们是这场公众示威活动的观众或旁观者。")</f>
        <v>背景中的人们，包括大人和孩子，都在观看比赛，这表明他们是这场公众示威活动的观众或旁观者。</v>
      </c>
      <c r="V45" s="2"/>
      <c r="W45" s="2"/>
      <c r="X45" s="2"/>
      <c r="Y45" s="2"/>
      <c r="Z45" s="2"/>
      <c r="AA45" s="2"/>
      <c r="AB45" s="2"/>
      <c r="AC45" s="2"/>
      <c r="AD45" s="2"/>
      <c r="AE45" s="2"/>
      <c r="AF45" s="2"/>
      <c r="AG45" s="2"/>
      <c r="AH45" s="2"/>
      <c r="AI45" s="2"/>
      <c r="AJ45" s="2"/>
      <c r="AK45" s="2"/>
      <c r="AL45" s="2"/>
    </row>
    <row r="46" ht="22.5" customHeight="1">
      <c r="A46" s="3" t="s">
        <v>989</v>
      </c>
      <c r="B46" s="4">
        <v>45.0</v>
      </c>
      <c r="C46" s="3" t="s">
        <v>1017</v>
      </c>
      <c r="D46" s="3" t="s">
        <v>1018</v>
      </c>
      <c r="E46" s="3" t="s">
        <v>1019</v>
      </c>
      <c r="F46" s="3" t="s">
        <v>1020</v>
      </c>
      <c r="G46" s="3" t="s">
        <v>1021</v>
      </c>
      <c r="H46" s="3" t="s">
        <v>1019</v>
      </c>
      <c r="I46" s="3" t="s">
        <v>1022</v>
      </c>
      <c r="J46" s="2"/>
      <c r="K46" s="2"/>
      <c r="L46" s="3" t="s">
        <v>989</v>
      </c>
      <c r="M46" s="4">
        <v>45.0</v>
      </c>
      <c r="N46" s="3" t="str">
        <f>IFERROR(__xludf.DUMMYFUNCTION("GOOGLETRANSLATE(C46,""en"",""zh-CN"")"),"这种形式的蹴鞠与现代足球的主要区别是什么？")</f>
        <v>这种形式的蹴鞠与现代足球的主要区别是什么？</v>
      </c>
      <c r="O46" s="3" t="str">
        <f>IFERROR(__xludf.DUMMYFUNCTION("GOOGLETRANSLATE(D46,""en"",""zh-CN"")"),"蹴鞠使用的是较小的球。")</f>
        <v>蹴鞠使用的是较小的球。</v>
      </c>
      <c r="P46" s="3" t="str">
        <f>IFERROR(__xludf.DUMMYFUNCTION("GOOGLETRANSLATE(E46,""en"",""zh-CN"")"),"主要目标是将球投进篮筐，而不是投进大网。")</f>
        <v>主要目标是将球投进篮筐，而不是投进大网。</v>
      </c>
      <c r="Q46" s="3" t="str">
        <f>IFERROR(__xludf.DUMMYFUNCTION("GOOGLETRANSLATE(F46,""en"",""zh-CN"")"),"蹴鞠是一项团队运动，对参赛人数没有限制。")</f>
        <v>蹴鞠是一项团队运动，对参赛人数没有限制。</v>
      </c>
      <c r="R46" s="3" t="str">
        <f>IFERROR(__xludf.DUMMYFUNCTION("GOOGLETRANSLATE(G46,""en"",""zh-CN"")"),"蹴鞠是一种不用脚踢的舞蹈。")</f>
        <v>蹴鞠是一种不用脚踢的舞蹈。</v>
      </c>
      <c r="S46" s="3" t="s">
        <v>1023</v>
      </c>
      <c r="T46" s="3" t="str">
        <f>IFERROR(__xludf.DUMMYFUNCTION("GOOGLETRANSLATE(H46,""en"",""zh-CN"")"),"主要目标是将球投进篮筐，而不是投进大网。")</f>
        <v>主要目标是将球投进篮筐，而不是投进大网。</v>
      </c>
      <c r="U46" s="3" t="str">
        <f>IFERROR(__xludf.DUMMYFUNCTION("GOOGLETRANSLATE(I46,""en"",""zh-CN"")"),"现代足球的目标是将球踢进宽阔的球门，而蹴鞠的目标是将球踢过一个高低起伏的小门。")</f>
        <v>现代足球的目标是将球踢进宽阔的球门，而蹴鞠的目标是将球踢过一个高低起伏的小门。</v>
      </c>
      <c r="V46" s="2"/>
      <c r="W46" s="2"/>
      <c r="X46" s="2"/>
      <c r="Y46" s="2"/>
      <c r="Z46" s="2"/>
      <c r="AA46" s="2"/>
      <c r="AB46" s="2"/>
      <c r="AC46" s="2"/>
      <c r="AD46" s="2"/>
      <c r="AE46" s="2"/>
      <c r="AF46" s="2"/>
      <c r="AG46" s="2"/>
      <c r="AH46" s="2"/>
      <c r="AI46" s="2"/>
      <c r="AJ46" s="2"/>
      <c r="AK46" s="2"/>
      <c r="AL46" s="2"/>
    </row>
    <row r="47" ht="22.5" customHeight="1">
      <c r="A47" s="3" t="s">
        <v>1024</v>
      </c>
      <c r="B47" s="4">
        <v>46.0</v>
      </c>
      <c r="C47" s="3" t="s">
        <v>1025</v>
      </c>
      <c r="D47" s="3" t="s">
        <v>1026</v>
      </c>
      <c r="E47" s="3" t="s">
        <v>1027</v>
      </c>
      <c r="F47" s="3" t="s">
        <v>1028</v>
      </c>
      <c r="G47" s="3" t="s">
        <v>1029</v>
      </c>
      <c r="H47" s="3" t="s">
        <v>1027</v>
      </c>
      <c r="I47" s="3" t="s">
        <v>1030</v>
      </c>
      <c r="J47" s="2"/>
      <c r="K47" s="2"/>
      <c r="L47" s="3" t="s">
        <v>1024</v>
      </c>
      <c r="M47" s="4">
        <v>46.0</v>
      </c>
      <c r="N47" s="3" t="str">
        <f>IFERROR(__xludf.DUMMYFUNCTION("GOOGLETRANSLATE(C47,""en"",""zh-CN"")"),"这张图片最显著的特征是什么？")</f>
        <v>这张图片最显著的特征是什么？</v>
      </c>
      <c r="O47" s="3" t="str">
        <f>IFERROR(__xludf.DUMMYFUNCTION("GOOGLETRANSLATE(D47,""en"",""zh-CN"")"),"一名身穿球衣的球员。")</f>
        <v>一名身穿球衣的球员。</v>
      </c>
      <c r="P47" s="3" t="str">
        <f>IFERROR(__xludf.DUMMYFUNCTION("GOOGLETRANSLATE(E47,""en"",""zh-CN"")"),"一排球员手持足球。")</f>
        <v>一排球员手持足球。</v>
      </c>
      <c r="Q47" s="3" t="str">
        <f>IFERROR(__xludf.DUMMYFUNCTION("GOOGLETRANSLATE(F47,""en"",""zh-CN"")"),"一个带有球门的足球场。")</f>
        <v>一个带有球门的足球场。</v>
      </c>
      <c r="R47" s="3" t="str">
        <f>IFERROR(__xludf.DUMMYFUNCTION("GOOGLETRANSLATE(G47,""en"",""zh-CN"")"),"一群观众。")</f>
        <v>一群观众。</v>
      </c>
      <c r="S47" s="3" t="s">
        <v>1031</v>
      </c>
      <c r="T47" s="3" t="str">
        <f>IFERROR(__xludf.DUMMYFUNCTION("GOOGLETRANSLATE(H47,""en"",""zh-CN"")"),"一排球员手持足球。")</f>
        <v>一排球员手持足球。</v>
      </c>
      <c r="U47" s="3" t="str">
        <f>IFERROR(__xludf.DUMMYFUNCTION("GOOGLETRANSLATE(I47,""en"",""zh-CN"")"),"图片显示一长串身穿制服的球员，每个人都在用头顶足球，球员和球的重复出现成为最突出的视觉特征。")</f>
        <v>图片显示一长串身穿制服的球员，每个人都在用头顶足球，球员和球的重复出现成为最突出的视觉特征。</v>
      </c>
      <c r="V47" s="2"/>
      <c r="W47" s="2"/>
      <c r="X47" s="2"/>
      <c r="Y47" s="2"/>
      <c r="Z47" s="2"/>
      <c r="AA47" s="2"/>
      <c r="AB47" s="2"/>
      <c r="AC47" s="2"/>
      <c r="AD47" s="2"/>
      <c r="AE47" s="2"/>
      <c r="AF47" s="2"/>
      <c r="AG47" s="2"/>
      <c r="AH47" s="2"/>
      <c r="AI47" s="2"/>
      <c r="AJ47" s="2"/>
      <c r="AK47" s="2"/>
      <c r="AL47" s="2"/>
    </row>
    <row r="48" ht="22.5" customHeight="1">
      <c r="A48" s="3" t="s">
        <v>1024</v>
      </c>
      <c r="B48" s="4">
        <v>47.0</v>
      </c>
      <c r="C48" s="3" t="s">
        <v>1032</v>
      </c>
      <c r="D48" s="3" t="s">
        <v>1033</v>
      </c>
      <c r="E48" s="3" t="s">
        <v>1034</v>
      </c>
      <c r="F48" s="3" t="s">
        <v>1035</v>
      </c>
      <c r="G48" s="3" t="s">
        <v>1036</v>
      </c>
      <c r="H48" s="3" t="s">
        <v>1035</v>
      </c>
      <c r="I48" s="3" t="s">
        <v>1037</v>
      </c>
      <c r="J48" s="2"/>
      <c r="K48" s="2"/>
      <c r="L48" s="3" t="s">
        <v>1024</v>
      </c>
      <c r="M48" s="4">
        <v>47.0</v>
      </c>
      <c r="N48" s="3" t="str">
        <f>IFERROR(__xludf.DUMMYFUNCTION("GOOGLETRANSLATE(C48,""en"",""zh-CN"")"),"图片中的活动代表什么？")</f>
        <v>图片中的活动代表什么？</v>
      </c>
      <c r="O48" s="3" t="str">
        <f>IFERROR(__xludf.DUMMYFUNCTION("GOOGLETRANSLATE(D48,""en"",""zh-CN"")"),"玩接球游戏。")</f>
        <v>玩接球游戏。</v>
      </c>
      <c r="P48" s="3" t="str">
        <f>IFERROR(__xludf.DUMMYFUNCTION("GOOGLETRANSLATE(E48,""en"",""zh-CN"")"),"足球比赛前的热身。")</f>
        <v>足球比赛前的热身。</v>
      </c>
      <c r="Q48" s="3" t="str">
        <f>IFERROR(__xludf.DUMMYFUNCTION("GOOGLETRANSLATE(F48,""en"",""zh-CN"")"),"现代足球训练方法。")</f>
        <v>现代足球训练方法。</v>
      </c>
      <c r="R48" s="3" t="str">
        <f>IFERROR(__xludf.DUMMYFUNCTION("GOOGLETRANSLATE(G48,""en"",""zh-CN"")"),"一场具有历史意义的蹴鞠表演。")</f>
        <v>一场具有历史意义的蹴鞠表演。</v>
      </c>
      <c r="S48" s="3" t="s">
        <v>1038</v>
      </c>
      <c r="T48" s="3" t="str">
        <f>IFERROR(__xludf.DUMMYFUNCTION("GOOGLETRANSLATE(H48,""en"",""zh-CN"")"),"现代足球训练方法。")</f>
        <v>现代足球训练方法。</v>
      </c>
      <c r="U48" s="3" t="str">
        <f>IFERROR(__xludf.DUMMYFUNCTION("GOOGLETRANSLATE(I48,""en"",""zh-CN"")"),"球员们身穿现代足球服，正在进行同步训练，练习控球和头球，这是一种现代足球技术，而不是蹴鞠表演。")</f>
        <v>球员们身穿现代足球服，正在进行同步训练，练习控球和头球，这是一种现代足球技术，而不是蹴鞠表演。</v>
      </c>
      <c r="V48" s="2"/>
      <c r="W48" s="2"/>
      <c r="X48" s="2"/>
      <c r="Y48" s="2"/>
      <c r="Z48" s="2"/>
      <c r="AA48" s="2"/>
      <c r="AB48" s="2"/>
      <c r="AC48" s="2"/>
      <c r="AD48" s="2"/>
      <c r="AE48" s="2"/>
      <c r="AF48" s="2"/>
      <c r="AG48" s="2"/>
      <c r="AH48" s="2"/>
      <c r="AI48" s="2"/>
      <c r="AJ48" s="2"/>
      <c r="AK48" s="2"/>
      <c r="AL48" s="2"/>
    </row>
    <row r="49" ht="22.5" customHeight="1">
      <c r="A49" s="3" t="s">
        <v>1024</v>
      </c>
      <c r="B49" s="4">
        <v>48.0</v>
      </c>
      <c r="C49" s="3" t="s">
        <v>1039</v>
      </c>
      <c r="D49" s="3" t="s">
        <v>1040</v>
      </c>
      <c r="E49" s="3" t="s">
        <v>1041</v>
      </c>
      <c r="F49" s="3" t="s">
        <v>1042</v>
      </c>
      <c r="G49" s="3" t="s">
        <v>1043</v>
      </c>
      <c r="H49" s="3" t="s">
        <v>1040</v>
      </c>
      <c r="I49" s="3" t="s">
        <v>1044</v>
      </c>
      <c r="J49" s="2"/>
      <c r="K49" s="2"/>
      <c r="L49" s="3" t="s">
        <v>1024</v>
      </c>
      <c r="M49" s="4">
        <v>48.0</v>
      </c>
      <c r="N49" s="3" t="str">
        <f>IFERROR(__xludf.DUMMYFUNCTION("GOOGLETRANSLATE(C49,""en"",""zh-CN"")"),"所有球员都穿着同样的队服。这说明了什么？")</f>
        <v>所有球员都穿着同样的队服。这说明了什么？</v>
      </c>
      <c r="O49" s="3" t="str">
        <f>IFERROR(__xludf.DUMMYFUNCTION("GOOGLETRANSLATE(D49,""en"",""zh-CN"")"),"他们是一个团队或一个体育学院。")</f>
        <v>他们是一个团队或一个体育学院。</v>
      </c>
      <c r="P49" s="3" t="str">
        <f>IFERROR(__xludf.DUMMYFUNCTION("GOOGLETRANSLATE(E49,""en"",""zh-CN"")"),"他们是同一家族的成员。")</f>
        <v>他们是同一家族的成员。</v>
      </c>
      <c r="Q49" s="3" t="str">
        <f>IFERROR(__xludf.DUMMYFUNCTION("GOOGLETRANSLATE(F49,""en"",""zh-CN"")"),"他们是一群朋友。")</f>
        <v>他们是一群朋友。</v>
      </c>
      <c r="R49" s="3" t="str">
        <f>IFERROR(__xludf.DUMMYFUNCTION("GOOGLETRANSLATE(G49,""en"",""zh-CN"")"),"他们是职业球员。")</f>
        <v>他们是职业球员。</v>
      </c>
      <c r="S49" s="3" t="s">
        <v>1045</v>
      </c>
      <c r="T49" s="3" t="str">
        <f>IFERROR(__xludf.DUMMYFUNCTION("GOOGLETRANSLATE(H49,""en"",""zh-CN"")"),"他们是一个团队或一个体育学院。")</f>
        <v>他们是一个团队或一个体育学院。</v>
      </c>
      <c r="U49" s="3" t="str">
        <f>IFERROR(__xludf.DUMMYFUNCTION("GOOGLETRANSLATE(I49,""en"",""zh-CN"")"),"统一的队服表明球员们隶属于某个组织，例如运动队、校队或学院。")</f>
        <v>统一的队服表明球员们隶属于某个组织，例如运动队、校队或学院。</v>
      </c>
      <c r="V49" s="2"/>
      <c r="W49" s="2"/>
      <c r="X49" s="2"/>
      <c r="Y49" s="2"/>
      <c r="Z49" s="2"/>
      <c r="AA49" s="2"/>
      <c r="AB49" s="2"/>
      <c r="AC49" s="2"/>
      <c r="AD49" s="2"/>
      <c r="AE49" s="2"/>
      <c r="AF49" s="2"/>
      <c r="AG49" s="2"/>
      <c r="AH49" s="2"/>
      <c r="AI49" s="2"/>
      <c r="AJ49" s="2"/>
      <c r="AK49" s="2"/>
      <c r="AL49" s="2"/>
    </row>
    <row r="50" ht="22.5" customHeight="1">
      <c r="A50" s="3" t="s">
        <v>1024</v>
      </c>
      <c r="B50" s="4">
        <v>49.0</v>
      </c>
      <c r="C50" s="3" t="s">
        <v>1046</v>
      </c>
      <c r="D50" s="3" t="s">
        <v>1047</v>
      </c>
      <c r="E50" s="3" t="s">
        <v>1048</v>
      </c>
      <c r="F50" s="3" t="s">
        <v>1049</v>
      </c>
      <c r="G50" s="3" t="s">
        <v>1050</v>
      </c>
      <c r="H50" s="3" t="s">
        <v>1048</v>
      </c>
      <c r="I50" s="3" t="s">
        <v>1051</v>
      </c>
      <c r="J50" s="2"/>
      <c r="K50" s="2"/>
      <c r="L50" s="3" t="s">
        <v>1024</v>
      </c>
      <c r="M50" s="4">
        <v>49.0</v>
      </c>
      <c r="N50" s="3" t="str">
        <f>IFERROR(__xludf.DUMMYFUNCTION("GOOGLETRANSLATE(C50,""en"",""zh-CN"")"),"图片显示的是一群年轻人。这有什么意义呢？")</f>
        <v>图片显示的是一群年轻人。这有什么意义呢？</v>
      </c>
      <c r="O50" s="3" t="str">
        <f>IFERROR(__xludf.DUMMYFUNCTION("GOOGLETRANSLATE(D50,""en"",""zh-CN"")"),"这暗示足球只是儿童的运动。")</f>
        <v>这暗示足球只是儿童的运动。</v>
      </c>
      <c r="P50" s="3" t="str">
        <f>IFERROR(__xludf.DUMMYFUNCTION("GOOGLETRANSLATE(E50,""en"",""zh-CN"")"),"这说明足球在中国青少年中越来越受欢迎。")</f>
        <v>这说明足球在中国青少年中越来越受欢迎。</v>
      </c>
      <c r="Q50" s="3" t="str">
        <f>IFERROR(__xludf.DUMMYFUNCTION("GOOGLETRANSLATE(F50,""en"",""zh-CN"")"),"这是一场校内比赛。")</f>
        <v>这是一场校内比赛。</v>
      </c>
      <c r="R50" s="3" t="str">
        <f>IFERROR(__xludf.DUMMYFUNCTION("GOOGLETRANSLATE(G50,""en"",""zh-CN"")"),"这是一支专业的团队。")</f>
        <v>这是一支专业的团队。</v>
      </c>
      <c r="S50" s="3" t="s">
        <v>1052</v>
      </c>
      <c r="T50" s="3" t="str">
        <f>IFERROR(__xludf.DUMMYFUNCTION("GOOGLETRANSLATE(H50,""en"",""zh-CN"")"),"这说明足球在中国青少年中越来越受欢迎。")</f>
        <v>这说明足球在中国青少年中越来越受欢迎。</v>
      </c>
      <c r="U50" s="3" t="str">
        <f>IFERROR(__xludf.DUMMYFUNCTION("GOOGLETRANSLATE(I50,""en"",""zh-CN"")"),"这张图片突显了中国现代足球对培养青年人才的重视，这是古代运动蹴鞠的传承。")</f>
        <v>这张图片突显了中国现代足球对培养青年人才的重视，这是古代运动蹴鞠的传承。</v>
      </c>
      <c r="V50" s="2"/>
      <c r="W50" s="2"/>
      <c r="X50" s="2"/>
      <c r="Y50" s="2"/>
      <c r="Z50" s="2"/>
      <c r="AA50" s="2"/>
      <c r="AB50" s="2"/>
      <c r="AC50" s="2"/>
      <c r="AD50" s="2"/>
      <c r="AE50" s="2"/>
      <c r="AF50" s="2"/>
      <c r="AG50" s="2"/>
      <c r="AH50" s="2"/>
      <c r="AI50" s="2"/>
      <c r="AJ50" s="2"/>
      <c r="AK50" s="2"/>
      <c r="AL50" s="2"/>
    </row>
    <row r="51" ht="22.5" customHeight="1">
      <c r="A51" s="3" t="s">
        <v>1024</v>
      </c>
      <c r="B51" s="4">
        <v>50.0</v>
      </c>
      <c r="C51" s="3" t="s">
        <v>1053</v>
      </c>
      <c r="D51" s="3" t="s">
        <v>1054</v>
      </c>
      <c r="E51" s="3" t="s">
        <v>1055</v>
      </c>
      <c r="F51" s="3" t="s">
        <v>1056</v>
      </c>
      <c r="G51" s="3" t="s">
        <v>1057</v>
      </c>
      <c r="H51" s="3" t="s">
        <v>1057</v>
      </c>
      <c r="I51" s="3" t="s">
        <v>1058</v>
      </c>
      <c r="J51" s="2"/>
      <c r="K51" s="2"/>
      <c r="L51" s="3" t="s">
        <v>1024</v>
      </c>
      <c r="M51" s="4">
        <v>50.0</v>
      </c>
      <c r="N51" s="3" t="str">
        <f>IFERROR(__xludf.DUMMYFUNCTION("GOOGLETRANSLATE(C51,""en"",""zh-CN"")"),"这种活动与传统的蹴鞠游戏的主要区别是什么？")</f>
        <v>这种活动与传统的蹴鞠游戏的主要区别是什么？</v>
      </c>
      <c r="O51" s="3" t="str">
        <f>IFERROR(__xludf.DUMMYFUNCTION("GOOGLETRANSLATE(D51,""en"",""zh-CN"")"),"使用现代球。")</f>
        <v>使用现代球。</v>
      </c>
      <c r="P51" s="3" t="str">
        <f>IFERROR(__xludf.DUMMYFUNCTION("GOOGLETRANSLATE(E51,""en"",""zh-CN"")"),"注重领导和团队合作。")</f>
        <v>注重领导和团队合作。</v>
      </c>
      <c r="Q51" s="3" t="str">
        <f>IFERROR(__xludf.DUMMYFUNCTION("GOOGLETRANSLATE(F51,""en"",""zh-CN"")"),"使用团队制服。")</f>
        <v>使用团队制服。</v>
      </c>
      <c r="R51" s="3" t="str">
        <f>IFERROR(__xludf.DUMMYFUNCTION("GOOGLETRANSLATE(G51,""en"",""zh-CN"")"),"上述所有的。")</f>
        <v>上述所有的。</v>
      </c>
      <c r="S51" s="3" t="s">
        <v>1059</v>
      </c>
      <c r="T51" s="3" t="str">
        <f>IFERROR(__xludf.DUMMYFUNCTION("GOOGLETRANSLATE(H51,""en"",""zh-CN"")"),"上述所有的。")</f>
        <v>上述所有的。</v>
      </c>
      <c r="U51" s="3" t="str">
        <f>IFERROR(__xludf.DUMMYFUNCTION("GOOGLETRANSLATE(I51,""en"",""zh-CN"")"),"这张图片展示了现代足球，它与传统的蹴鞠不同之处在于使用现代足球，注重头球（这在蹴鞠中不太常见），以及拥有正式队服的球队概念。")</f>
        <v>这张图片展示了现代足球，它与传统的蹴鞠不同之处在于使用现代足球，注重头球（这在蹴鞠中不太常见），以及拥有正式队服的球队概念。</v>
      </c>
      <c r="V51" s="2"/>
      <c r="W51" s="2"/>
      <c r="X51" s="2"/>
      <c r="Y51" s="2"/>
      <c r="Z51" s="2"/>
      <c r="AA51" s="2"/>
      <c r="AB51" s="2"/>
      <c r="AC51" s="2"/>
      <c r="AD51" s="2"/>
      <c r="AE51" s="2"/>
      <c r="AF51" s="2"/>
      <c r="AG51" s="2"/>
      <c r="AH51" s="2"/>
      <c r="AI51" s="2"/>
      <c r="AJ51" s="2"/>
      <c r="AK51" s="2"/>
      <c r="AL51" s="2"/>
    </row>
    <row r="52" ht="22.5" customHeight="1">
      <c r="A52" s="3" t="s">
        <v>1060</v>
      </c>
      <c r="B52" s="4">
        <v>51.0</v>
      </c>
      <c r="C52" s="3" t="s">
        <v>1061</v>
      </c>
      <c r="D52" s="3" t="s">
        <v>1062</v>
      </c>
      <c r="E52" s="3" t="s">
        <v>1063</v>
      </c>
      <c r="F52" s="3" t="s">
        <v>1064</v>
      </c>
      <c r="G52" s="3" t="s">
        <v>1065</v>
      </c>
      <c r="H52" s="3" t="s">
        <v>1063</v>
      </c>
      <c r="I52" s="3" t="s">
        <v>1066</v>
      </c>
      <c r="J52" s="2"/>
      <c r="K52" s="2"/>
      <c r="L52" s="3" t="s">
        <v>1060</v>
      </c>
      <c r="M52" s="4">
        <v>51.0</v>
      </c>
      <c r="N52" s="3" t="str">
        <f>IFERROR(__xludf.DUMMYFUNCTION("GOOGLETRANSLATE(C52,""en"",""zh-CN"")"),"图片中显示的是什么物品？")</f>
        <v>图片中显示的是什么物品？</v>
      </c>
      <c r="O52" s="3" t="str">
        <f>IFERROR(__xludf.DUMMYFUNCTION("GOOGLETRANSLATE(D52,""en"",""zh-CN"")"),"棒球")</f>
        <v>棒球</v>
      </c>
      <c r="P52" s="3" t="str">
        <f>IFERROR(__xludf.DUMMYFUNCTION("GOOGLETRANSLATE(E52,""en"",""zh-CN"")"),"一件古代体育运动的历史文物")</f>
        <v>一件古代体育运动的历史文物</v>
      </c>
      <c r="Q52" s="3" t="str">
        <f>IFERROR(__xludf.DUMMYFUNCTION("GOOGLETRANSLATE(F52,""en"",""zh-CN"")"),"现代比赛的奖杯")</f>
        <v>现代比赛的奖杯</v>
      </c>
      <c r="R52" s="3" t="str">
        <f>IFERROR(__xludf.DUMMYFUNCTION("GOOGLETRANSLATE(G52,""en"",""zh-CN"")"),"保龄球")</f>
        <v>保龄球</v>
      </c>
      <c r="S52" s="3" t="s">
        <v>1067</v>
      </c>
      <c r="T52" s="3" t="str">
        <f>IFERROR(__xludf.DUMMYFUNCTION("GOOGLETRANSLATE(H52,""en"",""zh-CN"")"),"一件古代体育运动的历史文物")</f>
        <v>一件古代体育运动的历史文物</v>
      </c>
      <c r="U52" s="3" t="str">
        <f>IFERROR(__xludf.DUMMYFUNCTION("GOOGLETRANSLATE(I52,""en"",""zh-CN"")"),"该物品是蹴鞠球的复制品，蹴鞠球是与中国古代体育运动相关的文物，常用于博物馆展览或陈列。")</f>
        <v>该物品是蹴鞠球的复制品，蹴鞠球是与中国古代体育运动相关的文物，常用于博物馆展览或陈列。</v>
      </c>
      <c r="V52" s="2"/>
      <c r="W52" s="2"/>
      <c r="X52" s="2"/>
      <c r="Y52" s="2"/>
      <c r="Z52" s="2"/>
      <c r="AA52" s="2"/>
      <c r="AB52" s="2"/>
      <c r="AC52" s="2"/>
      <c r="AD52" s="2"/>
      <c r="AE52" s="2"/>
      <c r="AF52" s="2"/>
      <c r="AG52" s="2"/>
      <c r="AH52" s="2"/>
      <c r="AI52" s="2"/>
      <c r="AJ52" s="2"/>
      <c r="AK52" s="2"/>
      <c r="AL52" s="2"/>
    </row>
    <row r="53" ht="22.5" customHeight="1">
      <c r="A53" s="3" t="s">
        <v>1060</v>
      </c>
      <c r="B53" s="4">
        <v>52.0</v>
      </c>
      <c r="C53" s="3" t="s">
        <v>1068</v>
      </c>
      <c r="D53" s="3" t="s">
        <v>1069</v>
      </c>
      <c r="E53" s="3" t="s">
        <v>1070</v>
      </c>
      <c r="F53" s="3" t="s">
        <v>1071</v>
      </c>
      <c r="G53" s="3" t="s">
        <v>1072</v>
      </c>
      <c r="H53" s="3" t="s">
        <v>1071</v>
      </c>
      <c r="I53" s="3" t="s">
        <v>1073</v>
      </c>
      <c r="J53" s="2"/>
      <c r="K53" s="2"/>
      <c r="L53" s="3" t="s">
        <v>1060</v>
      </c>
      <c r="M53" s="4">
        <v>52.0</v>
      </c>
      <c r="N53" s="3" t="str">
        <f>IFERROR(__xludf.DUMMYFUNCTION("GOOGLETRANSLATE(C53,""en"",""zh-CN"")"),"这个球的独特结构是由什么材料制成的？")</f>
        <v>这个球的独特结构是由什么材料制成的？</v>
      </c>
      <c r="O53" s="3" t="str">
        <f>IFERROR(__xludf.DUMMYFUNCTION("GOOGLETRANSLATE(D53,""en"",""zh-CN"")"),"空心橡胶芯")</f>
        <v>空心橡胶芯</v>
      </c>
      <c r="P53" s="3" t="str">
        <f>IFERROR(__xludf.DUMMYFUNCTION("GOOGLETRANSLATE(E53,""en"",""zh-CN"")"),"一种现代合成材料")</f>
        <v>一种现代合成材料</v>
      </c>
      <c r="Q53" s="3" t="str">
        <f>IFERROR(__xludf.DUMMYFUNCTION("GOOGLETRANSLATE(F53,""en"",""zh-CN"")"),"缝合的皮革或兽皮")</f>
        <v>缝合的皮革或兽皮</v>
      </c>
      <c r="R53" s="3" t="str">
        <f>IFERROR(__xludf.DUMMYFUNCTION("GOOGLETRANSLATE(G53,""en"",""zh-CN"")"),"木质芯材，带有金属铆钉")</f>
        <v>木质芯材，带有金属铆钉</v>
      </c>
      <c r="S53" s="3" t="s">
        <v>1074</v>
      </c>
      <c r="T53" s="3" t="str">
        <f>IFERROR(__xludf.DUMMYFUNCTION("GOOGLETRANSLATE(H53,""en"",""zh-CN"")"),"缝合的皮革或兽皮")</f>
        <v>缝合的皮革或兽皮</v>
      </c>
      <c r="U53" s="3" t="str">
        <f>IFERROR(__xludf.DUMMYFUNCTION("GOOGLETRANSLATE(I53,""en"",""zh-CN"")"),"这个球似乎是用缝合的皮革或兽皮制成的，这是一种古老的制球方法，曾用于古代体育运动。")</f>
        <v>这个球似乎是用缝合的皮革或兽皮制成的，这是一种古老的制球方法，曾用于古代体育运动。</v>
      </c>
      <c r="V53" s="2"/>
      <c r="W53" s="2"/>
      <c r="X53" s="2"/>
      <c r="Y53" s="2"/>
      <c r="Z53" s="2"/>
      <c r="AA53" s="2"/>
      <c r="AB53" s="2"/>
      <c r="AC53" s="2"/>
      <c r="AD53" s="2"/>
      <c r="AE53" s="2"/>
      <c r="AF53" s="2"/>
      <c r="AG53" s="2"/>
      <c r="AH53" s="2"/>
      <c r="AI53" s="2"/>
      <c r="AJ53" s="2"/>
      <c r="AK53" s="2"/>
      <c r="AL53" s="2"/>
    </row>
    <row r="54" ht="22.5" customHeight="1">
      <c r="A54" s="3" t="s">
        <v>1060</v>
      </c>
      <c r="B54" s="4">
        <v>53.0</v>
      </c>
      <c r="C54" s="3" t="s">
        <v>1075</v>
      </c>
      <c r="D54" s="3" t="s">
        <v>1076</v>
      </c>
      <c r="E54" s="3" t="s">
        <v>1077</v>
      </c>
      <c r="F54" s="3" t="s">
        <v>1078</v>
      </c>
      <c r="G54" s="3" t="s">
        <v>1079</v>
      </c>
      <c r="H54" s="3" t="s">
        <v>1078</v>
      </c>
      <c r="I54" s="3" t="s">
        <v>1080</v>
      </c>
      <c r="J54" s="2"/>
      <c r="K54" s="2"/>
      <c r="L54" s="3" t="s">
        <v>1060</v>
      </c>
      <c r="M54" s="4">
        <v>53.0</v>
      </c>
      <c r="N54" s="3" t="str">
        <f>IFERROR(__xludf.DUMMYFUNCTION("GOOGLETRANSLATE(C54,""en"",""zh-CN"")"),"底座上的文字有什么意义？")</f>
        <v>底座上的文字有什么意义？</v>
      </c>
      <c r="O54" s="3" t="str">
        <f>IFERROR(__xludf.DUMMYFUNCTION("GOOGLETRANSLATE(D54,""en"",""zh-CN"")"),"这是一个品牌名称。")</f>
        <v>这是一个品牌名称。</v>
      </c>
      <c r="P54" s="3" t="str">
        <f>IFERROR(__xludf.DUMMYFUNCTION("GOOGLETRANSLATE(E54,""en"",""zh-CN"")"),"这是关于球的使用历史的记录。")</f>
        <v>这是关于球的使用历史的记录。</v>
      </c>
      <c r="Q54" s="3" t="str">
        <f>IFERROR(__xludf.DUMMYFUNCTION("GOOGLETRANSLATE(F54,""en"",""zh-CN"")"),"文中指出，淄博临子市是足球的发源地。")</f>
        <v>文中指出，淄博临子市是足球的发源地。</v>
      </c>
      <c r="R54" s="3" t="str">
        <f>IFERROR(__xludf.DUMMYFUNCTION("GOOGLETRANSLATE(G54,""en"",""zh-CN"")"),"这是献给一位著名球员的致敬之作。")</f>
        <v>这是献给一位著名球员的致敬之作。</v>
      </c>
      <c r="S54" s="3" t="s">
        <v>1081</v>
      </c>
      <c r="T54" s="3" t="str">
        <f>IFERROR(__xludf.DUMMYFUNCTION("GOOGLETRANSLATE(H54,""en"",""zh-CN"")"),"文中指出，淄博临子市是足球的发源地。")</f>
        <v>文中指出，淄博临子市是足球的发源地。</v>
      </c>
      <c r="U54" s="3" t="str">
        <f>IFERROR(__xludf.DUMMYFUNCTION("GOOGLETRANSLATE(I54,""en"",""zh-CN"")"),"底座上的文字写着“足球起源于此——淄博临淄”，指的是中国城市淄博临淄，该城市已被国际足联正式承认为蹴鞠的发源地，进而也是世界上最古老的足球运动的发源地。")</f>
        <v>底座上的文字写着“足球起源于此——淄博临淄”，指的是中国城市淄博临淄，该城市已被国际足联正式承认为蹴鞠的发源地，进而也是世界上最古老的足球运动的发源地。</v>
      </c>
      <c r="V54" s="2"/>
      <c r="W54" s="2"/>
      <c r="X54" s="2"/>
      <c r="Y54" s="2"/>
      <c r="Z54" s="2"/>
      <c r="AA54" s="2"/>
      <c r="AB54" s="2"/>
      <c r="AC54" s="2"/>
      <c r="AD54" s="2"/>
      <c r="AE54" s="2"/>
      <c r="AF54" s="2"/>
      <c r="AG54" s="2"/>
      <c r="AH54" s="2"/>
      <c r="AI54" s="2"/>
      <c r="AJ54" s="2"/>
      <c r="AK54" s="2"/>
      <c r="AL54" s="2"/>
    </row>
    <row r="55" ht="22.5" customHeight="1">
      <c r="A55" s="3" t="s">
        <v>1060</v>
      </c>
      <c r="B55" s="4">
        <v>54.0</v>
      </c>
      <c r="C55" s="3" t="s">
        <v>1082</v>
      </c>
      <c r="D55" s="3" t="s">
        <v>1083</v>
      </c>
      <c r="E55" s="3" t="s">
        <v>1084</v>
      </c>
      <c r="F55" s="3" t="s">
        <v>1085</v>
      </c>
      <c r="G55" s="3" t="s">
        <v>1086</v>
      </c>
      <c r="H55" s="3" t="s">
        <v>1083</v>
      </c>
      <c r="I55" s="3" t="s">
        <v>1087</v>
      </c>
      <c r="J55" s="2"/>
      <c r="K55" s="2"/>
      <c r="L55" s="3" t="s">
        <v>1060</v>
      </c>
      <c r="M55" s="4">
        <v>54.0</v>
      </c>
      <c r="N55" s="3" t="str">
        <f>IFERROR(__xludf.DUMMYFUNCTION("GOOGLETRANSLATE(C55,""en"",""zh-CN"")"),"从这个球的设计中可以推断出什么？")</f>
        <v>从这个球的设计中可以推断出什么？</v>
      </c>
      <c r="O55" s="3" t="str">
        <f>IFERROR(__xludf.DUMMYFUNCTION("GOOGLETRANSLATE(D55,""en"",""zh-CN"")"),"它的设计兼顾了轻便和耐用性。")</f>
        <v>它的设计兼顾了轻便和耐用性。</v>
      </c>
      <c r="P55" s="3" t="str">
        <f>IFERROR(__xludf.DUMMYFUNCTION("GOOGLETRANSLATE(E55,""en"",""zh-CN"")"),"它是为现代高速游戏而设计的。")</f>
        <v>它是为现代高速游戏而设计的。</v>
      </c>
      <c r="Q55" s="3" t="str">
        <f>IFERROR(__xludf.DUMMYFUNCTION("GOOGLETRANSLATE(F55,""en"",""zh-CN"")"),"那是一个结实、沉重的球。")</f>
        <v>那是一个结实、沉重的球。</v>
      </c>
      <c r="R55" s="3" t="str">
        <f>IFERROR(__xludf.DUMMYFUNCTION("GOOGLETRANSLATE(G55,""en"",""zh-CN"")"),"它仅用于仪式用途。")</f>
        <v>它仅用于仪式用途。</v>
      </c>
      <c r="S55" s="3" t="s">
        <v>1088</v>
      </c>
      <c r="T55" s="3" t="str">
        <f>IFERROR(__xludf.DUMMYFUNCTION("GOOGLETRANSLATE(H55,""en"",""zh-CN"")"),"它的设计兼顾了轻便和耐用性。")</f>
        <v>它的设计兼顾了轻便和耐用性。</v>
      </c>
      <c r="U55" s="3" t="str">
        <f>IFERROR(__xludf.DUMMYFUNCTION("GOOGLETRANSLATE(I55,""en"",""zh-CN"")"),"精细的缝线和材质表明，这个球的设计是为了轻便，以便于踢球和保持飞行，这是蹴鞠的关键特性。")</f>
        <v>精细的缝线和材质表明，这个球的设计是为了轻便，以便于踢球和保持飞行，这是蹴鞠的关键特性。</v>
      </c>
      <c r="V55" s="2"/>
      <c r="W55" s="2"/>
      <c r="X55" s="2"/>
      <c r="Y55" s="2"/>
      <c r="Z55" s="2"/>
      <c r="AA55" s="2"/>
      <c r="AB55" s="2"/>
      <c r="AC55" s="2"/>
      <c r="AD55" s="2"/>
      <c r="AE55" s="2"/>
      <c r="AF55" s="2"/>
      <c r="AG55" s="2"/>
      <c r="AH55" s="2"/>
      <c r="AI55" s="2"/>
      <c r="AJ55" s="2"/>
      <c r="AK55" s="2"/>
      <c r="AL55" s="2"/>
    </row>
    <row r="56" ht="22.5" customHeight="1">
      <c r="A56" s="3" t="s">
        <v>1060</v>
      </c>
      <c r="B56" s="4">
        <v>55.0</v>
      </c>
      <c r="C56" s="3" t="s">
        <v>1089</v>
      </c>
      <c r="D56" s="3" t="s">
        <v>1090</v>
      </c>
      <c r="E56" s="3" t="s">
        <v>1091</v>
      </c>
      <c r="F56" s="3" t="s">
        <v>1092</v>
      </c>
      <c r="G56" s="3" t="s">
        <v>1093</v>
      </c>
      <c r="H56" s="3" t="s">
        <v>1091</v>
      </c>
      <c r="I56" s="3" t="s">
        <v>1094</v>
      </c>
      <c r="J56" s="2"/>
      <c r="K56" s="2"/>
      <c r="L56" s="3" t="s">
        <v>1060</v>
      </c>
      <c r="M56" s="4">
        <v>55.0</v>
      </c>
      <c r="N56" s="3" t="str">
        <f>IFERROR(__xludf.DUMMYFUNCTION("GOOGLETRANSLATE(C56,""en"",""zh-CN"")"),"这个物品如今的用途是什么？")</f>
        <v>这个物品如今的用途是什么？</v>
      </c>
      <c r="O56" s="3" t="str">
        <f>IFERROR(__xludf.DUMMYFUNCTION("GOOGLETRANSLATE(D56,""en"",""zh-CN"")"),"用于现代游戏。")</f>
        <v>用于现代游戏。</v>
      </c>
      <c r="P56" s="3" t="str">
        <f>IFERROR(__xludf.DUMMYFUNCTION("GOOGLETRANSLATE(E56,""en"",""zh-CN"")"),"作为历史文化象征。")</f>
        <v>作为历史文化象征。</v>
      </c>
      <c r="Q56" s="3" t="str">
        <f>IFERROR(__xludf.DUMMYFUNCTION("GOOGLETRANSLATE(F56,""en"",""zh-CN"")"),"将作为玩具出售。")</f>
        <v>将作为玩具出售。</v>
      </c>
      <c r="R56" s="3" t="str">
        <f>IFERROR(__xludf.DUMMYFUNCTION("GOOGLETRANSLATE(G56,""en"",""zh-CN"")"),"用于科学研究。")</f>
        <v>用于科学研究。</v>
      </c>
      <c r="S56" s="3" t="s">
        <v>1095</v>
      </c>
      <c r="T56" s="3" t="str">
        <f>IFERROR(__xludf.DUMMYFUNCTION("GOOGLETRANSLATE(H56,""en"",""zh-CN"")"),"作为历史文化象征。")</f>
        <v>作为历史文化象征。</v>
      </c>
      <c r="U56" s="3" t="str">
        <f>IFERROR(__xludf.DUMMYFUNCTION("GOOGLETRANSLATE(I56,""en"",""zh-CN"")"),"如今，像这样的复制品被用来象征足球的历史起源，并经常在文化或体育相关的博物馆中展出。")</f>
        <v>如今，像这样的复制品被用来象征足球的历史起源，并经常在文化或体育相关的博物馆中展出。</v>
      </c>
      <c r="V56" s="2"/>
      <c r="W56" s="2"/>
      <c r="X56" s="2"/>
      <c r="Y56" s="2"/>
      <c r="Z56" s="2"/>
      <c r="AA56" s="2"/>
      <c r="AB56" s="2"/>
      <c r="AC56" s="2"/>
      <c r="AD56" s="2"/>
      <c r="AE56" s="2"/>
      <c r="AF56" s="2"/>
      <c r="AG56" s="2"/>
      <c r="AH56" s="2"/>
      <c r="AI56" s="2"/>
      <c r="AJ56" s="2"/>
      <c r="AK56" s="2"/>
      <c r="AL56" s="2"/>
    </row>
    <row r="57" ht="22.5" customHeight="1">
      <c r="A57" s="3" t="s">
        <v>1096</v>
      </c>
      <c r="B57" s="4">
        <v>56.0</v>
      </c>
      <c r="C57" s="3" t="s">
        <v>990</v>
      </c>
      <c r="D57" s="3" t="s">
        <v>991</v>
      </c>
      <c r="E57" s="3" t="s">
        <v>992</v>
      </c>
      <c r="F57" s="3" t="s">
        <v>993</v>
      </c>
      <c r="G57" s="3" t="s">
        <v>994</v>
      </c>
      <c r="H57" s="3" t="s">
        <v>992</v>
      </c>
      <c r="I57" s="3" t="s">
        <v>995</v>
      </c>
      <c r="J57" s="2"/>
      <c r="K57" s="2"/>
      <c r="L57" s="3" t="s">
        <v>1096</v>
      </c>
      <c r="M57" s="4">
        <v>56.0</v>
      </c>
      <c r="N57" s="3" t="str">
        <f>IFERROR(__xludf.DUMMYFUNCTION("GOOGLETRANSLATE(C57,""en"",""zh-CN"")"),"图片中主要发生的活动是什么？")</f>
        <v>图片中主要发生的活动是什么？</v>
      </c>
      <c r="O57" s="3" t="str">
        <f>IFERROR(__xludf.DUMMYFUNCTION("GOOGLETRANSLATE(D57,""en"",""zh-CN"")"),"一场中国戏曲表演。")</f>
        <v>一场中国戏曲表演。</v>
      </c>
      <c r="P57" s="3" t="str">
        <f>IFERROR(__xludf.DUMMYFUNCTION("GOOGLETRANSLATE(E57,""en"",""zh-CN"")"),"传统体育运动的演示。")</f>
        <v>传统体育运动的演示。</v>
      </c>
      <c r="Q57" s="3" t="str">
        <f>IFERROR(__xludf.DUMMYFUNCTION("GOOGLETRANSLATE(F57,""en"",""zh-CN"")"),"有游行的节日。")</f>
        <v>有游行的节日。</v>
      </c>
      <c r="R57" s="3" t="str">
        <f>IFERROR(__xludf.DUMMYFUNCTION("GOOGLETRANSLATE(G57,""en"",""zh-CN"")"),"功夫表演。")</f>
        <v>功夫表演。</v>
      </c>
      <c r="S57" s="3" t="s">
        <v>996</v>
      </c>
      <c r="T57" s="3" t="str">
        <f>IFERROR(__xludf.DUMMYFUNCTION("GOOGLETRANSLATE(H57,""en"",""zh-CN"")"),"传统体育运动的演示。")</f>
        <v>传统体育运动的演示。</v>
      </c>
      <c r="U57" s="3" t="str">
        <f>IFERROR(__xludf.DUMMYFUNCTION("GOOGLETRANSLATE(I57,""en"",""zh-CN"")"),"图片显示，身着传统服饰的男子正在进行一场以仪式性球门为标志的球类运动，这是中国古代体育运动蹴鞠的表演。")</f>
        <v>图片显示，身着传统服饰的男子正在进行一场以仪式性球门为标志的球类运动，这是中国古代体育运动蹴鞠的表演。</v>
      </c>
      <c r="V57" s="2"/>
      <c r="W57" s="2"/>
      <c r="X57" s="2"/>
      <c r="Y57" s="2"/>
      <c r="Z57" s="2"/>
      <c r="AA57" s="2"/>
      <c r="AB57" s="2"/>
      <c r="AC57" s="2"/>
      <c r="AD57" s="2"/>
      <c r="AE57" s="2"/>
      <c r="AF57" s="2"/>
      <c r="AG57" s="2"/>
      <c r="AH57" s="2"/>
      <c r="AI57" s="2"/>
      <c r="AJ57" s="2"/>
      <c r="AK57" s="2"/>
      <c r="AL57" s="2"/>
    </row>
    <row r="58" ht="22.5" customHeight="1">
      <c r="A58" s="3" t="s">
        <v>1096</v>
      </c>
      <c r="B58" s="4">
        <v>57.0</v>
      </c>
      <c r="C58" s="3" t="s">
        <v>1097</v>
      </c>
      <c r="D58" s="3" t="s">
        <v>1098</v>
      </c>
      <c r="E58" s="3" t="s">
        <v>1099</v>
      </c>
      <c r="F58" s="3" t="s">
        <v>1100</v>
      </c>
      <c r="G58" s="3" t="s">
        <v>1101</v>
      </c>
      <c r="H58" s="3" t="s">
        <v>1099</v>
      </c>
      <c r="I58" s="3" t="s">
        <v>1102</v>
      </c>
      <c r="J58" s="2"/>
      <c r="K58" s="2"/>
      <c r="L58" s="3" t="s">
        <v>1096</v>
      </c>
      <c r="M58" s="4">
        <v>57.0</v>
      </c>
      <c r="N58" s="3" t="str">
        <f>IFERROR(__xludf.DUMMYFUNCTION("GOOGLETRANSLATE(C58,""en"",""zh-CN"")"),"玩家移动的主要目标是什么？")</f>
        <v>玩家移动的主要目标是什么？</v>
      </c>
      <c r="O58" s="3" t="str">
        <f>IFERROR(__xludf.DUMMYFUNCTION("GOOGLETRANSLATE(D58,""en"",""zh-CN"")"),"用拳头击球。")</f>
        <v>用拳头击球。</v>
      </c>
      <c r="P58" s="3" t="str">
        <f>IFERROR(__xludf.DUMMYFUNCTION("GOOGLETRANSLATE(E58,""en"",""zh-CN"")"),"将球踢过高架篮筐。")</f>
        <v>将球踢过高架篮筐。</v>
      </c>
      <c r="Q58" s="3" t="str">
        <f>IFERROR(__xludf.DUMMYFUNCTION("GOOGLETRANSLATE(F58,""en"",""zh-CN"")"),"进行防守性阻挡。")</f>
        <v>进行防守性阻挡。</v>
      </c>
      <c r="R58" s="3" t="str">
        <f>IFERROR(__xludf.DUMMYFUNCTION("GOOGLETRANSLATE(G58,""en"",""zh-CN"")"),"在地面上运球。")</f>
        <v>在地面上运球。</v>
      </c>
      <c r="S58" s="3" t="s">
        <v>1103</v>
      </c>
      <c r="T58" s="3" t="str">
        <f>IFERROR(__xludf.DUMMYFUNCTION("GOOGLETRANSLATE(H58,""en"",""zh-CN"")"),"将球踢过高架篮筐。")</f>
        <v>将球踢过高架篮筐。</v>
      </c>
      <c r="U58" s="3" t="str">
        <f>IFERROR(__xludf.DUMMYFUNCTION("GOOGLETRANSLATE(I58,""en"",""zh-CN"")"),"球员站位准备用脚踢球，目标是将球踢过球门结构中央的小圆环，这就是蹴鞠这种形式的目标。")</f>
        <v>球员站位准备用脚踢球，目标是将球踢过球门结构中央的小圆环，这就是蹴鞠这种形式的目标。</v>
      </c>
      <c r="V58" s="2"/>
      <c r="W58" s="2"/>
      <c r="X58" s="2"/>
      <c r="Y58" s="2"/>
      <c r="Z58" s="2"/>
      <c r="AA58" s="2"/>
      <c r="AB58" s="2"/>
      <c r="AC58" s="2"/>
      <c r="AD58" s="2"/>
      <c r="AE58" s="2"/>
      <c r="AF58" s="2"/>
      <c r="AG58" s="2"/>
      <c r="AH58" s="2"/>
      <c r="AI58" s="2"/>
      <c r="AJ58" s="2"/>
      <c r="AK58" s="2"/>
      <c r="AL58" s="2"/>
    </row>
    <row r="59" ht="22.5" customHeight="1">
      <c r="A59" s="3" t="s">
        <v>1096</v>
      </c>
      <c r="B59" s="4">
        <v>58.0</v>
      </c>
      <c r="C59" s="3" t="s">
        <v>1104</v>
      </c>
      <c r="D59" s="3" t="s">
        <v>1105</v>
      </c>
      <c r="E59" s="3" t="s">
        <v>1106</v>
      </c>
      <c r="F59" s="3" t="s">
        <v>1107</v>
      </c>
      <c r="G59" s="3" t="s">
        <v>1108</v>
      </c>
      <c r="H59" s="3" t="s">
        <v>1106</v>
      </c>
      <c r="I59" s="3" t="s">
        <v>1109</v>
      </c>
      <c r="J59" s="2"/>
      <c r="K59" s="2"/>
      <c r="L59" s="3" t="s">
        <v>1096</v>
      </c>
      <c r="M59" s="4">
        <v>58.0</v>
      </c>
      <c r="N59" s="3" t="str">
        <f>IFERROR(__xludf.DUMMYFUNCTION("GOOGLETRANSLATE(C59,""en"",""zh-CN"")"),"背景中的人群暗示着什么？")</f>
        <v>背景中的人群暗示着什么？</v>
      </c>
      <c r="O59" s="3" t="str">
        <f>IFERROR(__xludf.DUMMYFUNCTION("GOOGLETRANSLATE(D59,""en"",""zh-CN"")"),"这是一个小型私人聚会。")</f>
        <v>这是一个小型私人聚会。</v>
      </c>
      <c r="P59" s="3" t="str">
        <f>IFERROR(__xludf.DUMMYFUNCTION("GOOGLETRANSLATE(E59,""en"",""zh-CN"")"),"这是一场很受欢迎的公众示威活动。")</f>
        <v>这是一场很受欢迎的公众示威活动。</v>
      </c>
      <c r="Q59" s="3" t="str">
        <f>IFERROR(__xludf.DUMMYFUNCTION("GOOGLETRANSLATE(F59,""en"",""zh-CN"")"),"这是一项正式的、具有竞争性的锦标赛。")</f>
        <v>这是一项正式的、具有竞争性的锦标赛。</v>
      </c>
      <c r="R59" s="3" t="str">
        <f>IFERROR(__xludf.DUMMYFUNCTION("GOOGLETRANSLATE(G59,""en"",""zh-CN"")"),"这是一次培训课程。")</f>
        <v>这是一次培训课程。</v>
      </c>
      <c r="S59" s="3" t="s">
        <v>1110</v>
      </c>
      <c r="T59" s="3" t="str">
        <f>IFERROR(__xludf.DUMMYFUNCTION("GOOGLETRANSLATE(H59,""en"",""zh-CN"")"),"这是一场很受欢迎的公众示威活动。")</f>
        <v>这是一场很受欢迎的公众示威活动。</v>
      </c>
      <c r="U59" s="3" t="str">
        <f>IFERROR(__xludf.DUMMYFUNCTION("GOOGLETRANSLATE(I59,""en"",""zh-CN"")"),"背景中聚集了大量观众，其中许多人从不同角度观看，这表明这是一项公众参与度很高的活动。")</f>
        <v>背景中聚集了大量观众，其中许多人从不同角度观看，这表明这是一项公众参与度很高的活动。</v>
      </c>
      <c r="V59" s="2"/>
      <c r="W59" s="2"/>
      <c r="X59" s="2"/>
      <c r="Y59" s="2"/>
      <c r="Z59" s="2"/>
      <c r="AA59" s="2"/>
      <c r="AB59" s="2"/>
      <c r="AC59" s="2"/>
      <c r="AD59" s="2"/>
      <c r="AE59" s="2"/>
      <c r="AF59" s="2"/>
      <c r="AG59" s="2"/>
      <c r="AH59" s="2"/>
      <c r="AI59" s="2"/>
      <c r="AJ59" s="2"/>
      <c r="AK59" s="2"/>
      <c r="AL59" s="2"/>
    </row>
    <row r="60" ht="22.5" customHeight="1">
      <c r="A60" s="3" t="s">
        <v>1096</v>
      </c>
      <c r="B60" s="4">
        <v>59.0</v>
      </c>
      <c r="C60" s="3" t="s">
        <v>1111</v>
      </c>
      <c r="D60" s="3" t="s">
        <v>1112</v>
      </c>
      <c r="E60" s="3" t="s">
        <v>1113</v>
      </c>
      <c r="F60" s="3" t="s">
        <v>1114</v>
      </c>
      <c r="G60" s="3" t="s">
        <v>1115</v>
      </c>
      <c r="H60" s="3" t="s">
        <v>1114</v>
      </c>
      <c r="I60" s="3" t="s">
        <v>1116</v>
      </c>
      <c r="J60" s="2"/>
      <c r="K60" s="2"/>
      <c r="L60" s="3" t="s">
        <v>1096</v>
      </c>
      <c r="M60" s="4">
        <v>59.0</v>
      </c>
      <c r="N60" s="3" t="str">
        <f>IFERROR(__xludf.DUMMYFUNCTION("GOOGLETRANSLATE(C60,""en"",""zh-CN"")"),"球员们穿着特定的服装。这代表什么？")</f>
        <v>球员们穿着特定的服装。这代表什么？</v>
      </c>
      <c r="O60" s="3" t="str">
        <f>IFERROR(__xludf.DUMMYFUNCTION("GOOGLETRANSLATE(D60,""en"",""zh-CN"")"),"他们的军衔。")</f>
        <v>他们的军衔。</v>
      </c>
      <c r="P60" s="3" t="str">
        <f>IFERROR(__xludf.DUMMYFUNCTION("GOOGLETRANSLATE(E60,""en"",""zh-CN"")"),"他们的社会地位。")</f>
        <v>他们的社会地位。</v>
      </c>
      <c r="Q60" s="3" t="str">
        <f>IFERROR(__xludf.DUMMYFUNCTION("GOOGLETRANSLATE(F60,""en"",""zh-CN"")"),"活动的喜庆性和传统性。")</f>
        <v>活动的喜庆性和传统性。</v>
      </c>
      <c r="R60" s="3" t="str">
        <f>IFERROR(__xludf.DUMMYFUNCTION("GOOGLETRANSLATE(G60,""en"",""zh-CN"")"),"他们的团队归属。")</f>
        <v>他们的团队归属。</v>
      </c>
      <c r="S60" s="3" t="s">
        <v>1117</v>
      </c>
      <c r="T60" s="3" t="str">
        <f>IFERROR(__xludf.DUMMYFUNCTION("GOOGLETRANSLATE(H60,""en"",""zh-CN"")"),"活动的喜庆性和传统性。")</f>
        <v>活动的喜庆性和传统性。</v>
      </c>
      <c r="U60" s="3" t="str">
        <f>IFERROR(__xludf.DUMMYFUNCTION("GOOGLETRANSLATE(I60,""en"",""zh-CN"")"),"色彩鲜艳、装饰华丽、宽松的服装是蹴鞠表演和展示的节日传统服饰的重要组成部分。")</f>
        <v>色彩鲜艳、装饰华丽、宽松的服装是蹴鞠表演和展示的节日传统服饰的重要组成部分。</v>
      </c>
      <c r="V60" s="2"/>
      <c r="W60" s="2"/>
      <c r="X60" s="2"/>
      <c r="Y60" s="2"/>
      <c r="Z60" s="2"/>
      <c r="AA60" s="2"/>
      <c r="AB60" s="2"/>
      <c r="AC60" s="2"/>
      <c r="AD60" s="2"/>
      <c r="AE60" s="2"/>
      <c r="AF60" s="2"/>
      <c r="AG60" s="2"/>
      <c r="AH60" s="2"/>
      <c r="AI60" s="2"/>
      <c r="AJ60" s="2"/>
      <c r="AK60" s="2"/>
      <c r="AL60" s="2"/>
    </row>
    <row r="61" ht="22.5" customHeight="1">
      <c r="A61" s="3" t="s">
        <v>1096</v>
      </c>
      <c r="B61" s="4">
        <v>60.0</v>
      </c>
      <c r="C61" s="3" t="s">
        <v>1118</v>
      </c>
      <c r="D61" s="3" t="s">
        <v>1119</v>
      </c>
      <c r="E61" s="3" t="s">
        <v>1120</v>
      </c>
      <c r="F61" s="3" t="s">
        <v>1121</v>
      </c>
      <c r="G61" s="3" t="s">
        <v>1122</v>
      </c>
      <c r="H61" s="3" t="s">
        <v>1120</v>
      </c>
      <c r="I61" s="3" t="s">
        <v>1123</v>
      </c>
      <c r="J61" s="2"/>
      <c r="K61" s="2"/>
      <c r="L61" s="3" t="s">
        <v>1096</v>
      </c>
      <c r="M61" s="4">
        <v>60.0</v>
      </c>
      <c r="N61" s="3" t="str">
        <f>IFERROR(__xludf.DUMMYFUNCTION("GOOGLETRANSLATE(C61,""en"",""zh-CN"")"),"这种形式的蹴鞠与现代足球有何不同？")</f>
        <v>这种形式的蹴鞠与现代足球有何不同？</v>
      </c>
      <c r="O61" s="3" t="str">
        <f>IFERROR(__xludf.DUMMYFUNCTION("GOOGLETRANSLATE(D61,""en"",""zh-CN"")"),"这是一项团队运动。")</f>
        <v>这是一项团队运动。</v>
      </c>
      <c r="P61" s="3" t="str">
        <f>IFERROR(__xludf.DUMMYFUNCTION("GOOGLETRANSLATE(E61,""en"",""zh-CN"")"),"目标是高高的篮筐，而不是宽阔的球网。")</f>
        <v>目标是高高的篮筐，而不是宽阔的球网。</v>
      </c>
      <c r="Q61" s="3" t="str">
        <f>IFERROR(__xludf.DUMMYFUNCTION("GOOGLETRANSLATE(F61,""en"",""zh-CN"")"),"比赛没有裁判。")</f>
        <v>比赛没有裁判。</v>
      </c>
      <c r="R61" s="3" t="str">
        <f>IFERROR(__xludf.DUMMYFUNCTION("GOOGLETRANSLATE(G61,""en"",""zh-CN"")"),"它使用较小的球。")</f>
        <v>它使用较小的球。</v>
      </c>
      <c r="S61" s="3" t="s">
        <v>1124</v>
      </c>
      <c r="T61" s="3" t="str">
        <f>IFERROR(__xludf.DUMMYFUNCTION("GOOGLETRANSLATE(H61,""en"",""zh-CN"")"),"目标是高高的篮筐，而不是宽阔的球网。")</f>
        <v>目标是高高的篮筐，而不是宽阔的球网。</v>
      </c>
      <c r="U61" s="3" t="str">
        <f>IFERROR(__xludf.DUMMYFUNCTION("GOOGLETRANSLATE(I61,""en"",""zh-CN"")"),"与现代足球使用宽阔的球门不同，蹴鞠这种运动使用高架圆环作为目标，需要不同的技巧和策略。")</f>
        <v>与现代足球使用宽阔的球门不同，蹴鞠这种运动使用高架圆环作为目标，需要不同的技巧和策略。</v>
      </c>
      <c r="V61" s="2"/>
      <c r="W61" s="2"/>
      <c r="X61" s="2"/>
      <c r="Y61" s="2"/>
      <c r="Z61" s="2"/>
      <c r="AA61" s="2"/>
      <c r="AB61" s="2"/>
      <c r="AC61" s="2"/>
      <c r="AD61" s="2"/>
      <c r="AE61" s="2"/>
      <c r="AF61" s="2"/>
      <c r="AG61" s="2"/>
      <c r="AH61" s="2"/>
      <c r="AI61" s="2"/>
      <c r="AJ61" s="2"/>
      <c r="AK61" s="2"/>
      <c r="AL61" s="2"/>
    </row>
    <row r="62" ht="22.5" customHeight="1">
      <c r="A62" s="3" t="s">
        <v>1125</v>
      </c>
      <c r="B62" s="4">
        <v>61.0</v>
      </c>
      <c r="C62" s="3" t="s">
        <v>1126</v>
      </c>
      <c r="D62" s="3" t="s">
        <v>1127</v>
      </c>
      <c r="E62" s="3" t="s">
        <v>1128</v>
      </c>
      <c r="F62" s="3" t="s">
        <v>1129</v>
      </c>
      <c r="G62" s="3" t="s">
        <v>1130</v>
      </c>
      <c r="H62" s="3" t="s">
        <v>1130</v>
      </c>
      <c r="I62" s="3" t="s">
        <v>1131</v>
      </c>
      <c r="J62" s="2"/>
      <c r="K62" s="2"/>
      <c r="L62" s="3" t="s">
        <v>1125</v>
      </c>
      <c r="M62" s="4">
        <v>61.0</v>
      </c>
      <c r="N62" s="3" t="str">
        <f>IFERROR(__xludf.DUMMYFUNCTION("GOOGLETRANSLATE(C62,""en"",""zh-CN"")"),"蹴鞠球门最显著的特点是什么？")</f>
        <v>蹴鞠球门最显著的特点是什么？</v>
      </c>
      <c r="O62" s="3" t="str">
        <f>IFERROR(__xludf.DUMMYFUNCTION("GOOGLETRANSLATE(D62,""en"",""zh-CN"")"),"它是由金属制成的。")</f>
        <v>它是由金属制成的。</v>
      </c>
      <c r="P62" s="3" t="str">
        <f>IFERROR(__xludf.DUMMYFUNCTION("GOOGLETRANSLATE(E62,""en"",""zh-CN"")"),"它上面有一张网。")</f>
        <v>它上面有一张网。</v>
      </c>
      <c r="Q62" s="3" t="str">
        <f>IFERROR(__xludf.DUMMYFUNCTION("GOOGLETRANSLATE(F62,""en"",""zh-CN"")"),"它由轻质材料制成。")</f>
        <v>它由轻质材料制成。</v>
      </c>
      <c r="R62" s="3" t="str">
        <f>IFERROR(__xludf.DUMMYFUNCTION("GOOGLETRANSLATE(G62,""en"",""zh-CN"")"),"它的顶部有一个圆形环。")</f>
        <v>它的顶部有一个圆形环。</v>
      </c>
      <c r="S62" s="3" t="s">
        <v>1132</v>
      </c>
      <c r="T62" s="3" t="str">
        <f>IFERROR(__xludf.DUMMYFUNCTION("GOOGLETRANSLATE(H62,""en"",""zh-CN"")"),"它的顶部有一个圆形环。")</f>
        <v>它的顶部有一个圆形环。</v>
      </c>
      <c r="U62" s="3" t="str">
        <f>IFERROR(__xludf.DUMMYFUNCTION("GOOGLETRANSLATE(I62,""en"",""zh-CN"")"),"球门柱是一个高大的结构，中心有一个圆形的环，作为这种蹴鞠形式的得分目标。")</f>
        <v>球门柱是一个高大的结构，中心有一个圆形的环，作为这种蹴鞠形式的得分目标。</v>
      </c>
      <c r="V62" s="2"/>
      <c r="W62" s="2"/>
      <c r="X62" s="2"/>
      <c r="Y62" s="2"/>
      <c r="Z62" s="2"/>
      <c r="AA62" s="2"/>
      <c r="AB62" s="2"/>
      <c r="AC62" s="2"/>
      <c r="AD62" s="2"/>
      <c r="AE62" s="2"/>
      <c r="AF62" s="2"/>
      <c r="AG62" s="2"/>
      <c r="AH62" s="2"/>
      <c r="AI62" s="2"/>
      <c r="AJ62" s="2"/>
      <c r="AK62" s="2"/>
      <c r="AL62" s="2"/>
    </row>
    <row r="63" ht="22.5" customHeight="1">
      <c r="A63" s="3" t="s">
        <v>1125</v>
      </c>
      <c r="B63" s="4">
        <v>62.0</v>
      </c>
      <c r="C63" s="3" t="s">
        <v>1133</v>
      </c>
      <c r="D63" s="3" t="s">
        <v>1134</v>
      </c>
      <c r="E63" s="3" t="s">
        <v>1135</v>
      </c>
      <c r="F63" s="3" t="s">
        <v>1136</v>
      </c>
      <c r="G63" s="3" t="s">
        <v>1137</v>
      </c>
      <c r="H63" s="3" t="s">
        <v>1135</v>
      </c>
      <c r="I63" s="3" t="s">
        <v>1138</v>
      </c>
      <c r="J63" s="2"/>
      <c r="K63" s="2"/>
      <c r="L63" s="3" t="s">
        <v>1125</v>
      </c>
      <c r="M63" s="4">
        <v>62.0</v>
      </c>
      <c r="N63" s="3" t="str">
        <f>IFERROR(__xludf.DUMMYFUNCTION("GOOGLETRANSLATE(C63,""en"",""zh-CN"")"),"球员们身处一片开阔的草地上。这说明比赛环境是怎样的？")</f>
        <v>球员们身处一片开阔的草地上。这说明比赛环境是怎样的？</v>
      </c>
      <c r="O63" s="3" t="str">
        <f>IFERROR(__xludf.DUMMYFUNCTION("GOOGLETRANSLATE(D63,""en"",""zh-CN"")"),"这是一个现代化、专业的体育场。")</f>
        <v>这是一个现代化、专业的体育场。</v>
      </c>
      <c r="P63" s="3" t="str">
        <f>IFERROR(__xludf.DUMMYFUNCTION("GOOGLETRANSLATE(E63,""en"",""zh-CN"")"),"这是一个公园或休闲区。")</f>
        <v>这是一个公园或休闲区。</v>
      </c>
      <c r="Q63" s="3" t="str">
        <f>IFERROR(__xludf.DUMMYFUNCTION("GOOGLETRANSLATE(F63,""en"",""zh-CN"")"),"这里是一处历史悠久的宫殿遗址。")</f>
        <v>这里是一处历史悠久的宫殿遗址。</v>
      </c>
      <c r="R63" s="3" t="str">
        <f>IFERROR(__xludf.DUMMYFUNCTION("GOOGLETRANSLATE(G63,""en"",""zh-CN"")"),"这是一个军事训练场。")</f>
        <v>这是一个军事训练场。</v>
      </c>
      <c r="S63" s="3" t="s">
        <v>1139</v>
      </c>
      <c r="T63" s="3" t="str">
        <f>IFERROR(__xludf.DUMMYFUNCTION("GOOGLETRANSLATE(H63,""en"",""zh-CN"")"),"这是一个公园或休闲区。")</f>
        <v>这是一个公园或休闲区。</v>
      </c>
      <c r="U63" s="3" t="str">
        <f>IFERROR(__xludf.DUMMYFUNCTION("GOOGLETRANSLATE(I63,""en"",""zh-CN"")"),"背景中的天然草地和树木，以及非正式的环境，表明比赛是在公园或休闲区进行的。")</f>
        <v>背景中的天然草地和树木，以及非正式的环境，表明比赛是在公园或休闲区进行的。</v>
      </c>
      <c r="V63" s="2"/>
      <c r="W63" s="2"/>
      <c r="X63" s="2"/>
      <c r="Y63" s="2"/>
      <c r="Z63" s="2"/>
      <c r="AA63" s="2"/>
      <c r="AB63" s="2"/>
      <c r="AC63" s="2"/>
      <c r="AD63" s="2"/>
      <c r="AE63" s="2"/>
      <c r="AF63" s="2"/>
      <c r="AG63" s="2"/>
      <c r="AH63" s="2"/>
      <c r="AI63" s="2"/>
      <c r="AJ63" s="2"/>
      <c r="AK63" s="2"/>
      <c r="AL63" s="2"/>
    </row>
    <row r="64" ht="22.5" customHeight="1">
      <c r="A64" s="3" t="s">
        <v>1125</v>
      </c>
      <c r="B64" s="4">
        <v>63.0</v>
      </c>
      <c r="C64" s="3" t="s">
        <v>1140</v>
      </c>
      <c r="D64" s="3" t="s">
        <v>1141</v>
      </c>
      <c r="E64" s="3" t="s">
        <v>1142</v>
      </c>
      <c r="F64" s="3" t="s">
        <v>1143</v>
      </c>
      <c r="G64" s="3" t="s">
        <v>1144</v>
      </c>
      <c r="H64" s="3" t="s">
        <v>1143</v>
      </c>
      <c r="I64" s="3" t="s">
        <v>1145</v>
      </c>
      <c r="J64" s="2"/>
      <c r="K64" s="2"/>
      <c r="L64" s="3" t="s">
        <v>1125</v>
      </c>
      <c r="M64" s="4">
        <v>63.0</v>
      </c>
      <c r="N64" s="3" t="str">
        <f>IFERROR(__xludf.DUMMYFUNCTION("GOOGLETRANSLATE(C64,""en"",""zh-CN"")"),"球员们穿的是什么类型的服装？")</f>
        <v>球员们穿的是什么类型的服装？</v>
      </c>
      <c r="O64" s="3" t="str">
        <f>IFERROR(__xludf.DUMMYFUNCTION("GOOGLETRANSLATE(D64,""en"",""zh-CN"")"),"休闲运动服。")</f>
        <v>休闲运动服。</v>
      </c>
      <c r="P64" s="3" t="str">
        <f>IFERROR(__xludf.DUMMYFUNCTION("GOOGLETRANSLATE(E64,""en"",""zh-CN"")"),"正装。")</f>
        <v>正装。</v>
      </c>
      <c r="Q64" s="3" t="str">
        <f>IFERROR(__xludf.DUMMYFUNCTION("GOOGLETRANSLATE(F64,""en"",""zh-CN"")"),"中国传统礼服。")</f>
        <v>中国传统礼服。</v>
      </c>
      <c r="R64" s="3" t="str">
        <f>IFERROR(__xludf.DUMMYFUNCTION("GOOGLETRANSLATE(G64,""en"",""zh-CN"")"),"日常服装。")</f>
        <v>日常服装。</v>
      </c>
      <c r="S64" s="3" t="s">
        <v>1146</v>
      </c>
      <c r="T64" s="3" t="str">
        <f>IFERROR(__xludf.DUMMYFUNCTION("GOOGLETRANSLATE(H64,""en"",""zh-CN"")"),"中国传统礼服。")</f>
        <v>中国传统礼服。</v>
      </c>
      <c r="U64" s="3" t="str">
        <f>IFERROR(__xludf.DUMMYFUNCTION("GOOGLETRANSLATE(I64,""en"",""zh-CN"")"),"球员们身穿宽松的装饰长袍，头戴特定的头饰，这是此类活动中中国传统礼服的典型例子。")</f>
        <v>球员们身穿宽松的装饰长袍，头戴特定的头饰，这是此类活动中中国传统礼服的典型例子。</v>
      </c>
      <c r="V64" s="2"/>
      <c r="W64" s="2"/>
      <c r="X64" s="2"/>
      <c r="Y64" s="2"/>
      <c r="Z64" s="2"/>
      <c r="AA64" s="2"/>
      <c r="AB64" s="2"/>
      <c r="AC64" s="2"/>
      <c r="AD64" s="2"/>
      <c r="AE64" s="2"/>
      <c r="AF64" s="2"/>
      <c r="AG64" s="2"/>
      <c r="AH64" s="2"/>
      <c r="AI64" s="2"/>
      <c r="AJ64" s="2"/>
      <c r="AK64" s="2"/>
      <c r="AL64" s="2"/>
    </row>
    <row r="65" ht="22.5" customHeight="1">
      <c r="A65" s="3" t="s">
        <v>1125</v>
      </c>
      <c r="B65" s="4">
        <v>64.0</v>
      </c>
      <c r="C65" s="3" t="s">
        <v>1147</v>
      </c>
      <c r="D65" s="3" t="s">
        <v>764</v>
      </c>
      <c r="E65" s="3" t="s">
        <v>1148</v>
      </c>
      <c r="F65" s="3" t="s">
        <v>1149</v>
      </c>
      <c r="G65" s="3" t="s">
        <v>1150</v>
      </c>
      <c r="H65" s="3" t="s">
        <v>1149</v>
      </c>
      <c r="I65" s="3" t="s">
        <v>1151</v>
      </c>
      <c r="J65" s="2"/>
      <c r="K65" s="2"/>
      <c r="L65" s="3" t="s">
        <v>1125</v>
      </c>
      <c r="M65" s="4">
        <v>64.0</v>
      </c>
      <c r="N65" s="3" t="str">
        <f>IFERROR(__xludf.DUMMYFUNCTION("GOOGLETRANSLATE(C65,""en"",""zh-CN"")"),"有些球员携带的旗帜和横幅有什么用途？")</f>
        <v>有些球员携带的旗帜和横幅有什么用途？</v>
      </c>
      <c r="O65" s="3" t="str">
        <f>IFERROR(__xludf.DUMMYFUNCTION("GOOGLETRANSLATE(D65,""en"",""zh-CN"")"),"它们用于标记场地。")</f>
        <v>它们用于标记场地。</v>
      </c>
      <c r="P65" s="3" t="str">
        <f>IFERROR(__xludf.DUMMYFUNCTION("GOOGLETRANSLATE(E65,""en"",""zh-CN"")"),"它们用来显示球队的排名。")</f>
        <v>它们用来显示球队的排名。</v>
      </c>
      <c r="Q65" s="3" t="str">
        <f>IFERROR(__xludf.DUMMYFUNCTION("GOOGLETRANSLATE(F65,""en"",""zh-CN"")"),"它们是表演中的装饰元素。")</f>
        <v>它们是表演中的装饰元素。</v>
      </c>
      <c r="R65" s="3" t="str">
        <f>IFERROR(__xludf.DUMMYFUNCTION("GOOGLETRANSLATE(G65,""en"",""zh-CN"")"),"它们被用作武器。")</f>
        <v>它们被用作武器。</v>
      </c>
      <c r="S65" s="3" t="s">
        <v>1152</v>
      </c>
      <c r="T65" s="3" t="str">
        <f>IFERROR(__xludf.DUMMYFUNCTION("GOOGLETRANSLATE(H65,""en"",""zh-CN"")"),"它们是表演中的装饰元素。")</f>
        <v>它们是表演中的装饰元素。</v>
      </c>
      <c r="U65" s="3" t="str">
        <f>IFERROR(__xludf.DUMMYFUNCTION("GOOGLETRANSLATE(I65,""en"",""zh-CN"")"),"这些饰有传统图案的横幅和旗帜，是为了增加示威活动的视觉效果，而不是作为比赛的功能性组成部分。")</f>
        <v>这些饰有传统图案的横幅和旗帜，是为了增加示威活动的视觉效果，而不是作为比赛的功能性组成部分。</v>
      </c>
      <c r="V65" s="2"/>
      <c r="W65" s="2"/>
      <c r="X65" s="2"/>
      <c r="Y65" s="2"/>
      <c r="Z65" s="2"/>
      <c r="AA65" s="2"/>
      <c r="AB65" s="2"/>
      <c r="AC65" s="2"/>
      <c r="AD65" s="2"/>
      <c r="AE65" s="2"/>
      <c r="AF65" s="2"/>
      <c r="AG65" s="2"/>
      <c r="AH65" s="2"/>
      <c r="AI65" s="2"/>
      <c r="AJ65" s="2"/>
      <c r="AK65" s="2"/>
      <c r="AL65" s="2"/>
    </row>
    <row r="66" ht="22.5" customHeight="1">
      <c r="A66" s="3" t="s">
        <v>1125</v>
      </c>
      <c r="B66" s="4">
        <v>65.0</v>
      </c>
      <c r="C66" s="3" t="s">
        <v>1153</v>
      </c>
      <c r="D66" s="3" t="s">
        <v>1154</v>
      </c>
      <c r="E66" s="3" t="s">
        <v>1155</v>
      </c>
      <c r="F66" s="3" t="s">
        <v>1156</v>
      </c>
      <c r="G66" s="3" t="s">
        <v>1157</v>
      </c>
      <c r="H66" s="3" t="s">
        <v>1156</v>
      </c>
      <c r="I66" s="3" t="s">
        <v>1158</v>
      </c>
      <c r="J66" s="2"/>
      <c r="K66" s="2"/>
      <c r="L66" s="3" t="s">
        <v>1125</v>
      </c>
      <c r="M66" s="4">
        <v>65.0</v>
      </c>
      <c r="N66" s="3" t="str">
        <f>IFERROR(__xludf.DUMMYFUNCTION("GOOGLETRANSLATE(C66,""en"",""zh-CN"")"),"图中游戏的主要目标是什么？")</f>
        <v>图中游戏的主要目标是什么？</v>
      </c>
      <c r="O66" s="3" t="str">
        <f>IFERROR(__xludf.DUMMYFUNCTION("GOOGLETRANSLATE(D66,""en"",""zh-CN"")"),"尽可能把球踢得高。")</f>
        <v>尽可能把球踢得高。</v>
      </c>
      <c r="P66" s="3" t="str">
        <f>IFERROR(__xludf.DUMMYFUNCTION("GOOGLETRANSLATE(E66,""en"",""zh-CN"")"),"让球保持在空中。")</f>
        <v>让球保持在空中。</v>
      </c>
      <c r="Q66" s="3" t="str">
        <f>IFERROR(__xludf.DUMMYFUNCTION("GOOGLETRANSLATE(F66,""en"",""zh-CN"")"),"将球踢过篮筐。")</f>
        <v>将球踢过篮筐。</v>
      </c>
      <c r="R66" s="3" t="str">
        <f>IFERROR(__xludf.DUMMYFUNCTION("GOOGLETRANSLATE(G66,""en"",""zh-CN"")"),"擒抱对手。")</f>
        <v>擒抱对手。</v>
      </c>
      <c r="S66" s="3" t="s">
        <v>1159</v>
      </c>
      <c r="T66" s="3" t="str">
        <f>IFERROR(__xludf.DUMMYFUNCTION("GOOGLETRANSLATE(H66,""en"",""zh-CN"")"),"将球踢过篮筐。")</f>
        <v>将球踢过篮筐。</v>
      </c>
      <c r="U66" s="3" t="str">
        <f>IFERROR(__xludf.DUMMYFUNCTION("GOOGLETRANSLATE(I66,""en"",""zh-CN"")"),"球员正在将球踢向球门柱，其明确目标是将球踢过中央的球门框得分。")</f>
        <v>球员正在将球踢向球门柱，其明确目标是将球踢过中央的球门框得分。</v>
      </c>
      <c r="V66" s="2"/>
      <c r="W66" s="2"/>
      <c r="X66" s="2"/>
      <c r="Y66" s="2"/>
      <c r="Z66" s="2"/>
      <c r="AA66" s="2"/>
      <c r="AB66" s="2"/>
      <c r="AC66" s="2"/>
      <c r="AD66" s="2"/>
      <c r="AE66" s="2"/>
      <c r="AF66" s="2"/>
      <c r="AG66" s="2"/>
      <c r="AH66" s="2"/>
      <c r="AI66" s="2"/>
      <c r="AJ66" s="2"/>
      <c r="AK66" s="2"/>
      <c r="AL66" s="2"/>
    </row>
    <row r="67" ht="22.5" customHeight="1">
      <c r="A67" s="3" t="s">
        <v>1160</v>
      </c>
      <c r="B67" s="4">
        <v>66.0</v>
      </c>
      <c r="C67" s="3" t="s">
        <v>1161</v>
      </c>
      <c r="D67" s="3" t="s">
        <v>1162</v>
      </c>
      <c r="E67" s="3" t="s">
        <v>1163</v>
      </c>
      <c r="F67" s="3" t="s">
        <v>1164</v>
      </c>
      <c r="G67" s="3" t="s">
        <v>1165</v>
      </c>
      <c r="H67" s="3" t="s">
        <v>1163</v>
      </c>
      <c r="I67" s="3" t="s">
        <v>1166</v>
      </c>
      <c r="J67" s="2"/>
      <c r="K67" s="2"/>
      <c r="L67" s="3" t="s">
        <v>1160</v>
      </c>
      <c r="M67" s="4">
        <v>66.0</v>
      </c>
      <c r="N67" s="3" t="str">
        <f>IFERROR(__xludf.DUMMYFUNCTION("GOOGLETRANSLATE(C67,""en"",""zh-CN"")"),"图中中心人物所持的物体是什么？")</f>
        <v>图中中心人物所持的物体是什么？</v>
      </c>
      <c r="O67" s="3" t="str">
        <f>IFERROR(__xludf.DUMMYFUNCTION("GOOGLETRANSLATE(D67,""en"",""zh-CN"")"),"现代足球。")</f>
        <v>现代足球。</v>
      </c>
      <c r="P67" s="3" t="str">
        <f>IFERROR(__xludf.DUMMYFUNCTION("GOOGLETRANSLATE(E67,""en"",""zh-CN"")"),"一场具有历史意义的蹴鞠舞会。")</f>
        <v>一场具有历史意义的蹴鞠舞会。</v>
      </c>
      <c r="Q67" s="3" t="str">
        <f>IFERROR(__xludf.DUMMYFUNCTION("GOOGLETRANSLATE(F67,""en"",""zh-CN"")"),"一个编织篮。")</f>
        <v>一个编织篮。</v>
      </c>
      <c r="R67" s="3" t="str">
        <f>IFERROR(__xludf.DUMMYFUNCTION("GOOGLETRANSLATE(G67,""en"",""zh-CN"")"),"装饰品。")</f>
        <v>装饰品。</v>
      </c>
      <c r="S67" s="3" t="s">
        <v>1167</v>
      </c>
      <c r="T67" s="3" t="str">
        <f>IFERROR(__xludf.DUMMYFUNCTION("GOOGLETRANSLATE(H67,""en"",""zh-CN"")"),"一场具有历史意义的蹴鞠舞会。")</f>
        <v>一场具有历史意义的蹴鞠舞会。</v>
      </c>
      <c r="U67" s="3" t="str">
        <f>IFERROR(__xludf.DUMMYFUNCTION("GOOGLETRANSLATE(I67,""en"",""zh-CN"")"),"该物品是一件历史悠久的蹴鞠球，由编织材料制成，是古代中国体育运动中的重要器材。")</f>
        <v>该物品是一件历史悠久的蹴鞠球，由编织材料制成，是古代中国体育运动中的重要器材。</v>
      </c>
      <c r="V67" s="2"/>
      <c r="W67" s="2"/>
      <c r="X67" s="2"/>
      <c r="Y67" s="2"/>
      <c r="Z67" s="2"/>
      <c r="AA67" s="2"/>
      <c r="AB67" s="2"/>
      <c r="AC67" s="2"/>
      <c r="AD67" s="2"/>
      <c r="AE67" s="2"/>
      <c r="AF67" s="2"/>
      <c r="AG67" s="2"/>
      <c r="AH67" s="2"/>
      <c r="AI67" s="2"/>
      <c r="AJ67" s="2"/>
      <c r="AK67" s="2"/>
      <c r="AL67" s="2"/>
    </row>
    <row r="68" ht="22.5" customHeight="1">
      <c r="A68" s="3" t="s">
        <v>1160</v>
      </c>
      <c r="B68" s="4">
        <v>67.0</v>
      </c>
      <c r="C68" s="3" t="s">
        <v>1168</v>
      </c>
      <c r="D68" s="3" t="s">
        <v>1169</v>
      </c>
      <c r="E68" s="3" t="s">
        <v>1170</v>
      </c>
      <c r="F68" s="3" t="s">
        <v>1171</v>
      </c>
      <c r="G68" s="3" t="s">
        <v>1172</v>
      </c>
      <c r="H68" s="3" t="s">
        <v>1171</v>
      </c>
      <c r="I68" s="3" t="s">
        <v>1173</v>
      </c>
      <c r="J68" s="2"/>
      <c r="K68" s="2"/>
      <c r="L68" s="3" t="s">
        <v>1160</v>
      </c>
      <c r="M68" s="4">
        <v>67.0</v>
      </c>
      <c r="N68" s="3" t="str">
        <f>IFERROR(__xludf.DUMMYFUNCTION("GOOGLETRANSLATE(C68,""en"",""zh-CN"")"),"这个人拿着球，但没有踢球。这暗示了什么情况？")</f>
        <v>这个人拿着球，但没有踢球。这暗示了什么情况？</v>
      </c>
      <c r="O68" s="3" t="str">
        <f>IFERROR(__xludf.DUMMYFUNCTION("GOOGLETRANSLATE(D68,""en"",""zh-CN"")"),"他是一名旁观者。")</f>
        <v>他是一名旁观者。</v>
      </c>
      <c r="P68" s="3" t="str">
        <f>IFERROR(__xludf.DUMMYFUNCTION("GOOGLETRANSLATE(E68,""en"",""zh-CN"")"),"他是一名刚刚结束比赛的玩家。")</f>
        <v>他是一名刚刚结束比赛的玩家。</v>
      </c>
      <c r="Q68" s="3" t="str">
        <f>IFERROR(__xludf.DUMMYFUNCTION("GOOGLETRANSLATE(F68,""en"",""zh-CN"")"),"他在一部历史剧中扮演一个角色。")</f>
        <v>他在一部历史剧中扮演一个角色。</v>
      </c>
      <c r="R68" s="3" t="str">
        <f>IFERROR(__xludf.DUMMYFUNCTION("GOOGLETRANSLATE(G68,""en"",""zh-CN"")"),"他是裁判。")</f>
        <v>他是裁判。</v>
      </c>
      <c r="S68" s="3" t="s">
        <v>1174</v>
      </c>
      <c r="T68" s="3" t="str">
        <f>IFERROR(__xludf.DUMMYFUNCTION("GOOGLETRANSLATE(H68,""en"",""zh-CN"")"),"他在一部历史剧中扮演一个角色。")</f>
        <v>他在一部历史剧中扮演一个角色。</v>
      </c>
      <c r="U68" s="3" t="str">
        <f>IFERROR(__xludf.DUMMYFUNCTION("GOOGLETRANSLATE(I68,""en"",""zh-CN"")"),"这个人完美的姿态、戏剧化的妆容以及精心设计的发型和服装，都是历史剧或电影演员的特征，而不是现实生活中的人物的特征。")</f>
        <v>这个人完美的姿态、戏剧化的妆容以及精心设计的发型和服装，都是历史剧或电影演员的特征，而不是现实生活中的人物的特征。</v>
      </c>
      <c r="V68" s="2"/>
      <c r="W68" s="2"/>
      <c r="X68" s="2"/>
      <c r="Y68" s="2"/>
      <c r="Z68" s="2"/>
      <c r="AA68" s="2"/>
      <c r="AB68" s="2"/>
      <c r="AC68" s="2"/>
      <c r="AD68" s="2"/>
      <c r="AE68" s="2"/>
      <c r="AF68" s="2"/>
      <c r="AG68" s="2"/>
      <c r="AH68" s="2"/>
      <c r="AI68" s="2"/>
      <c r="AJ68" s="2"/>
      <c r="AK68" s="2"/>
      <c r="AL68" s="2"/>
    </row>
    <row r="69" ht="22.5" customHeight="1">
      <c r="A69" s="3" t="s">
        <v>1160</v>
      </c>
      <c r="B69" s="4">
        <v>68.0</v>
      </c>
      <c r="C69" s="3" t="s">
        <v>1175</v>
      </c>
      <c r="D69" s="3" t="s">
        <v>1176</v>
      </c>
      <c r="E69" s="3" t="s">
        <v>1177</v>
      </c>
      <c r="F69" s="3" t="s">
        <v>1178</v>
      </c>
      <c r="G69" s="3" t="s">
        <v>1179</v>
      </c>
      <c r="H69" s="3" t="s">
        <v>1178</v>
      </c>
      <c r="I69" s="3" t="s">
        <v>1180</v>
      </c>
      <c r="J69" s="2"/>
      <c r="K69" s="2"/>
      <c r="L69" s="3" t="s">
        <v>1160</v>
      </c>
      <c r="M69" s="4">
        <v>68.0</v>
      </c>
      <c r="N69" s="3" t="str">
        <f>IFERROR(__xludf.DUMMYFUNCTION("GOOGLETRANSLATE(C69,""en"",""zh-CN"")"),"人物的衣着和外貌暗示了他的社会地位如何？")</f>
        <v>人物的衣着和外貌暗示了他的社会地位如何？</v>
      </c>
      <c r="O69" s="3" t="str">
        <f>IFERROR(__xludf.DUMMYFUNCTION("GOOGLETRANSLATE(D69,""en"",""zh-CN"")"),"他是个平民。")</f>
        <v>他是个平民。</v>
      </c>
      <c r="P69" s="3" t="str">
        <f>IFERROR(__xludf.DUMMYFUNCTION("GOOGLETRANSLATE(E69,""en"",""zh-CN"")"),"他是一位将军。")</f>
        <v>他是一位将军。</v>
      </c>
      <c r="Q69" s="3" t="str">
        <f>IFERROR(__xludf.DUMMYFUNCTION("GOOGLETRANSLATE(F69,""en"",""zh-CN"")"),"他出身高贵，可能是贵族。")</f>
        <v>他出身高贵，可能是贵族。</v>
      </c>
      <c r="R69" s="3" t="str">
        <f>IFERROR(__xludf.DUMMYFUNCTION("GOOGLETRANSLATE(G69,""en"",""zh-CN"")"),"他只是个普通的商人。")</f>
        <v>他只是个普通的商人。</v>
      </c>
      <c r="S69" s="3" t="s">
        <v>1181</v>
      </c>
      <c r="T69" s="3" t="str">
        <f>IFERROR(__xludf.DUMMYFUNCTION("GOOGLETRANSLATE(H69,""en"",""zh-CN"")"),"他出身高贵，可能是贵族。")</f>
        <v>他出身高贵，可能是贵族。</v>
      </c>
      <c r="U69" s="3" t="str">
        <f>IFERROR(__xludf.DUMMYFUNCTION("GOOGLETRANSLATE(I69,""en"",""zh-CN"")"),"该角色的精美服饰、精致头饰和优雅举止表明他扮演的是一位社会地位显赫的人物，例如历史上的贵族或官员。")</f>
        <v>该角色的精美服饰、精致头饰和优雅举止表明他扮演的是一位社会地位显赫的人物，例如历史上的贵族或官员。</v>
      </c>
      <c r="V69" s="2"/>
      <c r="W69" s="2"/>
      <c r="X69" s="2"/>
      <c r="Y69" s="2"/>
      <c r="Z69" s="2"/>
      <c r="AA69" s="2"/>
      <c r="AB69" s="2"/>
      <c r="AC69" s="2"/>
      <c r="AD69" s="2"/>
      <c r="AE69" s="2"/>
      <c r="AF69" s="2"/>
      <c r="AG69" s="2"/>
      <c r="AH69" s="2"/>
      <c r="AI69" s="2"/>
      <c r="AJ69" s="2"/>
      <c r="AK69" s="2"/>
      <c r="AL69" s="2"/>
    </row>
    <row r="70" ht="22.5" customHeight="1">
      <c r="A70" s="3" t="s">
        <v>1160</v>
      </c>
      <c r="B70" s="4">
        <v>69.0</v>
      </c>
      <c r="C70" s="3" t="s">
        <v>1182</v>
      </c>
      <c r="D70" s="3" t="s">
        <v>1183</v>
      </c>
      <c r="E70" s="3" t="s">
        <v>1184</v>
      </c>
      <c r="F70" s="3" t="s">
        <v>1185</v>
      </c>
      <c r="G70" s="3" t="s">
        <v>1186</v>
      </c>
      <c r="H70" s="3" t="s">
        <v>1185</v>
      </c>
      <c r="I70" s="3" t="s">
        <v>1187</v>
      </c>
      <c r="J70" s="2"/>
      <c r="K70" s="2"/>
      <c r="L70" s="3" t="s">
        <v>1160</v>
      </c>
      <c r="M70" s="4">
        <v>69.0</v>
      </c>
      <c r="N70" s="3" t="str">
        <f>IFERROR(__xludf.DUMMYFUNCTION("GOOGLETRANSLATE(C70,""en"",""zh-CN"")"),"从这个球的结构中可以推断出什么信息？")</f>
        <v>从这个球的结构中可以推断出什么信息？</v>
      </c>
      <c r="O70" s="3" t="str">
        <f>IFERROR(__xludf.DUMMYFUNCTION("GOOGLETRANSLATE(D70,""en"",""zh-CN"")"),"它由一整块木头制成。")</f>
        <v>它由一整块木头制成。</v>
      </c>
      <c r="P70" s="3" t="str">
        <f>IFERROR(__xludf.DUMMYFUNCTION("GOOGLETRANSLATE(E70,""en"",""zh-CN"")"),"这是一个简单、现代的塑料球。")</f>
        <v>这是一个简单、现代的塑料球。</v>
      </c>
      <c r="Q70" s="3" t="str">
        <f>IFERROR(__xludf.DUMMYFUNCTION("GOOGLETRANSLATE(F70,""en"",""zh-CN"")"),"它由编织的布条制成。")</f>
        <v>它由编织的布条制成。</v>
      </c>
      <c r="R70" s="3" t="str">
        <f>IFERROR(__xludf.DUMMYFUNCTION("GOOGLETRANSLATE(G70,""en"",""zh-CN"")"),"它由结实的皮革制成。")</f>
        <v>它由结实的皮革制成。</v>
      </c>
      <c r="S70" s="3" t="s">
        <v>1188</v>
      </c>
      <c r="T70" s="3" t="str">
        <f>IFERROR(__xludf.DUMMYFUNCTION("GOOGLETRANSLATE(H70,""en"",""zh-CN"")"),"它由编织的布条制成。")</f>
        <v>它由编织的布条制成。</v>
      </c>
      <c r="U70" s="3" t="str">
        <f>IFERROR(__xludf.DUMMYFUNCTION("GOOGLETRANSLATE(I70,""en"",""zh-CN"")"),"从球体表面的纹理和图案可以看出，它是由竹子或藤条等材料编织而成的，这是某些历史时期蹴鞠球的常见结构。")</f>
        <v>从球体表面的纹理和图案可以看出，它是由竹子或藤条等材料编织而成的，这是某些历史时期蹴鞠球的常见结构。</v>
      </c>
      <c r="V70" s="2"/>
      <c r="W70" s="2"/>
      <c r="X70" s="2"/>
      <c r="Y70" s="2"/>
      <c r="Z70" s="2"/>
      <c r="AA70" s="2"/>
      <c r="AB70" s="2"/>
      <c r="AC70" s="2"/>
      <c r="AD70" s="2"/>
      <c r="AE70" s="2"/>
      <c r="AF70" s="2"/>
      <c r="AG70" s="2"/>
      <c r="AH70" s="2"/>
      <c r="AI70" s="2"/>
      <c r="AJ70" s="2"/>
      <c r="AK70" s="2"/>
      <c r="AL70" s="2"/>
    </row>
    <row r="71" ht="22.5" customHeight="1">
      <c r="A71" s="3" t="s">
        <v>1160</v>
      </c>
      <c r="B71" s="4">
        <v>70.0</v>
      </c>
      <c r="C71" s="3" t="s">
        <v>1189</v>
      </c>
      <c r="D71" s="3" t="s">
        <v>1190</v>
      </c>
      <c r="E71" s="3" t="s">
        <v>1191</v>
      </c>
      <c r="F71" s="3" t="s">
        <v>1192</v>
      </c>
      <c r="G71" s="3" t="s">
        <v>1193</v>
      </c>
      <c r="H71" s="3" t="s">
        <v>1191</v>
      </c>
      <c r="I71" s="3" t="s">
        <v>1194</v>
      </c>
      <c r="J71" s="2"/>
      <c r="K71" s="2"/>
      <c r="L71" s="3" t="s">
        <v>1160</v>
      </c>
      <c r="M71" s="4">
        <v>70.0</v>
      </c>
      <c r="N71" s="3" t="str">
        <f>IFERROR(__xludf.DUMMYFUNCTION("GOOGLETRANSLATE(C71,""en"",""zh-CN"")"),"重现这一历史场景的可能原因是什么？")</f>
        <v>重现这一历史场景的可能原因是什么？</v>
      </c>
      <c r="O71" s="3" t="str">
        <f>IFERROR(__xludf.DUMMYFUNCTION("GOOGLETRANSLATE(D71,""en"",""zh-CN"")"),"用于商业用途。")</f>
        <v>用于商业用途。</v>
      </c>
      <c r="P71" s="3" t="str">
        <f>IFERROR(__xludf.DUMMYFUNCTION("GOOGLETRANSLATE(E71,""en"",""zh-CN"")"),"拍摄历史剧或电影。")</f>
        <v>拍摄历史剧或电影。</v>
      </c>
      <c r="Q71" s="3" t="str">
        <f>IFERROR(__xludf.DUMMYFUNCTION("GOOGLETRANSLATE(F71,""en"",""zh-CN"")"),"用作博物馆展品。")</f>
        <v>用作博物馆展品。</v>
      </c>
      <c r="R71" s="3" t="str">
        <f>IFERROR(__xludf.DUMMYFUNCTION("GOOGLETRANSLATE(G71,""en"",""zh-CN"")"),"为真正的蹴鞠比赛进行训练。")</f>
        <v>为真正的蹴鞠比赛进行训练。</v>
      </c>
      <c r="S71" s="3" t="s">
        <v>1195</v>
      </c>
      <c r="T71" s="3" t="str">
        <f>IFERROR(__xludf.DUMMYFUNCTION("GOOGLETRANSLATE(H71,""en"",""zh-CN"")"),"拍摄历史剧或电影。")</f>
        <v>拍摄历史剧或电影。</v>
      </c>
      <c r="U71" s="3" t="str">
        <f>IFERROR(__xludf.DUMMYFUNCTION("GOOGLETRANSLATE(I71,""en"",""zh-CN"")"),"专业的灯光、化妆和服装强烈暗示这是正在拍摄的以古代中国为背景的历史剧或电影的场景。")</f>
        <v>专业的灯光、化妆和服装强烈暗示这是正在拍摄的以古代中国为背景的历史剧或电影的场景。</v>
      </c>
      <c r="V71" s="2"/>
      <c r="W71" s="2"/>
      <c r="X71" s="2"/>
      <c r="Y71" s="2"/>
      <c r="Z71" s="2"/>
      <c r="AA71" s="2"/>
      <c r="AB71" s="2"/>
      <c r="AC71" s="2"/>
      <c r="AD71" s="2"/>
      <c r="AE71" s="2"/>
      <c r="AF71" s="2"/>
      <c r="AG71" s="2"/>
      <c r="AH71" s="2"/>
      <c r="AI71" s="2"/>
      <c r="AJ71" s="2"/>
      <c r="AK71" s="2"/>
      <c r="AL71" s="2"/>
    </row>
    <row r="72" ht="22.5" customHeight="1">
      <c r="A72" s="3" t="s">
        <v>1196</v>
      </c>
      <c r="B72" s="4">
        <v>71.0</v>
      </c>
      <c r="C72" s="3" t="s">
        <v>1197</v>
      </c>
      <c r="D72" s="3" t="s">
        <v>1198</v>
      </c>
      <c r="E72" s="3" t="s">
        <v>1199</v>
      </c>
      <c r="F72" s="3" t="s">
        <v>1200</v>
      </c>
      <c r="G72" s="3" t="s">
        <v>1201</v>
      </c>
      <c r="H72" s="3" t="s">
        <v>1200</v>
      </c>
      <c r="I72" s="3" t="s">
        <v>1202</v>
      </c>
      <c r="J72" s="2"/>
      <c r="K72" s="2"/>
      <c r="L72" s="3" t="s">
        <v>1196</v>
      </c>
      <c r="M72" s="4">
        <v>71.0</v>
      </c>
      <c r="N72" s="3" t="str">
        <f>IFERROR(__xludf.DUMMYFUNCTION("GOOGLETRANSLATE(C72,""en"",""zh-CN"")"),"蹴鞠游戏的地点在哪里？")</f>
        <v>蹴鞠游戏的地点在哪里？</v>
      </c>
      <c r="O72" s="3" t="str">
        <f>IFERROR(__xludf.DUMMYFUNCTION("GOOGLETRANSLATE(D72,""en"",""zh-CN"")"),"一座现代化的体育场馆。")</f>
        <v>一座现代化的体育场馆。</v>
      </c>
      <c r="P72" s="3" t="str">
        <f>IFERROR(__xludf.DUMMYFUNCTION("GOOGLETRANSLATE(E72,""en"",""zh-CN"")"),"一个户外公园。")</f>
        <v>一个户外公园。</v>
      </c>
      <c r="Q72" s="3" t="str">
        <f>IFERROR(__xludf.DUMMYFUNCTION("GOOGLETRANSLATE(F72,""en"",""zh-CN"")"),"历史建筑庭院。")</f>
        <v>历史建筑庭院。</v>
      </c>
      <c r="R72" s="3" t="str">
        <f>IFERROR(__xludf.DUMMYFUNCTION("GOOGLETRANSLATE(G72,""en"",""zh-CN"")"),"室内工作室。")</f>
        <v>室内工作室。</v>
      </c>
      <c r="S72" s="3" t="s">
        <v>1203</v>
      </c>
      <c r="T72" s="3" t="str">
        <f>IFERROR(__xludf.DUMMYFUNCTION("GOOGLETRANSLATE(H72,""en"",""zh-CN"")"),"历史建筑庭院。")</f>
        <v>历史建筑庭院。</v>
      </c>
      <c r="U72" s="3" t="str">
        <f>IFERROR(__xludf.DUMMYFUNCTION("GOOGLETRANSLATE(I72,""en"",""zh-CN"")"),"球员们身处一片草地上，周围环绕着传统的中国建筑和高墙，这表明比赛是在一座历史建筑的庭院中举行的。")</f>
        <v>球员们身处一片草地上，周围环绕着传统的中国建筑和高墙，这表明比赛是在一座历史建筑的庭院中举行的。</v>
      </c>
      <c r="V72" s="2"/>
      <c r="W72" s="2"/>
      <c r="X72" s="2"/>
      <c r="Y72" s="2"/>
      <c r="Z72" s="2"/>
      <c r="AA72" s="2"/>
      <c r="AB72" s="2"/>
      <c r="AC72" s="2"/>
      <c r="AD72" s="2"/>
      <c r="AE72" s="2"/>
      <c r="AF72" s="2"/>
      <c r="AG72" s="2"/>
      <c r="AH72" s="2"/>
      <c r="AI72" s="2"/>
      <c r="AJ72" s="2"/>
      <c r="AK72" s="2"/>
      <c r="AL72" s="2"/>
    </row>
    <row r="73" ht="22.5" customHeight="1">
      <c r="A73" s="3" t="s">
        <v>1196</v>
      </c>
      <c r="B73" s="4">
        <v>72.0</v>
      </c>
      <c r="C73" s="3" t="s">
        <v>1204</v>
      </c>
      <c r="D73" s="3" t="s">
        <v>1205</v>
      </c>
      <c r="E73" s="3" t="s">
        <v>1206</v>
      </c>
      <c r="F73" s="3" t="s">
        <v>1207</v>
      </c>
      <c r="G73" s="3" t="s">
        <v>1208</v>
      </c>
      <c r="H73" s="3" t="s">
        <v>1205</v>
      </c>
      <c r="I73" s="3" t="s">
        <v>1209</v>
      </c>
      <c r="J73" s="2"/>
      <c r="K73" s="2"/>
      <c r="L73" s="3" t="s">
        <v>1196</v>
      </c>
      <c r="M73" s="4">
        <v>72.0</v>
      </c>
      <c r="N73" s="3" t="str">
        <f>IFERROR(__xludf.DUMMYFUNCTION("GOOGLETRANSLATE(C73,""en"",""zh-CN"")"),"蹴鞠球门柱的主要特点是什么？")</f>
        <v>蹴鞠球门柱的主要特点是什么？</v>
      </c>
      <c r="O73" s="3" t="str">
        <f>IFERROR(__xludf.DUMMYFUNCTION("GOOGLETRANSLATE(D73,""en"",""zh-CN"")"),"它设计便于携带。")</f>
        <v>它设计便于携带。</v>
      </c>
      <c r="P73" s="3" t="str">
        <f>IFERROR(__xludf.DUMMYFUNCTION("GOOGLETRANSLATE(E73,""en"",""zh-CN"")"),"这是一座永久性建筑。")</f>
        <v>这是一座永久性建筑。</v>
      </c>
      <c r="Q73" s="3" t="str">
        <f>IFERROR(__xludf.DUMMYFUNCTION("GOOGLETRANSLATE(F73,""en"",""zh-CN"")"),"它是由混凝土制成的。")</f>
        <v>它是由混凝土制成的。</v>
      </c>
      <c r="R73" s="3" t="str">
        <f>IFERROR(__xludf.DUMMYFUNCTION("GOOGLETRANSLATE(G73,""en"",""zh-CN"")"),"它有一张大网。")</f>
        <v>它有一张大网。</v>
      </c>
      <c r="S73" s="3" t="s">
        <v>1210</v>
      </c>
      <c r="T73" s="3" t="str">
        <f>IFERROR(__xludf.DUMMYFUNCTION("GOOGLETRANSLATE(H73,""en"",""zh-CN"")"),"它设计便于携带。")</f>
        <v>它设计便于携带。</v>
      </c>
      <c r="U73" s="3" t="str">
        <f>IFERROR(__xludf.DUMMYFUNCTION("GOOGLETRANSLATE(I73,""en"",""zh-CN"")"),"球门柱装有轮子，表明它是一个可移动、可便携的结构，可以轻松地移动到不同的演示或活动中。")</f>
        <v>球门柱装有轮子，表明它是一个可移动、可便携的结构，可以轻松地移动到不同的演示或活动中。</v>
      </c>
      <c r="V73" s="2"/>
      <c r="W73" s="2"/>
      <c r="X73" s="2"/>
      <c r="Y73" s="2"/>
      <c r="Z73" s="2"/>
      <c r="AA73" s="2"/>
      <c r="AB73" s="2"/>
      <c r="AC73" s="2"/>
      <c r="AD73" s="2"/>
      <c r="AE73" s="2"/>
      <c r="AF73" s="2"/>
      <c r="AG73" s="2"/>
      <c r="AH73" s="2"/>
      <c r="AI73" s="2"/>
      <c r="AJ73" s="2"/>
      <c r="AK73" s="2"/>
      <c r="AL73" s="2"/>
    </row>
    <row r="74" ht="22.5" customHeight="1">
      <c r="A74" s="3" t="s">
        <v>1196</v>
      </c>
      <c r="B74" s="4">
        <v>73.0</v>
      </c>
      <c r="C74" s="3" t="s">
        <v>1211</v>
      </c>
      <c r="D74" s="3" t="s">
        <v>1212</v>
      </c>
      <c r="E74" s="3" t="s">
        <v>1213</v>
      </c>
      <c r="F74" s="3" t="s">
        <v>1214</v>
      </c>
      <c r="G74" s="3" t="s">
        <v>1215</v>
      </c>
      <c r="H74" s="3" t="s">
        <v>1214</v>
      </c>
      <c r="I74" s="3" t="s">
        <v>1216</v>
      </c>
      <c r="J74" s="2"/>
      <c r="K74" s="2"/>
      <c r="L74" s="3" t="s">
        <v>1196</v>
      </c>
      <c r="M74" s="4">
        <v>73.0</v>
      </c>
      <c r="N74" s="3" t="str">
        <f>IFERROR(__xludf.DUMMYFUNCTION("GOOGLETRANSLATE(C74,""en"",""zh-CN"")"),"从球员的着装中可以推断出什么信息？")</f>
        <v>从球员的着装中可以推断出什么信息？</v>
      </c>
      <c r="O74" s="3" t="str">
        <f>IFERROR(__xludf.DUMMYFUNCTION("GOOGLETRANSLATE(D74,""en"",""zh-CN"")"),"它休闲百搭，适合日常穿着。")</f>
        <v>它休闲百搭，适合日常穿着。</v>
      </c>
      <c r="P74" s="3" t="str">
        <f>IFERROR(__xludf.DUMMYFUNCTION("GOOGLETRANSLATE(E74,""en"",""zh-CN"")"),"这是现代运动装备。")</f>
        <v>这是现代运动装备。</v>
      </c>
      <c r="Q74" s="3" t="str">
        <f>IFERROR(__xludf.DUMMYFUNCTION("GOOGLETRANSLATE(F74,""en"",""zh-CN"")"),"这是传统习俗，可能源自明朝或清朝等历史时期。")</f>
        <v>这是传统习俗，可能源自明朝或清朝等历史时期。</v>
      </c>
      <c r="R74" s="3" t="str">
        <f>IFERROR(__xludf.DUMMYFUNCTION("GOOGLETRANSLATE(G74,""en"",""zh-CN"")"),"这是一套军装。")</f>
        <v>这是一套军装。</v>
      </c>
      <c r="S74" s="3" t="s">
        <v>1217</v>
      </c>
      <c r="T74" s="3" t="str">
        <f>IFERROR(__xludf.DUMMYFUNCTION("GOOGLETRANSLATE(H74,""en"",""zh-CN"")"),"这是传统习俗，可能源自明朝或清朝等历史时期。")</f>
        <v>这是传统习俗，可能源自明朝或清朝等历史时期。</v>
      </c>
      <c r="U74" s="3" t="str">
        <f>IFERROR(__xludf.DUMMYFUNCTION("GOOGLETRANSLATE(I74,""en"",""zh-CN"")"),"球员们身穿蓝色和红色长袍，头戴特定款式的帽子，腰系特定款式的腰带，这些都是中国特定历史朝代传统服饰的典型特征。")</f>
        <v>球员们身穿蓝色和红色长袍，头戴特定款式的帽子，腰系特定款式的腰带，这些都是中国特定历史朝代传统服饰的典型特征。</v>
      </c>
      <c r="V74" s="2"/>
      <c r="W74" s="2"/>
      <c r="X74" s="2"/>
      <c r="Y74" s="2"/>
      <c r="Z74" s="2"/>
      <c r="AA74" s="2"/>
      <c r="AB74" s="2"/>
      <c r="AC74" s="2"/>
      <c r="AD74" s="2"/>
      <c r="AE74" s="2"/>
      <c r="AF74" s="2"/>
      <c r="AG74" s="2"/>
      <c r="AH74" s="2"/>
      <c r="AI74" s="2"/>
      <c r="AJ74" s="2"/>
      <c r="AK74" s="2"/>
      <c r="AL74" s="2"/>
    </row>
    <row r="75" ht="22.5" customHeight="1">
      <c r="A75" s="3" t="s">
        <v>1196</v>
      </c>
      <c r="B75" s="4">
        <v>74.0</v>
      </c>
      <c r="C75" s="3" t="s">
        <v>1218</v>
      </c>
      <c r="D75" s="3" t="s">
        <v>1219</v>
      </c>
      <c r="E75" s="3" t="s">
        <v>1014</v>
      </c>
      <c r="F75" s="3" t="s">
        <v>1220</v>
      </c>
      <c r="G75" s="3" t="s">
        <v>1221</v>
      </c>
      <c r="H75" s="3" t="s">
        <v>1219</v>
      </c>
      <c r="I75" s="3" t="s">
        <v>1222</v>
      </c>
      <c r="J75" s="2"/>
      <c r="K75" s="2"/>
      <c r="L75" s="3" t="s">
        <v>1196</v>
      </c>
      <c r="M75" s="4">
        <v>74.0</v>
      </c>
      <c r="N75" s="3" t="str">
        <f>IFERROR(__xludf.DUMMYFUNCTION("GOOGLETRANSLATE(C75,""en"",""zh-CN"")"),"球员们的位置各不相同。这说明了什么？")</f>
        <v>球员们的位置各不相同。这说明了什么？</v>
      </c>
      <c r="O75" s="3" t="str">
        <f>IFERROR(__xludf.DUMMYFUNCTION("GOOGLETRANSLATE(D75,""en"",""zh-CN"")"),"他们正在进行比赛或演示。")</f>
        <v>他们正在进行比赛或演示。</v>
      </c>
      <c r="P75" s="3" t="str">
        <f>IFERROR(__xludf.DUMMYFUNCTION("GOOGLETRANSLATE(E75,""en"",""zh-CN"")"),"他们都在等待轮到自己。")</f>
        <v>他们都在等待轮到自己。</v>
      </c>
      <c r="Q75" s="3" t="str">
        <f>IFERROR(__xludf.DUMMYFUNCTION("GOOGLETRANSLATE(F75,""en"",""zh-CN"")"),"他们正在摆姿势拍照。")</f>
        <v>他们正在摆姿势拍照。</v>
      </c>
      <c r="R75" s="3" t="str">
        <f>IFERROR(__xludf.DUMMYFUNCTION("GOOGLETRANSLATE(G75,""en"",""zh-CN"")"),"他们在赛前做拉伸运动。")</f>
        <v>他们在赛前做拉伸运动。</v>
      </c>
      <c r="S75" s="3" t="s">
        <v>1223</v>
      </c>
      <c r="T75" s="3" t="str">
        <f>IFERROR(__xludf.DUMMYFUNCTION("GOOGLETRANSLATE(H75,""en"",""zh-CN"")"),"他们正在进行比赛或演示。")</f>
        <v>他们正在进行比赛或演示。</v>
      </c>
      <c r="U75" s="3" t="str">
        <f>IFERROR(__xludf.DUMMYFUNCTION("GOOGLETRANSLATE(I75,""en"",""zh-CN"")"),"球员们的姿势，有的积极参与踢球，有的则在观察，表明比赛或表演正在进行中，而不是静态的。")</f>
        <v>球员们的姿势，有的积极参与踢球，有的则在观察，表明比赛或表演正在进行中，而不是静态的。</v>
      </c>
      <c r="V75" s="2"/>
      <c r="W75" s="2"/>
      <c r="X75" s="2"/>
      <c r="Y75" s="2"/>
      <c r="Z75" s="2"/>
      <c r="AA75" s="2"/>
      <c r="AB75" s="2"/>
      <c r="AC75" s="2"/>
      <c r="AD75" s="2"/>
      <c r="AE75" s="2"/>
      <c r="AF75" s="2"/>
      <c r="AG75" s="2"/>
      <c r="AH75" s="2"/>
      <c r="AI75" s="2"/>
      <c r="AJ75" s="2"/>
      <c r="AK75" s="2"/>
      <c r="AL75" s="2"/>
    </row>
    <row r="76" ht="22.5" customHeight="1">
      <c r="A76" s="3" t="s">
        <v>1196</v>
      </c>
      <c r="B76" s="4">
        <v>75.0</v>
      </c>
      <c r="C76" s="3" t="s">
        <v>1224</v>
      </c>
      <c r="D76" s="3" t="s">
        <v>1225</v>
      </c>
      <c r="E76" s="3" t="s">
        <v>1226</v>
      </c>
      <c r="F76" s="3" t="s">
        <v>1227</v>
      </c>
      <c r="G76" s="3" t="s">
        <v>1228</v>
      </c>
      <c r="H76" s="3" t="s">
        <v>1227</v>
      </c>
      <c r="I76" s="3" t="s">
        <v>1229</v>
      </c>
      <c r="J76" s="2"/>
      <c r="K76" s="2"/>
      <c r="L76" s="3" t="s">
        <v>1196</v>
      </c>
      <c r="M76" s="4">
        <v>75.0</v>
      </c>
      <c r="N76" s="3" t="str">
        <f>IFERROR(__xludf.DUMMYFUNCTION("GOOGLETRANSLATE(C76,""en"",""zh-CN"")"),"这两个不同球门洞的主要用途是什么？")</f>
        <v>这两个不同球门洞的主要用途是什么？</v>
      </c>
      <c r="O76" s="3" t="str">
        <f>IFERROR(__xludf.DUMMYFUNCTION("GOOGLETRANSLATE(D76,""en"",""zh-CN"")"),"他们代表两支不同的队伍。")</f>
        <v>他们代表两支不同的队伍。</v>
      </c>
      <c r="P76" s="3" t="str">
        <f>IFERROR(__xludf.DUMMYFUNCTION("GOOGLETRANSLATE(E76,""en"",""zh-CN"")"),"它们用于两款不同的游戏。")</f>
        <v>它们用于两款不同的游戏。</v>
      </c>
      <c r="Q76" s="3" t="str">
        <f>IFERROR(__xludf.DUMMYFUNCTION("GOOGLETRANSLATE(F76,""en"",""zh-CN"")"),"它们尺寸各异，难度级别也不同。")</f>
        <v>它们尺寸各异，难度级别也不同。</v>
      </c>
      <c r="R76" s="3" t="str">
        <f>IFERROR(__xludf.DUMMYFUNCTION("GOOGLETRANSLATE(G76,""en"",""zh-CN"")"),"它们纯粹是装饰品。")</f>
        <v>它们纯粹是装饰品。</v>
      </c>
      <c r="S76" s="3" t="s">
        <v>1230</v>
      </c>
      <c r="T76" s="3" t="str">
        <f>IFERROR(__xludf.DUMMYFUNCTION("GOOGLETRANSLATE(H76,""en"",""zh-CN"")"),"它们尺寸各异，难度级别也不同。")</f>
        <v>它们尺寸各异，难度级别也不同。</v>
      </c>
      <c r="U76" s="3" t="str">
        <f>IFERROR(__xludf.DUMMYFUNCTION("GOOGLETRANSLATE(I76,""en"",""zh-CN"")"),"目标结构有两个洞，一个比另一个大，这表明它们可能用于游戏中不同的技能水平或得分目的。")</f>
        <v>目标结构有两个洞，一个比另一个大，这表明它们可能用于游戏中不同的技能水平或得分目的。</v>
      </c>
      <c r="V76" s="2"/>
      <c r="W76" s="2"/>
      <c r="X76" s="2"/>
      <c r="Y76" s="2"/>
      <c r="Z76" s="2"/>
      <c r="AA76" s="2"/>
      <c r="AB76" s="2"/>
      <c r="AC76" s="2"/>
      <c r="AD76" s="2"/>
      <c r="AE76" s="2"/>
      <c r="AF76" s="2"/>
      <c r="AG76" s="2"/>
      <c r="AH76" s="2"/>
      <c r="AI76" s="2"/>
      <c r="AJ76" s="2"/>
      <c r="AK76" s="2"/>
      <c r="AL76" s="2"/>
    </row>
    <row r="77" ht="22.5" customHeight="1">
      <c r="A77" s="3" t="s">
        <v>1231</v>
      </c>
      <c r="B77" s="4">
        <v>76.0</v>
      </c>
      <c r="C77" s="3" t="s">
        <v>1232</v>
      </c>
      <c r="D77" s="3" t="s">
        <v>1233</v>
      </c>
      <c r="E77" s="3" t="s">
        <v>1234</v>
      </c>
      <c r="F77" s="3" t="s">
        <v>1235</v>
      </c>
      <c r="G77" s="3" t="s">
        <v>1236</v>
      </c>
      <c r="H77" s="3" t="s">
        <v>1234</v>
      </c>
      <c r="I77" s="3" t="s">
        <v>1237</v>
      </c>
      <c r="J77" s="2"/>
      <c r="K77" s="2"/>
      <c r="L77" s="3" t="s">
        <v>1231</v>
      </c>
      <c r="M77" s="4">
        <v>76.0</v>
      </c>
      <c r="N77" s="3" t="str">
        <f>IFERROR(__xludf.DUMMYFUNCTION("GOOGLETRANSLATE(C77,""en"",""zh-CN"")"),"图片中的人们都戴着口罩。这暗示了什么时期的情况？")</f>
        <v>图片中的人们都戴着口罩。这暗示了什么时期的情况？</v>
      </c>
      <c r="O77" s="3" t="str">
        <f>IFERROR(__xludf.DUMMYFUNCTION("GOOGLETRANSLATE(D77,""en"",""zh-CN"")"),"故事背景设定在19世纪。")</f>
        <v>故事背景设定在19世纪。</v>
      </c>
      <c r="P77" s="3" t="str">
        <f>IFERROR(__xludf.DUMMYFUNCTION("GOOGLETRANSLATE(E77,""en"",""zh-CN"")"),"这是一件现代事件。")</f>
        <v>这是一件现代事件。</v>
      </c>
      <c r="Q77" s="3" t="str">
        <f>IFERROR(__xludf.DUMMYFUNCTION("GOOGLETRANSLATE(F77,""en"",""zh-CN"")"),"这是一场充满未来感的盛事。")</f>
        <v>这是一场充满未来感的盛事。</v>
      </c>
      <c r="R77" s="3" t="str">
        <f>IFERROR(__xludf.DUMMYFUNCTION("GOOGLETRANSLATE(G77,""en"",""zh-CN"")"),"这是一个古老的事件。")</f>
        <v>这是一个古老的事件。</v>
      </c>
      <c r="S77" s="3" t="s">
        <v>1238</v>
      </c>
      <c r="T77" s="3" t="str">
        <f>IFERROR(__xludf.DUMMYFUNCTION("GOOGLETRANSLATE(H77,""en"",""zh-CN"")"),"这是一件现代事件。")</f>
        <v>这是一件现代事件。</v>
      </c>
      <c r="U77" s="3" t="str">
        <f>IFERROR(__xludf.DUMMYFUNCTION("GOOGLETRANSLATE(I77,""en"",""zh-CN"")"),"佩戴口罩清楚地表明这张照片拍摄于现代，很可能是在 COVID-19 大流行期间或之后。")</f>
        <v>佩戴口罩清楚地表明这张照片拍摄于现代，很可能是在 COVID-19 大流行期间或之后。</v>
      </c>
      <c r="V77" s="2"/>
      <c r="W77" s="2"/>
      <c r="X77" s="2"/>
      <c r="Y77" s="2"/>
      <c r="Z77" s="2"/>
      <c r="AA77" s="2"/>
      <c r="AB77" s="2"/>
      <c r="AC77" s="2"/>
      <c r="AD77" s="2"/>
      <c r="AE77" s="2"/>
      <c r="AF77" s="2"/>
      <c r="AG77" s="2"/>
      <c r="AH77" s="2"/>
      <c r="AI77" s="2"/>
      <c r="AJ77" s="2"/>
      <c r="AK77" s="2"/>
      <c r="AL77" s="2"/>
    </row>
    <row r="78" ht="22.5" customHeight="1">
      <c r="A78" s="3" t="s">
        <v>1231</v>
      </c>
      <c r="B78" s="4">
        <v>77.0</v>
      </c>
      <c r="C78" s="3" t="s">
        <v>1239</v>
      </c>
      <c r="D78" s="3" t="s">
        <v>1240</v>
      </c>
      <c r="E78" s="3" t="s">
        <v>1241</v>
      </c>
      <c r="F78" s="3" t="s">
        <v>1242</v>
      </c>
      <c r="G78" s="3" t="s">
        <v>1243</v>
      </c>
      <c r="H78" s="3" t="s">
        <v>1241</v>
      </c>
      <c r="I78" s="3" t="s">
        <v>1244</v>
      </c>
      <c r="J78" s="2"/>
      <c r="K78" s="2"/>
      <c r="L78" s="3" t="s">
        <v>1231</v>
      </c>
      <c r="M78" s="4">
        <v>77.0</v>
      </c>
      <c r="N78" s="3" t="str">
        <f>IFERROR(__xludf.DUMMYFUNCTION("GOOGLETRANSLATE(C78,""en"",""zh-CN"")"),"图片中展示的主要活动是什么？")</f>
        <v>图片中展示的主要活动是什么？</v>
      </c>
      <c r="O78" s="3" t="str">
        <f>IFERROR(__xludf.DUMMYFUNCTION("GOOGLETRANSLATE(D78,""en"",""zh-CN"")"),"抗议游行。")</f>
        <v>抗议游行。</v>
      </c>
      <c r="P78" s="3" t="str">
        <f>IFERROR(__xludf.DUMMYFUNCTION("GOOGLETRANSLATE(E78,""en"",""zh-CN"")"),"一场传统体育表演。")</f>
        <v>一场传统体育表演。</v>
      </c>
      <c r="Q78" s="3" t="str">
        <f>IFERROR(__xludf.DUMMYFUNCTION("GOOGLETRANSLATE(F78,""en"",""zh-CN"")"),"游行。")</f>
        <v>游行。</v>
      </c>
      <c r="R78" s="3" t="str">
        <f>IFERROR(__xludf.DUMMYFUNCTION("GOOGLETRANSLATE(G78,""en"",""zh-CN"")"),"军事演习。")</f>
        <v>军事演习。</v>
      </c>
      <c r="S78" s="3" t="s">
        <v>1245</v>
      </c>
      <c r="T78" s="3" t="str">
        <f>IFERROR(__xludf.DUMMYFUNCTION("GOOGLETRANSLATE(H78,""en"",""zh-CN"")"),"一场传统体育表演。")</f>
        <v>一场传统体育表演。</v>
      </c>
      <c r="U78" s="3" t="str">
        <f>IFERROR(__xludf.DUMMYFUNCTION("GOOGLETRANSLATE(I78,""en"",""zh-CN"")"),"图片中展示了身着传统服饰的人们和蹴鞠球门，表明这是一场公开的中国传统体育运动表演。")</f>
        <v>图片中展示了身着传统服饰的人们和蹴鞠球门，表明这是一场公开的中国传统体育运动表演。</v>
      </c>
      <c r="V78" s="2"/>
      <c r="W78" s="2"/>
      <c r="X78" s="2"/>
      <c r="Y78" s="2"/>
      <c r="Z78" s="2"/>
      <c r="AA78" s="2"/>
      <c r="AB78" s="2"/>
      <c r="AC78" s="2"/>
      <c r="AD78" s="2"/>
      <c r="AE78" s="2"/>
      <c r="AF78" s="2"/>
      <c r="AG78" s="2"/>
      <c r="AH78" s="2"/>
      <c r="AI78" s="2"/>
      <c r="AJ78" s="2"/>
      <c r="AK78" s="2"/>
      <c r="AL78" s="2"/>
    </row>
    <row r="79" ht="22.5" customHeight="1">
      <c r="A79" s="3" t="s">
        <v>1231</v>
      </c>
      <c r="B79" s="4">
        <v>78.0</v>
      </c>
      <c r="C79" s="3" t="s">
        <v>1246</v>
      </c>
      <c r="D79" s="3" t="s">
        <v>1247</v>
      </c>
      <c r="E79" s="3" t="s">
        <v>1248</v>
      </c>
      <c r="F79" s="3" t="s">
        <v>1249</v>
      </c>
      <c r="G79" s="3" t="s">
        <v>1201</v>
      </c>
      <c r="H79" s="3" t="s">
        <v>1249</v>
      </c>
      <c r="I79" s="3" t="s">
        <v>1250</v>
      </c>
      <c r="J79" s="2"/>
      <c r="K79" s="2"/>
      <c r="L79" s="3" t="s">
        <v>1231</v>
      </c>
      <c r="M79" s="4">
        <v>78.0</v>
      </c>
      <c r="N79" s="3" t="str">
        <f>IFERROR(__xludf.DUMMYFUNCTION("GOOGLETRANSLATE(C79,""en"",""zh-CN"")"),"这场演出是在什么环境下进行的？")</f>
        <v>这场演出是在什么环境下进行的？</v>
      </c>
      <c r="O79" s="3" t="str">
        <f>IFERROR(__xludf.DUMMYFUNCTION("GOOGLETRANSLATE(D79,""en"",""zh-CN"")"),"一个乡村。")</f>
        <v>一个乡村。</v>
      </c>
      <c r="P79" s="3" t="str">
        <f>IFERROR(__xludf.DUMMYFUNCTION("GOOGLETRANSLATE(E79,""en"",""zh-CN"")"),"宫殿庭院。")</f>
        <v>宫殿庭院。</v>
      </c>
      <c r="Q79" s="3" t="str">
        <f>IFERROR(__xludf.DUMMYFUNCTION("GOOGLETRANSLATE(F79,""en"",""zh-CN"")"),"城墙或高台。")</f>
        <v>城墙或高台。</v>
      </c>
      <c r="R79" s="3" t="str">
        <f>IFERROR(__xludf.DUMMYFUNCTION("GOOGLETRANSLATE(G79,""en"",""zh-CN"")"),"室内工作室。")</f>
        <v>室内工作室。</v>
      </c>
      <c r="S79" s="3" t="s">
        <v>1251</v>
      </c>
      <c r="T79" s="3" t="str">
        <f>IFERROR(__xludf.DUMMYFUNCTION("GOOGLETRANSLATE(H79,""en"",""zh-CN"")"),"城墙或高台。")</f>
        <v>城墙或高台。</v>
      </c>
      <c r="U79" s="3" t="str">
        <f>IFERROR(__xludf.DUMMYFUNCTION("GOOGLETRANSLATE(I79,""en"",""zh-CN"")"),"背景中出现了砖墙、城市天际线和高处的观景点，这表明活动是在城墙上或俯瞰城区的高台上举行的。")</f>
        <v>背景中出现了砖墙、城市天际线和高处的观景点，这表明活动是在城墙上或俯瞰城区的高台上举行的。</v>
      </c>
      <c r="V79" s="2"/>
      <c r="W79" s="2"/>
      <c r="X79" s="2"/>
      <c r="Y79" s="2"/>
      <c r="Z79" s="2"/>
      <c r="AA79" s="2"/>
      <c r="AB79" s="2"/>
      <c r="AC79" s="2"/>
      <c r="AD79" s="2"/>
      <c r="AE79" s="2"/>
      <c r="AF79" s="2"/>
      <c r="AG79" s="2"/>
      <c r="AH79" s="2"/>
      <c r="AI79" s="2"/>
      <c r="AJ79" s="2"/>
      <c r="AK79" s="2"/>
      <c r="AL79" s="2"/>
    </row>
    <row r="80" ht="22.5" customHeight="1">
      <c r="A80" s="3" t="s">
        <v>1231</v>
      </c>
      <c r="B80" s="4">
        <v>79.0</v>
      </c>
      <c r="C80" s="3" t="s">
        <v>1252</v>
      </c>
      <c r="D80" s="3" t="s">
        <v>1253</v>
      </c>
      <c r="E80" s="3" t="s">
        <v>1254</v>
      </c>
      <c r="F80" s="3" t="s">
        <v>1255</v>
      </c>
      <c r="G80" s="3" t="s">
        <v>1256</v>
      </c>
      <c r="H80" s="3" t="s">
        <v>1255</v>
      </c>
      <c r="I80" s="3" t="s">
        <v>1257</v>
      </c>
      <c r="J80" s="2"/>
      <c r="K80" s="2"/>
      <c r="L80" s="3" t="s">
        <v>1231</v>
      </c>
      <c r="M80" s="4">
        <v>79.0</v>
      </c>
      <c r="N80" s="3" t="str">
        <f>IFERROR(__xludf.DUMMYFUNCTION("GOOGLETRANSLATE(C80,""en"",""zh-CN"")"),"中间的练习者手里拿着一个球。这个球是什么材质的？")</f>
        <v>中间的练习者手里拿着一个球。这个球是什么材质的？</v>
      </c>
      <c r="O80" s="3" t="str">
        <f>IFERROR(__xludf.DUMMYFUNCTION("GOOGLETRANSLATE(D80,""en"",""zh-CN"")"),"橡皮。")</f>
        <v>橡皮。</v>
      </c>
      <c r="P80" s="3" t="str">
        <f>IFERROR(__xludf.DUMMYFUNCTION("GOOGLETRANSLATE(E80,""en"",""zh-CN"")"),"塑料。")</f>
        <v>塑料。</v>
      </c>
      <c r="Q80" s="3" t="str">
        <f>IFERROR(__xludf.DUMMYFUNCTION("GOOGLETRANSLATE(F80,""en"",""zh-CN"")"),"编织的稻草或竹子。")</f>
        <v>编织的稻草或竹子。</v>
      </c>
      <c r="R80" s="3" t="str">
        <f>IFERROR(__xludf.DUMMYFUNCTION("GOOGLETRANSLATE(G80,""en"",""zh-CN"")"),"实木。")</f>
        <v>实木。</v>
      </c>
      <c r="S80" s="3" t="s">
        <v>1258</v>
      </c>
      <c r="T80" s="3" t="str">
        <f>IFERROR(__xludf.DUMMYFUNCTION("GOOGLETRANSLATE(H80,""en"",""zh-CN"")"),"编织的稻草或竹子。")</f>
        <v>编织的稻草或竹子。</v>
      </c>
      <c r="U80" s="3" t="str">
        <f>IFERROR(__xludf.DUMMYFUNCTION("GOOGLETRANSLATE(I80,""en"",""zh-CN"")"),"球体上有明显的编织纹路，表明它是用稻草或竹子等传统材料制成的，这与历史上的蹴鞠球相符。")</f>
        <v>球体上有明显的编织纹路，表明它是用稻草或竹子等传统材料制成的，这与历史上的蹴鞠球相符。</v>
      </c>
      <c r="V80" s="2"/>
      <c r="W80" s="2"/>
      <c r="X80" s="2"/>
      <c r="Y80" s="2"/>
      <c r="Z80" s="2"/>
      <c r="AA80" s="2"/>
      <c r="AB80" s="2"/>
      <c r="AC80" s="2"/>
      <c r="AD80" s="2"/>
      <c r="AE80" s="2"/>
      <c r="AF80" s="2"/>
      <c r="AG80" s="2"/>
      <c r="AH80" s="2"/>
      <c r="AI80" s="2"/>
      <c r="AJ80" s="2"/>
      <c r="AK80" s="2"/>
      <c r="AL80" s="2"/>
    </row>
    <row r="81" ht="22.5" customHeight="1">
      <c r="A81" s="3" t="s">
        <v>1231</v>
      </c>
      <c r="B81" s="4">
        <v>80.0</v>
      </c>
      <c r="C81" s="3" t="s">
        <v>1259</v>
      </c>
      <c r="D81" s="3" t="s">
        <v>1260</v>
      </c>
      <c r="E81" s="3" t="s">
        <v>1261</v>
      </c>
      <c r="F81" s="3" t="s">
        <v>1262</v>
      </c>
      <c r="G81" s="3" t="s">
        <v>1263</v>
      </c>
      <c r="H81" s="3" t="s">
        <v>1261</v>
      </c>
      <c r="I81" s="3" t="s">
        <v>1264</v>
      </c>
      <c r="J81" s="2"/>
      <c r="K81" s="2"/>
      <c r="L81" s="3" t="s">
        <v>1231</v>
      </c>
      <c r="M81" s="4">
        <v>80.0</v>
      </c>
      <c r="N81" s="3" t="str">
        <f>IFERROR(__xludf.DUMMYFUNCTION("GOOGLETRANSLATE(C81,""en"",""zh-CN"")"),"这些精心设计的服装和球门柱有什么用？")</f>
        <v>这些精心设计的服装和球门柱有什么用？</v>
      </c>
      <c r="O81" s="3" t="str">
        <f>IFERROR(__xludf.DUMMYFUNCTION("GOOGLETRANSLATE(D81,""en"",""zh-CN"")"),"它们用于正式比赛。")</f>
        <v>它们用于正式比赛。</v>
      </c>
      <c r="P81" s="3" t="str">
        <f>IFERROR(__xludf.DUMMYFUNCTION("GOOGLETRANSLATE(E81,""en"",""zh-CN"")"),"它们将用于公共文化展览。")</f>
        <v>它们将用于公共文化展览。</v>
      </c>
      <c r="Q81" s="3" t="str">
        <f>IFERROR(__xludf.DUMMYFUNCTION("GOOGLETRANSLATE(F81,""en"",""zh-CN"")"),"它们用于电影场景。")</f>
        <v>它们用于电影场景。</v>
      </c>
      <c r="R81" s="3" t="str">
        <f>IFERROR(__xludf.DUMMYFUNCTION("GOOGLETRANSLATE(G81,""en"",""zh-CN"")"),"它们是宗教仪式的一部分。")</f>
        <v>它们是宗教仪式的一部分。</v>
      </c>
      <c r="S81" s="3" t="s">
        <v>1265</v>
      </c>
      <c r="T81" s="3" t="str">
        <f>IFERROR(__xludf.DUMMYFUNCTION("GOOGLETRANSLATE(H81,""en"",""zh-CN"")"),"它们将用于公共文化展览。")</f>
        <v>它们将用于公共文化展览。</v>
      </c>
      <c r="U81" s="3" t="str">
        <f>IFERROR(__xludf.DUMMYFUNCTION("GOOGLETRANSLATE(I81,""en"",""zh-CN"")"),"传统服饰，加上精心设计的球门柱和公共场所，表明其目的是向观众展示中国历史和文化。")</f>
        <v>传统服饰，加上精心设计的球门柱和公共场所，表明其目的是向观众展示中国历史和文化。</v>
      </c>
      <c r="V81" s="2"/>
      <c r="W81" s="2"/>
      <c r="X81" s="2"/>
      <c r="Y81" s="2"/>
      <c r="Z81" s="2"/>
      <c r="AA81" s="2"/>
      <c r="AB81" s="2"/>
      <c r="AC81" s="2"/>
      <c r="AD81" s="2"/>
      <c r="AE81" s="2"/>
      <c r="AF81" s="2"/>
      <c r="AG81" s="2"/>
      <c r="AH81" s="2"/>
      <c r="AI81" s="2"/>
      <c r="AJ81" s="2"/>
      <c r="AK81" s="2"/>
      <c r="AL81" s="2"/>
    </row>
    <row r="82" ht="22.5" customHeight="1">
      <c r="A82" s="3" t="s">
        <v>1266</v>
      </c>
      <c r="B82" s="4">
        <v>81.0</v>
      </c>
      <c r="C82" s="3" t="s">
        <v>1239</v>
      </c>
      <c r="D82" s="3" t="s">
        <v>1267</v>
      </c>
      <c r="E82" s="3" t="s">
        <v>1268</v>
      </c>
      <c r="F82" s="3" t="s">
        <v>1269</v>
      </c>
      <c r="G82" s="3" t="s">
        <v>1270</v>
      </c>
      <c r="H82" s="3" t="s">
        <v>1268</v>
      </c>
      <c r="I82" s="3" t="s">
        <v>1271</v>
      </c>
      <c r="J82" s="2"/>
      <c r="K82" s="2"/>
      <c r="L82" s="3" t="s">
        <v>1266</v>
      </c>
      <c r="M82" s="4">
        <v>81.0</v>
      </c>
      <c r="N82" s="3" t="str">
        <f>IFERROR(__xludf.DUMMYFUNCTION("GOOGLETRANSLATE(C82,""en"",""zh-CN"")"),"图片中展示的主要活动是什么？")</f>
        <v>图片中展示的主要活动是什么？</v>
      </c>
      <c r="O82" s="3" t="str">
        <f>IFERROR(__xludf.DUMMYFUNCTION("GOOGLETRANSLATE(D82,""en"",""zh-CN"")"),"一场橄榄球比赛。")</f>
        <v>一场橄榄球比赛。</v>
      </c>
      <c r="P82" s="3" t="str">
        <f>IFERROR(__xludf.DUMMYFUNCTION("GOOGLETRANSLATE(E82,""en"",""zh-CN"")"),"一场足球比赛。")</f>
        <v>一场足球比赛。</v>
      </c>
      <c r="Q82" s="3" t="str">
        <f>IFERROR(__xludf.DUMMYFUNCTION("GOOGLETRANSLATE(F82,""en"",""zh-CN"")"),"蹴鞠比赛。")</f>
        <v>蹴鞠比赛。</v>
      </c>
      <c r="R82" s="3" t="str">
        <f>IFERROR(__xludf.DUMMYFUNCTION("GOOGLETRANSLATE(G82,""en"",""zh-CN"")"),"一场篮球比赛。")</f>
        <v>一场篮球比赛。</v>
      </c>
      <c r="S82" s="3" t="s">
        <v>1272</v>
      </c>
      <c r="T82" s="3" t="str">
        <f>IFERROR(__xludf.DUMMYFUNCTION("GOOGLETRANSLATE(H82,""en"",""zh-CN"")"),"一场足球比赛。")</f>
        <v>一场足球比赛。</v>
      </c>
      <c r="U82" s="3" t="str">
        <f>IFERROR(__xludf.DUMMYFUNCTION("GOOGLETRANSLATE(I82,""en"",""zh-CN"")"),"球员们穿着现代足球服，在草地上用现代足球踢球，这表明他们踢的是现代足球，而不是蹴鞠。")</f>
        <v>球员们穿着现代足球服，在草地上用现代足球踢球，这表明他们踢的是现代足球，而不是蹴鞠。</v>
      </c>
      <c r="V82" s="2"/>
      <c r="W82" s="2"/>
      <c r="X82" s="2"/>
      <c r="Y82" s="2"/>
      <c r="Z82" s="2"/>
      <c r="AA82" s="2"/>
      <c r="AB82" s="2"/>
      <c r="AC82" s="2"/>
      <c r="AD82" s="2"/>
      <c r="AE82" s="2"/>
      <c r="AF82" s="2"/>
      <c r="AG82" s="2"/>
      <c r="AH82" s="2"/>
      <c r="AI82" s="2"/>
      <c r="AJ82" s="2"/>
      <c r="AK82" s="2"/>
      <c r="AL82" s="2"/>
    </row>
    <row r="83" ht="22.5" customHeight="1">
      <c r="A83" s="3" t="s">
        <v>1266</v>
      </c>
      <c r="B83" s="4">
        <v>82.0</v>
      </c>
      <c r="C83" s="3" t="s">
        <v>1273</v>
      </c>
      <c r="D83" s="3" t="s">
        <v>1274</v>
      </c>
      <c r="E83" s="3" t="s">
        <v>1275</v>
      </c>
      <c r="F83" s="3" t="s">
        <v>1276</v>
      </c>
      <c r="G83" s="3" t="s">
        <v>1057</v>
      </c>
      <c r="H83" s="3" t="s">
        <v>1057</v>
      </c>
      <c r="I83" s="3" t="s">
        <v>1277</v>
      </c>
      <c r="J83" s="2"/>
      <c r="K83" s="2"/>
      <c r="L83" s="3" t="s">
        <v>1266</v>
      </c>
      <c r="M83" s="4">
        <v>82.0</v>
      </c>
      <c r="N83" s="3" t="str">
        <f>IFERROR(__xludf.DUMMYFUNCTION("GOOGLETRANSLATE(C83,""en"",""zh-CN"")"),"这种活动与传统蹴鞠有何不同？")</f>
        <v>这种活动与传统蹴鞠有何不同？</v>
      </c>
      <c r="O83" s="3" t="str">
        <f>IFERROR(__xludf.DUMMYFUNCTION("GOOGLETRANSLATE(D83,""en"",""zh-CN"")"),"它使用的是不同类型的球。")</f>
        <v>它使用的是不同类型的球。</v>
      </c>
      <c r="P83" s="3" t="str">
        <f>IFERROR(__xludf.DUMMYFUNCTION("GOOGLETRANSLATE(E83,""en"",""zh-CN"")"),"服装风格现代且运动。")</f>
        <v>服装风格现代且运动。</v>
      </c>
      <c r="Q83" s="3" t="str">
        <f>IFERROR(__xludf.DUMMYFUNCTION("GOOGLETRANSLATE(F83,""en"",""zh-CN"")"),"重点在于拦截和射门得分。")</f>
        <v>重点在于拦截和射门得分。</v>
      </c>
      <c r="R83" s="3" t="str">
        <f>IFERROR(__xludf.DUMMYFUNCTION("GOOGLETRANSLATE(G83,""en"",""zh-CN"")"),"上述所有的。")</f>
        <v>上述所有的。</v>
      </c>
      <c r="S83" s="3" t="s">
        <v>1278</v>
      </c>
      <c r="T83" s="3" t="str">
        <f>IFERROR(__xludf.DUMMYFUNCTION("GOOGLETRANSLATE(H83,""en"",""zh-CN"")"),"上述所有的。")</f>
        <v>上述所有的。</v>
      </c>
      <c r="U83" s="3" t="str">
        <f>IFERROR(__xludf.DUMMYFUNCTION("GOOGLETRANSLATE(I83,""en"",""zh-CN"")"),"现代足球（如图所示）与蹴鞠有着根本的不同，它使用现代足球、运动服装，并且注重铲球和在大球门中进球，而蹴鞠并非总是如此。")</f>
        <v>现代足球（如图所示）与蹴鞠有着根本的不同，它使用现代足球、运动服装，并且注重铲球和在大球门中进球，而蹴鞠并非总是如此。</v>
      </c>
      <c r="V83" s="2"/>
      <c r="W83" s="2"/>
      <c r="X83" s="2"/>
      <c r="Y83" s="2"/>
      <c r="Z83" s="2"/>
      <c r="AA83" s="2"/>
      <c r="AB83" s="2"/>
      <c r="AC83" s="2"/>
      <c r="AD83" s="2"/>
      <c r="AE83" s="2"/>
      <c r="AF83" s="2"/>
      <c r="AG83" s="2"/>
      <c r="AH83" s="2"/>
      <c r="AI83" s="2"/>
      <c r="AJ83" s="2"/>
      <c r="AK83" s="2"/>
      <c r="AL83" s="2"/>
    </row>
    <row r="84" ht="22.5" customHeight="1">
      <c r="A84" s="3" t="s">
        <v>1266</v>
      </c>
      <c r="B84" s="4">
        <v>83.0</v>
      </c>
      <c r="C84" s="3" t="s">
        <v>1279</v>
      </c>
      <c r="D84" s="3" t="s">
        <v>1280</v>
      </c>
      <c r="E84" s="3" t="s">
        <v>1281</v>
      </c>
      <c r="F84" s="3" t="s">
        <v>1282</v>
      </c>
      <c r="G84" s="3" t="s">
        <v>1283</v>
      </c>
      <c r="H84" s="3" t="s">
        <v>1281</v>
      </c>
      <c r="I84" s="3" t="s">
        <v>1284</v>
      </c>
      <c r="J84" s="2"/>
      <c r="K84" s="2"/>
      <c r="L84" s="3" t="s">
        <v>1266</v>
      </c>
      <c r="M84" s="4">
        <v>83.0</v>
      </c>
      <c r="N84" s="3" t="str">
        <f>IFERROR(__xludf.DUMMYFUNCTION("GOOGLETRANSLATE(C84,""en"",""zh-CN"")"),"球员服装的一个显著特点是什么？")</f>
        <v>球员服装的一个显著特点是什么？</v>
      </c>
      <c r="O84" s="3" t="str">
        <f>IFERROR(__xludf.DUMMYFUNCTION("GOOGLETRANSLATE(D84,""en"",""zh-CN"")"),"他们身穿传统长袍。")</f>
        <v>他们身穿传统长袍。</v>
      </c>
      <c r="P84" s="3" t="str">
        <f>IFERROR(__xludf.DUMMYFUNCTION("GOOGLETRANSLATE(E84,""en"",""zh-CN"")"),"他们穿着现代足球服。")</f>
        <v>他们穿着现代足球服。</v>
      </c>
      <c r="Q84" s="3" t="str">
        <f>IFERROR(__xludf.DUMMYFUNCTION("GOOGLETRANSLATE(F84,""en"",""zh-CN"")"),"他们穿着商务套装。")</f>
        <v>他们穿着商务套装。</v>
      </c>
      <c r="R84" s="3" t="str">
        <f>IFERROR(__xludf.DUMMYFUNCTION("GOOGLETRANSLATE(G84,""en"",""zh-CN"")"),"他们身穿军装。")</f>
        <v>他们身穿军装。</v>
      </c>
      <c r="S84" s="3" t="s">
        <v>1285</v>
      </c>
      <c r="T84" s="3" t="str">
        <f>IFERROR(__xludf.DUMMYFUNCTION("GOOGLETRANSLATE(H84,""en"",""zh-CN"")"),"他们穿着现代足球服。")</f>
        <v>他们穿着现代足球服。</v>
      </c>
      <c r="U84" s="3" t="str">
        <f>IFERROR(__xludf.DUMMYFUNCTION("GOOGLETRANSLATE(I84,""en"",""zh-CN"")"),"球员们穿着短裤、球衣、球袜和球鞋，这是现代足球的标准队服。")</f>
        <v>球员们穿着短裤、球衣、球袜和球鞋，这是现代足球的标准队服。</v>
      </c>
      <c r="V84" s="2"/>
      <c r="W84" s="2"/>
      <c r="X84" s="2"/>
      <c r="Y84" s="2"/>
      <c r="Z84" s="2"/>
      <c r="AA84" s="2"/>
      <c r="AB84" s="2"/>
      <c r="AC84" s="2"/>
      <c r="AD84" s="2"/>
      <c r="AE84" s="2"/>
      <c r="AF84" s="2"/>
      <c r="AG84" s="2"/>
      <c r="AH84" s="2"/>
      <c r="AI84" s="2"/>
      <c r="AJ84" s="2"/>
      <c r="AK84" s="2"/>
      <c r="AL84" s="2"/>
    </row>
    <row r="85" ht="22.5" customHeight="1">
      <c r="A85" s="3" t="s">
        <v>1266</v>
      </c>
      <c r="B85" s="4">
        <v>84.0</v>
      </c>
      <c r="C85" s="3" t="s">
        <v>1286</v>
      </c>
      <c r="D85" s="3" t="s">
        <v>1287</v>
      </c>
      <c r="E85" s="3" t="s">
        <v>1288</v>
      </c>
      <c r="F85" s="3" t="s">
        <v>1289</v>
      </c>
      <c r="G85" s="3" t="s">
        <v>1290</v>
      </c>
      <c r="H85" s="3" t="s">
        <v>1289</v>
      </c>
      <c r="I85" s="3" t="s">
        <v>1291</v>
      </c>
      <c r="J85" s="2"/>
      <c r="K85" s="2"/>
      <c r="L85" s="3" t="s">
        <v>1266</v>
      </c>
      <c r="M85" s="4">
        <v>84.0</v>
      </c>
      <c r="N85" s="3" t="str">
        <f>IFERROR(__xludf.DUMMYFUNCTION("GOOGLETRANSLATE(C85,""en"",""zh-CN"")"),"这张图片反映了当今足球在中国的受欢迎程度吗？")</f>
        <v>这张图片反映了当今足球在中国的受欢迎程度吗？</v>
      </c>
      <c r="O85" s="3" t="str">
        <f>IFERROR(__xludf.DUMMYFUNCTION("GOOGLETRANSLATE(D85,""en"",""zh-CN"")"),"它已被传统体育运动所取代。")</f>
        <v>它已被传统体育运动所取代。</v>
      </c>
      <c r="P85" s="3" t="str">
        <f>IFERROR(__xludf.DUMMYFUNCTION("GOOGLETRANSLATE(E85,""en"",""zh-CN"")"),"这是一项小众运动。")</f>
        <v>这是一项小众运动。</v>
      </c>
      <c r="Q85" s="3" t="str">
        <f>IFERROR(__xludf.DUMMYFUNCTION("GOOGLETRANSLATE(F85,""en"",""zh-CN"")"),"这项运动很受欢迎，尤其受到年轻人的喜爱。")</f>
        <v>这项运动很受欢迎，尤其受到年轻人的喜爱。</v>
      </c>
      <c r="R85" s="3" t="str">
        <f>IFERROR(__xludf.DUMMYFUNCTION("GOOGLETRANSLATE(G85,""en"",""zh-CN"")"),"这是一项日渐衰落的运动。")</f>
        <v>这是一项日渐衰落的运动。</v>
      </c>
      <c r="S85" s="3" t="s">
        <v>1292</v>
      </c>
      <c r="T85" s="3" t="str">
        <f>IFERROR(__xludf.DUMMYFUNCTION("GOOGLETRANSLATE(H85,""en"",""zh-CN"")"),"这项运动很受欢迎，尤其受到年轻人的喜爱。")</f>
        <v>这项运动很受欢迎，尤其受到年轻人的喜爱。</v>
      </c>
      <c r="U85" s="3" t="str">
        <f>IFERROR(__xludf.DUMMYFUNCTION("GOOGLETRANSLATE(I85,""en"",""zh-CN"")"),"年轻、充满热情的球员们参与现代足球比赛的画面表明，这项运动如今在中国拥有强大的、不断增长的受众群体。")</f>
        <v>年轻、充满热情的球员们参与现代足球比赛的画面表明，这项运动如今在中国拥有强大的、不断增长的受众群体。</v>
      </c>
      <c r="V85" s="2"/>
      <c r="W85" s="2"/>
      <c r="X85" s="2"/>
      <c r="Y85" s="2"/>
      <c r="Z85" s="2"/>
      <c r="AA85" s="2"/>
      <c r="AB85" s="2"/>
      <c r="AC85" s="2"/>
      <c r="AD85" s="2"/>
      <c r="AE85" s="2"/>
      <c r="AF85" s="2"/>
      <c r="AG85" s="2"/>
      <c r="AH85" s="2"/>
      <c r="AI85" s="2"/>
      <c r="AJ85" s="2"/>
      <c r="AK85" s="2"/>
      <c r="AL85" s="2"/>
    </row>
    <row r="86" ht="22.5" customHeight="1">
      <c r="A86" s="3" t="s">
        <v>1266</v>
      </c>
      <c r="B86" s="4">
        <v>85.0</v>
      </c>
      <c r="C86" s="3" t="s">
        <v>1293</v>
      </c>
      <c r="D86" s="3" t="s">
        <v>1294</v>
      </c>
      <c r="E86" s="3" t="s">
        <v>1295</v>
      </c>
      <c r="F86" s="3" t="s">
        <v>1296</v>
      </c>
      <c r="G86" s="3" t="s">
        <v>1297</v>
      </c>
      <c r="H86" s="3" t="s">
        <v>1297</v>
      </c>
      <c r="I86" s="3" t="s">
        <v>1298</v>
      </c>
      <c r="J86" s="2"/>
      <c r="K86" s="2"/>
      <c r="L86" s="3" t="s">
        <v>1266</v>
      </c>
      <c r="M86" s="4">
        <v>85.0</v>
      </c>
      <c r="N86" s="3" t="str">
        <f>IFERROR(__xludf.DUMMYFUNCTION("GOOGLETRANSLATE(C86,""en"",""zh-CN"")"),"这项活动与蹴鞠有何关系？")</f>
        <v>这项活动与蹴鞠有何关系？</v>
      </c>
      <c r="O86" s="3" t="str">
        <f>IFERROR(__xludf.DUMMYFUNCTION("GOOGLETRANSLATE(D86,""en"",""zh-CN"")"),"它们属于同一项运动。")</f>
        <v>它们属于同一项运动。</v>
      </c>
      <c r="P86" s="3" t="str">
        <f>IFERROR(__xludf.DUMMYFUNCTION("GOOGLETRANSLATE(E86,""en"",""zh-CN"")"),"蹴鞠是这项运动的现代版本。")</f>
        <v>蹴鞠是这项运动的现代版本。</v>
      </c>
      <c r="Q86" s="3" t="str">
        <f>IFERROR(__xludf.DUMMYFUNCTION("GOOGLETRANSLATE(F86,""en"",""zh-CN"")"),"这是对蹴鞠的历史重现。")</f>
        <v>这是对蹴鞠的历史重现。</v>
      </c>
      <c r="R86" s="3" t="str">
        <f>IFERROR(__xludf.DUMMYFUNCTION("GOOGLETRANSLATE(G86,""en"",""zh-CN"")"),"蹴鞠被认为是这项现代运动的历史起源。")</f>
        <v>蹴鞠被认为是这项现代运动的历史起源。</v>
      </c>
      <c r="S86" s="3" t="s">
        <v>1299</v>
      </c>
      <c r="T86" s="3" t="str">
        <f>IFERROR(__xludf.DUMMYFUNCTION("GOOGLETRANSLATE(H86,""en"",""zh-CN"")"),"蹴鞠被认为是这项现代运动的历史起源。")</f>
        <v>蹴鞠被认为是这项现代运动的历史起源。</v>
      </c>
      <c r="U86" s="3" t="str">
        <f>IFERROR(__xludf.DUMMYFUNCTION("GOOGLETRANSLATE(I86,""en"",""zh-CN"")"),"蹴鞠在历史上被认为是现代足球的中国古代前身，是图中所示运动的历史祖先。")</f>
        <v>蹴鞠在历史上被认为是现代足球的中国古代前身，是图中所示运动的历史祖先。</v>
      </c>
      <c r="V86" s="2"/>
      <c r="W86" s="2"/>
      <c r="X86" s="2"/>
      <c r="Y86" s="2"/>
      <c r="Z86" s="2"/>
      <c r="AA86" s="2"/>
      <c r="AB86" s="2"/>
      <c r="AC86" s="2"/>
      <c r="AD86" s="2"/>
      <c r="AE86" s="2"/>
      <c r="AF86" s="2"/>
      <c r="AG86" s="2"/>
      <c r="AH86" s="2"/>
      <c r="AI86" s="2"/>
      <c r="AJ86" s="2"/>
      <c r="AK86" s="2"/>
      <c r="AL86" s="2"/>
    </row>
    <row r="87" ht="22.5" customHeight="1">
      <c r="A87" s="3" t="s">
        <v>1300</v>
      </c>
      <c r="B87" s="4">
        <v>86.0</v>
      </c>
      <c r="C87" s="3" t="s">
        <v>886</v>
      </c>
      <c r="D87" s="3" t="s">
        <v>1301</v>
      </c>
      <c r="E87" s="3" t="s">
        <v>1302</v>
      </c>
      <c r="F87" s="3" t="s">
        <v>1303</v>
      </c>
      <c r="G87" s="3" t="s">
        <v>1304</v>
      </c>
      <c r="H87" s="3" t="s">
        <v>1303</v>
      </c>
      <c r="I87" s="3" t="s">
        <v>1305</v>
      </c>
      <c r="J87" s="2"/>
      <c r="K87" s="2"/>
      <c r="L87" s="3" t="s">
        <v>1300</v>
      </c>
      <c r="M87" s="4">
        <v>86.0</v>
      </c>
      <c r="N87" s="3" t="str">
        <f>IFERROR(__xludf.DUMMYFUNCTION("GOOGLETRANSLATE(C87,""en"",""zh-CN"")"),"图中所示的主要活动是什么？")</f>
        <v>图中所示的主要活动是什么？</v>
      </c>
      <c r="O87" s="3" t="str">
        <f>IFERROR(__xludf.DUMMYFUNCTION("GOOGLETRANSLATE(D87,""en"",""zh-CN"")"),"冰上阅兵。")</f>
        <v>冰上阅兵。</v>
      </c>
      <c r="P87" s="3" t="str">
        <f>IFERROR(__xludf.DUMMYFUNCTION("GOOGLETRANSLATE(E87,""en"",""zh-CN"")"),"一场花样滑冰表演。")</f>
        <v>一场花样滑冰表演。</v>
      </c>
      <c r="Q87" s="3" t="str">
        <f>IFERROR(__xludf.DUMMYFUNCTION("GOOGLETRANSLATE(F87,""en"",""zh-CN"")"),"一项传统的冰上运动。")</f>
        <v>一项传统的冰上运动。</v>
      </c>
      <c r="R87" s="3" t="str">
        <f>IFERROR(__xludf.DUMMYFUNCTION("GOOGLETRANSLATE(G87,""en"",""zh-CN"")"),"一场冰球比赛。")</f>
        <v>一场冰球比赛。</v>
      </c>
      <c r="S87" s="3" t="s">
        <v>1306</v>
      </c>
      <c r="T87" s="3" t="str">
        <f>IFERROR(__xludf.DUMMYFUNCTION("GOOGLETRANSLATE(H87,""en"",""zh-CN"")"),"一项传统的冰上运动。")</f>
        <v>一项传统的冰上运动。</v>
      </c>
      <c r="U87" s="3" t="str">
        <f>IFERROR(__xludf.DUMMYFUNCTION("GOOGLETRANSLATE(I87,""en"",""zh-CN"")"),"图片中，人们身着传统风格的历史服装和盔甲，手持旗帜，脚穿轮滑鞋，似乎在进行传统体育表演或轮滑游行。")</f>
        <v>图片中，人们身着传统风格的历史服装和盔甲，手持旗帜，脚穿轮滑鞋，似乎在进行传统体育表演或轮滑游行。</v>
      </c>
      <c r="V87" s="2"/>
      <c r="W87" s="2"/>
      <c r="X87" s="2"/>
      <c r="Y87" s="2"/>
      <c r="Z87" s="2"/>
      <c r="AA87" s="2"/>
      <c r="AB87" s="2"/>
      <c r="AC87" s="2"/>
      <c r="AD87" s="2"/>
      <c r="AE87" s="2"/>
      <c r="AF87" s="2"/>
      <c r="AG87" s="2"/>
      <c r="AH87" s="2"/>
      <c r="AI87" s="2"/>
      <c r="AJ87" s="2"/>
      <c r="AK87" s="2"/>
      <c r="AL87" s="2"/>
    </row>
    <row r="88" ht="22.5" customHeight="1">
      <c r="A88" s="3" t="s">
        <v>1300</v>
      </c>
      <c r="B88" s="4">
        <v>87.0</v>
      </c>
      <c r="C88" s="3" t="s">
        <v>1307</v>
      </c>
      <c r="D88" s="3" t="s">
        <v>1308</v>
      </c>
      <c r="E88" s="3" t="s">
        <v>1309</v>
      </c>
      <c r="F88" s="3" t="s">
        <v>1310</v>
      </c>
      <c r="G88" s="3" t="s">
        <v>1311</v>
      </c>
      <c r="H88" s="3" t="s">
        <v>1309</v>
      </c>
      <c r="I88" s="3" t="s">
        <v>1312</v>
      </c>
      <c r="J88" s="2"/>
      <c r="K88" s="2"/>
      <c r="L88" s="3" t="s">
        <v>1300</v>
      </c>
      <c r="M88" s="4">
        <v>87.0</v>
      </c>
      <c r="N88" s="3" t="str">
        <f>IFERROR(__xludf.DUMMYFUNCTION("GOOGLETRANSLATE(C88,""en"",""zh-CN"")"),"球员们都穿着冰鞋。他们穿的是哪种类型的冰鞋？")</f>
        <v>球员们都穿着冰鞋。他们穿的是哪种类型的冰鞋？</v>
      </c>
      <c r="O88" s="3" t="str">
        <f>IFERROR(__xludf.DUMMYFUNCTION("GOOGLETRANSLATE(D88,""en"",""zh-CN"")"),"冰刀。")</f>
        <v>冰刀。</v>
      </c>
      <c r="P88" s="3" t="str">
        <f>IFERROR(__xludf.DUMMYFUNCTION("GOOGLETRANSLATE(E88,""en"",""zh-CN"")"),"直排轮滑鞋。")</f>
        <v>直排轮滑鞋。</v>
      </c>
      <c r="Q88" s="3" t="str">
        <f>IFERROR(__xludf.DUMMYFUNCTION("GOOGLETRANSLATE(F88,""en"",""zh-CN"")"),"四轮滑冰鞋。")</f>
        <v>四轮滑冰鞋。</v>
      </c>
      <c r="R88" s="3" t="str">
        <f>IFERROR(__xludf.DUMMYFUNCTION("GOOGLETRANSLATE(G88,""en"",""zh-CN"")"),"轮滑鞋。")</f>
        <v>轮滑鞋。</v>
      </c>
      <c r="S88" s="3" t="s">
        <v>1313</v>
      </c>
      <c r="T88" s="3" t="str">
        <f>IFERROR(__xludf.DUMMYFUNCTION("GOOGLETRANSLATE(H88,""en"",""zh-CN"")"),"直排轮滑鞋。")</f>
        <v>直排轮滑鞋。</v>
      </c>
      <c r="U88" s="3" t="str">
        <f>IFERROR(__xludf.DUMMYFUNCTION("GOOGLETRANSLATE(I88,""en"",""zh-CN"")"),"球员们穿着单排轮滑鞋，也就是直排轮滑鞋。")</f>
        <v>球员们穿着单排轮滑鞋，也就是直排轮滑鞋。</v>
      </c>
      <c r="V88" s="2"/>
      <c r="W88" s="2"/>
      <c r="X88" s="2"/>
      <c r="Y88" s="2"/>
      <c r="Z88" s="2"/>
      <c r="AA88" s="2"/>
      <c r="AB88" s="2"/>
      <c r="AC88" s="2"/>
      <c r="AD88" s="2"/>
      <c r="AE88" s="2"/>
      <c r="AF88" s="2"/>
      <c r="AG88" s="2"/>
      <c r="AH88" s="2"/>
      <c r="AI88" s="2"/>
      <c r="AJ88" s="2"/>
      <c r="AK88" s="2"/>
      <c r="AL88" s="2"/>
    </row>
    <row r="89" ht="22.5" customHeight="1">
      <c r="A89" s="3" t="s">
        <v>1300</v>
      </c>
      <c r="B89" s="4">
        <v>88.0</v>
      </c>
      <c r="C89" s="3" t="s">
        <v>1314</v>
      </c>
      <c r="D89" s="3" t="s">
        <v>1315</v>
      </c>
      <c r="E89" s="3" t="s">
        <v>1316</v>
      </c>
      <c r="F89" s="3" t="s">
        <v>1317</v>
      </c>
      <c r="G89" s="3" t="s">
        <v>1318</v>
      </c>
      <c r="H89" s="3" t="s">
        <v>1317</v>
      </c>
      <c r="I89" s="3" t="s">
        <v>1319</v>
      </c>
      <c r="J89" s="2"/>
      <c r="K89" s="2"/>
      <c r="L89" s="3" t="s">
        <v>1300</v>
      </c>
      <c r="M89" s="4">
        <v>88.0</v>
      </c>
      <c r="N89" s="3" t="str">
        <f>IFERROR(__xludf.DUMMYFUNCTION("GOOGLETRANSLATE(C89,""en"",""zh-CN"")"),"球员们的服装风格类似于哪个历史时期？")</f>
        <v>球员们的服装风格类似于哪个历史时期？</v>
      </c>
      <c r="O89" s="3" t="str">
        <f>IFERROR(__xludf.DUMMYFUNCTION("GOOGLETRANSLATE(D89,""en"",""zh-CN"")"),"古罗马士兵。")</f>
        <v>古罗马士兵。</v>
      </c>
      <c r="P89" s="3" t="str">
        <f>IFERROR(__xludf.DUMMYFUNCTION("GOOGLETRANSLATE(E89,""en"",""zh-CN"")"),"中世纪欧洲骑士。")</f>
        <v>中世纪欧洲骑士。</v>
      </c>
      <c r="Q89" s="3" t="str">
        <f>IFERROR(__xludf.DUMMYFUNCTION("GOOGLETRANSLATE(F89,""en"",""zh-CN"")"),"中国传统军服。")</f>
        <v>中国传统军服。</v>
      </c>
      <c r="R89" s="3" t="str">
        <f>IFERROR(__xludf.DUMMYFUNCTION("GOOGLETRANSLATE(G89,""en"",""zh-CN"")"),"日本武士。")</f>
        <v>日本武士。</v>
      </c>
      <c r="S89" s="3" t="s">
        <v>1320</v>
      </c>
      <c r="T89" s="3" t="str">
        <f>IFERROR(__xludf.DUMMYFUNCTION("GOOGLETRANSLATE(H89,""en"",""zh-CN"")"),"中国传统军服。")</f>
        <v>中国传统军服。</v>
      </c>
      <c r="U89" s="3" t="str">
        <f>IFERROR(__xludf.DUMMYFUNCTION("GOOGLETRANSLATE(I89,""en"",""zh-CN"")"),"这些风格化的盔甲、头盔和旗帜让人联想起中国各个朝代的传统军服。")</f>
        <v>这些风格化的盔甲、头盔和旗帜让人联想起中国各个朝代的传统军服。</v>
      </c>
      <c r="V89" s="2"/>
      <c r="W89" s="2"/>
      <c r="X89" s="2"/>
      <c r="Y89" s="2"/>
      <c r="Z89" s="2"/>
      <c r="AA89" s="2"/>
      <c r="AB89" s="2"/>
      <c r="AC89" s="2"/>
      <c r="AD89" s="2"/>
      <c r="AE89" s="2"/>
      <c r="AF89" s="2"/>
      <c r="AG89" s="2"/>
      <c r="AH89" s="2"/>
      <c r="AI89" s="2"/>
      <c r="AJ89" s="2"/>
      <c r="AK89" s="2"/>
      <c r="AL89" s="2"/>
    </row>
    <row r="90" ht="22.5" customHeight="1">
      <c r="A90" s="3" t="s">
        <v>1300</v>
      </c>
      <c r="B90" s="4">
        <v>89.0</v>
      </c>
      <c r="C90" s="3" t="s">
        <v>1321</v>
      </c>
      <c r="D90" s="3" t="s">
        <v>1322</v>
      </c>
      <c r="E90" s="3" t="s">
        <v>1323</v>
      </c>
      <c r="F90" s="3" t="s">
        <v>1324</v>
      </c>
      <c r="G90" s="3" t="s">
        <v>1325</v>
      </c>
      <c r="H90" s="3" t="s">
        <v>1324</v>
      </c>
      <c r="I90" s="3" t="s">
        <v>1326</v>
      </c>
      <c r="J90" s="2"/>
      <c r="K90" s="2"/>
      <c r="L90" s="3" t="s">
        <v>1300</v>
      </c>
      <c r="M90" s="4">
        <v>89.0</v>
      </c>
      <c r="N90" s="3" t="str">
        <f>IFERROR(__xludf.DUMMYFUNCTION("GOOGLETRANSLATE(C90,""en"",""zh-CN"")"),"这个装置是安装在什么类型的表面上？")</f>
        <v>这个装置是安装在什么类型的表面上？</v>
      </c>
      <c r="O90" s="3" t="str">
        <f>IFERROR(__xludf.DUMMYFUNCTION("GOOGLETRANSLATE(D90,""en"",""zh-CN"")"),"一个溜冰场。")</f>
        <v>一个溜冰场。</v>
      </c>
      <c r="P90" s="3" t="str">
        <f>IFERROR(__xludf.DUMMYFUNCTION("GOOGLETRANSLATE(E90,""en"",""zh-CN"")"),"一条铺好的道路。")</f>
        <v>一条铺好的道路。</v>
      </c>
      <c r="Q90" s="3" t="str">
        <f>IFERROR(__xludf.DUMMYFUNCTION("GOOGLETRANSLATE(F90,""en"",""zh-CN"")"),"冰封的表面，可能是冰冻的湖泊或河流。")</f>
        <v>冰封的表面，可能是冰冻的湖泊或河流。</v>
      </c>
      <c r="R90" s="3" t="str">
        <f>IFERROR(__xludf.DUMMYFUNCTION("GOOGLETRANSLATE(G90,""en"",""zh-CN"")"),"室内轮滑场。")</f>
        <v>室内轮滑场。</v>
      </c>
      <c r="S90" s="3" t="s">
        <v>1327</v>
      </c>
      <c r="T90" s="3" t="str">
        <f>IFERROR(__xludf.DUMMYFUNCTION("GOOGLETRANSLATE(H90,""en"",""zh-CN"")"),"冰封的表面，可能是冰冻的湖泊或河流。")</f>
        <v>冰封的表面，可能是冰冻的湖泊或河流。</v>
      </c>
      <c r="U90" s="3" t="str">
        <f>IFERROR(__xludf.DUMMYFUNCTION("GOOGLETRANSLATE(I90,""en"",""zh-CN"")"),"表面呈白色，有明显的裂缝，表明这里曾是一片冰冻的水体，可以作为冬季节日和表演的场所。")</f>
        <v>表面呈白色，有明显的裂缝，表明这里曾是一片冰冻的水体，可以作为冬季节日和表演的场所。</v>
      </c>
      <c r="V90" s="2"/>
      <c r="W90" s="2"/>
      <c r="X90" s="2"/>
      <c r="Y90" s="2"/>
      <c r="Z90" s="2"/>
      <c r="AA90" s="2"/>
      <c r="AB90" s="2"/>
      <c r="AC90" s="2"/>
      <c r="AD90" s="2"/>
      <c r="AE90" s="2"/>
      <c r="AF90" s="2"/>
      <c r="AG90" s="2"/>
      <c r="AH90" s="2"/>
      <c r="AI90" s="2"/>
      <c r="AJ90" s="2"/>
      <c r="AK90" s="2"/>
      <c r="AL90" s="2"/>
    </row>
    <row r="91" ht="22.5" customHeight="1">
      <c r="A91" s="3" t="s">
        <v>1300</v>
      </c>
      <c r="B91" s="4">
        <v>90.0</v>
      </c>
      <c r="C91" s="3" t="s">
        <v>1328</v>
      </c>
      <c r="D91" s="3" t="s">
        <v>1329</v>
      </c>
      <c r="E91" s="3" t="s">
        <v>1330</v>
      </c>
      <c r="F91" s="3" t="s">
        <v>1331</v>
      </c>
      <c r="G91" s="3" t="s">
        <v>569</v>
      </c>
      <c r="H91" s="3" t="s">
        <v>1330</v>
      </c>
      <c r="I91" s="3" t="s">
        <v>1332</v>
      </c>
      <c r="J91" s="2"/>
      <c r="K91" s="2"/>
      <c r="L91" s="3" t="s">
        <v>1300</v>
      </c>
      <c r="M91" s="4">
        <v>90.0</v>
      </c>
      <c r="N91" s="3" t="str">
        <f>IFERROR(__xludf.DUMMYFUNCTION("GOOGLETRANSLATE(C91,""en"",""zh-CN"")"),"从这场演出中可以推断出怎样的文化背景？")</f>
        <v>从这场演出中可以推断出怎样的文化背景？</v>
      </c>
      <c r="O91" s="3" t="str">
        <f>IFERROR(__xludf.DUMMYFUNCTION("GOOGLETRANSLATE(D91,""en"",""zh-CN"")"),"这是一项现代体育赛事。")</f>
        <v>这是一项现代体育赛事。</v>
      </c>
      <c r="P91" s="3" t="str">
        <f>IFERROR(__xludf.DUMMYFUNCTION("GOOGLETRANSLATE(E91,""en"",""zh-CN"")"),"这是一个传统的冬季节日或历史重现活动。")</f>
        <v>这是一个传统的冬季节日或历史重现活动。</v>
      </c>
      <c r="Q91" s="3" t="str">
        <f>IFERROR(__xludf.DUMMYFUNCTION("GOOGLETRANSLATE(F91,""en"",""zh-CN"")"),"这是一次军事训练演习。")</f>
        <v>这是一次军事训练演习。</v>
      </c>
      <c r="R91" s="3" t="str">
        <f>IFERROR(__xludf.DUMMYFUNCTION("GOOGLETRANSLATE(G91,""en"",""zh-CN"")"),"这是一种非正式的做法。")</f>
        <v>这是一种非正式的做法。</v>
      </c>
      <c r="S91" s="3" t="s">
        <v>1333</v>
      </c>
      <c r="T91" s="3" t="str">
        <f>IFERROR(__xludf.DUMMYFUNCTION("GOOGLETRANSLATE(H91,""en"",""zh-CN"")"),"这是一个传统的冬季节日或历史重现活动。")</f>
        <v>这是一个传统的冬季节日或历史重现活动。</v>
      </c>
      <c r="U91" s="3" t="str">
        <f>IFERROR(__xludf.DUMMYFUNCTION("GOOGLETRANSLATE(I91,""en"",""zh-CN"")"),"传统历史服装与冬季场景的结合表明，这是一场历史重现或表演，是冬季文化节的一部分。")</f>
        <v>传统历史服装与冬季场景的结合表明，这是一场历史重现或表演，是冬季文化节的一部分。</v>
      </c>
      <c r="V91" s="2"/>
      <c r="W91" s="2"/>
      <c r="X91" s="2"/>
      <c r="Y91" s="2"/>
      <c r="Z91" s="2"/>
      <c r="AA91" s="2"/>
      <c r="AB91" s="2"/>
      <c r="AC91" s="2"/>
      <c r="AD91" s="2"/>
      <c r="AE91" s="2"/>
      <c r="AF91" s="2"/>
      <c r="AG91" s="2"/>
      <c r="AH91" s="2"/>
      <c r="AI91" s="2"/>
      <c r="AJ91" s="2"/>
      <c r="AK91" s="2"/>
      <c r="AL91" s="2"/>
    </row>
    <row r="92" ht="22.5" customHeight="1">
      <c r="A92" s="3" t="s">
        <v>1334</v>
      </c>
      <c r="B92" s="4">
        <v>91.0</v>
      </c>
      <c r="C92" s="3" t="s">
        <v>1335</v>
      </c>
      <c r="D92" s="3" t="s">
        <v>1336</v>
      </c>
      <c r="E92" s="3" t="s">
        <v>1337</v>
      </c>
      <c r="F92" s="3" t="s">
        <v>1338</v>
      </c>
      <c r="G92" s="3" t="s">
        <v>1339</v>
      </c>
      <c r="H92" s="3" t="s">
        <v>1336</v>
      </c>
      <c r="I92" s="3" t="s">
        <v>1340</v>
      </c>
      <c r="J92" s="2"/>
      <c r="K92" s="2"/>
      <c r="L92" s="3" t="s">
        <v>1334</v>
      </c>
      <c r="M92" s="4">
        <v>91.0</v>
      </c>
      <c r="N92" s="3" t="str">
        <f>IFERROR(__xludf.DUMMYFUNCTION("GOOGLETRANSLATE(C92,""en"",""zh-CN"")"),"图中所示的中心活动是什么？")</f>
        <v>图中所示的中心活动是什么？</v>
      </c>
      <c r="O92" s="3" t="str">
        <f>IFERROR(__xludf.DUMMYFUNCTION("GOOGLETRANSLATE(D92,""en"",""zh-CN"")"),"一群孩子在玩游戏。")</f>
        <v>一群孩子在玩游戏。</v>
      </c>
      <c r="P92" s="3" t="str">
        <f>IFERROR(__xludf.DUMMYFUNCTION("GOOGLETRANSLATE(E92,""en"",""zh-CN"")"),"一群人正在观看演出。")</f>
        <v>一群人正在观看演出。</v>
      </c>
      <c r="Q92" s="3" t="str">
        <f>IFERROR(__xludf.DUMMYFUNCTION("GOOGLETRANSLATE(F92,""en"",""zh-CN"")"),"公共艺术装置。")</f>
        <v>公共艺术装置。</v>
      </c>
      <c r="R92" s="3" t="str">
        <f>IFERROR(__xludf.DUMMYFUNCTION("GOOGLETRANSLATE(G92,""en"",""zh-CN"")"),"一次摄影活动。")</f>
        <v>一次摄影活动。</v>
      </c>
      <c r="S92" s="3" t="s">
        <v>1341</v>
      </c>
      <c r="T92" s="3" t="str">
        <f>IFERROR(__xludf.DUMMYFUNCTION("GOOGLETRANSLATE(H92,""en"",""zh-CN"")"),"一群孩子在玩游戏。")</f>
        <v>一群孩子在玩游戏。</v>
      </c>
      <c r="U92" s="3" t="str">
        <f>IFERROR(__xludf.DUMMYFUNCTION("GOOGLETRANSLATE(I92,""en"",""zh-CN"")"),"图片显示孩子们正在积极地玩球和踢球门，表明他们正在玩游戏或参加互动演示。")</f>
        <v>图片显示孩子们正在积极地玩球和踢球门，表明他们正在玩游戏或参加互动演示。</v>
      </c>
      <c r="V92" s="2"/>
      <c r="W92" s="2"/>
      <c r="X92" s="2"/>
      <c r="Y92" s="2"/>
      <c r="Z92" s="2"/>
      <c r="AA92" s="2"/>
      <c r="AB92" s="2"/>
      <c r="AC92" s="2"/>
      <c r="AD92" s="2"/>
      <c r="AE92" s="2"/>
      <c r="AF92" s="2"/>
      <c r="AG92" s="2"/>
      <c r="AH92" s="2"/>
      <c r="AI92" s="2"/>
      <c r="AJ92" s="2"/>
      <c r="AK92" s="2"/>
      <c r="AL92" s="2"/>
    </row>
    <row r="93" ht="22.5" customHeight="1">
      <c r="A93" s="3" t="s">
        <v>1334</v>
      </c>
      <c r="B93" s="4">
        <v>92.0</v>
      </c>
      <c r="C93" s="3" t="s">
        <v>1342</v>
      </c>
      <c r="D93" s="3" t="s">
        <v>1343</v>
      </c>
      <c r="E93" s="3" t="s">
        <v>1344</v>
      </c>
      <c r="F93" s="3" t="s">
        <v>1345</v>
      </c>
      <c r="G93" s="3" t="s">
        <v>1346</v>
      </c>
      <c r="H93" s="3" t="s">
        <v>1344</v>
      </c>
      <c r="I93" s="3" t="s">
        <v>1347</v>
      </c>
      <c r="J93" s="2"/>
      <c r="K93" s="2"/>
      <c r="L93" s="3" t="s">
        <v>1334</v>
      </c>
      <c r="M93" s="4">
        <v>92.0</v>
      </c>
      <c r="N93" s="3" t="str">
        <f>IFERROR(__xludf.DUMMYFUNCTION("GOOGLETRANSLATE(C93,""en"",""zh-CN"")"),"孩子们在玩的是哪种历史运动的变体？")</f>
        <v>孩子们在玩的是哪种历史运动的变体？</v>
      </c>
      <c r="O93" s="3" t="str">
        <f>IFERROR(__xludf.DUMMYFUNCTION("GOOGLETRANSLATE(D93,""en"",""zh-CN"")"),"中国式沙包。")</f>
        <v>中国式沙包。</v>
      </c>
      <c r="P93" s="3" t="str">
        <f>IFERROR(__xludf.DUMMYFUNCTION("GOOGLETRANSLATE(E93,""en"",""zh-CN"")"),"蹴鞠。")</f>
        <v>蹴鞠。</v>
      </c>
      <c r="Q93" s="3" t="str">
        <f>IFERROR(__xludf.DUMMYFUNCTION("GOOGLETRANSLATE(F93,""en"",""zh-CN"")"),"中国羽毛球。")</f>
        <v>中国羽毛球。</v>
      </c>
      <c r="R93" s="3" t="str">
        <f>IFERROR(__xludf.DUMMYFUNCTION("GOOGLETRANSLATE(G93,""en"",""zh-CN"")"),"现代足球。")</f>
        <v>现代足球。</v>
      </c>
      <c r="S93" s="3" t="s">
        <v>1348</v>
      </c>
      <c r="T93" s="3" t="str">
        <f>IFERROR(__xludf.DUMMYFUNCTION("GOOGLETRANSLATE(H93,""en"",""zh-CN"")"),"蹴鞠。")</f>
        <v>蹴鞠。</v>
      </c>
      <c r="U93" s="3" t="str">
        <f>IFERROR(__xludf.DUMMYFUNCTION("GOOGLETRANSLATE(I93,""en"",""zh-CN"")"),"孩子们正在玩传统的蹴鞠球门和球，这表明蹴鞠这项古老运动已经发展成为现代互动版本。")</f>
        <v>孩子们正在玩传统的蹴鞠球门和球，这表明蹴鞠这项古老运动已经发展成为现代互动版本。</v>
      </c>
      <c r="V93" s="2"/>
      <c r="W93" s="2"/>
      <c r="X93" s="2"/>
      <c r="Y93" s="2"/>
      <c r="Z93" s="2"/>
      <c r="AA93" s="2"/>
      <c r="AB93" s="2"/>
      <c r="AC93" s="2"/>
      <c r="AD93" s="2"/>
      <c r="AE93" s="2"/>
      <c r="AF93" s="2"/>
      <c r="AG93" s="2"/>
      <c r="AH93" s="2"/>
      <c r="AI93" s="2"/>
      <c r="AJ93" s="2"/>
      <c r="AK93" s="2"/>
      <c r="AL93" s="2"/>
    </row>
    <row r="94" ht="22.5" customHeight="1">
      <c r="A94" s="3" t="s">
        <v>1334</v>
      </c>
      <c r="B94" s="4">
        <v>93.0</v>
      </c>
      <c r="C94" s="3" t="s">
        <v>1349</v>
      </c>
      <c r="D94" s="3" t="s">
        <v>1350</v>
      </c>
      <c r="E94" s="3" t="s">
        <v>1351</v>
      </c>
      <c r="F94" s="3" t="s">
        <v>1352</v>
      </c>
      <c r="G94" s="3" t="s">
        <v>1353</v>
      </c>
      <c r="H94" s="3" t="s">
        <v>1351</v>
      </c>
      <c r="I94" s="3" t="s">
        <v>1354</v>
      </c>
      <c r="J94" s="2"/>
      <c r="K94" s="2"/>
      <c r="L94" s="3" t="s">
        <v>1334</v>
      </c>
      <c r="M94" s="4">
        <v>93.0</v>
      </c>
      <c r="N94" s="3" t="str">
        <f>IFERROR(__xludf.DUMMYFUNCTION("GOOGLETRANSLATE(C94,""en"",""zh-CN"")"),"孩子们的穿着和背景中成年人的穿着有什么显著区别？")</f>
        <v>孩子们的穿着和背景中成年人的穿着有什么显著区别？</v>
      </c>
      <c r="O94" s="3" t="str">
        <f>IFERROR(__xludf.DUMMYFUNCTION("GOOGLETRANSLATE(D94,""en"",""zh-CN"")"),"孩子们身穿中国传统长袍。")</f>
        <v>孩子们身穿中国传统长袍。</v>
      </c>
      <c r="P94" s="3" t="str">
        <f>IFERROR(__xludf.DUMMYFUNCTION("GOOGLETRANSLATE(E94,""en"",""zh-CN"")"),"孩子们穿着时尚休闲的服装。")</f>
        <v>孩子们穿着时尚休闲的服装。</v>
      </c>
      <c r="Q94" s="3" t="str">
        <f>IFERROR(__xludf.DUMMYFUNCTION("GOOGLETRANSLATE(F94,""en"",""zh-CN"")"),"孩子们身穿军装。")</f>
        <v>孩子们身穿军装。</v>
      </c>
      <c r="R94" s="3" t="str">
        <f>IFERROR(__xludf.DUMMYFUNCTION("GOOGLETRANSLATE(G94,""en"",""zh-CN"")"),"孩子们都穿着正式服装。")</f>
        <v>孩子们都穿着正式服装。</v>
      </c>
      <c r="S94" s="3" t="s">
        <v>1355</v>
      </c>
      <c r="T94" s="3" t="str">
        <f>IFERROR(__xludf.DUMMYFUNCTION("GOOGLETRANSLATE(H94,""en"",""zh-CN"")"),"孩子们穿着时尚休闲的服装。")</f>
        <v>孩子们穿着时尚休闲的服装。</v>
      </c>
      <c r="U94" s="3" t="str">
        <f>IFERROR(__xludf.DUMMYFUNCTION("GOOGLETRANSLATE(I94,""en"",""zh-CN"")"),"孩子们穿着T恤和牛仔裤等日常服装，与背景中穿着传统长袍的成年人形成鲜明对比。")</f>
        <v>孩子们穿着T恤和牛仔裤等日常服装，与背景中穿着传统长袍的成年人形成鲜明对比。</v>
      </c>
      <c r="V94" s="2"/>
      <c r="W94" s="2"/>
      <c r="X94" s="2"/>
      <c r="Y94" s="2"/>
      <c r="Z94" s="2"/>
      <c r="AA94" s="2"/>
      <c r="AB94" s="2"/>
      <c r="AC94" s="2"/>
      <c r="AD94" s="2"/>
      <c r="AE94" s="2"/>
      <c r="AF94" s="2"/>
      <c r="AG94" s="2"/>
      <c r="AH94" s="2"/>
      <c r="AI94" s="2"/>
      <c r="AJ94" s="2"/>
      <c r="AK94" s="2"/>
      <c r="AL94" s="2"/>
    </row>
    <row r="95" ht="22.5" customHeight="1">
      <c r="A95" s="3" t="s">
        <v>1334</v>
      </c>
      <c r="B95" s="4">
        <v>94.0</v>
      </c>
      <c r="C95" s="3" t="s">
        <v>1356</v>
      </c>
      <c r="D95" s="3" t="s">
        <v>1357</v>
      </c>
      <c r="E95" s="3" t="s">
        <v>1358</v>
      </c>
      <c r="F95" s="3" t="s">
        <v>1359</v>
      </c>
      <c r="G95" s="3" t="s">
        <v>1360</v>
      </c>
      <c r="H95" s="3" t="s">
        <v>1357</v>
      </c>
      <c r="I95" s="3" t="s">
        <v>1361</v>
      </c>
      <c r="J95" s="2"/>
      <c r="K95" s="2"/>
      <c r="L95" s="3" t="s">
        <v>1334</v>
      </c>
      <c r="M95" s="4">
        <v>94.0</v>
      </c>
      <c r="N95" s="3" t="str">
        <f>IFERROR(__xludf.DUMMYFUNCTION("GOOGLETRANSLATE(C95,""en"",""zh-CN"")"),"这幅图暗示了蹴鞠在当代扮演着怎样的角色？")</f>
        <v>这幅图暗示了蹴鞠在当代扮演着怎样的角色？</v>
      </c>
      <c r="O95" s="3" t="str">
        <f>IFERROR(__xludf.DUMMYFUNCTION("GOOGLETRANSLATE(D95,""en"",""zh-CN"")"),"它是一种教孩子了解历史的教育工具。")</f>
        <v>它是一种教孩子了解历史的教育工具。</v>
      </c>
      <c r="P95" s="3" t="str">
        <f>IFERROR(__xludf.DUMMYFUNCTION("GOOGLETRANSLATE(E95,""en"",""zh-CN"")"),"这是一项面向儿童的职业体育运动。")</f>
        <v>这是一项面向儿童的职业体育运动。</v>
      </c>
      <c r="Q95" s="3" t="str">
        <f>IFERROR(__xludf.DUMMYFUNCTION("GOOGLETRANSLATE(F95,""en"",""zh-CN"")"),"这是一项成人竞技运动。")</f>
        <v>这是一项成人竞技运动。</v>
      </c>
      <c r="R95" s="3" t="str">
        <f>IFERROR(__xludf.DUMMYFUNCTION("GOOGLETRANSLATE(G95,""en"",""zh-CN"")"),"这是一项被遗忘的运动。")</f>
        <v>这是一项被遗忘的运动。</v>
      </c>
      <c r="S95" s="3" t="s">
        <v>1362</v>
      </c>
      <c r="T95" s="3" t="str">
        <f>IFERROR(__xludf.DUMMYFUNCTION("GOOGLETRANSLATE(H95,""en"",""zh-CN"")"),"它是一种教孩子了解历史的教育工具。")</f>
        <v>它是一种教孩子了解历史的教育工具。</v>
      </c>
      <c r="U95" s="3" t="str">
        <f>IFERROR(__xludf.DUMMYFUNCTION("GOOGLETRANSLATE(I95,""en"",""zh-CN"")"),"图片显示的是一场公开演示，鼓励孩子们参与，这表明这项运动被用作一种有趣的教育工具，用来教授中国历史和文化。")</f>
        <v>图片显示的是一场公开演示，鼓励孩子们参与，这表明这项运动被用作一种有趣的教育工具，用来教授中国历史和文化。</v>
      </c>
      <c r="V95" s="2"/>
      <c r="W95" s="2"/>
      <c r="X95" s="2"/>
      <c r="Y95" s="2"/>
      <c r="Z95" s="2"/>
      <c r="AA95" s="2"/>
      <c r="AB95" s="2"/>
      <c r="AC95" s="2"/>
      <c r="AD95" s="2"/>
      <c r="AE95" s="2"/>
      <c r="AF95" s="2"/>
      <c r="AG95" s="2"/>
      <c r="AH95" s="2"/>
      <c r="AI95" s="2"/>
      <c r="AJ95" s="2"/>
      <c r="AK95" s="2"/>
      <c r="AL95" s="2"/>
    </row>
    <row r="96" ht="22.5" customHeight="1">
      <c r="A96" s="3" t="s">
        <v>1334</v>
      </c>
      <c r="B96" s="4">
        <v>95.0</v>
      </c>
      <c r="C96" s="3" t="s">
        <v>1363</v>
      </c>
      <c r="D96" s="3" t="s">
        <v>1364</v>
      </c>
      <c r="E96" s="3" t="s">
        <v>1365</v>
      </c>
      <c r="F96" s="3" t="s">
        <v>1366</v>
      </c>
      <c r="G96" s="3" t="s">
        <v>1367</v>
      </c>
      <c r="H96" s="3" t="s">
        <v>1365</v>
      </c>
      <c r="I96" s="3" t="s">
        <v>1368</v>
      </c>
      <c r="J96" s="2"/>
      <c r="K96" s="2"/>
      <c r="L96" s="3" t="s">
        <v>1334</v>
      </c>
      <c r="M96" s="4">
        <v>95.0</v>
      </c>
      <c r="N96" s="3" t="str">
        <f>IFERROR(__xludf.DUMMYFUNCTION("GOOGLETRANSLATE(C96,""en"",""zh-CN"")"),"目标是一个带有篮网的高篮筐。这说明这种比赛风格是怎样的？")</f>
        <v>目标是一个带有篮网的高篮筐。这说明这种比赛风格是怎样的？</v>
      </c>
      <c r="O96" s="3" t="str">
        <f>IFERROR(__xludf.DUMMYFUNCTION("GOOGLETRANSLATE(D96,""en"",""zh-CN"")"),"这款游戏以地面传球为主。")</f>
        <v>这款游戏以地面传球为主。</v>
      </c>
      <c r="P96" s="3" t="str">
        <f>IFERROR(__xludf.DUMMYFUNCTION("GOOGLETRANSLATE(E96,""en"",""zh-CN"")"),"游戏的目标是将球踢过高处的目标。")</f>
        <v>游戏的目标是将球踢过高处的目标。</v>
      </c>
      <c r="Q96" s="3" t="str">
        <f>IFERROR(__xludf.DUMMYFUNCTION("GOOGLETRANSLATE(F96,""en"",""zh-CN"")"),"这款游戏注重的是快速奔跑。")</f>
        <v>这款游戏注重的是快速奔跑。</v>
      </c>
      <c r="R96" s="3" t="str">
        <f>IFERROR(__xludf.DUMMYFUNCTION("GOOGLETRANSLATE(G96,""en"",""zh-CN"")"),"这项运动注重身体接触。")</f>
        <v>这项运动注重身体接触。</v>
      </c>
      <c r="S96" s="3" t="s">
        <v>1369</v>
      </c>
      <c r="T96" s="3" t="str">
        <f>IFERROR(__xludf.DUMMYFUNCTION("GOOGLETRANSLATE(H96,""en"",""zh-CN"")"),"游戏的目标是将球踢过高处的目标。")</f>
        <v>游戏的目标是将球踢过高处的目标。</v>
      </c>
      <c r="U96" s="3" t="str">
        <f>IFERROR(__xludf.DUMMYFUNCTION("GOOGLETRANSLATE(I96,""en"",""zh-CN"")"),"带有网的高篮筐是蹴鞠主要形式之一的经典特征，球员们会尝试将球踢过篮筐得分。")</f>
        <v>带有网的高篮筐是蹴鞠主要形式之一的经典特征，球员们会尝试将球踢过篮筐得分。</v>
      </c>
      <c r="V96" s="2"/>
      <c r="W96" s="2"/>
      <c r="X96" s="2"/>
      <c r="Y96" s="2"/>
      <c r="Z96" s="2"/>
      <c r="AA96" s="2"/>
      <c r="AB96" s="2"/>
      <c r="AC96" s="2"/>
      <c r="AD96" s="2"/>
      <c r="AE96" s="2"/>
      <c r="AF96" s="2"/>
      <c r="AG96" s="2"/>
      <c r="AH96" s="2"/>
      <c r="AI96" s="2"/>
      <c r="AJ96" s="2"/>
      <c r="AK96" s="2"/>
      <c r="AL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12.88"/>
    <col customWidth="1" min="3" max="3" width="37.63"/>
    <col customWidth="1" min="4" max="4" width="28.38"/>
    <col customWidth="1" min="5" max="6" width="37.63"/>
    <col customWidth="1" min="7" max="7" width="32.25"/>
    <col customWidth="1" min="8" max="9" width="37.63"/>
    <col customWidth="1" min="12" max="12" width="21.63"/>
    <col customWidth="1" min="13" max="13" width="12.88"/>
    <col customWidth="1" min="14" max="14" width="37.63"/>
    <col customWidth="1" min="19" max="19" width="17.0"/>
    <col customWidth="1" min="20" max="20" width="13.88"/>
  </cols>
  <sheetData>
    <row r="1" ht="22.5" customHeight="1">
      <c r="A1" s="1" t="s">
        <v>0</v>
      </c>
      <c r="B1" s="1" t="s">
        <v>1</v>
      </c>
      <c r="C1" s="1" t="s">
        <v>2</v>
      </c>
      <c r="D1" s="1" t="s">
        <v>3</v>
      </c>
      <c r="E1" s="1" t="s">
        <v>4</v>
      </c>
      <c r="F1" s="1" t="s">
        <v>5</v>
      </c>
      <c r="G1" s="1" t="s">
        <v>6</v>
      </c>
      <c r="H1" s="1" t="s">
        <v>7</v>
      </c>
      <c r="I1" s="1" t="s">
        <v>8</v>
      </c>
      <c r="J1" s="2"/>
      <c r="K1" s="2"/>
      <c r="L1" s="1" t="s">
        <v>9</v>
      </c>
      <c r="M1" s="1" t="s">
        <v>10</v>
      </c>
      <c r="N1" s="1" t="s">
        <v>11</v>
      </c>
      <c r="O1" s="1" t="s">
        <v>12</v>
      </c>
      <c r="P1" s="1" t="s">
        <v>13</v>
      </c>
      <c r="Q1" s="1" t="s">
        <v>14</v>
      </c>
      <c r="R1" s="1" t="s">
        <v>15</v>
      </c>
      <c r="S1" s="1" t="s">
        <v>16</v>
      </c>
      <c r="T1" s="1" t="s">
        <v>17</v>
      </c>
      <c r="U1" s="1" t="s">
        <v>18</v>
      </c>
      <c r="V1" s="2"/>
      <c r="W1" s="2"/>
      <c r="X1" s="2"/>
      <c r="Y1" s="2"/>
      <c r="Z1" s="2"/>
      <c r="AA1" s="2"/>
      <c r="AB1" s="2"/>
      <c r="AC1" s="2"/>
      <c r="AD1" s="2"/>
      <c r="AE1" s="2"/>
      <c r="AF1" s="2"/>
      <c r="AG1" s="2"/>
      <c r="AH1" s="2"/>
      <c r="AI1" s="2"/>
      <c r="AJ1" s="2"/>
      <c r="AK1" s="2"/>
      <c r="AL1" s="2"/>
    </row>
    <row r="2" ht="22.5" customHeight="1">
      <c r="A2" s="3" t="s">
        <v>1370</v>
      </c>
      <c r="B2" s="4">
        <v>1.0</v>
      </c>
      <c r="C2" s="3" t="s">
        <v>1371</v>
      </c>
      <c r="D2" s="3" t="s">
        <v>1372</v>
      </c>
      <c r="E2" s="3" t="s">
        <v>1373</v>
      </c>
      <c r="F2" s="3" t="s">
        <v>1374</v>
      </c>
      <c r="G2" s="3" t="s">
        <v>1375</v>
      </c>
      <c r="H2" s="3" t="s">
        <v>1375</v>
      </c>
      <c r="I2" s="3" t="s">
        <v>1376</v>
      </c>
      <c r="J2" s="2"/>
      <c r="K2" s="2"/>
      <c r="L2" s="3" t="s">
        <v>1370</v>
      </c>
      <c r="M2" s="4">
        <v>1.0</v>
      </c>
      <c r="N2" s="3" t="str">
        <f>IFERROR(__xludf.DUMMYFUNCTION("GOOGLETRANSLATE(C2,""en"",""zh-CN"")"),"图片中显示的主要事件是什么？")</f>
        <v>图片中显示的主要事件是什么？</v>
      </c>
      <c r="O2" s="3" t="str">
        <f>IFERROR(__xludf.DUMMYFUNCTION("GOOGLETRANSLATE(D2,""en"",""zh-CN"")"),"一场赛艇比赛")</f>
        <v>一场赛艇比赛</v>
      </c>
      <c r="P2" s="3" t="str">
        <f>IFERROR(__xludf.DUMMYFUNCTION("GOOGLETRANSLATE(E2,""en"",""zh-CN"")"),"一次钓鱼之旅")</f>
        <v>一次钓鱼之旅</v>
      </c>
      <c r="Q2" s="3" t="str">
        <f>IFERROR(__xludf.DUMMYFUNCTION("GOOGLETRANSLATE(F2,""en"",""zh-CN"")"),"一场独木舟比赛")</f>
        <v>一场独木舟比赛</v>
      </c>
      <c r="R2" s="3" t="str">
        <f>IFERROR(__xludf.DUMMYFUNCTION("GOOGLETRANSLATE(G2,""en"",""zh-CN"")"),"龙舟赛")</f>
        <v>龙舟赛</v>
      </c>
      <c r="S2" s="3" t="str">
        <f t="array" ref="S2:S86">TRIM(" (A) " &amp; O2:O86 &amp; " (B) " &amp; P2:P86 &amp; " (C) " &amp; Q2:Q86 &amp; " (D) " &amp; R2:R86)</f>
        <v>(A) 一场赛艇比赛 (B) 一次钓鱼之旅 (C) 一场独木舟比赛 (D) 龙舟赛</v>
      </c>
      <c r="T2" s="3" t="str">
        <f>IFERROR(__xludf.DUMMYFUNCTION("GOOGLETRANSLATE(H2,""en"",""zh-CN"")"),"龙舟赛")</f>
        <v>龙舟赛</v>
      </c>
      <c r="U2" s="3" t="str">
        <f>IFERROR(__xludf.DUMMYFUNCTION("GOOGLETRANSLATE(I2,""en"",""zh-CN"")"),"图片显示了多艘船，船头是龙头形状，还有大批划桨者，这些都是龙舟比赛的特征。")</f>
        <v>图片显示了多艘船，船头是龙头形状，还有大批划桨者，这些都是龙舟比赛的特征。</v>
      </c>
      <c r="V2" s="2"/>
      <c r="W2" s="2"/>
      <c r="X2" s="2"/>
      <c r="Y2" s="2"/>
      <c r="Z2" s="2"/>
      <c r="AA2" s="2"/>
      <c r="AB2" s="2"/>
      <c r="AC2" s="2"/>
      <c r="AD2" s="2"/>
      <c r="AE2" s="2"/>
      <c r="AF2" s="2"/>
      <c r="AG2" s="2"/>
      <c r="AH2" s="2"/>
      <c r="AI2" s="2"/>
      <c r="AJ2" s="2"/>
      <c r="AK2" s="2"/>
      <c r="AL2" s="2"/>
    </row>
    <row r="3" ht="22.5" customHeight="1">
      <c r="A3" s="3" t="s">
        <v>1370</v>
      </c>
      <c r="B3" s="4">
        <v>2.0</v>
      </c>
      <c r="C3" s="3" t="s">
        <v>1377</v>
      </c>
      <c r="D3" s="3" t="s">
        <v>1378</v>
      </c>
      <c r="E3" s="3" t="s">
        <v>1379</v>
      </c>
      <c r="F3" s="3" t="s">
        <v>1380</v>
      </c>
      <c r="G3" s="3" t="s">
        <v>1381</v>
      </c>
      <c r="H3" s="3" t="s">
        <v>1379</v>
      </c>
      <c r="I3" s="3" t="s">
        <v>1382</v>
      </c>
      <c r="J3" s="2"/>
      <c r="K3" s="2"/>
      <c r="L3" s="3" t="s">
        <v>1370</v>
      </c>
      <c r="M3" s="4">
        <v>2.0</v>
      </c>
      <c r="N3" s="3" t="str">
        <f>IFERROR(__xludf.DUMMYFUNCTION("GOOGLETRANSLATE(C3,""en"",""zh-CN"")"),"在船上敲大鼓的人的目的是什么？")</f>
        <v>在船上敲大鼓的人的目的是什么？</v>
      </c>
      <c r="O3" s="3" t="str">
        <f>IFERROR(__xludf.DUMMYFUNCTION("GOOGLETRANSLATE(D3,""en"",""zh-CN"")"),"为了娱乐观众")</f>
        <v>为了娱乐观众</v>
      </c>
      <c r="P3" s="3" t="str">
        <f>IFERROR(__xludf.DUMMYFUNCTION("GOOGLETRANSLATE(E3,""en"",""zh-CN"")"),"为了保持节奏并同步桨手的划桨动作")</f>
        <v>为了保持节奏并同步桨手的划桨动作</v>
      </c>
      <c r="Q3" s="3" t="str">
        <f>IFERROR(__xludf.DUMMYFUNCTION("GOOGLETRANSLATE(F3,""en"",""zh-CN"")"),"标志着比赛开始")</f>
        <v>标志着比赛开始</v>
      </c>
      <c r="R3" s="3" t="str">
        <f>IFERROR(__xludf.DUMMYFUNCTION("GOOGLETRANSLATE(G3,""en"",""zh-CN"")"),"掌舵")</f>
        <v>掌舵</v>
      </c>
      <c r="S3" s="3" t="s">
        <v>1383</v>
      </c>
      <c r="T3" s="3" t="str">
        <f>IFERROR(__xludf.DUMMYFUNCTION("GOOGLETRANSLATE(H3,""en"",""zh-CN"")"),"为了保持节奏并同步桨手的划桨动作")</f>
        <v>为了保持节奏并同步桨手的划桨动作</v>
      </c>
      <c r="U3" s="3" t="str">
        <f>IFERROR(__xludf.DUMMYFUNCTION("GOOGLETRANSLATE(I3,""en"",""zh-CN"")"),"鼓手的主要作用是为划桨手设定稳定的节奏，确保全队的划桨动作同步，从而达到最大的速度和效率。")</f>
        <v>鼓手的主要作用是为划桨手设定稳定的节奏，确保全队的划桨动作同步，从而达到最大的速度和效率。</v>
      </c>
      <c r="V3" s="2"/>
      <c r="W3" s="2"/>
      <c r="X3" s="2"/>
      <c r="Y3" s="2"/>
      <c r="Z3" s="2"/>
      <c r="AA3" s="2"/>
      <c r="AB3" s="2"/>
      <c r="AC3" s="2"/>
      <c r="AD3" s="2"/>
      <c r="AE3" s="2"/>
      <c r="AF3" s="2"/>
      <c r="AG3" s="2"/>
      <c r="AH3" s="2"/>
      <c r="AI3" s="2"/>
      <c r="AJ3" s="2"/>
      <c r="AK3" s="2"/>
      <c r="AL3" s="2"/>
    </row>
    <row r="4" ht="22.5" customHeight="1">
      <c r="A4" s="3" t="s">
        <v>1370</v>
      </c>
      <c r="B4" s="4">
        <v>3.0</v>
      </c>
      <c r="C4" s="3" t="s">
        <v>1384</v>
      </c>
      <c r="D4" s="3" t="s">
        <v>1385</v>
      </c>
      <c r="E4" s="3" t="s">
        <v>1386</v>
      </c>
      <c r="F4" s="3" t="s">
        <v>1387</v>
      </c>
      <c r="G4" s="3" t="s">
        <v>1388</v>
      </c>
      <c r="H4" s="3" t="s">
        <v>1386</v>
      </c>
      <c r="I4" s="3" t="s">
        <v>1389</v>
      </c>
      <c r="J4" s="2"/>
      <c r="K4" s="2"/>
      <c r="L4" s="3" t="s">
        <v>1370</v>
      </c>
      <c r="M4" s="4">
        <v>3.0</v>
      </c>
      <c r="N4" s="3" t="str">
        <f>IFERROR(__xludf.DUMMYFUNCTION("GOOGLETRANSLATE(C4,""en"",""zh-CN"")"),"这些船只的设计有什么显著特点？")</f>
        <v>这些船只的设计有什么显著特点？</v>
      </c>
      <c r="O4" s="3" t="str">
        <f>IFERROR(__xludf.DUMMYFUNCTION("GOOGLETRANSLATE(D4,""en"",""zh-CN"")"),"它们是由塑料制成的。")</f>
        <v>它们是由塑料制成的。</v>
      </c>
      <c r="P4" s="3" t="str">
        <f>IFERROR(__xludf.DUMMYFUNCTION("GOOGLETRANSLATE(E4,""en"",""zh-CN"")"),"它们有着传统的龙头和龙尾。")</f>
        <v>它们有着传统的龙头和龙尾。</v>
      </c>
      <c r="Q4" s="3" t="str">
        <f>IFERROR(__xludf.DUMMYFUNCTION("GOOGLETRANSLATE(F4,""en"",""zh-CN"")"),"它们体积小、重量轻。")</f>
        <v>它们体积小、重量轻。</v>
      </c>
      <c r="R4" s="3" t="str">
        <f>IFERROR(__xludf.DUMMYFUNCTION("GOOGLETRANSLATE(G4,""en"",""zh-CN"")"),"它们由发动机驱动。")</f>
        <v>它们由发动机驱动。</v>
      </c>
      <c r="S4" s="3" t="s">
        <v>1390</v>
      </c>
      <c r="T4" s="3" t="str">
        <f>IFERROR(__xludf.DUMMYFUNCTION("GOOGLETRANSLATE(H4,""en"",""zh-CN"")"),"它们有着传统的龙头和龙尾。")</f>
        <v>它们有着传统的龙头和龙尾。</v>
      </c>
      <c r="U4" s="3" t="str">
        <f>IFERROR(__xludf.DUMMYFUNCTION("GOOGLETRANSLATE(I4,""en"",""zh-CN"")"),"这些船的船头雕刻着精美的龙头，船尾雕刻着龙尾，这是这些船只的传统和礼仪特征。")</f>
        <v>这些船的船头雕刻着精美的龙头，船尾雕刻着龙尾，这是这些船只的传统和礼仪特征。</v>
      </c>
      <c r="V4" s="2"/>
      <c r="W4" s="2"/>
      <c r="X4" s="2"/>
      <c r="Y4" s="2"/>
      <c r="Z4" s="2"/>
      <c r="AA4" s="2"/>
      <c r="AB4" s="2"/>
      <c r="AC4" s="2"/>
      <c r="AD4" s="2"/>
      <c r="AE4" s="2"/>
      <c r="AF4" s="2"/>
      <c r="AG4" s="2"/>
      <c r="AH4" s="2"/>
      <c r="AI4" s="2"/>
      <c r="AJ4" s="2"/>
      <c r="AK4" s="2"/>
      <c r="AL4" s="2"/>
    </row>
    <row r="5" ht="22.5" customHeight="1">
      <c r="A5" s="3" t="s">
        <v>1370</v>
      </c>
      <c r="B5" s="4">
        <v>4.0</v>
      </c>
      <c r="C5" s="3" t="s">
        <v>1391</v>
      </c>
      <c r="D5" s="3" t="s">
        <v>515</v>
      </c>
      <c r="E5" s="3" t="s">
        <v>1392</v>
      </c>
      <c r="F5" s="3" t="s">
        <v>1393</v>
      </c>
      <c r="G5" s="3" t="s">
        <v>1394</v>
      </c>
      <c r="H5" s="3" t="s">
        <v>1393</v>
      </c>
      <c r="I5" s="3" t="s">
        <v>1395</v>
      </c>
      <c r="J5" s="2"/>
      <c r="K5" s="2"/>
      <c r="L5" s="3" t="s">
        <v>1370</v>
      </c>
      <c r="M5" s="4">
        <v>4.0</v>
      </c>
      <c r="N5" s="3" t="str">
        <f>IFERROR(__xludf.DUMMYFUNCTION("GOOGLETRANSLATE(C5,""en"",""zh-CN"")"),"队员们穿的是什么类型的服装？")</f>
        <v>队员们穿的是什么类型的服装？</v>
      </c>
      <c r="O5" s="3" t="str">
        <f>IFERROR(__xludf.DUMMYFUNCTION("GOOGLETRANSLATE(D5,""en"",""zh-CN"")"),"休闲服装")</f>
        <v>休闲服装</v>
      </c>
      <c r="P5" s="3" t="str">
        <f>IFERROR(__xludf.DUMMYFUNCTION("GOOGLETRANSLATE(E5,""en"",""zh-CN"")"),"正式制服")</f>
        <v>正式制服</v>
      </c>
      <c r="Q5" s="3" t="str">
        <f>IFERROR(__xludf.DUMMYFUNCTION("GOOGLETRANSLATE(F5,""en"",""zh-CN"")"),"救生衣和运动衫")</f>
        <v>救生衣和运动衫</v>
      </c>
      <c r="R5" s="3" t="str">
        <f>IFERROR(__xludf.DUMMYFUNCTION("GOOGLETRANSLATE(G5,""en"",""zh-CN"")"),"潜水服")</f>
        <v>潜水服</v>
      </c>
      <c r="S5" s="3" t="s">
        <v>1396</v>
      </c>
      <c r="T5" s="3" t="str">
        <f>IFERROR(__xludf.DUMMYFUNCTION("GOOGLETRANSLATE(H5,""en"",""zh-CN"")"),"救生衣和运动衫")</f>
        <v>救生衣和运动衫</v>
      </c>
      <c r="U5" s="3" t="str">
        <f>IFERROR(__xludf.DUMMYFUNCTION("GOOGLETRANSLATE(I5,""en"",""zh-CN"")"),"划桨者们身穿运动衫和颜色鲜艳的救生衣，这样做是为了安全起见和便于团队识别。")</f>
        <v>划桨者们身穿运动衫和颜色鲜艳的救生衣，这样做是为了安全起见和便于团队识别。</v>
      </c>
      <c r="V5" s="2"/>
      <c r="W5" s="2"/>
      <c r="X5" s="2"/>
      <c r="Y5" s="2"/>
      <c r="Z5" s="2"/>
      <c r="AA5" s="2"/>
      <c r="AB5" s="2"/>
      <c r="AC5" s="2"/>
      <c r="AD5" s="2"/>
      <c r="AE5" s="2"/>
      <c r="AF5" s="2"/>
      <c r="AG5" s="2"/>
      <c r="AH5" s="2"/>
      <c r="AI5" s="2"/>
      <c r="AJ5" s="2"/>
      <c r="AK5" s="2"/>
      <c r="AL5" s="2"/>
    </row>
    <row r="6" ht="22.5" customHeight="1">
      <c r="A6" s="3" t="s">
        <v>1370</v>
      </c>
      <c r="B6" s="4">
        <v>5.0</v>
      </c>
      <c r="C6" s="3" t="s">
        <v>1397</v>
      </c>
      <c r="D6" s="3" t="s">
        <v>1398</v>
      </c>
      <c r="E6" s="3" t="s">
        <v>1399</v>
      </c>
      <c r="F6" s="3" t="s">
        <v>1400</v>
      </c>
      <c r="G6" s="3" t="s">
        <v>1401</v>
      </c>
      <c r="H6" s="3" t="s">
        <v>1399</v>
      </c>
      <c r="I6" s="3" t="s">
        <v>1402</v>
      </c>
      <c r="J6" s="2"/>
      <c r="K6" s="2"/>
      <c r="L6" s="3" t="s">
        <v>1370</v>
      </c>
      <c r="M6" s="4">
        <v>5.0</v>
      </c>
      <c r="N6" s="3" t="str">
        <f>IFERROR(__xludf.DUMMYFUNCTION("GOOGLETRANSLATE(C6,""en"",""zh-CN"")"),"桨手们如此拼尽全力，这说明这场比赛有什么特点？")</f>
        <v>桨手们如此拼尽全力，这说明这场比赛有什么特点？</v>
      </c>
      <c r="O6" s="3" t="str">
        <f>IFERROR(__xludf.DUMMYFUNCTION("GOOGLETRANSLATE(D6,""en"",""zh-CN"")"),"这是一项休闲活动。")</f>
        <v>这是一项休闲活动。</v>
      </c>
      <c r="P6" s="3" t="str">
        <f>IFERROR(__xludf.DUMMYFUNCTION("GOOGLETRANSLATE(E6,""en"",""zh-CN"")"),"这是一项竞争非常激烈且对体能要求很高的运动。")</f>
        <v>这是一项竞争非常激烈且对体能要求很高的运动。</v>
      </c>
      <c r="Q6" s="3" t="str">
        <f>IFERROR(__xludf.DUMMYFUNCTION("GOOGLETRANSLATE(F6,""en"",""zh-CN"")"),"这是一个缓慢而庄严的游行队伍。")</f>
        <v>这是一个缓慢而庄严的游行队伍。</v>
      </c>
      <c r="R6" s="3" t="str">
        <f>IFERROR(__xludf.DUMMYFUNCTION("GOOGLETRANSLATE(G6,""en"",""zh-CN"")"),"这是一次团队建设活动。")</f>
        <v>这是一次团队建设活动。</v>
      </c>
      <c r="S6" s="3" t="s">
        <v>1403</v>
      </c>
      <c r="T6" s="3" t="str">
        <f>IFERROR(__xludf.DUMMYFUNCTION("GOOGLETRANSLATE(H6,""en"",""zh-CN"")"),"这是一项竞争非常激烈且对体能要求很高的运动。")</f>
        <v>这是一项竞争非常激烈且对体能要求很高的运动。</v>
      </c>
      <c r="U6" s="3" t="str">
        <f>IFERROR(__xludf.DUMMYFUNCTION("GOOGLETRANSLATE(I6,""en"",""zh-CN"")"),"桨手们向前倾斜的身体、强劲的划桨动作以及专注的表情表明，这是一场需要高度体力消耗和团队合作的比赛。")</f>
        <v>桨手们向前倾斜的身体、强劲的划桨动作以及专注的表情表明，这是一场需要高度体力消耗和团队合作的比赛。</v>
      </c>
      <c r="V6" s="2"/>
      <c r="W6" s="2"/>
      <c r="X6" s="2"/>
      <c r="Y6" s="2"/>
      <c r="Z6" s="2"/>
      <c r="AA6" s="2"/>
      <c r="AB6" s="2"/>
      <c r="AC6" s="2"/>
      <c r="AD6" s="2"/>
      <c r="AE6" s="2"/>
      <c r="AF6" s="2"/>
      <c r="AG6" s="2"/>
      <c r="AH6" s="2"/>
      <c r="AI6" s="2"/>
      <c r="AJ6" s="2"/>
      <c r="AK6" s="2"/>
      <c r="AL6" s="2"/>
    </row>
    <row r="7" ht="22.5" customHeight="1">
      <c r="A7" s="3" t="s">
        <v>1404</v>
      </c>
      <c r="B7" s="4">
        <v>6.0</v>
      </c>
      <c r="C7" s="3" t="s">
        <v>1405</v>
      </c>
      <c r="D7" s="3" t="s">
        <v>1406</v>
      </c>
      <c r="E7" s="3" t="s">
        <v>1407</v>
      </c>
      <c r="F7" s="3" t="s">
        <v>1408</v>
      </c>
      <c r="G7" s="3" t="s">
        <v>1409</v>
      </c>
      <c r="H7" s="3" t="s">
        <v>1407</v>
      </c>
      <c r="I7" s="3" t="s">
        <v>1410</v>
      </c>
      <c r="J7" s="2"/>
      <c r="K7" s="2"/>
      <c r="L7" s="3" t="s">
        <v>1404</v>
      </c>
      <c r="M7" s="4">
        <v>6.0</v>
      </c>
      <c r="N7" s="3" t="str">
        <f>IFERROR(__xludf.DUMMYFUNCTION("GOOGLETRANSLATE(C7,""en"",""zh-CN"")"),"这张图片的主要焦点是什么？")</f>
        <v>这张图片的主要焦点是什么？</v>
      </c>
      <c r="O7" s="3" t="str">
        <f>IFERROR(__xludf.DUMMYFUNCTION("GOOGLETRANSLATE(D7,""en"",""zh-CN"")"),"桨叶溅起的水花")</f>
        <v>桨叶溅起的水花</v>
      </c>
      <c r="P7" s="3" t="str">
        <f>IFERROR(__xludf.DUMMYFUNCTION("GOOGLETRANSLATE(E7,""en"",""zh-CN"")"),"团队的协调划桨努力")</f>
        <v>团队的协调划桨努力</v>
      </c>
      <c r="Q7" s="3" t="str">
        <f>IFERROR(__xludf.DUMMYFUNCTION("GOOGLETRANSLATE(F7,""en"",""zh-CN"")"),"风景优美的背景")</f>
        <v>风景优美的背景</v>
      </c>
      <c r="R7" s="3" t="str">
        <f>IFERROR(__xludf.DUMMYFUNCTION("GOOGLETRANSLATE(G7,""en"",""zh-CN"")"),"船的设计")</f>
        <v>船的设计</v>
      </c>
      <c r="S7" s="3" t="s">
        <v>1411</v>
      </c>
      <c r="T7" s="3" t="str">
        <f>IFERROR(__xludf.DUMMYFUNCTION("GOOGLETRANSLATE(H7,""en"",""zh-CN"")"),"团队的协调划桨努力")</f>
        <v>团队的协调划桨努力</v>
      </c>
      <c r="U7" s="3" t="str">
        <f>IFERROR(__xludf.DUMMYFUNCTION("GOOGLETRANSLATE(I7,""en"",""zh-CN"")"),"这张照片是特写镜头，突出了桨手们的同步动作，展现了团队的团结协作。")</f>
        <v>这张照片是特写镜头，突出了桨手们的同步动作，展现了团队的团结协作。</v>
      </c>
      <c r="V7" s="2"/>
      <c r="W7" s="2"/>
      <c r="X7" s="2"/>
      <c r="Y7" s="2"/>
      <c r="Z7" s="2"/>
      <c r="AA7" s="2"/>
      <c r="AB7" s="2"/>
      <c r="AC7" s="2"/>
      <c r="AD7" s="2"/>
      <c r="AE7" s="2"/>
      <c r="AF7" s="2"/>
      <c r="AG7" s="2"/>
      <c r="AH7" s="2"/>
      <c r="AI7" s="2"/>
      <c r="AJ7" s="2"/>
      <c r="AK7" s="2"/>
      <c r="AL7" s="2"/>
    </row>
    <row r="8" ht="22.5" customHeight="1">
      <c r="A8" s="3" t="s">
        <v>1404</v>
      </c>
      <c r="B8" s="4">
        <v>7.0</v>
      </c>
      <c r="C8" s="3" t="s">
        <v>1412</v>
      </c>
      <c r="D8" s="3" t="s">
        <v>1413</v>
      </c>
      <c r="E8" s="3" t="s">
        <v>1414</v>
      </c>
      <c r="F8" s="3" t="s">
        <v>1415</v>
      </c>
      <c r="G8" s="3" t="s">
        <v>1416</v>
      </c>
      <c r="H8" s="3" t="s">
        <v>1414</v>
      </c>
      <c r="I8" s="3" t="s">
        <v>1417</v>
      </c>
      <c r="J8" s="2"/>
      <c r="K8" s="2"/>
      <c r="L8" s="3" t="s">
        <v>1404</v>
      </c>
      <c r="M8" s="4">
        <v>7.0</v>
      </c>
      <c r="N8" s="3" t="str">
        <f>IFERROR(__xludf.DUMMYFUNCTION("GOOGLETRANSLATE(C8,""en"",""zh-CN"")"),"所有桨叶同时入水和出水。这说明什么？")</f>
        <v>所有桨叶同时入水和出水。这说明什么？</v>
      </c>
      <c r="O8" s="3" t="str">
        <f>IFERROR(__xludf.DUMMYFUNCTION("GOOGLETRANSLATE(D8,""en"",""zh-CN"")"),"团队组织混乱。")</f>
        <v>团队组织混乱。</v>
      </c>
      <c r="P8" s="3" t="str">
        <f>IFERROR(__xludf.DUMMYFUNCTION("GOOGLETRANSLATE(E8,""en"",""zh-CN"")"),"团队配合得天衣无缝。")</f>
        <v>团队配合得天衣无缝。</v>
      </c>
      <c r="Q8" s="3" t="str">
        <f>IFERROR(__xludf.DUMMYFUNCTION("GOOGLETRANSLATE(F8,""en"",""zh-CN"")"),"团队进展缓慢。")</f>
        <v>团队进展缓慢。</v>
      </c>
      <c r="R8" s="3" t="str">
        <f>IFERROR(__xludf.DUMMYFUNCTION("GOOGLETRANSLATE(G8,""en"",""zh-CN"")"),"球队即将停止比赛。")</f>
        <v>球队即将停止比赛。</v>
      </c>
      <c r="S8" s="3" t="s">
        <v>1418</v>
      </c>
      <c r="T8" s="3" t="str">
        <f>IFERROR(__xludf.DUMMYFUNCTION("GOOGLETRANSLATE(H8,""en"",""zh-CN"")"),"团队配合得天衣无缝。")</f>
        <v>团队配合得天衣无缝。</v>
      </c>
      <c r="U8" s="3" t="str">
        <f>IFERROR(__xludf.DUMMYFUNCTION("GOOGLETRANSLATE(I8,""en"",""zh-CN"")"),"桨叶同步入水和出水表明团队划桨动作完全一致，这对于最大限度地提高船速至关重要。")</f>
        <v>桨叶同步入水和出水表明团队划桨动作完全一致，这对于最大限度地提高船速至关重要。</v>
      </c>
      <c r="V8" s="2"/>
      <c r="W8" s="2"/>
      <c r="X8" s="2"/>
      <c r="Y8" s="2"/>
      <c r="Z8" s="2"/>
      <c r="AA8" s="2"/>
      <c r="AB8" s="2"/>
      <c r="AC8" s="2"/>
      <c r="AD8" s="2"/>
      <c r="AE8" s="2"/>
      <c r="AF8" s="2"/>
      <c r="AG8" s="2"/>
      <c r="AH8" s="2"/>
      <c r="AI8" s="2"/>
      <c r="AJ8" s="2"/>
      <c r="AK8" s="2"/>
      <c r="AL8" s="2"/>
    </row>
    <row r="9" ht="22.5" customHeight="1">
      <c r="A9" s="3" t="s">
        <v>1404</v>
      </c>
      <c r="B9" s="4">
        <v>8.0</v>
      </c>
      <c r="C9" s="3" t="s">
        <v>1419</v>
      </c>
      <c r="D9" s="3" t="s">
        <v>1420</v>
      </c>
      <c r="E9" s="3" t="s">
        <v>1421</v>
      </c>
      <c r="F9" s="3" t="s">
        <v>1422</v>
      </c>
      <c r="G9" s="3" t="s">
        <v>1423</v>
      </c>
      <c r="H9" s="3" t="s">
        <v>1420</v>
      </c>
      <c r="I9" s="3" t="s">
        <v>1424</v>
      </c>
      <c r="J9" s="2"/>
      <c r="K9" s="2"/>
      <c r="L9" s="3" t="s">
        <v>1404</v>
      </c>
      <c r="M9" s="4">
        <v>8.0</v>
      </c>
      <c r="N9" s="3" t="str">
        <f>IFERROR(__xludf.DUMMYFUNCTION("GOOGLETRANSLATE(C9,""en"",""zh-CN"")"),"穿蓝色救生衣的人的目的是什么？")</f>
        <v>穿蓝色救生衣的人的目的是什么？</v>
      </c>
      <c r="O9" s="3" t="str">
        <f>IFERROR(__xludf.DUMMYFUNCTION("GOOGLETRANSLATE(D9,""en"",""zh-CN"")"),"他们是船长。")</f>
        <v>他们是船长。</v>
      </c>
      <c r="P9" s="3" t="str">
        <f>IFERROR(__xludf.DUMMYFUNCTION("GOOGLETRANSLATE(E9,""en"",""zh-CN"")"),"他们是教练。")</f>
        <v>他们是教练。</v>
      </c>
      <c r="Q9" s="3" t="str">
        <f>IFERROR(__xludf.DUMMYFUNCTION("GOOGLETRANSLATE(F9,""en"",""zh-CN"")"),"他们是安全潜水员。")</f>
        <v>他们是安全潜水员。</v>
      </c>
      <c r="R9" s="3" t="str">
        <f>IFERROR(__xludf.DUMMYFUNCTION("GOOGLETRANSLATE(G9,""en"",""zh-CN"")"),"他们是旁观者。")</f>
        <v>他们是旁观者。</v>
      </c>
      <c r="S9" s="3" t="s">
        <v>1425</v>
      </c>
      <c r="T9" s="3" t="str">
        <f>IFERROR(__xludf.DUMMYFUNCTION("GOOGLETRANSLATE(H9,""en"",""zh-CN"")"),"他们是船长。")</f>
        <v>他们是船长。</v>
      </c>
      <c r="U9" s="3" t="str">
        <f>IFERROR(__xludf.DUMMYFUNCTION("GOOGLETRANSLATE(I9,""en"",""zh-CN"")"),"穿着不同颜色救生衣的人可能是船长或领队，也可能是舵手，负责引导团队。")</f>
        <v>穿着不同颜色救生衣的人可能是船长或领队，也可能是舵手，负责引导团队。</v>
      </c>
      <c r="V9" s="2"/>
      <c r="W9" s="2"/>
      <c r="X9" s="2"/>
      <c r="Y9" s="2"/>
      <c r="Z9" s="2"/>
      <c r="AA9" s="2"/>
      <c r="AB9" s="2"/>
      <c r="AC9" s="2"/>
      <c r="AD9" s="2"/>
      <c r="AE9" s="2"/>
      <c r="AF9" s="2"/>
      <c r="AG9" s="2"/>
      <c r="AH9" s="2"/>
      <c r="AI9" s="2"/>
      <c r="AJ9" s="2"/>
      <c r="AK9" s="2"/>
      <c r="AL9" s="2"/>
    </row>
    <row r="10" ht="22.5" customHeight="1">
      <c r="A10" s="3" t="s">
        <v>1404</v>
      </c>
      <c r="B10" s="4">
        <v>9.0</v>
      </c>
      <c r="C10" s="3" t="s">
        <v>1426</v>
      </c>
      <c r="D10" s="3" t="s">
        <v>1427</v>
      </c>
      <c r="E10" s="3" t="s">
        <v>1428</v>
      </c>
      <c r="F10" s="3" t="s">
        <v>1429</v>
      </c>
      <c r="G10" s="3" t="s">
        <v>1430</v>
      </c>
      <c r="H10" s="3" t="s">
        <v>1430</v>
      </c>
      <c r="I10" s="3" t="s">
        <v>1431</v>
      </c>
      <c r="J10" s="2"/>
      <c r="K10" s="2"/>
      <c r="L10" s="3" t="s">
        <v>1404</v>
      </c>
      <c r="M10" s="4">
        <v>9.0</v>
      </c>
      <c r="N10" s="3" t="str">
        <f>IFERROR(__xludf.DUMMYFUNCTION("GOOGLETRANSLATE(C10,""en"",""zh-CN"")"),"船舷边溅起的波浪和水花表明了什么？")</f>
        <v>船舷边溅起的波浪和水花表明了什么？</v>
      </c>
      <c r="O10" s="3" t="str">
        <f>IFERROR(__xludf.DUMMYFUNCTION("GOOGLETRANSLATE(D10,""en"",""zh-CN"")"),"船正在下沉。")</f>
        <v>船正在下沉。</v>
      </c>
      <c r="P10" s="3" t="str">
        <f>IFERROR(__xludf.DUMMYFUNCTION("GOOGLETRANSLATE(E10,""en"",""zh-CN"")"),"船速很慢。")</f>
        <v>船速很慢。</v>
      </c>
      <c r="Q10" s="3" t="str">
        <f>IFERROR(__xludf.DUMMYFUNCTION("GOOGLETRANSLATE(F10,""en"",""zh-CN"")"),"船静止不动。")</f>
        <v>船静止不动。</v>
      </c>
      <c r="R10" s="3" t="str">
        <f>IFERROR(__xludf.DUMMYFUNCTION("GOOGLETRANSLATE(G10,""en"",""zh-CN"")"),"船速非常快。")</f>
        <v>船速非常快。</v>
      </c>
      <c r="S10" s="3" t="s">
        <v>1432</v>
      </c>
      <c r="T10" s="3" t="str">
        <f>IFERROR(__xludf.DUMMYFUNCTION("GOOGLETRANSLATE(H10,""en"",""zh-CN"")"),"船速非常快。")</f>
        <v>船速非常快。</v>
      </c>
      <c r="U10" s="3" t="str">
        <f>IFERROR(__xludf.DUMMYFUNCTION("GOOGLETRANSLATE(I10,""en"",""zh-CN"")"),"巨大的波浪和飞溅的水花表明船速很快，桨手们同步划水产生了巨大的动力。")</f>
        <v>巨大的波浪和飞溅的水花表明船速很快，桨手们同步划水产生了巨大的动力。</v>
      </c>
      <c r="V10" s="2"/>
      <c r="W10" s="2"/>
      <c r="X10" s="2"/>
      <c r="Y10" s="2"/>
      <c r="Z10" s="2"/>
      <c r="AA10" s="2"/>
      <c r="AB10" s="2"/>
      <c r="AC10" s="2"/>
      <c r="AD10" s="2"/>
      <c r="AE10" s="2"/>
      <c r="AF10" s="2"/>
      <c r="AG10" s="2"/>
      <c r="AH10" s="2"/>
      <c r="AI10" s="2"/>
      <c r="AJ10" s="2"/>
      <c r="AK10" s="2"/>
      <c r="AL10" s="2"/>
    </row>
    <row r="11" ht="22.5" customHeight="1">
      <c r="A11" s="3" t="s">
        <v>1404</v>
      </c>
      <c r="B11" s="4">
        <v>10.0</v>
      </c>
      <c r="C11" s="3" t="s">
        <v>1433</v>
      </c>
      <c r="D11" s="3" t="s">
        <v>1434</v>
      </c>
      <c r="E11" s="3" t="s">
        <v>1435</v>
      </c>
      <c r="F11" s="3" t="s">
        <v>1436</v>
      </c>
      <c r="G11" s="3" t="s">
        <v>1437</v>
      </c>
      <c r="H11" s="3" t="s">
        <v>1436</v>
      </c>
      <c r="I11" s="3" t="s">
        <v>1438</v>
      </c>
      <c r="J11" s="2"/>
      <c r="K11" s="2"/>
      <c r="L11" s="3" t="s">
        <v>1404</v>
      </c>
      <c r="M11" s="4">
        <v>10.0</v>
      </c>
      <c r="N11" s="3" t="str">
        <f>IFERROR(__xludf.DUMMYFUNCTION("GOOGLETRANSLATE(C11,""en"",""zh-CN"")"),"划桨者身体前倾，手臂向后拉。这种动作有什么作用？")</f>
        <v>划桨者身体前倾，手臂向后拉。这种动作有什么作用？</v>
      </c>
      <c r="O11" s="3" t="str">
        <f>IFERROR(__xludf.DUMMYFUNCTION("GOOGLETRANSLATE(D11,""en"",""zh-CN"")"),"保持船身平衡。")</f>
        <v>保持船身平衡。</v>
      </c>
      <c r="P11" s="3" t="str">
        <f>IFERROR(__xludf.DUMMYFUNCTION("GOOGLETRANSLATE(E11,""en"",""zh-CN"")"),"让自己冷静下来。")</f>
        <v>让自己冷静下来。</v>
      </c>
      <c r="Q11" s="3" t="str">
        <f>IFERROR(__xludf.DUMMYFUNCTION("GOOGLETRANSLATE(F11,""en"",""zh-CN"")"),"产生动力和推进力。")</f>
        <v>产生动力和推进力。</v>
      </c>
      <c r="R11" s="3" t="str">
        <f>IFERROR(__xludf.DUMMYFUNCTION("GOOGLETRANSLATE(G11,""en"",""zh-CN"")"),"掌舵。")</f>
        <v>掌舵。</v>
      </c>
      <c r="S11" s="3" t="s">
        <v>1439</v>
      </c>
      <c r="T11" s="3" t="str">
        <f>IFERROR(__xludf.DUMMYFUNCTION("GOOGLETRANSLATE(H11,""en"",""zh-CN"")"),"产生动力和推进力。")</f>
        <v>产生动力和推进力。</v>
      </c>
      <c r="U11" s="3" t="str">
        <f>IFERROR(__xludf.DUMMYFUNCTION("GOOGLETRANSLATE(I11,""en"",""zh-CN"")"),"桨手们通过手臂和身体协调的前后运动，产生动力推动沉重的船只前进。")</f>
        <v>桨手们通过手臂和身体协调的前后运动，产生动力推动沉重的船只前进。</v>
      </c>
      <c r="V11" s="2"/>
      <c r="W11" s="2"/>
      <c r="X11" s="2"/>
      <c r="Y11" s="2"/>
      <c r="Z11" s="2"/>
      <c r="AA11" s="2"/>
      <c r="AB11" s="2"/>
      <c r="AC11" s="2"/>
      <c r="AD11" s="2"/>
      <c r="AE11" s="2"/>
      <c r="AF11" s="2"/>
      <c r="AG11" s="2"/>
      <c r="AH11" s="2"/>
      <c r="AI11" s="2"/>
      <c r="AJ11" s="2"/>
      <c r="AK11" s="2"/>
      <c r="AL11" s="2"/>
    </row>
    <row r="12" ht="22.5" customHeight="1">
      <c r="A12" s="3" t="s">
        <v>1440</v>
      </c>
      <c r="B12" s="4">
        <v>11.0</v>
      </c>
      <c r="C12" s="3" t="s">
        <v>1441</v>
      </c>
      <c r="D12" s="3" t="s">
        <v>1442</v>
      </c>
      <c r="E12" s="3" t="s">
        <v>1443</v>
      </c>
      <c r="F12" s="3" t="s">
        <v>1444</v>
      </c>
      <c r="G12" s="3" t="s">
        <v>1445</v>
      </c>
      <c r="H12" s="3" t="s">
        <v>1443</v>
      </c>
      <c r="I12" s="3" t="s">
        <v>1446</v>
      </c>
      <c r="J12" s="2"/>
      <c r="K12" s="2"/>
      <c r="L12" s="3" t="s">
        <v>1440</v>
      </c>
      <c r="M12" s="4">
        <v>11.0</v>
      </c>
      <c r="N12" s="3" t="str">
        <f>IFERROR(__xludf.DUMMYFUNCTION("GOOGLETRANSLATE(C12,""en"",""zh-CN"")"),"船头那个人扮演什么角色？")</f>
        <v>船头那个人扮演什么角色？</v>
      </c>
      <c r="O12" s="3" t="str">
        <f>IFERROR(__xludf.DUMMYFUNCTION("GOOGLETRANSLATE(D12,""en"",""zh-CN"")"),"舵手")</f>
        <v>舵手</v>
      </c>
      <c r="P12" s="3" t="str">
        <f>IFERROR(__xludf.DUMMYFUNCTION("GOOGLETRANSLATE(E12,""en"",""zh-CN"")"),"首席鼓手")</f>
        <v>首席鼓手</v>
      </c>
      <c r="Q12" s="3" t="str">
        <f>IFERROR(__xludf.DUMMYFUNCTION("GOOGLETRANSLATE(F12,""en"",""zh-CN"")"),"教练")</f>
        <v>教练</v>
      </c>
      <c r="R12" s="3" t="str">
        <f>IFERROR(__xludf.DUMMYFUNCTION("GOOGLETRANSLATE(G12,""en"",""zh-CN"")"),"旁观者")</f>
        <v>旁观者</v>
      </c>
      <c r="S12" s="3" t="s">
        <v>1447</v>
      </c>
      <c r="T12" s="3" t="str">
        <f>IFERROR(__xludf.DUMMYFUNCTION("GOOGLETRANSLATE(H12,""en"",""zh-CN"")"),"首席鼓手")</f>
        <v>首席鼓手</v>
      </c>
      <c r="U12" s="3" t="str">
        <f>IFERROR(__xludf.DUMMYFUNCTION("GOOGLETRANSLATE(I12,""en"",""zh-CN"")"),"最前面的人坐在鼓旁边，手里拿着鼓槌，表明他是领头的鼓手，负责为划桨者定下节奏。")</f>
        <v>最前面的人坐在鼓旁边，手里拿着鼓槌，表明他是领头的鼓手，负责为划桨者定下节奏。</v>
      </c>
      <c r="V12" s="2"/>
      <c r="W12" s="2"/>
      <c r="X12" s="2"/>
      <c r="Y12" s="2"/>
      <c r="Z12" s="2"/>
      <c r="AA12" s="2"/>
      <c r="AB12" s="2"/>
      <c r="AC12" s="2"/>
      <c r="AD12" s="2"/>
      <c r="AE12" s="2"/>
      <c r="AF12" s="2"/>
      <c r="AG12" s="2"/>
      <c r="AH12" s="2"/>
      <c r="AI12" s="2"/>
      <c r="AJ12" s="2"/>
      <c r="AK12" s="2"/>
      <c r="AL12" s="2"/>
    </row>
    <row r="13" ht="22.5" customHeight="1">
      <c r="A13" s="3" t="s">
        <v>1440</v>
      </c>
      <c r="B13" s="4">
        <v>12.0</v>
      </c>
      <c r="C13" s="3" t="s">
        <v>1448</v>
      </c>
      <c r="D13" s="3" t="s">
        <v>1449</v>
      </c>
      <c r="E13" s="3" t="s">
        <v>1450</v>
      </c>
      <c r="F13" s="3" t="s">
        <v>1451</v>
      </c>
      <c r="G13" s="3" t="s">
        <v>1452</v>
      </c>
      <c r="H13" s="3" t="s">
        <v>1450</v>
      </c>
      <c r="I13" s="3" t="s">
        <v>1453</v>
      </c>
      <c r="J13" s="2"/>
      <c r="K13" s="2"/>
      <c r="L13" s="3" t="s">
        <v>1440</v>
      </c>
      <c r="M13" s="4">
        <v>12.0</v>
      </c>
      <c r="N13" s="3" t="str">
        <f>IFERROR(__xludf.DUMMYFUNCTION("GOOGLETRANSLATE(C13,""en"",""zh-CN"")"),"划桨者身体前倾幅度很大，身体贴近水面。这种姿势的原因是什么？")</f>
        <v>划桨者身体前倾幅度很大，身体贴近水面。这种姿势的原因是什么？</v>
      </c>
      <c r="O13" s="3" t="str">
        <f>IFERROR(__xludf.DUMMYFUNCTION("GOOGLETRANSLATE(D13,""en"",""zh-CN"")"),"为了避风。")</f>
        <v>为了避风。</v>
      </c>
      <c r="P13" s="3" t="str">
        <f>IFERROR(__xludf.DUMMYFUNCTION("GOOGLETRANSLATE(E13,""en"",""zh-CN"")"),"为了获得更深、更有力的击球效果。")</f>
        <v>为了获得更深、更有力的击球效果。</v>
      </c>
      <c r="Q13" s="3" t="str">
        <f>IFERROR(__xludf.DUMMYFUNCTION("GOOGLETRANSLATE(F13,""en"",""zh-CN"")"),"休息。")</f>
        <v>休息。</v>
      </c>
      <c r="R13" s="3" t="str">
        <f>IFERROR(__xludf.DUMMYFUNCTION("GOOGLETRANSLATE(G13,""en"",""zh-CN"")"),"掌舵。")</f>
        <v>掌舵。</v>
      </c>
      <c r="S13" s="3" t="s">
        <v>1454</v>
      </c>
      <c r="T13" s="3" t="str">
        <f>IFERROR(__xludf.DUMMYFUNCTION("GOOGLETRANSLATE(H13,""en"",""zh-CN"")"),"为了获得更深、更有力的击球效果。")</f>
        <v>为了获得更深、更有力的击球效果。</v>
      </c>
      <c r="U13" s="3" t="str">
        <f>IFERROR(__xludf.DUMMYFUNCTION("GOOGLETRANSLATE(I13,""en"",""zh-CN"")"),"身体前倾可以让划桨者划得更远，在划桨开始时将桨更深地插入水中，从而产生更大的力量。")</f>
        <v>身体前倾可以让划桨者划得更远，在划桨开始时将桨更深地插入水中，从而产生更大的力量。</v>
      </c>
      <c r="V13" s="2"/>
      <c r="W13" s="2"/>
      <c r="X13" s="2"/>
      <c r="Y13" s="2"/>
      <c r="Z13" s="2"/>
      <c r="AA13" s="2"/>
      <c r="AB13" s="2"/>
      <c r="AC13" s="2"/>
      <c r="AD13" s="2"/>
      <c r="AE13" s="2"/>
      <c r="AF13" s="2"/>
      <c r="AG13" s="2"/>
      <c r="AH13" s="2"/>
      <c r="AI13" s="2"/>
      <c r="AJ13" s="2"/>
      <c r="AK13" s="2"/>
      <c r="AL13" s="2"/>
    </row>
    <row r="14" ht="22.5" customHeight="1">
      <c r="A14" s="3" t="s">
        <v>1440</v>
      </c>
      <c r="B14" s="4">
        <v>13.0</v>
      </c>
      <c r="C14" s="3" t="s">
        <v>1455</v>
      </c>
      <c r="D14" s="3" t="s">
        <v>1456</v>
      </c>
      <c r="E14" s="3" t="s">
        <v>1457</v>
      </c>
      <c r="F14" s="3" t="s">
        <v>1458</v>
      </c>
      <c r="G14" s="3" t="s">
        <v>1459</v>
      </c>
      <c r="H14" s="3" t="s">
        <v>1457</v>
      </c>
      <c r="I14" s="3" t="s">
        <v>1460</v>
      </c>
      <c r="J14" s="2"/>
      <c r="K14" s="2"/>
      <c r="L14" s="3" t="s">
        <v>1440</v>
      </c>
      <c r="M14" s="4">
        <v>13.0</v>
      </c>
      <c r="N14" s="3" t="str">
        <f>IFERROR(__xludf.DUMMYFUNCTION("GOOGLETRANSLATE(C14,""en"",""zh-CN"")"),"比赛是在哪种水域举行的？")</f>
        <v>比赛是在哪种水域举行的？</v>
      </c>
      <c r="O14" s="3" t="str">
        <f>IFERROR(__xludf.DUMMYFUNCTION("GOOGLETRANSLATE(D14,""en"",""zh-CN"")"),"海洋")</f>
        <v>海洋</v>
      </c>
      <c r="P14" s="3" t="str">
        <f>IFERROR(__xludf.DUMMYFUNCTION("GOOGLETRANSLATE(E14,""en"",""zh-CN"")"),"河流或湖泊")</f>
        <v>河流或湖泊</v>
      </c>
      <c r="Q14" s="3" t="str">
        <f>IFERROR(__xludf.DUMMYFUNCTION("GOOGLETRANSLATE(F14,""en"",""zh-CN"")"),"游泳池")</f>
        <v>游泳池</v>
      </c>
      <c r="R14" s="3" t="str">
        <f>IFERROR(__xludf.DUMMYFUNCTION("GOOGLETRANSLATE(G14,""en"",""zh-CN"")"),"一条运河")</f>
        <v>一条运河</v>
      </c>
      <c r="S14" s="3" t="s">
        <v>1461</v>
      </c>
      <c r="T14" s="3" t="str">
        <f>IFERROR(__xludf.DUMMYFUNCTION("GOOGLETRANSLATE(H14,""en"",""zh-CN"")"),"河流或湖泊")</f>
        <v>河流或湖泊</v>
      </c>
      <c r="U14" s="3" t="str">
        <f>IFERROR(__xludf.DUMMYFUNCTION("GOOGLETRANSLATE(I14,""en"",""zh-CN"")"),"背景中宽阔的开阔水域和天然的岸线表明，比赛是在河流或大型湖泊上进行的。")</f>
        <v>背景中宽阔的开阔水域和天然的岸线表明，比赛是在河流或大型湖泊上进行的。</v>
      </c>
      <c r="V14" s="2"/>
      <c r="W14" s="2"/>
      <c r="X14" s="2"/>
      <c r="Y14" s="2"/>
      <c r="Z14" s="2"/>
      <c r="AA14" s="2"/>
      <c r="AB14" s="2"/>
      <c r="AC14" s="2"/>
      <c r="AD14" s="2"/>
      <c r="AE14" s="2"/>
      <c r="AF14" s="2"/>
      <c r="AG14" s="2"/>
      <c r="AH14" s="2"/>
      <c r="AI14" s="2"/>
      <c r="AJ14" s="2"/>
      <c r="AK14" s="2"/>
      <c r="AL14" s="2"/>
    </row>
    <row r="15" ht="22.5" customHeight="1">
      <c r="A15" s="3" t="s">
        <v>1440</v>
      </c>
      <c r="B15" s="4">
        <v>14.0</v>
      </c>
      <c r="C15" s="3" t="s">
        <v>1462</v>
      </c>
      <c r="D15" s="3" t="s">
        <v>1463</v>
      </c>
      <c r="E15" s="3" t="s">
        <v>1464</v>
      </c>
      <c r="F15" s="3" t="s">
        <v>1465</v>
      </c>
      <c r="G15" s="3" t="s">
        <v>1466</v>
      </c>
      <c r="H15" s="3" t="s">
        <v>1465</v>
      </c>
      <c r="I15" s="3" t="s">
        <v>1467</v>
      </c>
      <c r="J15" s="2"/>
      <c r="K15" s="2"/>
      <c r="L15" s="3" t="s">
        <v>1440</v>
      </c>
      <c r="M15" s="4">
        <v>14.0</v>
      </c>
      <c r="N15" s="3" t="str">
        <f>IFERROR(__xludf.DUMMYFUNCTION("GOOGLETRANSLATE(C15,""en"",""zh-CN"")"),"所有参赛者所穿救生衣的目的是什么？")</f>
        <v>所有参赛者所穿救生衣的目的是什么？</v>
      </c>
      <c r="O15" s="3" t="str">
        <f>IFERROR(__xludf.DUMMYFUNCTION("GOOGLETRANSLATE(D15,""en"",""zh-CN"")"),"确定他们的团队。")</f>
        <v>确定他们的团队。</v>
      </c>
      <c r="P15" s="3" t="str">
        <f>IFERROR(__xludf.DUMMYFUNCTION("GOOGLETRANSLATE(E15,""en"",""zh-CN"")"),"为了给他们保暖。")</f>
        <v>为了给他们保暖。</v>
      </c>
      <c r="Q15" s="3" t="str">
        <f>IFERROR(__xludf.DUMMYFUNCTION("GOOGLETRANSLATE(F15,""en"",""zh-CN"")"),"为了确保发生意外时的安全。")</f>
        <v>为了确保发生意外时的安全。</v>
      </c>
      <c r="R15" s="3" t="str">
        <f>IFERROR(__xludf.DUMMYFUNCTION("GOOGLETRANSLATE(G15,""en"",""zh-CN"")"),"为了让他们看起来很专业。")</f>
        <v>为了让他们看起来很专业。</v>
      </c>
      <c r="S15" s="3" t="s">
        <v>1468</v>
      </c>
      <c r="T15" s="3" t="str">
        <f>IFERROR(__xludf.DUMMYFUNCTION("GOOGLETRANSLATE(H15,""en"",""zh-CN"")"),"为了确保发生意外时的安全。")</f>
        <v>为了确保发生意外时的安全。</v>
      </c>
      <c r="U15" s="3" t="str">
        <f>IFERROR(__xludf.DUMMYFUNCTION("GOOGLETRANSLATE(I15,""en"",""zh-CN"")"),"在龙舟比赛中，救生衣是强制性的安全装备，以防止翻船或桨手落水时发生溺水事故。")</f>
        <v>在龙舟比赛中，救生衣是强制性的安全装备，以防止翻船或桨手落水时发生溺水事故。</v>
      </c>
      <c r="V15" s="2"/>
      <c r="W15" s="2"/>
      <c r="X15" s="2"/>
      <c r="Y15" s="2"/>
      <c r="Z15" s="2"/>
      <c r="AA15" s="2"/>
      <c r="AB15" s="2"/>
      <c r="AC15" s="2"/>
      <c r="AD15" s="2"/>
      <c r="AE15" s="2"/>
      <c r="AF15" s="2"/>
      <c r="AG15" s="2"/>
      <c r="AH15" s="2"/>
      <c r="AI15" s="2"/>
      <c r="AJ15" s="2"/>
      <c r="AK15" s="2"/>
      <c r="AL15" s="2"/>
    </row>
    <row r="16" ht="22.5" customHeight="1">
      <c r="A16" s="3" t="s">
        <v>1440</v>
      </c>
      <c r="B16" s="4">
        <v>15.0</v>
      </c>
      <c r="C16" s="3" t="s">
        <v>1469</v>
      </c>
      <c r="D16" s="3" t="s">
        <v>1470</v>
      </c>
      <c r="E16" s="3" t="s">
        <v>1471</v>
      </c>
      <c r="F16" s="3" t="s">
        <v>1472</v>
      </c>
      <c r="G16" s="3" t="s">
        <v>1473</v>
      </c>
      <c r="H16" s="3" t="s">
        <v>1471</v>
      </c>
      <c r="I16" s="3" t="s">
        <v>1474</v>
      </c>
      <c r="J16" s="2"/>
      <c r="K16" s="2"/>
      <c r="L16" s="3" t="s">
        <v>1440</v>
      </c>
      <c r="M16" s="4">
        <v>15.0</v>
      </c>
      <c r="N16" s="3" t="str">
        <f>IFERROR(__xludf.DUMMYFUNCTION("GOOGLETRANSLATE(C16,""en"",""zh-CN"")"),"这张图片中船只设计的一个显著特点是什么？")</f>
        <v>这张图片中船只设计的一个显著特点是什么？</v>
      </c>
      <c r="O16" s="3" t="str">
        <f>IFERROR(__xludf.DUMMYFUNCTION("GOOGLETRANSLATE(D16,""en"",""zh-CN"")"),"它们完全相同。")</f>
        <v>它们完全相同。</v>
      </c>
      <c r="P16" s="3" t="str">
        <f>IFERROR(__xludf.DUMMYFUNCTION("GOOGLETRANSLATE(E16,""en"",""zh-CN"")"),"它们都被涂上了龙的图案。")</f>
        <v>它们都被涂上了龙的图案。</v>
      </c>
      <c r="Q16" s="3" t="str">
        <f>IFERROR(__xludf.DUMMYFUNCTION("GOOGLETRANSLATE(F16,""en"",""zh-CN"")"),"它们都被涂成了不同的颜色。")</f>
        <v>它们都被涂成了不同的颜色。</v>
      </c>
      <c r="R16" s="3" t="str">
        <f>IFERROR(__xludf.DUMMYFUNCTION("GOOGLETRANSLATE(G16,""en"",""zh-CN"")"),"它们的大小各不相同。")</f>
        <v>它们的大小各不相同。</v>
      </c>
      <c r="S16" s="3" t="s">
        <v>1475</v>
      </c>
      <c r="T16" s="3" t="str">
        <f>IFERROR(__xludf.DUMMYFUNCTION("GOOGLETRANSLATE(H16,""en"",""zh-CN"")"),"它们都被涂上了龙的图案。")</f>
        <v>它们都被涂上了龙的图案。</v>
      </c>
      <c r="U16" s="3" t="str">
        <f>IFERROR(__xludf.DUMMYFUNCTION("GOOGLETRANSLATE(I16,""en"",""zh-CN"")"),"每艘龙舟都有一个独特的龙头，船身绘有传统的鳞片图案，这是龙舟的关键美学特征。")</f>
        <v>每艘龙舟都有一个独特的龙头，船身绘有传统的鳞片图案，这是龙舟的关键美学特征。</v>
      </c>
      <c r="V16" s="2"/>
      <c r="W16" s="2"/>
      <c r="X16" s="2"/>
      <c r="Y16" s="2"/>
      <c r="Z16" s="2"/>
      <c r="AA16" s="2"/>
      <c r="AB16" s="2"/>
      <c r="AC16" s="2"/>
      <c r="AD16" s="2"/>
      <c r="AE16" s="2"/>
      <c r="AF16" s="2"/>
      <c r="AG16" s="2"/>
      <c r="AH16" s="2"/>
      <c r="AI16" s="2"/>
      <c r="AJ16" s="2"/>
      <c r="AK16" s="2"/>
      <c r="AL16" s="2"/>
    </row>
    <row r="17" ht="22.5" customHeight="1">
      <c r="A17" s="3" t="s">
        <v>1476</v>
      </c>
      <c r="B17" s="4">
        <v>16.0</v>
      </c>
      <c r="C17" s="3" t="s">
        <v>1477</v>
      </c>
      <c r="D17" s="3" t="s">
        <v>1478</v>
      </c>
      <c r="E17" s="3" t="s">
        <v>1479</v>
      </c>
      <c r="F17" s="3" t="s">
        <v>1480</v>
      </c>
      <c r="G17" s="3" t="s">
        <v>1481</v>
      </c>
      <c r="H17" s="3" t="s">
        <v>1479</v>
      </c>
      <c r="I17" s="3" t="s">
        <v>1482</v>
      </c>
      <c r="J17" s="2"/>
      <c r="K17" s="2"/>
      <c r="L17" s="3" t="s">
        <v>1476</v>
      </c>
      <c r="M17" s="4">
        <v>16.0</v>
      </c>
      <c r="N17" s="3" t="str">
        <f>IFERROR(__xludf.DUMMYFUNCTION("GOOGLETRANSLATE(C17,""en"",""zh-CN"")"),"这张图片的整体背景是什么？")</f>
        <v>这张图片的整体背景是什么？</v>
      </c>
      <c r="O17" s="3" t="str">
        <f>IFERROR(__xludf.DUMMYFUNCTION("GOOGLETRANSLATE(D17,""en"",""zh-CN"")"),"小型非正式聚会。")</f>
        <v>小型非正式聚会。</v>
      </c>
      <c r="P17" s="3" t="str">
        <f>IFERROR(__xludf.DUMMYFUNCTION("GOOGLETRANSLATE(E17,""en"",""zh-CN"")"),"一场盛大的、观众众多的体育赛事。")</f>
        <v>一场盛大的、观众众多的体育赛事。</v>
      </c>
      <c r="Q17" s="3" t="str">
        <f>IFERROR(__xludf.DUMMYFUNCTION("GOOGLETRANSLATE(F17,""en"",""zh-CN"")"),"一次军事训练演习。")</f>
        <v>一次军事训练演习。</v>
      </c>
      <c r="R17" s="3" t="str">
        <f>IFERROR(__xludf.DUMMYFUNCTION("GOOGLETRANSLATE(G17,""en"",""zh-CN"")"),"一次轻松的练习。")</f>
        <v>一次轻松的练习。</v>
      </c>
      <c r="S17" s="3" t="s">
        <v>1483</v>
      </c>
      <c r="T17" s="3" t="str">
        <f>IFERROR(__xludf.DUMMYFUNCTION("GOOGLETRANSLATE(H17,""en"",""zh-CN"")"),"一场盛大的、观众众多的体育赛事。")</f>
        <v>一场盛大的、观众众多的体育赛事。</v>
      </c>
      <c r="U17" s="3" t="str">
        <f>IFERROR(__xludf.DUMMYFUNCTION("GOOGLETRANSLATE(I17,""en"",""zh-CN"")"),"大量的船只、背景中熙熙攘攘的观众以及官方横幅表明，这是一场大规模的正式体育赛事。")</f>
        <v>大量的船只、背景中熙熙攘攘的观众以及官方横幅表明，这是一场大规模的正式体育赛事。</v>
      </c>
      <c r="V17" s="2"/>
      <c r="W17" s="2"/>
      <c r="X17" s="2"/>
      <c r="Y17" s="2"/>
      <c r="Z17" s="2"/>
      <c r="AA17" s="2"/>
      <c r="AB17" s="2"/>
      <c r="AC17" s="2"/>
      <c r="AD17" s="2"/>
      <c r="AE17" s="2"/>
      <c r="AF17" s="2"/>
      <c r="AG17" s="2"/>
      <c r="AH17" s="2"/>
      <c r="AI17" s="2"/>
      <c r="AJ17" s="2"/>
      <c r="AK17" s="2"/>
      <c r="AL17" s="2"/>
    </row>
    <row r="18" ht="22.5" customHeight="1">
      <c r="A18" s="3" t="s">
        <v>1476</v>
      </c>
      <c r="B18" s="4">
        <v>17.0</v>
      </c>
      <c r="C18" s="3" t="s">
        <v>1484</v>
      </c>
      <c r="D18" s="3" t="s">
        <v>1485</v>
      </c>
      <c r="E18" s="3" t="s">
        <v>1486</v>
      </c>
      <c r="F18" s="3" t="s">
        <v>1487</v>
      </c>
      <c r="G18" s="3" t="s">
        <v>1488</v>
      </c>
      <c r="H18" s="3" t="s">
        <v>1486</v>
      </c>
      <c r="I18" s="3" t="s">
        <v>1489</v>
      </c>
      <c r="J18" s="2"/>
      <c r="K18" s="2"/>
      <c r="L18" s="3" t="s">
        <v>1476</v>
      </c>
      <c r="M18" s="4">
        <v>17.0</v>
      </c>
      <c r="N18" s="3" t="str">
        <f>IFERROR(__xludf.DUMMYFUNCTION("GOOGLETRANSLATE(C18,""en"",""zh-CN"")"),"水中的彩色浮标有什么用途？")</f>
        <v>水中的彩色浮标有什么用途？</v>
      </c>
      <c r="O18" s="3" t="str">
        <f>IFERROR(__xludf.DUMMYFUNCTION("GOOGLETRANSLATE(D18,""en"",""zh-CN"")"),"显示水深。")</f>
        <v>显示水深。</v>
      </c>
      <c r="P18" s="3" t="str">
        <f>IFERROR(__xludf.DUMMYFUNCTION("GOOGLETRANSLATE(E18,""en"",""zh-CN"")"),"用于标示赛道和比赛路线。")</f>
        <v>用于标示赛道和比赛路线。</v>
      </c>
      <c r="Q18" s="3" t="str">
        <f>IFERROR(__xludf.DUMMYFUNCTION("GOOGLETRANSLATE(F18,""en"",""zh-CN"")"),"用作船只的停泊处。")</f>
        <v>用作船只的停泊处。</v>
      </c>
      <c r="R18" s="3" t="str">
        <f>IFERROR(__xludf.DUMMYFUNCTION("GOOGLETRANSLATE(G18,""en"",""zh-CN"")"),"充当障碍物。")</f>
        <v>充当障碍物。</v>
      </c>
      <c r="S18" s="3" t="s">
        <v>1490</v>
      </c>
      <c r="T18" s="3" t="str">
        <f>IFERROR(__xludf.DUMMYFUNCTION("GOOGLETRANSLATE(H18,""en"",""zh-CN"")"),"用于标示赛道和比赛路线。")</f>
        <v>用于标示赛道和比赛路线。</v>
      </c>
      <c r="U18" s="3" t="str">
        <f>IFERROR(__xludf.DUMMYFUNCTION("GOOGLETRANSLATE(I18,""en"",""zh-CN"")"),"浮标用于为每艘船划分不同的航道，确保比赛公平，并且船只之间不会相互干扰。")</f>
        <v>浮标用于为每艘船划分不同的航道，确保比赛公平，并且船只之间不会相互干扰。</v>
      </c>
      <c r="V18" s="2"/>
      <c r="W18" s="2"/>
      <c r="X18" s="2"/>
      <c r="Y18" s="2"/>
      <c r="Z18" s="2"/>
      <c r="AA18" s="2"/>
      <c r="AB18" s="2"/>
      <c r="AC18" s="2"/>
      <c r="AD18" s="2"/>
      <c r="AE18" s="2"/>
      <c r="AF18" s="2"/>
      <c r="AG18" s="2"/>
      <c r="AH18" s="2"/>
      <c r="AI18" s="2"/>
      <c r="AJ18" s="2"/>
      <c r="AK18" s="2"/>
      <c r="AL18" s="2"/>
    </row>
    <row r="19" ht="22.5" customHeight="1">
      <c r="A19" s="3" t="s">
        <v>1476</v>
      </c>
      <c r="B19" s="4">
        <v>18.0</v>
      </c>
      <c r="C19" s="3" t="s">
        <v>1491</v>
      </c>
      <c r="D19" s="3" t="s">
        <v>1492</v>
      </c>
      <c r="E19" s="3" t="s">
        <v>1493</v>
      </c>
      <c r="F19" s="3" t="s">
        <v>1494</v>
      </c>
      <c r="G19" s="3" t="s">
        <v>1495</v>
      </c>
      <c r="H19" s="3" t="s">
        <v>1494</v>
      </c>
      <c r="I19" s="3" t="s">
        <v>1496</v>
      </c>
      <c r="J19" s="2"/>
      <c r="K19" s="2"/>
      <c r="L19" s="3" t="s">
        <v>1476</v>
      </c>
      <c r="M19" s="4">
        <v>18.0</v>
      </c>
      <c r="N19" s="3" t="str">
        <f>IFERROR(__xludf.DUMMYFUNCTION("GOOGLETRANSLATE(C19,""en"",""zh-CN"")"),"从球队的队服可以推断出哪些信息？")</f>
        <v>从球队的队服可以推断出哪些信息？</v>
      </c>
      <c r="O19" s="3" t="str">
        <f>IFERROR(__xludf.DUMMYFUNCTION("GOOGLETRANSLATE(D19,""en"",""zh-CN"")"),"他们都来自同一个国家。")</f>
        <v>他们都来自同一个国家。</v>
      </c>
      <c r="P19" s="3" t="str">
        <f>IFERROR(__xludf.DUMMYFUNCTION("GOOGLETRANSLATE(E19,""en"",""zh-CN"")"),"他们都是专业人士。")</f>
        <v>他们都是专业人士。</v>
      </c>
      <c r="Q19" s="3" t="str">
        <f>IFERROR(__xludf.DUMMYFUNCTION("GOOGLETRANSLATE(F19,""en"",""zh-CN"")"),"他们来自不同的队伍，从他们不同的队服颜色就能看出来。")</f>
        <v>他们来自不同的队伍，从他们不同的队服颜色就能看出来。</v>
      </c>
      <c r="R19" s="3" t="str">
        <f>IFERROR(__xludf.DUMMYFUNCTION("GOOGLETRANSLATE(G19,""en"",""zh-CN"")"),"他们都穿着休闲服装。")</f>
        <v>他们都穿着休闲服装。</v>
      </c>
      <c r="S19" s="3" t="s">
        <v>1497</v>
      </c>
      <c r="T19" s="3" t="str">
        <f>IFERROR(__xludf.DUMMYFUNCTION("GOOGLETRANSLATE(H19,""en"",""zh-CN"")"),"他们来自不同的队伍，从他们不同的队服颜色就能看出来。")</f>
        <v>他们来自不同的队伍，从他们不同的队服颜色就能看出来。</v>
      </c>
      <c r="U19" s="3" t="str">
        <f>IFERROR(__xludf.DUMMYFUNCTION("GOOGLETRANSLATE(I19,""en"",""zh-CN"")"),"各队身穿不同颜色的队服，例如蓝色和白色，这是比赛中区分不同队伍的标准方法。")</f>
        <v>各队身穿不同颜色的队服，例如蓝色和白色，这是比赛中区分不同队伍的标准方法。</v>
      </c>
      <c r="V19" s="2"/>
      <c r="W19" s="2"/>
      <c r="X19" s="2"/>
      <c r="Y19" s="2"/>
      <c r="Z19" s="2"/>
      <c r="AA19" s="2"/>
      <c r="AB19" s="2"/>
      <c r="AC19" s="2"/>
      <c r="AD19" s="2"/>
      <c r="AE19" s="2"/>
      <c r="AF19" s="2"/>
      <c r="AG19" s="2"/>
      <c r="AH19" s="2"/>
      <c r="AI19" s="2"/>
      <c r="AJ19" s="2"/>
      <c r="AK19" s="2"/>
      <c r="AL19" s="2"/>
    </row>
    <row r="20" ht="22.5" customHeight="1">
      <c r="A20" s="3" t="s">
        <v>1476</v>
      </c>
      <c r="B20" s="4">
        <v>19.0</v>
      </c>
      <c r="C20" s="3" t="s">
        <v>1498</v>
      </c>
      <c r="D20" s="3" t="s">
        <v>1444</v>
      </c>
      <c r="E20" s="3" t="s">
        <v>1442</v>
      </c>
      <c r="F20" s="3" t="s">
        <v>1499</v>
      </c>
      <c r="G20" s="3" t="s">
        <v>1500</v>
      </c>
      <c r="H20" s="3" t="s">
        <v>1442</v>
      </c>
      <c r="I20" s="3" t="s">
        <v>1501</v>
      </c>
      <c r="J20" s="2"/>
      <c r="K20" s="2"/>
      <c r="L20" s="3" t="s">
        <v>1476</v>
      </c>
      <c r="M20" s="4">
        <v>19.0</v>
      </c>
      <c r="N20" s="3" t="str">
        <f>IFERROR(__xludf.DUMMYFUNCTION("GOOGLETRANSLATE(C20,""en"",""zh-CN"")"),"每艘船尾站立的人扮演什么角色？")</f>
        <v>每艘船尾站立的人扮演什么角色？</v>
      </c>
      <c r="O20" s="3" t="str">
        <f>IFERROR(__xludf.DUMMYFUNCTION("GOOGLETRANSLATE(D20,""en"",""zh-CN"")"),"教练")</f>
        <v>教练</v>
      </c>
      <c r="P20" s="3" t="str">
        <f>IFERROR(__xludf.DUMMYFUNCTION("GOOGLETRANSLATE(E20,""en"",""zh-CN"")"),"舵手")</f>
        <v>舵手</v>
      </c>
      <c r="Q20" s="3" t="str">
        <f>IFERROR(__xludf.DUMMYFUNCTION("GOOGLETRANSLATE(F20,""en"",""zh-CN"")"),"鼓手")</f>
        <v>鼓手</v>
      </c>
      <c r="R20" s="3" t="str">
        <f>IFERROR(__xludf.DUMMYFUNCTION("GOOGLETRANSLATE(G20,""en"",""zh-CN"")"),"队长")</f>
        <v>队长</v>
      </c>
      <c r="S20" s="3" t="s">
        <v>1502</v>
      </c>
      <c r="T20" s="3" t="str">
        <f>IFERROR(__xludf.DUMMYFUNCTION("GOOGLETRANSLATE(H20,""en"",""zh-CN"")"),"舵手")</f>
        <v>舵手</v>
      </c>
      <c r="U20" s="3" t="str">
        <f>IFERROR(__xludf.DUMMYFUNCTION("GOOGLETRANSLATE(I20,""en"",""zh-CN"")"),"站在船尾的人是舵手，他用长桨来控制和引导船只沿着赛道前进。")</f>
        <v>站在船尾的人是舵手，他用长桨来控制和引导船只沿着赛道前进。</v>
      </c>
      <c r="V20" s="2"/>
      <c r="W20" s="2"/>
      <c r="X20" s="2"/>
      <c r="Y20" s="2"/>
      <c r="Z20" s="2"/>
      <c r="AA20" s="2"/>
      <c r="AB20" s="2"/>
      <c r="AC20" s="2"/>
      <c r="AD20" s="2"/>
      <c r="AE20" s="2"/>
      <c r="AF20" s="2"/>
      <c r="AG20" s="2"/>
      <c r="AH20" s="2"/>
      <c r="AI20" s="2"/>
      <c r="AJ20" s="2"/>
      <c r="AK20" s="2"/>
      <c r="AL20" s="2"/>
    </row>
    <row r="21" ht="22.5" customHeight="1">
      <c r="A21" s="3" t="s">
        <v>1476</v>
      </c>
      <c r="B21" s="4">
        <v>20.0</v>
      </c>
      <c r="C21" s="3" t="s">
        <v>1503</v>
      </c>
      <c r="D21" s="3" t="s">
        <v>1504</v>
      </c>
      <c r="E21" s="3" t="s">
        <v>1505</v>
      </c>
      <c r="F21" s="3" t="s">
        <v>1506</v>
      </c>
      <c r="G21" s="3" t="s">
        <v>1507</v>
      </c>
      <c r="H21" s="3" t="s">
        <v>1505</v>
      </c>
      <c r="I21" s="3" t="s">
        <v>1508</v>
      </c>
      <c r="J21" s="2"/>
      <c r="K21" s="2"/>
      <c r="L21" s="3" t="s">
        <v>1476</v>
      </c>
      <c r="M21" s="4">
        <v>20.0</v>
      </c>
      <c r="N21" s="3" t="str">
        <f>IFERROR(__xludf.DUMMYFUNCTION("GOOGLETRANSLATE(C21,""en"",""zh-CN"")"),"比赛是在什么样的环境下进行的？")</f>
        <v>比赛是在什么样的环境下进行的？</v>
      </c>
      <c r="O21" s="3" t="str">
        <f>IFERROR(__xludf.DUMMYFUNCTION("GOOGLETRANSLATE(D21,""en"",""zh-CN"")"),"一条狭窄的河流")</f>
        <v>一条狭窄的河流</v>
      </c>
      <c r="P21" s="3" t="str">
        <f>IFERROR(__xludf.DUMMYFUNCTION("GOOGLETRANSLATE(E21,""en"",""zh-CN"")"),"一个大型的开阔湖泊或水道")</f>
        <v>一个大型的开阔湖泊或水道</v>
      </c>
      <c r="Q21" s="3" t="str">
        <f>IFERROR(__xludf.DUMMYFUNCTION("GOOGLETRANSLATE(F21,""en"",""zh-CN"")"),"人工泳池")</f>
        <v>人工泳池</v>
      </c>
      <c r="R21" s="3" t="str">
        <f>IFERROR(__xludf.DUMMYFUNCTION("GOOGLETRANSLATE(G21,""en"",""zh-CN"")"),"海洋")</f>
        <v>海洋</v>
      </c>
      <c r="S21" s="3" t="s">
        <v>1509</v>
      </c>
      <c r="T21" s="3" t="str">
        <f>IFERROR(__xludf.DUMMYFUNCTION("GOOGLETRANSLATE(H21,""en"",""zh-CN"")"),"一个大型的开阔湖泊或水道")</f>
        <v>一个大型的开阔湖泊或水道</v>
      </c>
      <c r="U21" s="3" t="str">
        <f>IFERROR(__xludf.DUMMYFUNCTION("GOOGLETRANSLATE(I21,""en"",""zh-CN"")"),"广阔的水域，四周环绕着树木，岸边人头攒动，表明这是一个大湖或宽阔的水道。")</f>
        <v>广阔的水域，四周环绕着树木，岸边人头攒动，表明这是一个大湖或宽阔的水道。</v>
      </c>
      <c r="V21" s="2"/>
      <c r="W21" s="2"/>
      <c r="X21" s="2"/>
      <c r="Y21" s="2"/>
      <c r="Z21" s="2"/>
      <c r="AA21" s="2"/>
      <c r="AB21" s="2"/>
      <c r="AC21" s="2"/>
      <c r="AD21" s="2"/>
      <c r="AE21" s="2"/>
      <c r="AF21" s="2"/>
      <c r="AG21" s="2"/>
      <c r="AH21" s="2"/>
      <c r="AI21" s="2"/>
      <c r="AJ21" s="2"/>
      <c r="AK21" s="2"/>
      <c r="AL21" s="2"/>
    </row>
    <row r="22" ht="22.5" customHeight="1">
      <c r="A22" s="3" t="s">
        <v>1510</v>
      </c>
      <c r="B22" s="4">
        <v>21.0</v>
      </c>
      <c r="C22" s="3" t="s">
        <v>1511</v>
      </c>
      <c r="D22" s="3" t="s">
        <v>1512</v>
      </c>
      <c r="E22" s="3" t="s">
        <v>1513</v>
      </c>
      <c r="F22" s="3" t="s">
        <v>1514</v>
      </c>
      <c r="G22" s="3" t="s">
        <v>1515</v>
      </c>
      <c r="H22" s="3" t="s">
        <v>1513</v>
      </c>
      <c r="I22" s="3" t="s">
        <v>1516</v>
      </c>
      <c r="J22" s="2"/>
      <c r="K22" s="2"/>
      <c r="L22" s="3" t="s">
        <v>1510</v>
      </c>
      <c r="M22" s="4">
        <v>21.0</v>
      </c>
      <c r="N22" s="3" t="str">
        <f>IFERROR(__xludf.DUMMYFUNCTION("GOOGLETRANSLATE(C22,""en"",""zh-CN"")"),"这两艘船的设计有什么显著区别？")</f>
        <v>这两艘船的设计有什么显著区别？</v>
      </c>
      <c r="O22" s="3" t="str">
        <f>IFERROR(__xludf.DUMMYFUNCTION("GOOGLETRANSLATE(D22,""en"",""zh-CN"")"),"一艘是现代船只，另一艘是历史复制品。")</f>
        <v>一艘是现代船只，另一艘是历史复制品。</v>
      </c>
      <c r="P22" s="3" t="str">
        <f>IFERROR(__xludf.DUMMYFUNCTION("GOOGLETRANSLATE(E22,""en"",""zh-CN"")"),"一个有龙头，另一个没有。")</f>
        <v>一个有龙头，另一个没有。</v>
      </c>
      <c r="Q22" s="3" t="str">
        <f>IFERROR(__xludf.DUMMYFUNCTION("GOOGLETRANSLATE(F22,""en"",""zh-CN"")"),"其中一个比另一个大。")</f>
        <v>其中一个比另一个大。</v>
      </c>
      <c r="R22" s="3" t="str">
        <f>IFERROR(__xludf.DUMMYFUNCTION("GOOGLETRANSLATE(G22,""en"",""zh-CN"")"),"一个用于赛车，另一个用于运输。")</f>
        <v>一个用于赛车，另一个用于运输。</v>
      </c>
      <c r="S22" s="3" t="s">
        <v>1517</v>
      </c>
      <c r="T22" s="3" t="str">
        <f>IFERROR(__xludf.DUMMYFUNCTION("GOOGLETRANSLATE(H22,""en"",""zh-CN"")"),"一个有龙头，另一个没有。")</f>
        <v>一个有龙头，另一个没有。</v>
      </c>
      <c r="U22" s="3" t="str">
        <f>IFERROR(__xludf.DUMMYFUNCTION("GOOGLETRANSLATE(I22,""en"",""zh-CN"")"),"前景中的船有装饰性的龙头和龙尾，而背景中的船则采用了更简单的扁平船头设计。")</f>
        <v>前景中的船有装饰性的龙头和龙尾，而背景中的船则采用了更简单的扁平船头设计。</v>
      </c>
      <c r="V22" s="2"/>
      <c r="W22" s="2"/>
      <c r="X22" s="2"/>
      <c r="Y22" s="2"/>
      <c r="Z22" s="2"/>
      <c r="AA22" s="2"/>
      <c r="AB22" s="2"/>
      <c r="AC22" s="2"/>
      <c r="AD22" s="2"/>
      <c r="AE22" s="2"/>
      <c r="AF22" s="2"/>
      <c r="AG22" s="2"/>
      <c r="AH22" s="2"/>
      <c r="AI22" s="2"/>
      <c r="AJ22" s="2"/>
      <c r="AK22" s="2"/>
      <c r="AL22" s="2"/>
    </row>
    <row r="23" ht="22.5" customHeight="1">
      <c r="A23" s="3" t="s">
        <v>1510</v>
      </c>
      <c r="B23" s="4">
        <v>22.0</v>
      </c>
      <c r="C23" s="3" t="s">
        <v>1518</v>
      </c>
      <c r="D23" s="3" t="s">
        <v>1519</v>
      </c>
      <c r="E23" s="3" t="s">
        <v>1520</v>
      </c>
      <c r="F23" s="3" t="s">
        <v>1521</v>
      </c>
      <c r="G23" s="3" t="s">
        <v>1522</v>
      </c>
      <c r="H23" s="3" t="s">
        <v>1521</v>
      </c>
      <c r="I23" s="3" t="s">
        <v>1523</v>
      </c>
      <c r="J23" s="2"/>
      <c r="K23" s="2"/>
      <c r="L23" s="3" t="s">
        <v>1510</v>
      </c>
      <c r="M23" s="4">
        <v>22.0</v>
      </c>
      <c r="N23" s="3" t="str">
        <f>IFERROR(__xludf.DUMMYFUNCTION("GOOGLETRANSLATE(C23,""en"",""zh-CN"")"),"由此可以推断出这场比赛的举办地点是什么？")</f>
        <v>由此可以推断出这场比赛的举办地点是什么？</v>
      </c>
      <c r="O23" s="3" t="str">
        <f>IFERROR(__xludf.DUMMYFUNCTION("GOOGLETRANSLATE(D23,""en"",""zh-CN"")"),"这是一条现代化的城市河流。")</f>
        <v>这是一条现代化的城市河流。</v>
      </c>
      <c r="P23" s="3" t="str">
        <f>IFERROR(__xludf.DUMMYFUNCTION("GOOGLETRANSLATE(E23,""en"",""zh-CN"")"),"这是一个大湖。")</f>
        <v>这是一个大湖。</v>
      </c>
      <c r="Q23" s="3" t="str">
        <f>IFERROR(__xludf.DUMMYFUNCTION("GOOGLETRANSLATE(F23,""en"",""zh-CN"")"),"这是一条乡村河流。")</f>
        <v>这是一条乡村河流。</v>
      </c>
      <c r="R23" s="3" t="str">
        <f>IFERROR(__xludf.DUMMYFUNCTION("GOOGLETRANSLATE(G23,""en"",""zh-CN"")"),"这是一个室内体育馆。")</f>
        <v>这是一个室内体育馆。</v>
      </c>
      <c r="S23" s="3" t="s">
        <v>1524</v>
      </c>
      <c r="T23" s="3" t="str">
        <f>IFERROR(__xludf.DUMMYFUNCTION("GOOGLETRANSLATE(H23,""en"",""zh-CN"")"),"这是一条乡村河流。")</f>
        <v>这是一条乡村河流。</v>
      </c>
      <c r="U23" s="3" t="str">
        <f>IFERROR(__xludf.DUMMYFUNCTION("GOOGLETRANSLATE(I23,""en"",""zh-CN"")"),"浑浊的河水、简陋的木制码头和周围的自然环境表明，这是一条开发程度较低、更具乡村气息的河流。")</f>
        <v>浑浊的河水、简陋的木制码头和周围的自然环境表明，这是一条开发程度较低、更具乡村气息的河流。</v>
      </c>
      <c r="V23" s="2"/>
      <c r="W23" s="2"/>
      <c r="X23" s="2"/>
      <c r="Y23" s="2"/>
      <c r="Z23" s="2"/>
      <c r="AA23" s="2"/>
      <c r="AB23" s="2"/>
      <c r="AC23" s="2"/>
      <c r="AD23" s="2"/>
      <c r="AE23" s="2"/>
      <c r="AF23" s="2"/>
      <c r="AG23" s="2"/>
      <c r="AH23" s="2"/>
      <c r="AI23" s="2"/>
      <c r="AJ23" s="2"/>
      <c r="AK23" s="2"/>
      <c r="AL23" s="2"/>
    </row>
    <row r="24" ht="22.5" customHeight="1">
      <c r="A24" s="3" t="s">
        <v>1510</v>
      </c>
      <c r="B24" s="4">
        <v>23.0</v>
      </c>
      <c r="C24" s="3" t="s">
        <v>1525</v>
      </c>
      <c r="D24" s="3" t="s">
        <v>907</v>
      </c>
      <c r="E24" s="3" t="s">
        <v>1526</v>
      </c>
      <c r="F24" s="3" t="s">
        <v>1527</v>
      </c>
      <c r="G24" s="3" t="s">
        <v>1528</v>
      </c>
      <c r="H24" s="3" t="s">
        <v>1526</v>
      </c>
      <c r="I24" s="3" t="s">
        <v>1529</v>
      </c>
      <c r="J24" s="2"/>
      <c r="K24" s="2"/>
      <c r="L24" s="3" t="s">
        <v>1510</v>
      </c>
      <c r="M24" s="4">
        <v>23.0</v>
      </c>
      <c r="N24" s="3" t="str">
        <f>IFERROR(__xludf.DUMMYFUNCTION("GOOGLETRANSLATE(C24,""en"",""zh-CN"")"),"河中央船上的这些人有什么目的？")</f>
        <v>河中央船上的这些人有什么目的？</v>
      </c>
      <c r="O24" s="3" t="str">
        <f>IFERROR(__xludf.DUMMYFUNCTION("GOOGLETRANSLATE(D24,""en"",""zh-CN"")"),"他们是旁观者。")</f>
        <v>他们是旁观者。</v>
      </c>
      <c r="P24" s="3" t="str">
        <f>IFERROR(__xludf.DUMMYFUNCTION("GOOGLETRANSLATE(E24,""en"",""zh-CN"")"),"他们是安全人员或工作人员。")</f>
        <v>他们是安全人员或工作人员。</v>
      </c>
      <c r="Q24" s="3" t="str">
        <f>IFERROR(__xludf.DUMMYFUNCTION("GOOGLETRANSLATE(F24,""en"",""zh-CN"")"),"他们也是比赛的一部分。")</f>
        <v>他们也是比赛的一部分。</v>
      </c>
      <c r="R24" s="3" t="str">
        <f>IFERROR(__xludf.DUMMYFUNCTION("GOOGLETRANSLATE(G24,""en"",""zh-CN"")"),"他们在售卖商品。")</f>
        <v>他们在售卖商品。</v>
      </c>
      <c r="S24" s="3" t="s">
        <v>1530</v>
      </c>
      <c r="T24" s="3" t="str">
        <f>IFERROR(__xludf.DUMMYFUNCTION("GOOGLETRANSLATE(H24,""en"",""zh-CN"")"),"他们是安全人员或工作人员。")</f>
        <v>他们是安全人员或工作人员。</v>
      </c>
      <c r="U24" s="3" t="str">
        <f>IFERROR(__xludf.DUMMYFUNCTION("GOOGLETRANSLATE(I24,""en"",""zh-CN"")"),"小型机动船上的人很可能是赛事官员或安全人员，他们负责监控比赛并确保赛道畅通。")</f>
        <v>小型机动船上的人很可能是赛事官员或安全人员，他们负责监控比赛并确保赛道畅通。</v>
      </c>
      <c r="V24" s="2"/>
      <c r="W24" s="2"/>
      <c r="X24" s="2"/>
      <c r="Y24" s="2"/>
      <c r="Z24" s="2"/>
      <c r="AA24" s="2"/>
      <c r="AB24" s="2"/>
      <c r="AC24" s="2"/>
      <c r="AD24" s="2"/>
      <c r="AE24" s="2"/>
      <c r="AF24" s="2"/>
      <c r="AG24" s="2"/>
      <c r="AH24" s="2"/>
      <c r="AI24" s="2"/>
      <c r="AJ24" s="2"/>
      <c r="AK24" s="2"/>
      <c r="AL24" s="2"/>
    </row>
    <row r="25" ht="22.5" customHeight="1">
      <c r="A25" s="3" t="s">
        <v>1510</v>
      </c>
      <c r="B25" s="4">
        <v>24.0</v>
      </c>
      <c r="C25" s="3" t="s">
        <v>1531</v>
      </c>
      <c r="D25" s="3" t="s">
        <v>1532</v>
      </c>
      <c r="E25" s="3" t="s">
        <v>1533</v>
      </c>
      <c r="F25" s="3" t="s">
        <v>1534</v>
      </c>
      <c r="G25" s="3" t="s">
        <v>1535</v>
      </c>
      <c r="H25" s="3" t="s">
        <v>1533</v>
      </c>
      <c r="I25" s="3" t="s">
        <v>1536</v>
      </c>
      <c r="J25" s="2"/>
      <c r="K25" s="2"/>
      <c r="L25" s="3" t="s">
        <v>1510</v>
      </c>
      <c r="M25" s="4">
        <v>24.0</v>
      </c>
      <c r="N25" s="3" t="str">
        <f>IFERROR(__xludf.DUMMYFUNCTION("GOOGLETRANSLATE(C25,""en"",""zh-CN"")"),"前景中的两个人可能是什么？")</f>
        <v>前景中的两个人可能是什么？</v>
      </c>
      <c r="O25" s="3" t="str">
        <f>IFERROR(__xludf.DUMMYFUNCTION("GOOGLETRANSLATE(D25,""en"",""zh-CN"")"),"运动员")</f>
        <v>运动员</v>
      </c>
      <c r="P25" s="3" t="str">
        <f>IFERROR(__xludf.DUMMYFUNCTION("GOOGLETRANSLATE(E25,""en"",""zh-CN"")"),"观众")</f>
        <v>观众</v>
      </c>
      <c r="Q25" s="3" t="str">
        <f>IFERROR(__xludf.DUMMYFUNCTION("GOOGLETRANSLATE(F25,""en"",""zh-CN"")"),"赛事官员")</f>
        <v>赛事官员</v>
      </c>
      <c r="R25" s="3" t="str">
        <f>IFERROR(__xludf.DUMMYFUNCTION("GOOGLETRANSLATE(G25,""en"",""zh-CN"")"),"法官")</f>
        <v>法官</v>
      </c>
      <c r="S25" s="3" t="s">
        <v>1537</v>
      </c>
      <c r="T25" s="3" t="str">
        <f>IFERROR(__xludf.DUMMYFUNCTION("GOOGLETRANSLATE(H25,""en"",""zh-CN"")"),"观众")</f>
        <v>观众</v>
      </c>
      <c r="U25" s="3" t="str">
        <f>IFERROR(__xludf.DUMMYFUNCTION("GOOGLETRANSLATE(I25,""en"",""zh-CN"")"),"前景中的两个人，只露出头部和肩膀，处于观察者的位置，俯视着比赛，表明他们是观众。")</f>
        <v>前景中的两个人，只露出头部和肩膀，处于观察者的位置，俯视着比赛，表明他们是观众。</v>
      </c>
      <c r="V25" s="2"/>
      <c r="W25" s="2"/>
      <c r="X25" s="2"/>
      <c r="Y25" s="2"/>
      <c r="Z25" s="2"/>
      <c r="AA25" s="2"/>
      <c r="AB25" s="2"/>
      <c r="AC25" s="2"/>
      <c r="AD25" s="2"/>
      <c r="AE25" s="2"/>
      <c r="AF25" s="2"/>
      <c r="AG25" s="2"/>
      <c r="AH25" s="2"/>
      <c r="AI25" s="2"/>
      <c r="AJ25" s="2"/>
      <c r="AK25" s="2"/>
      <c r="AL25" s="2"/>
    </row>
    <row r="26" ht="22.5" customHeight="1">
      <c r="A26" s="3" t="s">
        <v>1510</v>
      </c>
      <c r="B26" s="4">
        <v>25.0</v>
      </c>
      <c r="C26" s="3" t="s">
        <v>1538</v>
      </c>
      <c r="D26" s="3" t="s">
        <v>1539</v>
      </c>
      <c r="E26" s="3" t="s">
        <v>1540</v>
      </c>
      <c r="F26" s="3" t="s">
        <v>1541</v>
      </c>
      <c r="G26" s="3" t="s">
        <v>1542</v>
      </c>
      <c r="H26" s="3" t="s">
        <v>1539</v>
      </c>
      <c r="I26" s="3" t="s">
        <v>1543</v>
      </c>
      <c r="J26" s="2"/>
      <c r="K26" s="2"/>
      <c r="L26" s="3" t="s">
        <v>1510</v>
      </c>
      <c r="M26" s="4">
        <v>25.0</v>
      </c>
      <c r="N26" s="3" t="str">
        <f>IFERROR(__xludf.DUMMYFUNCTION("GOOGLETRANSLATE(C26,""en"",""zh-CN"")"),"阳光明媚的天气和熙熙攘攘的人群表明了什么？")</f>
        <v>阳光明媚的天气和熙熙攘攘的人群表明了什么？</v>
      </c>
      <c r="O26" s="3" t="str">
        <f>IFERROR(__xludf.DUMMYFUNCTION("GOOGLETRANSLATE(D26,""en"",""zh-CN"")"),"这是一个大型节日或社区活动。")</f>
        <v>这是一个大型节日或社区活动。</v>
      </c>
      <c r="P26" s="3" t="str">
        <f>IFERROR(__xludf.DUMMYFUNCTION("GOOGLETRANSLATE(E26,""en"",""zh-CN"")"),"这是一场激烈的比赛。")</f>
        <v>这是一场激烈的比赛。</v>
      </c>
      <c r="Q26" s="3" t="str">
        <f>IFERROR(__xludf.DUMMYFUNCTION("GOOGLETRANSLATE(F26,""en"",""zh-CN"")"),"这是一场职业体育比赛。")</f>
        <v>这是一场职业体育比赛。</v>
      </c>
      <c r="R26" s="3" t="str">
        <f>IFERROR(__xludf.DUMMYFUNCTION("GOOGLETRANSLATE(G26,""en"",""zh-CN"")"),"这是一场私人聚会。")</f>
        <v>这是一场私人聚会。</v>
      </c>
      <c r="S26" s="3" t="s">
        <v>1544</v>
      </c>
      <c r="T26" s="3" t="str">
        <f>IFERROR(__xludf.DUMMYFUNCTION("GOOGLETRANSLATE(H26,""en"",""zh-CN"")"),"这是一个大型节日或社区活动。")</f>
        <v>这是一个大型节日或社区活动。</v>
      </c>
      <c r="U26" s="3" t="str">
        <f>IFERROR(__xludf.DUMMYFUNCTION("GOOGLETRANSLATE(I26,""en"",""zh-CN"")"),"河岸边聚集着人群，天气晴朗，节日气氛浓厚，这表明这场比赛是大型社区节日或庆祝活动的一部分。")</f>
        <v>河岸边聚集着人群，天气晴朗，节日气氛浓厚，这表明这场比赛是大型社区节日或庆祝活动的一部分。</v>
      </c>
      <c r="V26" s="2"/>
      <c r="W26" s="2"/>
      <c r="X26" s="2"/>
      <c r="Y26" s="2"/>
      <c r="Z26" s="2"/>
      <c r="AA26" s="2"/>
      <c r="AB26" s="2"/>
      <c r="AC26" s="2"/>
      <c r="AD26" s="2"/>
      <c r="AE26" s="2"/>
      <c r="AF26" s="2"/>
      <c r="AG26" s="2"/>
      <c r="AH26" s="2"/>
      <c r="AI26" s="2"/>
      <c r="AJ26" s="2"/>
      <c r="AK26" s="2"/>
      <c r="AL26" s="2"/>
    </row>
    <row r="27" ht="22.5" customHeight="1">
      <c r="A27" s="3" t="s">
        <v>1545</v>
      </c>
      <c r="B27" s="4">
        <v>26.0</v>
      </c>
      <c r="C27" s="3" t="s">
        <v>1546</v>
      </c>
      <c r="D27" s="3" t="s">
        <v>1547</v>
      </c>
      <c r="E27" s="3" t="s">
        <v>1548</v>
      </c>
      <c r="F27" s="3" t="s">
        <v>1549</v>
      </c>
      <c r="G27" s="3" t="s">
        <v>1550</v>
      </c>
      <c r="H27" s="3" t="s">
        <v>1549</v>
      </c>
      <c r="I27" s="3" t="s">
        <v>1551</v>
      </c>
      <c r="J27" s="2"/>
      <c r="K27" s="2"/>
      <c r="L27" s="3" t="s">
        <v>1545</v>
      </c>
      <c r="M27" s="4">
        <v>26.0</v>
      </c>
      <c r="N27" s="3" t="str">
        <f>IFERROR(__xludf.DUMMYFUNCTION("GOOGLETRANSLATE(C27,""en"",""zh-CN"")"),"图中所示的主要动作是什么？")</f>
        <v>图中所示的主要动作是什么？</v>
      </c>
      <c r="O27" s="3" t="str">
        <f>IFERROR(__xludf.DUMMYFUNCTION("GOOGLETRANSLATE(D27,""en"",""zh-CN"")"),"桨被举过水面。")</f>
        <v>桨被举过水面。</v>
      </c>
      <c r="P27" s="3" t="str">
        <f>IFERROR(__xludf.DUMMYFUNCTION("GOOGLETRANSLATE(E27,""en"",""zh-CN"")"),"船是用桨来控制方向的。")</f>
        <v>船是用桨来控制方向的。</v>
      </c>
      <c r="Q27" s="3" t="str">
        <f>IFERROR(__xludf.DUMMYFUNCTION("GOOGLETRANSLATE(F27,""en"",""zh-CN"")"),"桨叶同步入水。")</f>
        <v>桨叶同步入水。</v>
      </c>
      <c r="R27" s="3" t="str">
        <f>IFERROR(__xludf.DUMMYFUNCTION("GOOGLETRANSLATE(G27,""en"",""zh-CN"")"),"拨片被用作刹车。")</f>
        <v>拨片被用作刹车。</v>
      </c>
      <c r="S27" s="3" t="s">
        <v>1552</v>
      </c>
      <c r="T27" s="3" t="str">
        <f>IFERROR(__xludf.DUMMYFUNCTION("GOOGLETRANSLATE(H27,""en"",""zh-CN"")"),"桨叶同步入水。")</f>
        <v>桨叶同步入水。</v>
      </c>
      <c r="U27" s="3" t="str">
        <f>IFERROR(__xludf.DUMMYFUNCTION("GOOGLETRANSLATE(I27,""en"",""zh-CN"")"),"这张照片捕捉到了多名划桨者的桨同时入水的瞬间，这是产生前进动力的关键。")</f>
        <v>这张照片捕捉到了多名划桨者的桨同时入水的瞬间，这是产生前进动力的关键。</v>
      </c>
      <c r="V27" s="2"/>
      <c r="W27" s="2"/>
      <c r="X27" s="2"/>
      <c r="Y27" s="2"/>
      <c r="Z27" s="2"/>
      <c r="AA27" s="2"/>
      <c r="AB27" s="2"/>
      <c r="AC27" s="2"/>
      <c r="AD27" s="2"/>
      <c r="AE27" s="2"/>
      <c r="AF27" s="2"/>
      <c r="AG27" s="2"/>
      <c r="AH27" s="2"/>
      <c r="AI27" s="2"/>
      <c r="AJ27" s="2"/>
      <c r="AK27" s="2"/>
      <c r="AL27" s="2"/>
    </row>
    <row r="28" ht="22.5" customHeight="1">
      <c r="A28" s="3" t="s">
        <v>1545</v>
      </c>
      <c r="B28" s="4">
        <v>27.0</v>
      </c>
      <c r="C28" s="3" t="s">
        <v>1553</v>
      </c>
      <c r="D28" s="3" t="s">
        <v>1427</v>
      </c>
      <c r="E28" s="3" t="s">
        <v>1554</v>
      </c>
      <c r="F28" s="3" t="s">
        <v>1429</v>
      </c>
      <c r="G28" s="3" t="s">
        <v>1555</v>
      </c>
      <c r="H28" s="3" t="s">
        <v>1554</v>
      </c>
      <c r="I28" s="3" t="s">
        <v>1556</v>
      </c>
      <c r="J28" s="2"/>
      <c r="K28" s="2"/>
      <c r="L28" s="3" t="s">
        <v>1545</v>
      </c>
      <c r="M28" s="4">
        <v>27.0</v>
      </c>
      <c r="N28" s="3" t="str">
        <f>IFERROR(__xludf.DUMMYFUNCTION("GOOGLETRANSLATE(C28,""en"",""zh-CN"")"),"船舷上溅起的水花象征着什么？")</f>
        <v>船舷上溅起的水花象征着什么？</v>
      </c>
      <c r="O28" s="3" t="str">
        <f>IFERROR(__xludf.DUMMYFUNCTION("GOOGLETRANSLATE(D28,""en"",""zh-CN"")"),"船正在下沉。")</f>
        <v>船正在下沉。</v>
      </c>
      <c r="P28" s="3" t="str">
        <f>IFERROR(__xludf.DUMMYFUNCTION("GOOGLETRANSLATE(E28,""en"",""zh-CN"")"),"船正在高速行驶。")</f>
        <v>船正在高速行驶。</v>
      </c>
      <c r="Q28" s="3" t="str">
        <f>IFERROR(__xludf.DUMMYFUNCTION("GOOGLETRANSLATE(F28,""en"",""zh-CN"")"),"船静止不动。")</f>
        <v>船静止不动。</v>
      </c>
      <c r="R28" s="3" t="str">
        <f>IFERROR(__xludf.DUMMYFUNCTION("GOOGLETRANSLATE(G28,""en"",""zh-CN"")"),"水面波涛汹涌。")</f>
        <v>水面波涛汹涌。</v>
      </c>
      <c r="S28" s="3" t="s">
        <v>1557</v>
      </c>
      <c r="T28" s="3" t="str">
        <f>IFERROR(__xludf.DUMMYFUNCTION("GOOGLETRANSLATE(H28,""en"",""zh-CN"")"),"船正在高速行驶。")</f>
        <v>船正在高速行驶。</v>
      </c>
      <c r="U28" s="3" t="str">
        <f>IFERROR(__xludf.DUMMYFUNCTION("GOOGLETRANSLATE(I28,""en"",""zh-CN"")"),"船舷上可见的水花表明，强劲而协调的划水动作正推动着船只高速前进。")</f>
        <v>船舷上可见的水花表明，强劲而协调的划水动作正推动着船只高速前进。</v>
      </c>
      <c r="V28" s="2"/>
      <c r="W28" s="2"/>
      <c r="X28" s="2"/>
      <c r="Y28" s="2"/>
      <c r="Z28" s="2"/>
      <c r="AA28" s="2"/>
      <c r="AB28" s="2"/>
      <c r="AC28" s="2"/>
      <c r="AD28" s="2"/>
      <c r="AE28" s="2"/>
      <c r="AF28" s="2"/>
      <c r="AG28" s="2"/>
      <c r="AH28" s="2"/>
      <c r="AI28" s="2"/>
      <c r="AJ28" s="2"/>
      <c r="AK28" s="2"/>
      <c r="AL28" s="2"/>
    </row>
    <row r="29" ht="22.5" customHeight="1">
      <c r="A29" s="3" t="s">
        <v>1545</v>
      </c>
      <c r="B29" s="4">
        <v>28.0</v>
      </c>
      <c r="C29" s="3" t="s">
        <v>1558</v>
      </c>
      <c r="D29" s="3" t="s">
        <v>1559</v>
      </c>
      <c r="E29" s="3" t="s">
        <v>1560</v>
      </c>
      <c r="F29" s="3" t="s">
        <v>1561</v>
      </c>
      <c r="G29" s="3" t="s">
        <v>1562</v>
      </c>
      <c r="H29" s="3" t="s">
        <v>1560</v>
      </c>
      <c r="I29" s="3" t="s">
        <v>1563</v>
      </c>
      <c r="J29" s="2"/>
      <c r="K29" s="2"/>
      <c r="L29" s="3" t="s">
        <v>1545</v>
      </c>
      <c r="M29" s="4">
        <v>28.0</v>
      </c>
      <c r="N29" s="3" t="str">
        <f>IFERROR(__xludf.DUMMYFUNCTION("GOOGLETRANSLATE(C29,""en"",""zh-CN"")"),"船舷上绘制的图案有什么用途？")</f>
        <v>船舷上绘制的图案有什么用途？</v>
      </c>
      <c r="O29" s="3" t="str">
        <f>IFERROR(__xludf.DUMMYFUNCTION("GOOGLETRANSLATE(D29,""en"",""zh-CN"")"),"使船体更加流线型。")</f>
        <v>使船体更加流线型。</v>
      </c>
      <c r="P29" s="3" t="str">
        <f>IFERROR(__xludf.DUMMYFUNCTION("GOOGLETRANSLATE(E29,""en"",""zh-CN"")"),"用来表现龙鳞。")</f>
        <v>用来表现龙鳞。</v>
      </c>
      <c r="Q29" s="3" t="str">
        <f>IFERROR(__xludf.DUMMYFUNCTION("GOOGLETRANSLATE(F29,""en"",""zh-CN"")"),"为划桨者提供抓握点。")</f>
        <v>为划桨者提供抓握点。</v>
      </c>
      <c r="R29" s="3" t="str">
        <f>IFERROR(__xludf.DUMMYFUNCTION("GOOGLETRANSLATE(G29,""en"",""zh-CN"")"),"用于表示球队排名。")</f>
        <v>用于表示球队排名。</v>
      </c>
      <c r="S29" s="3" t="s">
        <v>1564</v>
      </c>
      <c r="T29" s="3" t="str">
        <f>IFERROR(__xludf.DUMMYFUNCTION("GOOGLETRANSLATE(H29,""en"",""zh-CN"")"),"用来表现龙鳞。")</f>
        <v>用来表现龙鳞。</v>
      </c>
      <c r="U29" s="3" t="str">
        <f>IFERROR(__xludf.DUMMYFUNCTION("GOOGLETRANSLATE(I29,""en"",""zh-CN"")"),"船舷上重复出现的蓝白图案是对龙鳞的艺术化表现，龙鳞是一种传统的设计元素。")</f>
        <v>船舷上重复出现的蓝白图案是对龙鳞的艺术化表现，龙鳞是一种传统的设计元素。</v>
      </c>
      <c r="V29" s="2"/>
      <c r="W29" s="2"/>
      <c r="X29" s="2"/>
      <c r="Y29" s="2"/>
      <c r="Z29" s="2"/>
      <c r="AA29" s="2"/>
      <c r="AB29" s="2"/>
      <c r="AC29" s="2"/>
      <c r="AD29" s="2"/>
      <c r="AE29" s="2"/>
      <c r="AF29" s="2"/>
      <c r="AG29" s="2"/>
      <c r="AH29" s="2"/>
      <c r="AI29" s="2"/>
      <c r="AJ29" s="2"/>
      <c r="AK29" s="2"/>
      <c r="AL29" s="2"/>
    </row>
    <row r="30" ht="22.5" customHeight="1">
      <c r="A30" s="3" t="s">
        <v>1545</v>
      </c>
      <c r="B30" s="4">
        <v>29.0</v>
      </c>
      <c r="C30" s="3" t="s">
        <v>1565</v>
      </c>
      <c r="D30" s="3" t="s">
        <v>1566</v>
      </c>
      <c r="E30" s="3" t="s">
        <v>1567</v>
      </c>
      <c r="F30" s="3" t="s">
        <v>1568</v>
      </c>
      <c r="G30" s="3" t="s">
        <v>1569</v>
      </c>
      <c r="H30" s="3" t="s">
        <v>1567</v>
      </c>
      <c r="I30" s="3" t="s">
        <v>1570</v>
      </c>
      <c r="J30" s="2"/>
      <c r="K30" s="2"/>
      <c r="L30" s="3" t="s">
        <v>1545</v>
      </c>
      <c r="M30" s="4">
        <v>29.0</v>
      </c>
      <c r="N30" s="3" t="str">
        <f>IFERROR(__xludf.DUMMYFUNCTION("GOOGLETRANSLATE(C30,""en"",""zh-CN"")"),"划桨者们都戴着手套。这是为什么呢？")</f>
        <v>划桨者们都戴着手套。这是为什么呢？</v>
      </c>
      <c r="O30" s="3" t="str">
        <f>IFERROR(__xludf.DUMMYFUNCTION("GOOGLETRANSLATE(D30,""en"",""zh-CN"")"),"为了保持双手温暖。")</f>
        <v>为了保持双手温暖。</v>
      </c>
      <c r="P30" s="3" t="str">
        <f>IFERROR(__xludf.DUMMYFUNCTION("GOOGLETRANSLATE(E30,""en"",""zh-CN"")"),"为了保护双手免受水泡之苦。")</f>
        <v>为了保护双手免受水泡之苦。</v>
      </c>
      <c r="Q30" s="3" t="str">
        <f>IFERROR(__xludf.DUMMYFUNCTION("GOOGLETRANSLATE(F30,""en"",""zh-CN"")"),"为了提高他们握桨的力度。")</f>
        <v>为了提高他们握桨的力度。</v>
      </c>
      <c r="R30" s="3" t="str">
        <f>IFERROR(__xludf.DUMMYFUNCTION("GOOGLETRANSLATE(G30,""en"",""zh-CN"")"),"为了表明他们的团队。")</f>
        <v>为了表明他们的团队。</v>
      </c>
      <c r="S30" s="3" t="s">
        <v>1571</v>
      </c>
      <c r="T30" s="3" t="str">
        <f>IFERROR(__xludf.DUMMYFUNCTION("GOOGLETRANSLATE(H30,""en"",""zh-CN"")"),"为了保护双手免受水泡之苦。")</f>
        <v>为了保护双手免受水泡之苦。</v>
      </c>
      <c r="U30" s="3" t="str">
        <f>IFERROR(__xludf.DUMMYFUNCTION("GOOGLETRANSLATE(I30,""en"",""zh-CN"")"),"划桨者戴手套是为了防止因反复划桨动作与桨柄摩擦而产生的水泡和老茧。")</f>
        <v>划桨者戴手套是为了防止因反复划桨动作与桨柄摩擦而产生的水泡和老茧。</v>
      </c>
      <c r="V30" s="2"/>
      <c r="W30" s="2"/>
      <c r="X30" s="2"/>
      <c r="Y30" s="2"/>
      <c r="Z30" s="2"/>
      <c r="AA30" s="2"/>
      <c r="AB30" s="2"/>
      <c r="AC30" s="2"/>
      <c r="AD30" s="2"/>
      <c r="AE30" s="2"/>
      <c r="AF30" s="2"/>
      <c r="AG30" s="2"/>
      <c r="AH30" s="2"/>
      <c r="AI30" s="2"/>
      <c r="AJ30" s="2"/>
      <c r="AK30" s="2"/>
      <c r="AL30" s="2"/>
    </row>
    <row r="31" ht="22.5" customHeight="1">
      <c r="A31" s="3" t="s">
        <v>1545</v>
      </c>
      <c r="B31" s="4">
        <v>30.0</v>
      </c>
      <c r="C31" s="3" t="s">
        <v>1572</v>
      </c>
      <c r="D31" s="3" t="s">
        <v>1573</v>
      </c>
      <c r="E31" s="3" t="s">
        <v>1574</v>
      </c>
      <c r="F31" s="3" t="s">
        <v>1575</v>
      </c>
      <c r="G31" s="3" t="s">
        <v>1576</v>
      </c>
      <c r="H31" s="3" t="s">
        <v>1575</v>
      </c>
      <c r="I31" s="3" t="s">
        <v>1577</v>
      </c>
      <c r="J31" s="2"/>
      <c r="K31" s="2"/>
      <c r="L31" s="3" t="s">
        <v>1545</v>
      </c>
      <c r="M31" s="4">
        <v>30.0</v>
      </c>
      <c r="N31" s="3" t="str">
        <f>IFERROR(__xludf.DUMMYFUNCTION("GOOGLETRANSLATE(C31,""en"",""zh-CN"")"),"如图所示，团队成功的关键因素是什么？")</f>
        <v>如图所示，团队成功的关键因素是什么？</v>
      </c>
      <c r="O31" s="3" t="str">
        <f>IFERROR(__xludf.DUMMYFUNCTION("GOOGLETRANSLATE(D31,""en"",""zh-CN"")"),"每位桨手的实力。")</f>
        <v>每位桨手的实力。</v>
      </c>
      <c r="P31" s="3" t="str">
        <f>IFERROR(__xludf.DUMMYFUNCTION("GOOGLETRANSLATE(E31,""en"",""zh-CN"")"),"船的设计。")</f>
        <v>船的设计。</v>
      </c>
      <c r="Q31" s="3" t="str">
        <f>IFERROR(__xludf.DUMMYFUNCTION("GOOGLETRANSLATE(F31,""en"",""zh-CN"")"),"桨手们配合得天衣无缝。")</f>
        <v>桨手们配合得天衣无缝。</v>
      </c>
      <c r="R31" s="3" t="str">
        <f>IFERROR(__xludf.DUMMYFUNCTION("GOOGLETRANSLATE(G31,""en"",""zh-CN"")"),"天气状况。")</f>
        <v>天气状况。</v>
      </c>
      <c r="S31" s="3" t="s">
        <v>1578</v>
      </c>
      <c r="T31" s="3" t="str">
        <f>IFERROR(__xludf.DUMMYFUNCTION("GOOGLETRANSLATE(H31,""en"",""zh-CN"")"),"桨手们配合得天衣无缝。")</f>
        <v>桨手们配合得天衣无缝。</v>
      </c>
      <c r="U31" s="3" t="str">
        <f>IFERROR(__xludf.DUMMYFUNCTION("GOOGLETRANSLATE(I31,""en"",""zh-CN"")"),"这张图片强调了团队的同步划桨，这是产生赢得比赛所需力量的最关键因素。")</f>
        <v>这张图片强调了团队的同步划桨，这是产生赢得比赛所需力量的最关键因素。</v>
      </c>
      <c r="V31" s="2"/>
      <c r="W31" s="2"/>
      <c r="X31" s="2"/>
      <c r="Y31" s="2"/>
      <c r="Z31" s="2"/>
      <c r="AA31" s="2"/>
      <c r="AB31" s="2"/>
      <c r="AC31" s="2"/>
      <c r="AD31" s="2"/>
      <c r="AE31" s="2"/>
      <c r="AF31" s="2"/>
      <c r="AG31" s="2"/>
      <c r="AH31" s="2"/>
      <c r="AI31" s="2"/>
      <c r="AJ31" s="2"/>
      <c r="AK31" s="2"/>
      <c r="AL31" s="2"/>
    </row>
    <row r="32" ht="22.5" customHeight="1">
      <c r="A32" s="3" t="s">
        <v>1579</v>
      </c>
      <c r="B32" s="4">
        <v>31.0</v>
      </c>
      <c r="C32" s="3" t="s">
        <v>1580</v>
      </c>
      <c r="D32" s="3" t="s">
        <v>1581</v>
      </c>
      <c r="E32" s="3" t="s">
        <v>1582</v>
      </c>
      <c r="F32" s="3" t="s">
        <v>1583</v>
      </c>
      <c r="G32" s="3" t="s">
        <v>1584</v>
      </c>
      <c r="H32" s="3" t="s">
        <v>1583</v>
      </c>
      <c r="I32" s="3" t="s">
        <v>1585</v>
      </c>
      <c r="J32" s="2"/>
      <c r="K32" s="2"/>
      <c r="L32" s="3" t="s">
        <v>1579</v>
      </c>
      <c r="M32" s="4">
        <v>31.0</v>
      </c>
      <c r="N32" s="3" t="str">
        <f>IFERROR(__xludf.DUMMYFUNCTION("GOOGLETRANSLATE(C32,""en"",""zh-CN"")"),"这张图片中最引人注目的元素是什么？")</f>
        <v>这张图片中最引人注目的元素是什么？</v>
      </c>
      <c r="O32" s="3" t="str">
        <f>IFERROR(__xludf.DUMMYFUNCTION("GOOGLETRANSLATE(D32,""en"",""zh-CN"")"),"参赛选手们表情严肃。")</f>
        <v>参赛选手们表情严肃。</v>
      </c>
      <c r="P32" s="3" t="str">
        <f>IFERROR(__xludf.DUMMYFUNCTION("GOOGLETRANSLATE(E32,""en"",""zh-CN"")"),"竞争非常激烈。")</f>
        <v>竞争非常激烈。</v>
      </c>
      <c r="Q32" s="3" t="str">
        <f>IFERROR(__xludf.DUMMYFUNCTION("GOOGLETRANSLATE(F32,""en"",""zh-CN"")"),"赛前轻松愉快的氛围。")</f>
        <v>赛前轻松愉快的氛围。</v>
      </c>
      <c r="R32" s="3" t="str">
        <f>IFERROR(__xludf.DUMMYFUNCTION("GOOGLETRANSLATE(G32,""en"",""zh-CN"")"),"传统风格。")</f>
        <v>传统风格。</v>
      </c>
      <c r="S32" s="3" t="s">
        <v>1586</v>
      </c>
      <c r="T32" s="3" t="str">
        <f>IFERROR(__xludf.DUMMYFUNCTION("GOOGLETRANSLATE(H32,""en"",""zh-CN"")"),"赛前轻松愉快的氛围。")</f>
        <v>赛前轻松愉快的氛围。</v>
      </c>
      <c r="U32" s="3" t="str">
        <f>IFERROR(__xludf.DUMMYFUNCTION("GOOGLETRANSLATE(I32,""en"",""zh-CN"")"),"人们面带微笑，自拍留念，坐在船上，营造出轻松的赛前氛围，这也是庆祝活动的重要组成部分。")</f>
        <v>人们面带微笑，自拍留念，坐在船上，营造出轻松的赛前氛围，这也是庆祝活动的重要组成部分。</v>
      </c>
      <c r="V32" s="2"/>
      <c r="W32" s="2"/>
      <c r="X32" s="2"/>
      <c r="Y32" s="2"/>
      <c r="Z32" s="2"/>
      <c r="AA32" s="2"/>
      <c r="AB32" s="2"/>
      <c r="AC32" s="2"/>
      <c r="AD32" s="2"/>
      <c r="AE32" s="2"/>
      <c r="AF32" s="2"/>
      <c r="AG32" s="2"/>
      <c r="AH32" s="2"/>
      <c r="AI32" s="2"/>
      <c r="AJ32" s="2"/>
      <c r="AK32" s="2"/>
      <c r="AL32" s="2"/>
    </row>
    <row r="33" ht="22.5" customHeight="1">
      <c r="A33" s="3" t="s">
        <v>1579</v>
      </c>
      <c r="B33" s="4">
        <v>32.0</v>
      </c>
      <c r="C33" s="3" t="s">
        <v>1587</v>
      </c>
      <c r="D33" s="3" t="s">
        <v>1588</v>
      </c>
      <c r="E33" s="3" t="s">
        <v>1589</v>
      </c>
      <c r="F33" s="3" t="s">
        <v>1590</v>
      </c>
      <c r="G33" s="3" t="s">
        <v>1591</v>
      </c>
      <c r="H33" s="3" t="s">
        <v>1588</v>
      </c>
      <c r="I33" s="3" t="s">
        <v>1592</v>
      </c>
      <c r="J33" s="2"/>
      <c r="K33" s="2"/>
      <c r="L33" s="3" t="s">
        <v>1579</v>
      </c>
      <c r="M33" s="4">
        <v>32.0</v>
      </c>
      <c r="N33" s="3" t="str">
        <f>IFERROR(__xludf.DUMMYFUNCTION("GOOGLETRANSLATE(C33,""en"",""zh-CN"")"),"船上标有数字“4”和“6”。这代表什么？")</f>
        <v>船上标有数字“4”和“6”。这代表什么？</v>
      </c>
      <c r="O33" s="3" t="str">
        <f>IFERROR(__xludf.DUMMYFUNCTION("GOOGLETRANSLATE(D33,""en"",""zh-CN"")"),"船号和航道号。")</f>
        <v>船号和航道号。</v>
      </c>
      <c r="P33" s="3" t="str">
        <f>IFERROR(__xludf.DUMMYFUNCTION("GOOGLETRANSLATE(E33,""en"",""zh-CN"")"),"划桨者人数。")</f>
        <v>划桨者人数。</v>
      </c>
      <c r="Q33" s="3" t="str">
        <f>IFERROR(__xludf.DUMMYFUNCTION("GOOGLETRANSLATE(F33,""en"",""zh-CN"")"),"比赛时间。")</f>
        <v>比赛时间。</v>
      </c>
      <c r="R33" s="3" t="str">
        <f>IFERROR(__xludf.DUMMYFUNCTION("GOOGLETRANSLATE(G33,""en"",""zh-CN"")"),"球队得分。")</f>
        <v>球队得分。</v>
      </c>
      <c r="S33" s="3" t="s">
        <v>1593</v>
      </c>
      <c r="T33" s="3" t="str">
        <f>IFERROR(__xludf.DUMMYFUNCTION("GOOGLETRANSLATE(H33,""en"",""zh-CN"")"),"船号和航道号。")</f>
        <v>船号和航道号。</v>
      </c>
      <c r="U33" s="3" t="str">
        <f>IFERROR(__xludf.DUMMYFUNCTION("GOOGLETRANSLATE(I33,""en"",""zh-CN"")"),"这些号码用于识别船只及其在比赛中分配的赛道，帮助官员和观众追踪参赛队伍。")</f>
        <v>这些号码用于识别船只及其在比赛中分配的赛道，帮助官员和观众追踪参赛队伍。</v>
      </c>
      <c r="V33" s="2"/>
      <c r="W33" s="2"/>
      <c r="X33" s="2"/>
      <c r="Y33" s="2"/>
      <c r="Z33" s="2"/>
      <c r="AA33" s="2"/>
      <c r="AB33" s="2"/>
      <c r="AC33" s="2"/>
      <c r="AD33" s="2"/>
      <c r="AE33" s="2"/>
      <c r="AF33" s="2"/>
      <c r="AG33" s="2"/>
      <c r="AH33" s="2"/>
      <c r="AI33" s="2"/>
      <c r="AJ33" s="2"/>
      <c r="AK33" s="2"/>
      <c r="AL33" s="2"/>
    </row>
    <row r="34" ht="22.5" customHeight="1">
      <c r="A34" s="3" t="s">
        <v>1579</v>
      </c>
      <c r="B34" s="4">
        <v>33.0</v>
      </c>
      <c r="C34" s="3" t="s">
        <v>1594</v>
      </c>
      <c r="D34" s="3" t="s">
        <v>1595</v>
      </c>
      <c r="E34" s="3" t="s">
        <v>1596</v>
      </c>
      <c r="F34" s="3" t="s">
        <v>1597</v>
      </c>
      <c r="G34" s="3" t="s">
        <v>1598</v>
      </c>
      <c r="H34" s="3" t="s">
        <v>1597</v>
      </c>
      <c r="I34" s="3" t="s">
        <v>1599</v>
      </c>
      <c r="J34" s="2"/>
      <c r="K34" s="2"/>
      <c r="L34" s="3" t="s">
        <v>1579</v>
      </c>
      <c r="M34" s="4">
        <v>33.0</v>
      </c>
      <c r="N34" s="3" t="str">
        <f>IFERROR(__xludf.DUMMYFUNCTION("GOOGLETRANSLATE(C34,""en"",""zh-CN"")"),"国际桨手的参与对这项运动意味着什么？")</f>
        <v>国际桨手的参与对这项运动意味着什么？</v>
      </c>
      <c r="O34" s="3" t="str">
        <f>IFERROR(__xludf.DUMMYFUNCTION("GOOGLETRANSLATE(D34,""en"",""zh-CN"")"),"这是一项新兴运动。")</f>
        <v>这是一项新兴运动。</v>
      </c>
      <c r="P34" s="3" t="str">
        <f>IFERROR(__xludf.DUMMYFUNCTION("GOOGLETRANSLATE(E34,""en"",""zh-CN"")"),"这是一项地方性的、区域性的体育运动。")</f>
        <v>这是一项地方性的、区域性的体育运动。</v>
      </c>
      <c r="Q34" s="3" t="str">
        <f>IFERROR(__xludf.DUMMYFUNCTION("GOOGLETRANSLATE(F34,""en"",""zh-CN"")"),"它已成为一项广受欢迎的国际运动。")</f>
        <v>它已成为一项广受欢迎的国际运动。</v>
      </c>
      <c r="R34" s="3" t="str">
        <f>IFERROR(__xludf.DUMMYFUNCTION("GOOGLETRANSLATE(G34,""en"",""zh-CN"")"),"它只在中国流行。")</f>
        <v>它只在中国流行。</v>
      </c>
      <c r="S34" s="3" t="s">
        <v>1600</v>
      </c>
      <c r="T34" s="3" t="str">
        <f>IFERROR(__xludf.DUMMYFUNCTION("GOOGLETRANSLATE(H34,""en"",""zh-CN"")"),"它已成为一项广受欢迎的国际运动。")</f>
        <v>它已成为一项广受欢迎的国际运动。</v>
      </c>
      <c r="U34" s="3" t="str">
        <f>IFERROR(__xludf.DUMMYFUNCTION("GOOGLETRANSLATE(I34,""en"",""zh-CN"")"),"人群中出现了形形色色的人，其中还有人在自拍，这表明这项运动已经获得了全球范围内的流行，并受到不同文化背景的人们的喜爱。")</f>
        <v>人群中出现了形形色色的人，其中还有人在自拍，这表明这项运动已经获得了全球范围内的流行，并受到不同文化背景的人们的喜爱。</v>
      </c>
      <c r="V34" s="2"/>
      <c r="W34" s="2"/>
      <c r="X34" s="2"/>
      <c r="Y34" s="2"/>
      <c r="Z34" s="2"/>
      <c r="AA34" s="2"/>
      <c r="AB34" s="2"/>
      <c r="AC34" s="2"/>
      <c r="AD34" s="2"/>
      <c r="AE34" s="2"/>
      <c r="AF34" s="2"/>
      <c r="AG34" s="2"/>
      <c r="AH34" s="2"/>
      <c r="AI34" s="2"/>
      <c r="AJ34" s="2"/>
      <c r="AK34" s="2"/>
      <c r="AL34" s="2"/>
    </row>
    <row r="35" ht="22.5" customHeight="1">
      <c r="A35" s="3" t="s">
        <v>1579</v>
      </c>
      <c r="B35" s="4">
        <v>34.0</v>
      </c>
      <c r="C35" s="3" t="s">
        <v>1601</v>
      </c>
      <c r="D35" s="3" t="s">
        <v>1423</v>
      </c>
      <c r="E35" s="3" t="s">
        <v>1602</v>
      </c>
      <c r="F35" s="3" t="s">
        <v>1603</v>
      </c>
      <c r="G35" s="3" t="s">
        <v>1604</v>
      </c>
      <c r="H35" s="3" t="s">
        <v>1603</v>
      </c>
      <c r="I35" s="3" t="s">
        <v>1605</v>
      </c>
      <c r="J35" s="2"/>
      <c r="K35" s="2"/>
      <c r="L35" s="3" t="s">
        <v>1579</v>
      </c>
      <c r="M35" s="4">
        <v>34.0</v>
      </c>
      <c r="N35" s="3" t="str">
        <f>IFERROR(__xludf.DUMMYFUNCTION("GOOGLETRANSLATE(C35,""en"",""zh-CN"")"),"船头拿着鼓的人是做什么用的？")</f>
        <v>船头拿着鼓的人是做什么用的？</v>
      </c>
      <c r="O35" s="3" t="str">
        <f>IFERROR(__xludf.DUMMYFUNCTION("GOOGLETRANSLATE(D35,""en"",""zh-CN"")"),"他们是旁观者。")</f>
        <v>他们是旁观者。</v>
      </c>
      <c r="P35" s="3" t="str">
        <f>IFERROR(__xludf.DUMMYFUNCTION("GOOGLETRANSLATE(E35,""en"",""zh-CN"")"),"他们是舵手。")</f>
        <v>他们是舵手。</v>
      </c>
      <c r="Q35" s="3" t="str">
        <f>IFERROR(__xludf.DUMMYFUNCTION("GOOGLETRANSLATE(F35,""en"",""zh-CN"")"),"他们是鼓手。")</f>
        <v>他们是鼓手。</v>
      </c>
      <c r="R35" s="3" t="str">
        <f>IFERROR(__xludf.DUMMYFUNCTION("GOOGLETRANSLATE(G35,""en"",""zh-CN"")"),"他们是掌舵人。")</f>
        <v>他们是掌舵人。</v>
      </c>
      <c r="S35" s="3" t="s">
        <v>1606</v>
      </c>
      <c r="T35" s="3" t="str">
        <f>IFERROR(__xludf.DUMMYFUNCTION("GOOGLETRANSLATE(H35,""en"",""zh-CN"")"),"他们是鼓手。")</f>
        <v>他们是鼓手。</v>
      </c>
      <c r="U35" s="3" t="str">
        <f>IFERROR(__xludf.DUMMYFUNCTION("GOOGLETRANSLATE(I35,""en"",""zh-CN"")"),"坐在船头的人旁边放着一面鼓，这表明他是鼓手，负责控制节奏。")</f>
        <v>坐在船头的人旁边放着一面鼓，这表明他是鼓手，负责控制节奏。</v>
      </c>
      <c r="V35" s="2"/>
      <c r="W35" s="2"/>
      <c r="X35" s="2"/>
      <c r="Y35" s="2"/>
      <c r="Z35" s="2"/>
      <c r="AA35" s="2"/>
      <c r="AB35" s="2"/>
      <c r="AC35" s="2"/>
      <c r="AD35" s="2"/>
      <c r="AE35" s="2"/>
      <c r="AF35" s="2"/>
      <c r="AG35" s="2"/>
      <c r="AH35" s="2"/>
      <c r="AI35" s="2"/>
      <c r="AJ35" s="2"/>
      <c r="AK35" s="2"/>
      <c r="AL35" s="2"/>
    </row>
    <row r="36" ht="22.5" customHeight="1">
      <c r="A36" s="3" t="s">
        <v>1579</v>
      </c>
      <c r="B36" s="4">
        <v>35.0</v>
      </c>
      <c r="C36" s="3" t="s">
        <v>1607</v>
      </c>
      <c r="D36" s="3" t="s">
        <v>1608</v>
      </c>
      <c r="E36" s="3" t="s">
        <v>1609</v>
      </c>
      <c r="F36" s="3" t="s">
        <v>1610</v>
      </c>
      <c r="G36" s="3" t="s">
        <v>1611</v>
      </c>
      <c r="H36" s="3" t="s">
        <v>1609</v>
      </c>
      <c r="I36" s="3" t="s">
        <v>1612</v>
      </c>
      <c r="J36" s="2"/>
      <c r="K36" s="2"/>
      <c r="L36" s="3" t="s">
        <v>1579</v>
      </c>
      <c r="M36" s="4">
        <v>35.0</v>
      </c>
      <c r="N36" s="3" t="str">
        <f>IFERROR(__xludf.DUMMYFUNCTION("GOOGLETRANSLATE(C36,""en"",""zh-CN"")"),"这些船只装饰着什么传统元素？")</f>
        <v>这些船只装饰着什么传统元素？</v>
      </c>
      <c r="O36" s="3" t="str">
        <f>IFERROR(__xludf.DUMMYFUNCTION("GOOGLETRANSLATE(D36,""en"",""zh-CN"")"),"旗帜和横幅。")</f>
        <v>旗帜和横幅。</v>
      </c>
      <c r="P36" s="3" t="str">
        <f>IFERROR(__xludf.DUMMYFUNCTION("GOOGLETRANSLATE(E36,""en"",""zh-CN"")"),"精美的龙头和龙尾。")</f>
        <v>精美的龙头和龙尾。</v>
      </c>
      <c r="Q36" s="3" t="str">
        <f>IFERROR(__xludf.DUMMYFUNCTION("GOOGLETRANSLATE(F36,""en"",""zh-CN"")"),"现代标志。")</f>
        <v>现代标志。</v>
      </c>
      <c r="R36" s="3" t="str">
        <f>IFERROR(__xludf.DUMMYFUNCTION("GOOGLETRANSLATE(G36,""en"",""zh-CN"")"),"团队口号。")</f>
        <v>团队口号。</v>
      </c>
      <c r="S36" s="3" t="s">
        <v>1613</v>
      </c>
      <c r="T36" s="3" t="str">
        <f>IFERROR(__xludf.DUMMYFUNCTION("GOOGLETRANSLATE(H36,""en"",""zh-CN"")"),"精美的龙头和龙尾。")</f>
        <v>精美的龙头和龙尾。</v>
      </c>
      <c r="U36" s="3" t="str">
        <f>IFERROR(__xludf.DUMMYFUNCTION("GOOGLETRANSLATE(I36,""en"",""zh-CN"")"),"这些船只拥有精雕细琢、色彩鲜艳的龙头，这是这些传统船只最显著的特征。")</f>
        <v>这些船只拥有精雕细琢、色彩鲜艳的龙头，这是这些传统船只最显著的特征。</v>
      </c>
      <c r="V36" s="2"/>
      <c r="W36" s="2"/>
      <c r="X36" s="2"/>
      <c r="Y36" s="2"/>
      <c r="Z36" s="2"/>
      <c r="AA36" s="2"/>
      <c r="AB36" s="2"/>
      <c r="AC36" s="2"/>
      <c r="AD36" s="2"/>
      <c r="AE36" s="2"/>
      <c r="AF36" s="2"/>
      <c r="AG36" s="2"/>
      <c r="AH36" s="2"/>
      <c r="AI36" s="2"/>
      <c r="AJ36" s="2"/>
      <c r="AK36" s="2"/>
      <c r="AL36" s="2"/>
    </row>
    <row r="37" ht="22.5" customHeight="1">
      <c r="A37" s="3" t="s">
        <v>1614</v>
      </c>
      <c r="B37" s="4">
        <v>36.0</v>
      </c>
      <c r="C37" s="3" t="s">
        <v>886</v>
      </c>
      <c r="D37" s="3" t="s">
        <v>1615</v>
      </c>
      <c r="E37" s="3" t="s">
        <v>1616</v>
      </c>
      <c r="F37" s="3" t="s">
        <v>1617</v>
      </c>
      <c r="G37" s="3" t="s">
        <v>1618</v>
      </c>
      <c r="H37" s="3" t="s">
        <v>1616</v>
      </c>
      <c r="I37" s="3" t="s">
        <v>1619</v>
      </c>
      <c r="J37" s="2"/>
      <c r="K37" s="2"/>
      <c r="L37" s="3" t="s">
        <v>1614</v>
      </c>
      <c r="M37" s="4">
        <v>36.0</v>
      </c>
      <c r="N37" s="3" t="str">
        <f>IFERROR(__xludf.DUMMYFUNCTION("GOOGLETRANSLATE(C37,""en"",""zh-CN"")"),"图中所示的主要活动是什么？")</f>
        <v>图中所示的主要活动是什么？</v>
      </c>
      <c r="O37" s="3" t="str">
        <f>IFERROR(__xludf.DUMMYFUNCTION("GOOGLETRANSLATE(D37,""en"",""zh-CN"")"),"一场赛艇表演。")</f>
        <v>一场赛艇表演。</v>
      </c>
      <c r="P37" s="3" t="str">
        <f>IFERROR(__xludf.DUMMYFUNCTION("GOOGLETRANSLATE(E37,""en"",""zh-CN"")"),"专业龙舟比赛。")</f>
        <v>专业龙舟比赛。</v>
      </c>
      <c r="Q37" s="3" t="str">
        <f>IFERROR(__xludf.DUMMYFUNCTION("GOOGLETRANSLATE(F37,""en"",""zh-CN"")"),"一项休闲划船活动。")</f>
        <v>一项休闲划船活动。</v>
      </c>
      <c r="R37" s="3" t="str">
        <f>IFERROR(__xludf.DUMMYFUNCTION("GOOGLETRANSLATE(G37,""en"",""zh-CN"")"),"团队建设活动。")</f>
        <v>团队建设活动。</v>
      </c>
      <c r="S37" s="3" t="s">
        <v>1620</v>
      </c>
      <c r="T37" s="3" t="str">
        <f>IFERROR(__xludf.DUMMYFUNCTION("GOOGLETRANSLATE(H37,""en"",""zh-CN"")"),"专业龙舟比赛。")</f>
        <v>专业龙舟比赛。</v>
      </c>
      <c r="U37" s="3" t="str">
        <f>IFERROR(__xludf.DUMMYFUNCTION("GOOGLETRANSLATE(I37,""en"",""zh-CN"")"),"图片显示多支队伍在各自的船上，还有官员和横幅，表明这是一场大规模的正式龙舟比赛。")</f>
        <v>图片显示多支队伍在各自的船上，还有官员和横幅，表明这是一场大规模的正式龙舟比赛。</v>
      </c>
      <c r="V37" s="2"/>
      <c r="W37" s="2"/>
      <c r="X37" s="2"/>
      <c r="Y37" s="2"/>
      <c r="Z37" s="2"/>
      <c r="AA37" s="2"/>
      <c r="AB37" s="2"/>
      <c r="AC37" s="2"/>
      <c r="AD37" s="2"/>
      <c r="AE37" s="2"/>
      <c r="AF37" s="2"/>
      <c r="AG37" s="2"/>
      <c r="AH37" s="2"/>
      <c r="AI37" s="2"/>
      <c r="AJ37" s="2"/>
      <c r="AK37" s="2"/>
      <c r="AL37" s="2"/>
    </row>
    <row r="38" ht="22.5" customHeight="1">
      <c r="A38" s="3" t="s">
        <v>1614</v>
      </c>
      <c r="B38" s="4">
        <v>37.0</v>
      </c>
      <c r="C38" s="3" t="s">
        <v>1621</v>
      </c>
      <c r="D38" s="3" t="s">
        <v>1622</v>
      </c>
      <c r="E38" s="3" t="s">
        <v>1623</v>
      </c>
      <c r="F38" s="3" t="s">
        <v>1624</v>
      </c>
      <c r="G38" s="3" t="s">
        <v>1625</v>
      </c>
      <c r="H38" s="3" t="s">
        <v>1623</v>
      </c>
      <c r="I38" s="3" t="s">
        <v>1626</v>
      </c>
      <c r="J38" s="2"/>
      <c r="K38" s="2"/>
      <c r="L38" s="3" t="s">
        <v>1614</v>
      </c>
      <c r="M38" s="4">
        <v>37.0</v>
      </c>
      <c r="N38" s="3" t="str">
        <f>IFERROR(__xludf.DUMMYFUNCTION("GOOGLETRANSLATE(C38,""en"",""zh-CN"")"),"每艘船侧面的数字代表什么？")</f>
        <v>每艘船侧面的数字代表什么？</v>
      </c>
      <c r="O38" s="3" t="str">
        <f>IFERROR(__xludf.DUMMYFUNCTION("GOOGLETRANSLATE(D38,""en"",""zh-CN"")"),"船上的人数。")</f>
        <v>船上的人数。</v>
      </c>
      <c r="P38" s="3" t="str">
        <f>IFERROR(__xludf.DUMMYFUNCTION("GOOGLETRANSLATE(E38,""en"",""zh-CN"")"),"船只的航道编号。")</f>
        <v>船只的航道编号。</v>
      </c>
      <c r="Q38" s="3" t="str">
        <f>IFERROR(__xludf.DUMMYFUNCTION("GOOGLETRANSLATE(F38,""en"",""zh-CN"")"),"球队排名。")</f>
        <v>球队排名。</v>
      </c>
      <c r="R38" s="3" t="str">
        <f>IFERROR(__xludf.DUMMYFUNCTION("GOOGLETRANSLATE(G38,""en"",""zh-CN"")"),"球队的年龄。")</f>
        <v>球队的年龄。</v>
      </c>
      <c r="S38" s="3" t="s">
        <v>1627</v>
      </c>
      <c r="T38" s="3" t="str">
        <f>IFERROR(__xludf.DUMMYFUNCTION("GOOGLETRANSLATE(H38,""en"",""zh-CN"")"),"船只的航道编号。")</f>
        <v>船只的航道编号。</v>
      </c>
      <c r="U38" s="3" t="str">
        <f>IFERROR(__xludf.DUMMYFUNCTION("GOOGLETRANSLATE(I38,""en"",""zh-CN"")"),"每艘船侧面都涂有大号数字，例如“4”和“5”，用于在比赛期间清楚地识别每艘船的指定航道。")</f>
        <v>每艘船侧面都涂有大号数字，例如“4”和“5”，用于在比赛期间清楚地识别每艘船的指定航道。</v>
      </c>
      <c r="V38" s="2"/>
      <c r="W38" s="2"/>
      <c r="X38" s="2"/>
      <c r="Y38" s="2"/>
      <c r="Z38" s="2"/>
      <c r="AA38" s="2"/>
      <c r="AB38" s="2"/>
      <c r="AC38" s="2"/>
      <c r="AD38" s="2"/>
      <c r="AE38" s="2"/>
      <c r="AF38" s="2"/>
      <c r="AG38" s="2"/>
      <c r="AH38" s="2"/>
      <c r="AI38" s="2"/>
      <c r="AJ38" s="2"/>
      <c r="AK38" s="2"/>
      <c r="AL38" s="2"/>
    </row>
    <row r="39" ht="22.5" customHeight="1">
      <c r="A39" s="3" t="s">
        <v>1614</v>
      </c>
      <c r="B39" s="4">
        <v>38.0</v>
      </c>
      <c r="C39" s="3" t="s">
        <v>1628</v>
      </c>
      <c r="D39" s="3" t="s">
        <v>1629</v>
      </c>
      <c r="E39" s="3" t="s">
        <v>1630</v>
      </c>
      <c r="F39" s="3" t="s">
        <v>1631</v>
      </c>
      <c r="G39" s="3" t="s">
        <v>1632</v>
      </c>
      <c r="H39" s="3" t="s">
        <v>1631</v>
      </c>
      <c r="I39" s="3" t="s">
        <v>1633</v>
      </c>
      <c r="J39" s="2"/>
      <c r="K39" s="2"/>
      <c r="L39" s="3" t="s">
        <v>1614</v>
      </c>
      <c r="M39" s="4">
        <v>38.0</v>
      </c>
      <c r="N39" s="3" t="str">
        <f>IFERROR(__xludf.DUMMYFUNCTION("GOOGLETRANSLATE(C39,""en"",""zh-CN"")"),"站在船头平台上的人扮演什么角色？")</f>
        <v>站在船头平台上的人扮演什么角色？</v>
      </c>
      <c r="O39" s="3" t="str">
        <f>IFERROR(__xludf.DUMMYFUNCTION("GOOGLETRANSLATE(D39,""en"",""zh-CN"")"),"舵手。")</f>
        <v>舵手。</v>
      </c>
      <c r="P39" s="3" t="str">
        <f>IFERROR(__xludf.DUMMYFUNCTION("GOOGLETRANSLATE(E39,""en"",""zh-CN"")"),"教练。")</f>
        <v>教练。</v>
      </c>
      <c r="Q39" s="3" t="str">
        <f>IFERROR(__xludf.DUMMYFUNCTION("GOOGLETRANSLATE(F39,""en"",""zh-CN"")"),"鼓手。")</f>
        <v>鼓手。</v>
      </c>
      <c r="R39" s="3" t="str">
        <f>IFERROR(__xludf.DUMMYFUNCTION("GOOGLETRANSLATE(G39,""en"",""zh-CN"")"),"队长。")</f>
        <v>队长。</v>
      </c>
      <c r="S39" s="3" t="s">
        <v>1634</v>
      </c>
      <c r="T39" s="3" t="str">
        <f>IFERROR(__xludf.DUMMYFUNCTION("GOOGLETRANSLATE(H39,""en"",""zh-CN"")"),"鼓手。")</f>
        <v>鼓手。</v>
      </c>
      <c r="U39" s="3" t="str">
        <f>IFERROR(__xludf.DUMMYFUNCTION("GOOGLETRANSLATE(I39,""en"",""zh-CN"")"),"站在船头的人处于可以击鼓的位置，这表明他是鼓手，负责为团队设定节奏。")</f>
        <v>站在船头的人处于可以击鼓的位置，这表明他是鼓手，负责为团队设定节奏。</v>
      </c>
      <c r="V39" s="2"/>
      <c r="W39" s="2"/>
      <c r="X39" s="2"/>
      <c r="Y39" s="2"/>
      <c r="Z39" s="2"/>
      <c r="AA39" s="2"/>
      <c r="AB39" s="2"/>
      <c r="AC39" s="2"/>
      <c r="AD39" s="2"/>
      <c r="AE39" s="2"/>
      <c r="AF39" s="2"/>
      <c r="AG39" s="2"/>
      <c r="AH39" s="2"/>
      <c r="AI39" s="2"/>
      <c r="AJ39" s="2"/>
      <c r="AK39" s="2"/>
      <c r="AL39" s="2"/>
    </row>
    <row r="40" ht="22.5" customHeight="1">
      <c r="A40" s="3" t="s">
        <v>1614</v>
      </c>
      <c r="B40" s="4">
        <v>39.0</v>
      </c>
      <c r="C40" s="3" t="s">
        <v>1635</v>
      </c>
      <c r="D40" s="3" t="s">
        <v>1636</v>
      </c>
      <c r="E40" s="3" t="s">
        <v>1637</v>
      </c>
      <c r="F40" s="3" t="s">
        <v>1638</v>
      </c>
      <c r="G40" s="3" t="s">
        <v>1639</v>
      </c>
      <c r="H40" s="3" t="s">
        <v>1636</v>
      </c>
      <c r="I40" s="3" t="s">
        <v>1640</v>
      </c>
      <c r="J40" s="2"/>
      <c r="K40" s="2"/>
      <c r="L40" s="3" t="s">
        <v>1614</v>
      </c>
      <c r="M40" s="4">
        <v>39.0</v>
      </c>
      <c r="N40" s="3" t="str">
        <f>IFERROR(__xludf.DUMMYFUNCTION("GOOGLETRANSLATE(C40,""en"",""zh-CN"")"),"舵手的职责是什么？")</f>
        <v>舵手的职责是什么？</v>
      </c>
      <c r="O40" s="3" t="str">
        <f>IFERROR(__xludf.DUMMYFUNCTION("GOOGLETRANSLATE(D40,""en"",""zh-CN"")"),"引导和掌舵。")</f>
        <v>引导和掌舵。</v>
      </c>
      <c r="P40" s="3" t="str">
        <f>IFERROR(__xludf.DUMMYFUNCTION("GOOGLETRANSLATE(E40,""en"",""zh-CN"")"),"激励团队。")</f>
        <v>激励团队。</v>
      </c>
      <c r="Q40" s="3" t="str">
        <f>IFERROR(__xludf.DUMMYFUNCTION("GOOGLETRANSLATE(F40,""en"",""zh-CN"")"),"为观众加油。")</f>
        <v>为观众加油。</v>
      </c>
      <c r="R40" s="3" t="str">
        <f>IFERROR(__xludf.DUMMYFUNCTION("GOOGLETRANSLATE(G40,""en"",""zh-CN"")"),"确保团队步调一致。")</f>
        <v>确保团队步调一致。</v>
      </c>
      <c r="S40" s="3" t="s">
        <v>1641</v>
      </c>
      <c r="T40" s="3" t="str">
        <f>IFERROR(__xludf.DUMMYFUNCTION("GOOGLETRANSLATE(H40,""en"",""zh-CN"")"),"引导和掌舵。")</f>
        <v>引导和掌舵。</v>
      </c>
      <c r="U40" s="3" t="str">
        <f>IFERROR(__xludf.DUMMYFUNCTION("GOOGLETRANSLATE(I40,""en"",""zh-CN"")"),"位于船尾的舵手使用长桨控制船的方向，确保船保持在航道内并沿直线行驶。")</f>
        <v>位于船尾的舵手使用长桨控制船的方向，确保船保持在航道内并沿直线行驶。</v>
      </c>
      <c r="V40" s="2"/>
      <c r="W40" s="2"/>
      <c r="X40" s="2"/>
      <c r="Y40" s="2"/>
      <c r="Z40" s="2"/>
      <c r="AA40" s="2"/>
      <c r="AB40" s="2"/>
      <c r="AC40" s="2"/>
      <c r="AD40" s="2"/>
      <c r="AE40" s="2"/>
      <c r="AF40" s="2"/>
      <c r="AG40" s="2"/>
      <c r="AH40" s="2"/>
      <c r="AI40" s="2"/>
      <c r="AJ40" s="2"/>
      <c r="AK40" s="2"/>
      <c r="AL40" s="2"/>
    </row>
    <row r="41" ht="22.5" customHeight="1">
      <c r="A41" s="3" t="s">
        <v>1614</v>
      </c>
      <c r="B41" s="4">
        <v>40.0</v>
      </c>
      <c r="C41" s="3" t="s">
        <v>1642</v>
      </c>
      <c r="D41" s="3" t="s">
        <v>1643</v>
      </c>
      <c r="E41" s="3" t="s">
        <v>1644</v>
      </c>
      <c r="F41" s="3" t="s">
        <v>1645</v>
      </c>
      <c r="G41" s="3" t="s">
        <v>1646</v>
      </c>
      <c r="H41" s="3" t="s">
        <v>1643</v>
      </c>
      <c r="I41" s="3" t="s">
        <v>1647</v>
      </c>
      <c r="J41" s="2"/>
      <c r="K41" s="2"/>
      <c r="L41" s="3" t="s">
        <v>1614</v>
      </c>
      <c r="M41" s="4">
        <v>40.0</v>
      </c>
      <c r="N41" s="3" t="str">
        <f>IFERROR(__xludf.DUMMYFUNCTION("GOOGLETRANSLATE(C41,""en"",""zh-CN"")"),"船上的人为了安全起见穿的是什么？")</f>
        <v>船上的人为了安全起见穿的是什么？</v>
      </c>
      <c r="O41" s="3" t="str">
        <f>IFERROR(__xludf.DUMMYFUNCTION("GOOGLETRANSLATE(D41,""en"",""zh-CN"")"),"遮阳帽和救生衣。")</f>
        <v>遮阳帽和救生衣。</v>
      </c>
      <c r="P41" s="3" t="str">
        <f>IFERROR(__xludf.DUMMYFUNCTION("GOOGLETRANSLATE(E41,""en"",""zh-CN"")"),"太阳镜和救生衣。")</f>
        <v>太阳镜和救生衣。</v>
      </c>
      <c r="Q41" s="3" t="str">
        <f>IFERROR(__xludf.DUMMYFUNCTION("GOOGLETRANSLATE(F41,""en"",""zh-CN"")"),"安全头盔和救生衣。")</f>
        <v>安全头盔和救生衣。</v>
      </c>
      <c r="R41" s="3" t="str">
        <f>IFERROR(__xludf.DUMMYFUNCTION("GOOGLETRANSLATE(G41,""en"",""zh-CN"")"),"救生衣和运动服。")</f>
        <v>救生衣和运动服。</v>
      </c>
      <c r="S41" s="3" t="s">
        <v>1648</v>
      </c>
      <c r="T41" s="3" t="str">
        <f>IFERROR(__xludf.DUMMYFUNCTION("GOOGLETRANSLATE(H41,""en"",""zh-CN"")"),"遮阳帽和救生衣。")</f>
        <v>遮阳帽和救生衣。</v>
      </c>
      <c r="U41" s="3" t="str">
        <f>IFERROR(__xludf.DUMMYFUNCTION("GOOGLETRANSLATE(I41,""en"",""zh-CN"")"),"为了安全起见，所有参与者都穿着救生衣，并戴着遮阳帽来保护自己免受阳光照射，这在户外水上运动中很常见。")</f>
        <v>为了安全起见，所有参与者都穿着救生衣，并戴着遮阳帽来保护自己免受阳光照射，这在户外水上运动中很常见。</v>
      </c>
      <c r="V41" s="2"/>
      <c r="W41" s="2"/>
      <c r="X41" s="2"/>
      <c r="Y41" s="2"/>
      <c r="Z41" s="2"/>
      <c r="AA41" s="2"/>
      <c r="AB41" s="2"/>
      <c r="AC41" s="2"/>
      <c r="AD41" s="2"/>
      <c r="AE41" s="2"/>
      <c r="AF41" s="2"/>
      <c r="AG41" s="2"/>
      <c r="AH41" s="2"/>
      <c r="AI41" s="2"/>
      <c r="AJ41" s="2"/>
      <c r="AK41" s="2"/>
      <c r="AL41" s="2"/>
    </row>
    <row r="42" ht="22.5" customHeight="1">
      <c r="A42" s="3" t="s">
        <v>1649</v>
      </c>
      <c r="B42" s="4">
        <v>41.0</v>
      </c>
      <c r="C42" s="3" t="s">
        <v>1650</v>
      </c>
      <c r="D42" s="3" t="s">
        <v>1651</v>
      </c>
      <c r="E42" s="3" t="s">
        <v>1652</v>
      </c>
      <c r="F42" s="3" t="s">
        <v>1653</v>
      </c>
      <c r="G42" s="3" t="s">
        <v>1654</v>
      </c>
      <c r="H42" s="3" t="s">
        <v>1653</v>
      </c>
      <c r="I42" s="3" t="s">
        <v>1655</v>
      </c>
      <c r="J42" s="2"/>
      <c r="K42" s="2"/>
      <c r="L42" s="3" t="s">
        <v>1649</v>
      </c>
      <c r="M42" s="4">
        <v>41.0</v>
      </c>
      <c r="N42" s="3" t="str">
        <f>IFERROR(__xludf.DUMMYFUNCTION("GOOGLETRANSLATE(C42,""en"",""zh-CN"")"),"这张照片是从什么角度拍摄的？")</f>
        <v>这张照片是从什么角度拍摄的？</v>
      </c>
      <c r="O42" s="3" t="str">
        <f>IFERROR(__xludf.DUMMYFUNCTION("GOOGLETRANSLATE(D42,""en"",""zh-CN"")"),"从水中。")</f>
        <v>从水中。</v>
      </c>
      <c r="P42" s="3" t="str">
        <f>IFERROR(__xludf.DUMMYFUNCTION("GOOGLETRANSLATE(E42,""en"",""zh-CN"")"),"从海岸线上。")</f>
        <v>从海岸线上。</v>
      </c>
      <c r="Q42" s="3" t="str">
        <f>IFERROR(__xludf.DUMMYFUNCTION("GOOGLETRANSLATE(F42,""en"",""zh-CN"")"),"从上方俯视船只。")</f>
        <v>从上方俯视船只。</v>
      </c>
      <c r="R42" s="3" t="str">
        <f>IFERROR(__xludf.DUMMYFUNCTION("GOOGLETRANSLATE(G42,""en"",""zh-CN"")"),"来自另一艘船。")</f>
        <v>来自另一艘船。</v>
      </c>
      <c r="S42" s="3" t="s">
        <v>1656</v>
      </c>
      <c r="T42" s="3" t="str">
        <f>IFERROR(__xludf.DUMMYFUNCTION("GOOGLETRANSLATE(H42,""en"",""zh-CN"")"),"从上方俯视船只。")</f>
        <v>从上方俯视船只。</v>
      </c>
      <c r="U42" s="3" t="str">
        <f>IFERROR(__xludf.DUMMYFUNCTION("GOOGLETRANSLATE(I42,""en"",""zh-CN"")"),"这是一张俯拍照片，提供了独特的视角，可以直接向下看到船上的划桨者。")</f>
        <v>这是一张俯拍照片，提供了独特的视角，可以直接向下看到船上的划桨者。</v>
      </c>
      <c r="V42" s="2"/>
      <c r="W42" s="2"/>
      <c r="X42" s="2"/>
      <c r="Y42" s="2"/>
      <c r="Z42" s="2"/>
      <c r="AA42" s="2"/>
      <c r="AB42" s="2"/>
      <c r="AC42" s="2"/>
      <c r="AD42" s="2"/>
      <c r="AE42" s="2"/>
      <c r="AF42" s="2"/>
      <c r="AG42" s="2"/>
      <c r="AH42" s="2"/>
      <c r="AI42" s="2"/>
      <c r="AJ42" s="2"/>
      <c r="AK42" s="2"/>
      <c r="AL42" s="2"/>
    </row>
    <row r="43" ht="22.5" customHeight="1">
      <c r="A43" s="3" t="s">
        <v>1649</v>
      </c>
      <c r="B43" s="4">
        <v>42.0</v>
      </c>
      <c r="C43" s="3" t="s">
        <v>1657</v>
      </c>
      <c r="D43" s="3" t="s">
        <v>1629</v>
      </c>
      <c r="E43" s="3" t="s">
        <v>1630</v>
      </c>
      <c r="F43" s="3" t="s">
        <v>1631</v>
      </c>
      <c r="G43" s="3" t="s">
        <v>1632</v>
      </c>
      <c r="H43" s="3" t="s">
        <v>1631</v>
      </c>
      <c r="I43" s="3" t="s">
        <v>1658</v>
      </c>
      <c r="J43" s="2"/>
      <c r="K43" s="2"/>
      <c r="L43" s="3" t="s">
        <v>1649</v>
      </c>
      <c r="M43" s="4">
        <v>42.0</v>
      </c>
      <c r="N43" s="3" t="str">
        <f>IFERROR(__xludf.DUMMYFUNCTION("GOOGLETRANSLATE(C43,""en"",""zh-CN"")"),"船中央穿黄色衬衫的人是做什么的？")</f>
        <v>船中央穿黄色衬衫的人是做什么的？</v>
      </c>
      <c r="O43" s="3" t="str">
        <f>IFERROR(__xludf.DUMMYFUNCTION("GOOGLETRANSLATE(D43,""en"",""zh-CN"")"),"舵手。")</f>
        <v>舵手。</v>
      </c>
      <c r="P43" s="3" t="str">
        <f>IFERROR(__xludf.DUMMYFUNCTION("GOOGLETRANSLATE(E43,""en"",""zh-CN"")"),"教练。")</f>
        <v>教练。</v>
      </c>
      <c r="Q43" s="3" t="str">
        <f>IFERROR(__xludf.DUMMYFUNCTION("GOOGLETRANSLATE(F43,""en"",""zh-CN"")"),"鼓手。")</f>
        <v>鼓手。</v>
      </c>
      <c r="R43" s="3" t="str">
        <f>IFERROR(__xludf.DUMMYFUNCTION("GOOGLETRANSLATE(G43,""en"",""zh-CN"")"),"队长。")</f>
        <v>队长。</v>
      </c>
      <c r="S43" s="3" t="s">
        <v>1634</v>
      </c>
      <c r="T43" s="3" t="str">
        <f>IFERROR(__xludf.DUMMYFUNCTION("GOOGLETRANSLATE(H43,""en"",""zh-CN"")"),"鼓手。")</f>
        <v>鼓手。</v>
      </c>
      <c r="U43" s="3" t="str">
        <f>IFERROR(__xludf.DUMMYFUNCTION("GOOGLETRANSLATE(I43,""en"",""zh-CN"")"),"船中央的人坐在鼓后面，表明他是鼓手，负责为团队提供节奏。")</f>
        <v>船中央的人坐在鼓后面，表明他是鼓手，负责为团队提供节奏。</v>
      </c>
      <c r="V43" s="2"/>
      <c r="W43" s="2"/>
      <c r="X43" s="2"/>
      <c r="Y43" s="2"/>
      <c r="Z43" s="2"/>
      <c r="AA43" s="2"/>
      <c r="AB43" s="2"/>
      <c r="AC43" s="2"/>
      <c r="AD43" s="2"/>
      <c r="AE43" s="2"/>
      <c r="AF43" s="2"/>
      <c r="AG43" s="2"/>
      <c r="AH43" s="2"/>
      <c r="AI43" s="2"/>
      <c r="AJ43" s="2"/>
      <c r="AK43" s="2"/>
      <c r="AL43" s="2"/>
    </row>
    <row r="44" ht="22.5" customHeight="1">
      <c r="A44" s="3" t="s">
        <v>1649</v>
      </c>
      <c r="B44" s="4">
        <v>43.0</v>
      </c>
      <c r="C44" s="3" t="s">
        <v>1659</v>
      </c>
      <c r="D44" s="3" t="s">
        <v>1660</v>
      </c>
      <c r="E44" s="3" t="s">
        <v>1661</v>
      </c>
      <c r="F44" s="3" t="s">
        <v>1662</v>
      </c>
      <c r="G44" s="3" t="s">
        <v>1663</v>
      </c>
      <c r="H44" s="3" t="s">
        <v>1661</v>
      </c>
      <c r="I44" s="3" t="s">
        <v>1664</v>
      </c>
      <c r="J44" s="2"/>
      <c r="K44" s="2"/>
      <c r="L44" s="3" t="s">
        <v>1649</v>
      </c>
      <c r="M44" s="4">
        <v>43.0</v>
      </c>
      <c r="N44" s="3" t="str">
        <f>IFERROR(__xludf.DUMMYFUNCTION("GOOGLETRANSLATE(C44,""en"",""zh-CN"")"),"划桨手对称地分布在船的两侧。这说明了什么？")</f>
        <v>划桨手对称地分布在船的两侧。这说明了什么？</v>
      </c>
      <c r="O44" s="3" t="str">
        <f>IFERROR(__xludf.DUMMYFUNCTION("GOOGLETRANSLATE(D44,""en"",""zh-CN"")"),"他们之间存在竞争关系。")</f>
        <v>他们之间存在竞争关系。</v>
      </c>
      <c r="P44" s="3" t="str">
        <f>IFERROR(__xludf.DUMMYFUNCTION("GOOGLETRANSLATE(E44,""en"",""zh-CN"")"),"他们正努力保持船的平衡。")</f>
        <v>他们正努力保持船的平衡。</v>
      </c>
      <c r="Q44" s="3" t="str">
        <f>IFERROR(__xludf.DUMMYFUNCTION("GOOGLETRANSLATE(F44,""en"",""zh-CN"")"),"他们没有在划船。")</f>
        <v>他们没有在划船。</v>
      </c>
      <c r="R44" s="3" t="str">
        <f>IFERROR(__xludf.DUMMYFUNCTION("GOOGLETRANSLATE(G44,""en"",""zh-CN"")"),"他们分别代表两支不同的队伍参赛。")</f>
        <v>他们分别代表两支不同的队伍参赛。</v>
      </c>
      <c r="S44" s="3" t="s">
        <v>1665</v>
      </c>
      <c r="T44" s="3" t="str">
        <f>IFERROR(__xludf.DUMMYFUNCTION("GOOGLETRANSLATE(H44,""en"",""zh-CN"")"),"他们正努力保持船的平衡。")</f>
        <v>他们正努力保持船的平衡。</v>
      </c>
      <c r="U44" s="3" t="str">
        <f>IFERROR(__xludf.DUMMYFUNCTION("GOOGLETRANSLATE(I44,""en"",""zh-CN"")"),"桨手在两侧对称排列对于保持船只平衡和直线航行至关重要。")</f>
        <v>桨手在两侧对称排列对于保持船只平衡和直线航行至关重要。</v>
      </c>
      <c r="V44" s="2"/>
      <c r="W44" s="2"/>
      <c r="X44" s="2"/>
      <c r="Y44" s="2"/>
      <c r="Z44" s="2"/>
      <c r="AA44" s="2"/>
      <c r="AB44" s="2"/>
      <c r="AC44" s="2"/>
      <c r="AD44" s="2"/>
      <c r="AE44" s="2"/>
      <c r="AF44" s="2"/>
      <c r="AG44" s="2"/>
      <c r="AH44" s="2"/>
      <c r="AI44" s="2"/>
      <c r="AJ44" s="2"/>
      <c r="AK44" s="2"/>
      <c r="AL44" s="2"/>
    </row>
    <row r="45" ht="22.5" customHeight="1">
      <c r="A45" s="3" t="s">
        <v>1649</v>
      </c>
      <c r="B45" s="4">
        <v>44.0</v>
      </c>
      <c r="C45" s="3" t="s">
        <v>1666</v>
      </c>
      <c r="D45" s="3" t="s">
        <v>1451</v>
      </c>
      <c r="E45" s="3" t="s">
        <v>1667</v>
      </c>
      <c r="F45" s="3" t="s">
        <v>1668</v>
      </c>
      <c r="G45" s="3" t="s">
        <v>1669</v>
      </c>
      <c r="H45" s="3" t="s">
        <v>1667</v>
      </c>
      <c r="I45" s="3" t="s">
        <v>1670</v>
      </c>
      <c r="J45" s="2"/>
      <c r="K45" s="2"/>
      <c r="L45" s="3" t="s">
        <v>1649</v>
      </c>
      <c r="M45" s="4">
        <v>44.0</v>
      </c>
      <c r="N45" s="3" t="str">
        <f>IFERROR(__xludf.DUMMYFUNCTION("GOOGLETRANSLATE(C45,""en"",""zh-CN"")"),"划桨者身体前倾，呈深蹲姿势。这种姿势的目的是什么？")</f>
        <v>划桨者身体前倾，呈深蹲姿势。这种姿势的目的是什么？</v>
      </c>
      <c r="O45" s="3" t="str">
        <f>IFERROR(__xludf.DUMMYFUNCTION("GOOGLETRANSLATE(D45,""en"",""zh-CN"")"),"休息。")</f>
        <v>休息。</v>
      </c>
      <c r="P45" s="3" t="str">
        <f>IFERROR(__xludf.DUMMYFUNCTION("GOOGLETRANSLATE(E45,""en"",""zh-CN"")"),"为了最大限度地发挥腿部和核心力量。")</f>
        <v>为了最大限度地发挥腿部和核心力量。</v>
      </c>
      <c r="Q45" s="3" t="str">
        <f>IFERROR(__xludf.DUMMYFUNCTION("GOOGLETRANSLATE(F45,""en"",""zh-CN"")"),"为了避免弄湿。")</f>
        <v>为了避免弄湿。</v>
      </c>
      <c r="R45" s="3" t="str">
        <f>IFERROR(__xludf.DUMMYFUNCTION("GOOGLETRANSLATE(G45,""en"",""zh-CN"")"),"标志着比赛结束。")</f>
        <v>标志着比赛结束。</v>
      </c>
      <c r="S45" s="3" t="s">
        <v>1671</v>
      </c>
      <c r="T45" s="3" t="str">
        <f>IFERROR(__xludf.DUMMYFUNCTION("GOOGLETRANSLATE(H45,""en"",""zh-CN"")"),"为了最大限度地发挥腿部和核心力量。")</f>
        <v>为了最大限度地发挥腿部和核心力量。</v>
      </c>
      <c r="U45" s="3" t="str">
        <f>IFERROR(__xludf.DUMMYFUNCTION("GOOGLETRANSLATE(I45,""en"",""zh-CN"")"),"深蹲姿势使划桨者能够调动全身，特别是腿部和核心肌群，从而产生强劲有力的爆发力。")</f>
        <v>深蹲姿势使划桨者能够调动全身，特别是腿部和核心肌群，从而产生强劲有力的爆发力。</v>
      </c>
      <c r="V45" s="2"/>
      <c r="W45" s="2"/>
      <c r="X45" s="2"/>
      <c r="Y45" s="2"/>
      <c r="Z45" s="2"/>
      <c r="AA45" s="2"/>
      <c r="AB45" s="2"/>
      <c r="AC45" s="2"/>
      <c r="AD45" s="2"/>
      <c r="AE45" s="2"/>
      <c r="AF45" s="2"/>
      <c r="AG45" s="2"/>
      <c r="AH45" s="2"/>
      <c r="AI45" s="2"/>
      <c r="AJ45" s="2"/>
      <c r="AK45" s="2"/>
      <c r="AL45" s="2"/>
    </row>
    <row r="46" ht="22.5" customHeight="1">
      <c r="A46" s="3" t="s">
        <v>1649</v>
      </c>
      <c r="B46" s="4">
        <v>45.0</v>
      </c>
      <c r="C46" s="3" t="s">
        <v>1672</v>
      </c>
      <c r="D46" s="3" t="s">
        <v>1673</v>
      </c>
      <c r="E46" s="3" t="s">
        <v>1674</v>
      </c>
      <c r="F46" s="3" t="s">
        <v>1675</v>
      </c>
      <c r="G46" s="3" t="s">
        <v>1676</v>
      </c>
      <c r="H46" s="3" t="s">
        <v>1675</v>
      </c>
      <c r="I46" s="3" t="s">
        <v>1677</v>
      </c>
      <c r="J46" s="2"/>
      <c r="K46" s="2"/>
      <c r="L46" s="3" t="s">
        <v>1649</v>
      </c>
      <c r="M46" s="4">
        <v>45.0</v>
      </c>
      <c r="N46" s="3" t="str">
        <f>IFERROR(__xludf.DUMMYFUNCTION("GOOGLETRANSLATE(C46,""en"",""zh-CN"")"),"如果没有龙头，这艘船的设计目的是什么？")</f>
        <v>如果没有龙头，这艘船的设计目的是什么？</v>
      </c>
      <c r="O46" s="3" t="str">
        <f>IFERROR(__xludf.DUMMYFUNCTION("GOOGLETRANSLATE(D46,""en"",""zh-CN"")"),"它是古代船只的复制品。")</f>
        <v>它是古代船只的复制品。</v>
      </c>
      <c r="P46" s="3" t="str">
        <f>IFERROR(__xludf.DUMMYFUNCTION("GOOGLETRANSLATE(E46,""en"",""zh-CN"")"),"这是一艘现代化的、速度更快的赛艇。")</f>
        <v>这是一艘现代化的、速度更快的赛艇。</v>
      </c>
      <c r="Q46" s="3" t="str">
        <f>IFERROR(__xludf.DUMMYFUNCTION("GOOGLETRANSLATE(F46,""en"",""zh-CN"")"),"这是一艘训练艇。")</f>
        <v>这是一艘训练艇。</v>
      </c>
      <c r="R46" s="3" t="str">
        <f>IFERROR(__xludf.DUMMYFUNCTION("GOOGLETRANSLATE(G46,""en"",""zh-CN"")"),"这是一艘用途不同的船。")</f>
        <v>这是一艘用途不同的船。</v>
      </c>
      <c r="S46" s="3" t="s">
        <v>1678</v>
      </c>
      <c r="T46" s="3" t="str">
        <f>IFERROR(__xludf.DUMMYFUNCTION("GOOGLETRANSLATE(H46,""en"",""zh-CN"")"),"这是一艘训练艇。")</f>
        <v>这是一艘训练艇。</v>
      </c>
      <c r="U46" s="3" t="str">
        <f>IFERROR(__xludf.DUMMYFUNCTION("GOOGLETRANSLATE(I46,""en"",""zh-CN"")"),"这艘船是简化版，没有复杂的龙头和龙尾，这表明它可能是一艘训练船或不太正式的比赛船。")</f>
        <v>这艘船是简化版，没有复杂的龙头和龙尾，这表明它可能是一艘训练船或不太正式的比赛船。</v>
      </c>
      <c r="V46" s="2"/>
      <c r="W46" s="2"/>
      <c r="X46" s="2"/>
      <c r="Y46" s="2"/>
      <c r="Z46" s="2"/>
      <c r="AA46" s="2"/>
      <c r="AB46" s="2"/>
      <c r="AC46" s="2"/>
      <c r="AD46" s="2"/>
      <c r="AE46" s="2"/>
      <c r="AF46" s="2"/>
      <c r="AG46" s="2"/>
      <c r="AH46" s="2"/>
      <c r="AI46" s="2"/>
      <c r="AJ46" s="2"/>
      <c r="AK46" s="2"/>
      <c r="AL46" s="2"/>
    </row>
    <row r="47" ht="22.5" customHeight="1">
      <c r="A47" s="3" t="s">
        <v>1679</v>
      </c>
      <c r="B47" s="4">
        <v>46.0</v>
      </c>
      <c r="C47" s="3" t="s">
        <v>1503</v>
      </c>
      <c r="D47" s="3" t="s">
        <v>1680</v>
      </c>
      <c r="E47" s="3" t="s">
        <v>1681</v>
      </c>
      <c r="F47" s="3" t="s">
        <v>1682</v>
      </c>
      <c r="G47" s="3" t="s">
        <v>1683</v>
      </c>
      <c r="H47" s="3" t="s">
        <v>1681</v>
      </c>
      <c r="I47" s="3" t="s">
        <v>1684</v>
      </c>
      <c r="J47" s="2"/>
      <c r="K47" s="2"/>
      <c r="L47" s="3" t="s">
        <v>1679</v>
      </c>
      <c r="M47" s="4">
        <v>46.0</v>
      </c>
      <c r="N47" s="3" t="str">
        <f>IFERROR(__xludf.DUMMYFUNCTION("GOOGLETRANSLATE(C47,""en"",""zh-CN"")"),"比赛是在什么样的环境下进行的？")</f>
        <v>比赛是在什么样的环境下进行的？</v>
      </c>
      <c r="O47" s="3" t="str">
        <f>IFERROR(__xludf.DUMMYFUNCTION("GOOGLETRANSLATE(D47,""en"",""zh-CN"")"),"一条天然河流。")</f>
        <v>一条天然河流。</v>
      </c>
      <c r="P47" s="3" t="str">
        <f>IFERROR(__xludf.DUMMYFUNCTION("GOOGLETRANSLATE(E47,""en"",""zh-CN"")"),"现代化的城市运河或水道。")</f>
        <v>现代化的城市运河或水道。</v>
      </c>
      <c r="Q47" s="3" t="str">
        <f>IFERROR(__xludf.DUMMYFUNCTION("GOOGLETRANSLATE(F47,""en"",""zh-CN"")"),"一个开阔的大湖。")</f>
        <v>一个开阔的大湖。</v>
      </c>
      <c r="R47" s="3" t="str">
        <f>IFERROR(__xludf.DUMMYFUNCTION("GOOGLETRANSLATE(G47,""en"",""zh-CN"")"),"人工游泳池。")</f>
        <v>人工游泳池。</v>
      </c>
      <c r="S47" s="3" t="s">
        <v>1685</v>
      </c>
      <c r="T47" s="3" t="str">
        <f>IFERROR(__xludf.DUMMYFUNCTION("GOOGLETRANSLATE(H47,""en"",""zh-CN"")"),"现代化的城市运河或水道。")</f>
        <v>现代化的城市运河或水道。</v>
      </c>
      <c r="U47" s="3" t="str">
        <f>IFERROR(__xludf.DUMMYFUNCTION("GOOGLETRANSLATE(I47,""en"",""zh-CN"")"),"河岸边现代建筑、桥梁和混凝土墙的存在表明，比赛是在现代城市运河或水道中进行的。")</f>
        <v>河岸边现代建筑、桥梁和混凝土墙的存在表明，比赛是在现代城市运河或水道中进行的。</v>
      </c>
      <c r="V47" s="2"/>
      <c r="W47" s="2"/>
      <c r="X47" s="2"/>
      <c r="Y47" s="2"/>
      <c r="Z47" s="2"/>
      <c r="AA47" s="2"/>
      <c r="AB47" s="2"/>
      <c r="AC47" s="2"/>
      <c r="AD47" s="2"/>
      <c r="AE47" s="2"/>
      <c r="AF47" s="2"/>
      <c r="AG47" s="2"/>
      <c r="AH47" s="2"/>
      <c r="AI47" s="2"/>
      <c r="AJ47" s="2"/>
      <c r="AK47" s="2"/>
      <c r="AL47" s="2"/>
    </row>
    <row r="48" ht="22.5" customHeight="1">
      <c r="A48" s="3" t="s">
        <v>1679</v>
      </c>
      <c r="B48" s="4">
        <v>47.0</v>
      </c>
      <c r="C48" s="3" t="s">
        <v>1686</v>
      </c>
      <c r="D48" s="3" t="s">
        <v>1687</v>
      </c>
      <c r="E48" s="3" t="s">
        <v>1688</v>
      </c>
      <c r="F48" s="3" t="s">
        <v>1689</v>
      </c>
      <c r="G48" s="3" t="s">
        <v>1690</v>
      </c>
      <c r="H48" s="3" t="s">
        <v>1688</v>
      </c>
      <c r="I48" s="3" t="s">
        <v>1691</v>
      </c>
      <c r="J48" s="2"/>
      <c r="K48" s="2"/>
      <c r="L48" s="3" t="s">
        <v>1679</v>
      </c>
      <c r="M48" s="4">
        <v>47.0</v>
      </c>
      <c r="N48" s="3" t="str">
        <f>IFERROR(__xludf.DUMMYFUNCTION("GOOGLETRANSLATE(C48,""en"",""zh-CN"")"),"这场比赛最突出的视觉元素是什么？")</f>
        <v>这场比赛最突出的视觉元素是什么？</v>
      </c>
      <c r="O48" s="3" t="str">
        <f>IFERROR(__xludf.DUMMYFUNCTION("GOOGLETRANSLATE(D48,""en"",""zh-CN"")"),"参赛船只的数量。")</f>
        <v>参赛船只的数量。</v>
      </c>
      <c r="P48" s="3" t="str">
        <f>IFERROR(__xludf.DUMMYFUNCTION("GOOGLETRANSLATE(E48,""en"",""zh-CN"")"),"各队队服颜色。")</f>
        <v>各队队服颜色。</v>
      </c>
      <c r="Q48" s="3" t="str">
        <f>IFERROR(__xludf.DUMMYFUNCTION("GOOGLETRANSLATE(F48,""en"",""zh-CN"")"),"船的速度。")</f>
        <v>船的速度。</v>
      </c>
      <c r="R48" s="3" t="str">
        <f>IFERROR(__xludf.DUMMYFUNCTION("GOOGLETRANSLATE(G48,""en"",""zh-CN"")"),"观众人数。")</f>
        <v>观众人数。</v>
      </c>
      <c r="S48" s="3" t="s">
        <v>1692</v>
      </c>
      <c r="T48" s="3" t="str">
        <f>IFERROR(__xludf.DUMMYFUNCTION("GOOGLETRANSLATE(H48,""en"",""zh-CN"")"),"各队队服颜色。")</f>
        <v>各队队服颜色。</v>
      </c>
      <c r="U48" s="3" t="str">
        <f>IFERROR(__xludf.DUMMYFUNCTION("GOOGLETRANSLATE(I48,""en"",""zh-CN"")"),"最引人注目的视觉元素是三支不同队伍之间的对比，每支队伍都穿着不同的队服颜色（红色、蓝色和红色），这使得很容易识别它们。")</f>
        <v>最引人注目的视觉元素是三支不同队伍之间的对比，每支队伍都穿着不同的队服颜色（红色、蓝色和红色），这使得很容易识别它们。</v>
      </c>
      <c r="V48" s="2"/>
      <c r="W48" s="2"/>
      <c r="X48" s="2"/>
      <c r="Y48" s="2"/>
      <c r="Z48" s="2"/>
      <c r="AA48" s="2"/>
      <c r="AB48" s="2"/>
      <c r="AC48" s="2"/>
      <c r="AD48" s="2"/>
      <c r="AE48" s="2"/>
      <c r="AF48" s="2"/>
      <c r="AG48" s="2"/>
      <c r="AH48" s="2"/>
      <c r="AI48" s="2"/>
      <c r="AJ48" s="2"/>
      <c r="AK48" s="2"/>
      <c r="AL48" s="2"/>
    </row>
    <row r="49" ht="22.5" customHeight="1">
      <c r="A49" s="3" t="s">
        <v>1679</v>
      </c>
      <c r="B49" s="4">
        <v>48.0</v>
      </c>
      <c r="C49" s="3" t="s">
        <v>1693</v>
      </c>
      <c r="D49" s="3" t="s">
        <v>1632</v>
      </c>
      <c r="E49" s="3" t="s">
        <v>1631</v>
      </c>
      <c r="F49" s="3" t="s">
        <v>1629</v>
      </c>
      <c r="G49" s="3" t="s">
        <v>1630</v>
      </c>
      <c r="H49" s="3" t="s">
        <v>1629</v>
      </c>
      <c r="I49" s="3" t="s">
        <v>1694</v>
      </c>
      <c r="J49" s="2"/>
      <c r="K49" s="2"/>
      <c r="L49" s="3" t="s">
        <v>1679</v>
      </c>
      <c r="M49" s="4">
        <v>48.0</v>
      </c>
      <c r="N49" s="3" t="str">
        <f>IFERROR(__xludf.DUMMYFUNCTION("GOOGLETRANSLATE(C49,""en"",""zh-CN"")"),"每艘船尾用长桨掌舵的人的作用是什么？")</f>
        <v>每艘船尾用长桨掌舵的人的作用是什么？</v>
      </c>
      <c r="O49" s="3" t="str">
        <f>IFERROR(__xludf.DUMMYFUNCTION("GOOGLETRANSLATE(D49,""en"",""zh-CN"")"),"队长。")</f>
        <v>队长。</v>
      </c>
      <c r="P49" s="3" t="str">
        <f>IFERROR(__xludf.DUMMYFUNCTION("GOOGLETRANSLATE(E49,""en"",""zh-CN"")"),"鼓手。")</f>
        <v>鼓手。</v>
      </c>
      <c r="Q49" s="3" t="str">
        <f>IFERROR(__xludf.DUMMYFUNCTION("GOOGLETRANSLATE(F49,""en"",""zh-CN"")"),"舵手。")</f>
        <v>舵手。</v>
      </c>
      <c r="R49" s="3" t="str">
        <f>IFERROR(__xludf.DUMMYFUNCTION("GOOGLETRANSLATE(G49,""en"",""zh-CN"")"),"教练。")</f>
        <v>教练。</v>
      </c>
      <c r="S49" s="3" t="s">
        <v>1695</v>
      </c>
      <c r="T49" s="3" t="str">
        <f>IFERROR(__xludf.DUMMYFUNCTION("GOOGLETRANSLATE(H49,""en"",""zh-CN"")"),"舵手。")</f>
        <v>舵手。</v>
      </c>
      <c r="U49" s="3" t="str">
        <f>IFERROR(__xludf.DUMMYFUNCTION("GOOGLETRANSLATE(I49,""en"",""zh-CN"")"),"站在船尾，用长桨控制船方向的人是舵手。")</f>
        <v>站在船尾，用长桨控制船方向的人是舵手。</v>
      </c>
      <c r="V49" s="2"/>
      <c r="W49" s="2"/>
      <c r="X49" s="2"/>
      <c r="Y49" s="2"/>
      <c r="Z49" s="2"/>
      <c r="AA49" s="2"/>
      <c r="AB49" s="2"/>
      <c r="AC49" s="2"/>
      <c r="AD49" s="2"/>
      <c r="AE49" s="2"/>
      <c r="AF49" s="2"/>
      <c r="AG49" s="2"/>
      <c r="AH49" s="2"/>
      <c r="AI49" s="2"/>
      <c r="AJ49" s="2"/>
      <c r="AK49" s="2"/>
      <c r="AL49" s="2"/>
    </row>
    <row r="50" ht="22.5" customHeight="1">
      <c r="A50" s="3" t="s">
        <v>1679</v>
      </c>
      <c r="B50" s="4">
        <v>49.0</v>
      </c>
      <c r="C50" s="3" t="s">
        <v>1696</v>
      </c>
      <c r="D50" s="3" t="s">
        <v>1697</v>
      </c>
      <c r="E50" s="3" t="s">
        <v>1698</v>
      </c>
      <c r="F50" s="3" t="s">
        <v>1699</v>
      </c>
      <c r="G50" s="3" t="s">
        <v>1700</v>
      </c>
      <c r="H50" s="3" t="s">
        <v>1697</v>
      </c>
      <c r="I50" s="3" t="s">
        <v>1701</v>
      </c>
      <c r="J50" s="2"/>
      <c r="K50" s="2"/>
      <c r="L50" s="3" t="s">
        <v>1679</v>
      </c>
      <c r="M50" s="4">
        <v>49.0</v>
      </c>
      <c r="N50" s="3" t="str">
        <f>IFERROR(__xludf.DUMMYFUNCTION("GOOGLETRANSLATE(C50,""en"",""zh-CN"")"),"这些船只在不同的航道上行驶。这说明什么？")</f>
        <v>这些船只在不同的航道上行驶。这说明什么？</v>
      </c>
      <c r="O50" s="3" t="str">
        <f>IFERROR(__xludf.DUMMYFUNCTION("GOOGLETRANSLATE(D50,""en"",""zh-CN"")"),"各队之间正在进行比赛。")</f>
        <v>各队之间正在进行比赛。</v>
      </c>
      <c r="P50" s="3" t="str">
        <f>IFERROR(__xludf.DUMMYFUNCTION("GOOGLETRANSLATE(E50,""en"",""zh-CN"")"),"他们正在进行一次友好的郊游。")</f>
        <v>他们正在进行一次友好的郊游。</v>
      </c>
      <c r="Q50" s="3" t="str">
        <f>IFERROR(__xludf.DUMMYFUNCTION("GOOGLETRANSLATE(F50,""en"",""zh-CN"")"),"他们是一个团队。")</f>
        <v>他们是一个团队。</v>
      </c>
      <c r="R50" s="3" t="str">
        <f>IFERROR(__xludf.DUMMYFUNCTION("GOOGLETRANSLATE(G50,""en"",""zh-CN"")"),"他们正在进行训练。")</f>
        <v>他们正在进行训练。</v>
      </c>
      <c r="S50" s="3" t="s">
        <v>1702</v>
      </c>
      <c r="T50" s="3" t="str">
        <f>IFERROR(__xludf.DUMMYFUNCTION("GOOGLETRANSLATE(H50,""en"",""zh-CN"")"),"各队之间正在进行比赛。")</f>
        <v>各队之间正在进行比赛。</v>
      </c>
      <c r="U50" s="3" t="str">
        <f>IFERROR(__xludf.DUMMYFUNCTION("GOOGLETRANSLATE(I50,""en"",""zh-CN"")"),"两艘龙舟在不同的赛道上并排竞速，这是龙舟比赛的标准设置。")</f>
        <v>两艘龙舟在不同的赛道上并排竞速，这是龙舟比赛的标准设置。</v>
      </c>
      <c r="V50" s="2"/>
      <c r="W50" s="2"/>
      <c r="X50" s="2"/>
      <c r="Y50" s="2"/>
      <c r="Z50" s="2"/>
      <c r="AA50" s="2"/>
      <c r="AB50" s="2"/>
      <c r="AC50" s="2"/>
      <c r="AD50" s="2"/>
      <c r="AE50" s="2"/>
      <c r="AF50" s="2"/>
      <c r="AG50" s="2"/>
      <c r="AH50" s="2"/>
      <c r="AI50" s="2"/>
      <c r="AJ50" s="2"/>
      <c r="AK50" s="2"/>
      <c r="AL50" s="2"/>
    </row>
    <row r="51" ht="22.5" customHeight="1">
      <c r="A51" s="3" t="s">
        <v>1679</v>
      </c>
      <c r="B51" s="4">
        <v>50.0</v>
      </c>
      <c r="C51" s="3" t="s">
        <v>1703</v>
      </c>
      <c r="D51" s="3" t="s">
        <v>1704</v>
      </c>
      <c r="E51" s="3" t="s">
        <v>1705</v>
      </c>
      <c r="F51" s="3" t="s">
        <v>1706</v>
      </c>
      <c r="G51" s="3" t="s">
        <v>1707</v>
      </c>
      <c r="H51" s="3" t="s">
        <v>1707</v>
      </c>
      <c r="I51" s="3" t="s">
        <v>1708</v>
      </c>
      <c r="J51" s="2"/>
      <c r="K51" s="2"/>
      <c r="L51" s="3" t="s">
        <v>1679</v>
      </c>
      <c r="M51" s="4">
        <v>50.0</v>
      </c>
      <c r="N51" s="3" t="str">
        <f>IFERROR(__xludf.DUMMYFUNCTION("GOOGLETRANSLATE(C51,""en"",""zh-CN"")"),"海岸线上旗杆上的旗帜有什么象征意义？")</f>
        <v>海岸线上旗杆上的旗帜有什么象征意义？</v>
      </c>
      <c r="O51" s="3" t="str">
        <f>IFERROR(__xludf.DUMMYFUNCTION("GOOGLETRANSLATE(D51,""en"",""zh-CN"")"),"它们是用来装饰的。")</f>
        <v>它们是用来装饰的。</v>
      </c>
      <c r="P51" s="3" t="str">
        <f>IFERROR(__xludf.DUMMYFUNCTION("GOOGLETRANSLATE(E51,""en"",""zh-CN"")"),"它们是不同国家的国旗。")</f>
        <v>它们是不同国家的国旗。</v>
      </c>
      <c r="Q51" s="3" t="str">
        <f>IFERROR(__xludf.DUMMYFUNCTION("GOOGLETRANSLATE(F51,""en"",""zh-CN"")"),"这些是给赛事官员用的旗帜。")</f>
        <v>这些是给赛事官员用的旗帜。</v>
      </c>
      <c r="R51" s="3" t="str">
        <f>IFERROR(__xludf.DUMMYFUNCTION("GOOGLETRANSLATE(G51,""en"",""zh-CN"")"),"它们标示着比赛路线和终点线。")</f>
        <v>它们标示着比赛路线和终点线。</v>
      </c>
      <c r="S51" s="3" t="s">
        <v>1709</v>
      </c>
      <c r="T51" s="3" t="str">
        <f>IFERROR(__xludf.DUMMYFUNCTION("GOOGLETRANSLATE(H51,""en"",""zh-CN"")"),"它们标示着比赛路线和终点线。")</f>
        <v>它们标示着比赛路线和终点线。</v>
      </c>
      <c r="U51" s="3" t="str">
        <f>IFERROR(__xludf.DUMMYFUNCTION("GOOGLETRANSLATE(I51,""en"",""zh-CN"")"),"旗帜和观众席一起，清晰地标示出比赛路线和终点线，方便参赛者和观众辨认方向。")</f>
        <v>旗帜和观众席一起，清晰地标示出比赛路线和终点线，方便参赛者和观众辨认方向。</v>
      </c>
      <c r="V51" s="2"/>
      <c r="W51" s="2"/>
      <c r="X51" s="2"/>
      <c r="Y51" s="2"/>
      <c r="Z51" s="2"/>
      <c r="AA51" s="2"/>
      <c r="AB51" s="2"/>
      <c r="AC51" s="2"/>
      <c r="AD51" s="2"/>
      <c r="AE51" s="2"/>
      <c r="AF51" s="2"/>
      <c r="AG51" s="2"/>
      <c r="AH51" s="2"/>
      <c r="AI51" s="2"/>
      <c r="AJ51" s="2"/>
      <c r="AK51" s="2"/>
      <c r="AL51" s="2"/>
    </row>
    <row r="52" ht="22.5" customHeight="1">
      <c r="A52" s="3" t="s">
        <v>1710</v>
      </c>
      <c r="B52" s="4">
        <v>51.0</v>
      </c>
      <c r="C52" s="3" t="s">
        <v>1239</v>
      </c>
      <c r="D52" s="3" t="s">
        <v>1711</v>
      </c>
      <c r="E52" s="3" t="s">
        <v>1712</v>
      </c>
      <c r="F52" s="3" t="s">
        <v>1713</v>
      </c>
      <c r="G52" s="3" t="s">
        <v>1714</v>
      </c>
      <c r="H52" s="3" t="s">
        <v>1711</v>
      </c>
      <c r="I52" s="3" t="s">
        <v>1715</v>
      </c>
      <c r="J52" s="2"/>
      <c r="K52" s="2"/>
      <c r="L52" s="3" t="s">
        <v>1710</v>
      </c>
      <c r="M52" s="4">
        <v>51.0</v>
      </c>
      <c r="N52" s="3" t="str">
        <f>IFERROR(__xludf.DUMMYFUNCTION("GOOGLETRANSLATE(C52,""en"",""zh-CN"")"),"图片中展示的主要活动是什么？")</f>
        <v>图片中展示的主要活动是什么？</v>
      </c>
      <c r="O52" s="3" t="str">
        <f>IFERROR(__xludf.DUMMYFUNCTION("GOOGLETRANSLATE(D52,""en"",""zh-CN"")"),"一场激烈的龙舟比赛。")</f>
        <v>一场激烈的龙舟比赛。</v>
      </c>
      <c r="P52" s="3" t="str">
        <f>IFERROR(__xludf.DUMMYFUNCTION("GOOGLETRANSLATE(E52,""en"",""zh-CN"")"),"赛前练习赛。")</f>
        <v>赛前练习赛。</v>
      </c>
      <c r="Q52" s="3" t="str">
        <f>IFERROR(__xludf.DUMMYFUNCTION("GOOGLETRANSLATE(F52,""en"",""zh-CN"")"),"一次休闲划船之旅。")</f>
        <v>一次休闲划船之旅。</v>
      </c>
      <c r="R52" s="3" t="str">
        <f>IFERROR(__xludf.DUMMYFUNCTION("GOOGLETRANSLATE(G52,""en"",""zh-CN"")"),"河上游行。")</f>
        <v>河上游行。</v>
      </c>
      <c r="S52" s="3" t="s">
        <v>1716</v>
      </c>
      <c r="T52" s="3" t="str">
        <f>IFERROR(__xludf.DUMMYFUNCTION("GOOGLETRANSLATE(H52,""en"",""zh-CN"")"),"一场激烈的龙舟比赛。")</f>
        <v>一场激烈的龙舟比赛。</v>
      </c>
      <c r="U52" s="3" t="str">
        <f>IFERROR(__xludf.DUMMYFUNCTION("GOOGLETRANSLATE(I52,""en"",""zh-CN"")"),"图片显示多艘船只并排进行比赛，每艘船都有一个编号和一个不同的队伍，表明这是一场正式比赛。")</f>
        <v>图片显示多艘船只并排进行比赛，每艘船都有一个编号和一个不同的队伍，表明这是一场正式比赛。</v>
      </c>
      <c r="V52" s="2"/>
      <c r="W52" s="2"/>
      <c r="X52" s="2"/>
      <c r="Y52" s="2"/>
      <c r="Z52" s="2"/>
      <c r="AA52" s="2"/>
      <c r="AB52" s="2"/>
      <c r="AC52" s="2"/>
      <c r="AD52" s="2"/>
      <c r="AE52" s="2"/>
      <c r="AF52" s="2"/>
      <c r="AG52" s="2"/>
      <c r="AH52" s="2"/>
      <c r="AI52" s="2"/>
      <c r="AJ52" s="2"/>
      <c r="AK52" s="2"/>
      <c r="AL52" s="2"/>
    </row>
    <row r="53" ht="22.5" customHeight="1">
      <c r="A53" s="3" t="s">
        <v>1710</v>
      </c>
      <c r="B53" s="4">
        <v>52.0</v>
      </c>
      <c r="C53" s="3" t="s">
        <v>1717</v>
      </c>
      <c r="D53" s="3" t="s">
        <v>1718</v>
      </c>
      <c r="E53" s="3" t="s">
        <v>1471</v>
      </c>
      <c r="F53" s="3" t="s">
        <v>1473</v>
      </c>
      <c r="G53" s="3" t="s">
        <v>1719</v>
      </c>
      <c r="H53" s="3" t="s">
        <v>1719</v>
      </c>
      <c r="I53" s="3" t="s">
        <v>1720</v>
      </c>
      <c r="J53" s="2"/>
      <c r="K53" s="2"/>
      <c r="L53" s="3" t="s">
        <v>1710</v>
      </c>
      <c r="M53" s="4">
        <v>52.0</v>
      </c>
      <c r="N53" s="3" t="str">
        <f>IFERROR(__xludf.DUMMYFUNCTION("GOOGLETRANSLATE(C53,""en"",""zh-CN"")"),"本次比赛的赛艇设计有什么显著特点？")</f>
        <v>本次比赛的赛艇设计有什么显著特点？</v>
      </c>
      <c r="O53" s="3" t="str">
        <f>IFERROR(__xludf.DUMMYFUNCTION("GOOGLETRANSLATE(D53,""en"",""zh-CN"")"),"它们的颜色都一样。")</f>
        <v>它们的颜色都一样。</v>
      </c>
      <c r="P53" s="3" t="str">
        <f>IFERROR(__xludf.DUMMYFUNCTION("GOOGLETRANSLATE(E53,""en"",""zh-CN"")"),"它们都被涂上了龙的图案。")</f>
        <v>它们都被涂上了龙的图案。</v>
      </c>
      <c r="Q53" s="3" t="str">
        <f>IFERROR(__xludf.DUMMYFUNCTION("GOOGLETRANSLATE(F53,""en"",""zh-CN"")"),"它们的大小各不相同。")</f>
        <v>它们的大小各不相同。</v>
      </c>
      <c r="R53" s="3" t="str">
        <f>IFERROR(__xludf.DUMMYFUNCTION("GOOGLETRANSLATE(G53,""en"",""zh-CN"")"),"它们没有采用传统的龙头造型，而是采用了更简洁、颜色各异的头部造型。")</f>
        <v>它们没有采用传统的龙头造型，而是采用了更简洁、颜色各异的头部造型。</v>
      </c>
      <c r="S53" s="3" t="s">
        <v>1721</v>
      </c>
      <c r="T53" s="3" t="str">
        <f>IFERROR(__xludf.DUMMYFUNCTION("GOOGLETRANSLATE(H53,""en"",""zh-CN"")"),"它们没有采用传统的龙头造型，而是采用了更简洁、颜色各异的头部造型。")</f>
        <v>它们没有采用传统的龙头造型，而是采用了更简洁、颜色各异的头部造型。</v>
      </c>
      <c r="U53" s="3" t="str">
        <f>IFERROR(__xludf.DUMMYFUNCTION("GOOGLETRANSLATE(I53,""en"",""zh-CN"")"),"这些船的船头设计简洁，采用单色涂装，而不是现代专业赛艇上常见的复杂、传统的龙头涂装。")</f>
        <v>这些船的船头设计简洁，采用单色涂装，而不是现代专业赛艇上常见的复杂、传统的龙头涂装。</v>
      </c>
      <c r="V53" s="2"/>
      <c r="W53" s="2"/>
      <c r="X53" s="2"/>
      <c r="Y53" s="2"/>
      <c r="Z53" s="2"/>
      <c r="AA53" s="2"/>
      <c r="AB53" s="2"/>
      <c r="AC53" s="2"/>
      <c r="AD53" s="2"/>
      <c r="AE53" s="2"/>
      <c r="AF53" s="2"/>
      <c r="AG53" s="2"/>
      <c r="AH53" s="2"/>
      <c r="AI53" s="2"/>
      <c r="AJ53" s="2"/>
      <c r="AK53" s="2"/>
      <c r="AL53" s="2"/>
    </row>
    <row r="54" ht="22.5" customHeight="1">
      <c r="A54" s="3" t="s">
        <v>1710</v>
      </c>
      <c r="B54" s="4">
        <v>53.0</v>
      </c>
      <c r="C54" s="3" t="s">
        <v>1621</v>
      </c>
      <c r="D54" s="3" t="s">
        <v>1622</v>
      </c>
      <c r="E54" s="3" t="s">
        <v>1722</v>
      </c>
      <c r="F54" s="3" t="s">
        <v>1624</v>
      </c>
      <c r="G54" s="3" t="s">
        <v>1723</v>
      </c>
      <c r="H54" s="3" t="s">
        <v>1722</v>
      </c>
      <c r="I54" s="3" t="s">
        <v>1724</v>
      </c>
      <c r="J54" s="2"/>
      <c r="K54" s="2"/>
      <c r="L54" s="3" t="s">
        <v>1710</v>
      </c>
      <c r="M54" s="4">
        <v>53.0</v>
      </c>
      <c r="N54" s="3" t="str">
        <f>IFERROR(__xludf.DUMMYFUNCTION("GOOGLETRANSLATE(C54,""en"",""zh-CN"")"),"每艘船侧面的数字代表什么？")</f>
        <v>每艘船侧面的数字代表什么？</v>
      </c>
      <c r="O54" s="3" t="str">
        <f>IFERROR(__xludf.DUMMYFUNCTION("GOOGLETRANSLATE(D54,""en"",""zh-CN"")"),"船上的人数。")</f>
        <v>船上的人数。</v>
      </c>
      <c r="P54" s="3" t="str">
        <f>IFERROR(__xludf.DUMMYFUNCTION("GOOGLETRANSLATE(E54,""en"",""zh-CN"")"),"比赛的赛道编号。")</f>
        <v>比赛的赛道编号。</v>
      </c>
      <c r="Q54" s="3" t="str">
        <f>IFERROR(__xludf.DUMMYFUNCTION("GOOGLETRANSLATE(F54,""en"",""zh-CN"")"),"球队排名。")</f>
        <v>球队排名。</v>
      </c>
      <c r="R54" s="3" t="str">
        <f>IFERROR(__xludf.DUMMYFUNCTION("GOOGLETRANSLATE(G54,""en"",""zh-CN"")"),"船的速度。")</f>
        <v>船的速度。</v>
      </c>
      <c r="S54" s="3" t="s">
        <v>1725</v>
      </c>
      <c r="T54" s="3" t="str">
        <f>IFERROR(__xludf.DUMMYFUNCTION("GOOGLETRANSLATE(H54,""en"",""zh-CN"")"),"比赛的赛道编号。")</f>
        <v>比赛的赛道编号。</v>
      </c>
      <c r="U54" s="3" t="str">
        <f>IFERROR(__xludf.DUMMYFUNCTION("GOOGLETRANSLATE(I54,""en"",""zh-CN"")"),"每艘船侧面的大数字，例如“2”和“3”，用于指定该船在比赛中的具体航道。")</f>
        <v>每艘船侧面的大数字，例如“2”和“3”，用于指定该船在比赛中的具体航道。</v>
      </c>
      <c r="V54" s="2"/>
      <c r="W54" s="2"/>
      <c r="X54" s="2"/>
      <c r="Y54" s="2"/>
      <c r="Z54" s="2"/>
      <c r="AA54" s="2"/>
      <c r="AB54" s="2"/>
      <c r="AC54" s="2"/>
      <c r="AD54" s="2"/>
      <c r="AE54" s="2"/>
      <c r="AF54" s="2"/>
      <c r="AG54" s="2"/>
      <c r="AH54" s="2"/>
      <c r="AI54" s="2"/>
      <c r="AJ54" s="2"/>
      <c r="AK54" s="2"/>
      <c r="AL54" s="2"/>
    </row>
    <row r="55" ht="22.5" customHeight="1">
      <c r="A55" s="3" t="s">
        <v>1710</v>
      </c>
      <c r="B55" s="4">
        <v>54.0</v>
      </c>
      <c r="C55" s="3" t="s">
        <v>1726</v>
      </c>
      <c r="D55" s="3" t="s">
        <v>1727</v>
      </c>
      <c r="E55" s="3" t="s">
        <v>1728</v>
      </c>
      <c r="F55" s="3" t="s">
        <v>1729</v>
      </c>
      <c r="G55" s="3" t="s">
        <v>1730</v>
      </c>
      <c r="H55" s="3" t="s">
        <v>1729</v>
      </c>
      <c r="I55" s="3" t="s">
        <v>1731</v>
      </c>
      <c r="J55" s="2"/>
      <c r="K55" s="2"/>
      <c r="L55" s="3" t="s">
        <v>1710</v>
      </c>
      <c r="M55" s="4">
        <v>54.0</v>
      </c>
      <c r="N55" s="3" t="str">
        <f>IFERROR(__xludf.DUMMYFUNCTION("GOOGLETRANSLATE(C55,""en"",""zh-CN"")"),"划桨者身体大幅度前倾。这种姿势的目的是什么？")</f>
        <v>划桨者身体大幅度前倾。这种姿势的目的是什么？</v>
      </c>
      <c r="O55" s="3" t="str">
        <f>IFERROR(__xludf.DUMMYFUNCTION("GOOGLETRANSLATE(D55,""en"",""zh-CN"")"),"让手臂休息一下。")</f>
        <v>让手臂休息一下。</v>
      </c>
      <c r="P55" s="3" t="str">
        <f>IFERROR(__xludf.DUMMYFUNCTION("GOOGLETRANSLATE(E55,""en"",""zh-CN"")"),"伸展一下背部。")</f>
        <v>伸展一下背部。</v>
      </c>
      <c r="Q55" s="3" t="str">
        <f>IFERROR(__xludf.DUMMYFUNCTION("GOOGLETRANSLATE(F55,""en"",""zh-CN"")"),"为了产生更长、更有力的击球。")</f>
        <v>为了产生更长、更有力的击球。</v>
      </c>
      <c r="R55" s="3" t="str">
        <f>IFERROR(__xludf.DUMMYFUNCTION("GOOGLETRANSLATE(G55,""en"",""zh-CN"")"),"为了让自己冷静下来。")</f>
        <v>为了让自己冷静下来。</v>
      </c>
      <c r="S55" s="3" t="s">
        <v>1732</v>
      </c>
      <c r="T55" s="3" t="str">
        <f>IFERROR(__xludf.DUMMYFUNCTION("GOOGLETRANSLATE(H55,""en"",""zh-CN"")"),"为了产生更长、更有力的击球。")</f>
        <v>为了产生更长、更有力的击球。</v>
      </c>
      <c r="U55" s="3" t="str">
        <f>IFERROR(__xludf.DUMMYFUNCTION("GOOGLETRANSLATE(I55,""en"",""zh-CN"")"),"身体前倾可以让划桨者划得更远，从而实现更长的划桨动作，产生更大的动力来推动船只前进。")</f>
        <v>身体前倾可以让划桨者划得更远，从而实现更长的划桨动作，产生更大的动力来推动船只前进。</v>
      </c>
      <c r="V55" s="2"/>
      <c r="W55" s="2"/>
      <c r="X55" s="2"/>
      <c r="Y55" s="2"/>
      <c r="Z55" s="2"/>
      <c r="AA55" s="2"/>
      <c r="AB55" s="2"/>
      <c r="AC55" s="2"/>
      <c r="AD55" s="2"/>
      <c r="AE55" s="2"/>
      <c r="AF55" s="2"/>
      <c r="AG55" s="2"/>
      <c r="AH55" s="2"/>
      <c r="AI55" s="2"/>
      <c r="AJ55" s="2"/>
      <c r="AK55" s="2"/>
      <c r="AL55" s="2"/>
    </row>
    <row r="56" ht="22.5" customHeight="1">
      <c r="A56" s="3" t="s">
        <v>1710</v>
      </c>
      <c r="B56" s="4">
        <v>55.0</v>
      </c>
      <c r="C56" s="3" t="s">
        <v>1733</v>
      </c>
      <c r="D56" s="3" t="s">
        <v>1630</v>
      </c>
      <c r="E56" s="3" t="s">
        <v>1631</v>
      </c>
      <c r="F56" s="3" t="s">
        <v>1629</v>
      </c>
      <c r="G56" s="3" t="s">
        <v>1632</v>
      </c>
      <c r="H56" s="3" t="s">
        <v>1629</v>
      </c>
      <c r="I56" s="3" t="s">
        <v>1734</v>
      </c>
      <c r="J56" s="2"/>
      <c r="K56" s="2"/>
      <c r="L56" s="3" t="s">
        <v>1710</v>
      </c>
      <c r="M56" s="4">
        <v>55.0</v>
      </c>
      <c r="N56" s="3" t="str">
        <f>IFERROR(__xludf.DUMMYFUNCTION("GOOGLETRANSLATE(C56,""en"",""zh-CN"")"),"每艘船尾坐在高台上的人扮演什么角色？")</f>
        <v>每艘船尾坐在高台上的人扮演什么角色？</v>
      </c>
      <c r="O56" s="3" t="str">
        <f>IFERROR(__xludf.DUMMYFUNCTION("GOOGLETRANSLATE(D56,""en"",""zh-CN"")"),"教练。")</f>
        <v>教练。</v>
      </c>
      <c r="P56" s="3" t="str">
        <f>IFERROR(__xludf.DUMMYFUNCTION("GOOGLETRANSLATE(E56,""en"",""zh-CN"")"),"鼓手。")</f>
        <v>鼓手。</v>
      </c>
      <c r="Q56" s="3" t="str">
        <f>IFERROR(__xludf.DUMMYFUNCTION("GOOGLETRANSLATE(F56,""en"",""zh-CN"")"),"舵手。")</f>
        <v>舵手。</v>
      </c>
      <c r="R56" s="3" t="str">
        <f>IFERROR(__xludf.DUMMYFUNCTION("GOOGLETRANSLATE(G56,""en"",""zh-CN"")"),"队长。")</f>
        <v>队长。</v>
      </c>
      <c r="S56" s="3" t="s">
        <v>1735</v>
      </c>
      <c r="T56" s="3" t="str">
        <f>IFERROR(__xludf.DUMMYFUNCTION("GOOGLETRANSLATE(H56,""en"",""zh-CN"")"),"舵手。")</f>
        <v>舵手。</v>
      </c>
      <c r="U56" s="3" t="str">
        <f>IFERROR(__xludf.DUMMYFUNCTION("GOOGLETRANSLATE(I56,""en"",""zh-CN"")"),"坐在船尾的人处于掌舵的位置，表明其角色是舵手或掌舵人。")</f>
        <v>坐在船尾的人处于掌舵的位置，表明其角色是舵手或掌舵人。</v>
      </c>
      <c r="V56" s="2"/>
      <c r="W56" s="2"/>
      <c r="X56" s="2"/>
      <c r="Y56" s="2"/>
      <c r="Z56" s="2"/>
      <c r="AA56" s="2"/>
      <c r="AB56" s="2"/>
      <c r="AC56" s="2"/>
      <c r="AD56" s="2"/>
      <c r="AE56" s="2"/>
      <c r="AF56" s="2"/>
      <c r="AG56" s="2"/>
      <c r="AH56" s="2"/>
      <c r="AI56" s="2"/>
      <c r="AJ56" s="2"/>
      <c r="AK56" s="2"/>
      <c r="AL56" s="2"/>
    </row>
    <row r="57" ht="22.5" customHeight="1">
      <c r="A57" s="3" t="s">
        <v>1736</v>
      </c>
      <c r="B57" s="4">
        <v>56.0</v>
      </c>
      <c r="C57" s="3" t="s">
        <v>1737</v>
      </c>
      <c r="D57" s="3" t="s">
        <v>1738</v>
      </c>
      <c r="E57" s="3" t="s">
        <v>1739</v>
      </c>
      <c r="F57" s="3" t="s">
        <v>1740</v>
      </c>
      <c r="G57" s="3" t="s">
        <v>1741</v>
      </c>
      <c r="H57" s="3" t="s">
        <v>1739</v>
      </c>
      <c r="I57" s="3" t="s">
        <v>1742</v>
      </c>
      <c r="J57" s="2"/>
      <c r="K57" s="2"/>
      <c r="L57" s="3" t="s">
        <v>1736</v>
      </c>
      <c r="M57" s="4">
        <v>56.0</v>
      </c>
      <c r="N57" s="3" t="str">
        <f>IFERROR(__xludf.DUMMYFUNCTION("GOOGLETRANSLATE(C57,""en"",""zh-CN"")"),"图片中船只最显著的特征是什么？")</f>
        <v>图片中船只最显著的特征是什么？</v>
      </c>
      <c r="O57" s="3" t="str">
        <f>IFERROR(__xludf.DUMMYFUNCTION("GOOGLETRANSLATE(D57,""en"",""zh-CN"")"),"它们形状细长。")</f>
        <v>它们形状细长。</v>
      </c>
      <c r="P57" s="3" t="str">
        <f>IFERROR(__xludf.DUMMYFUNCTION("GOOGLETRANSLATE(E57,""en"",""zh-CN"")"),"色彩鲜艳、装饰精美的龙头。")</f>
        <v>色彩鲜艳、装饰精美的龙头。</v>
      </c>
      <c r="Q57" s="3" t="str">
        <f>IFERROR(__xludf.DUMMYFUNCTION("GOOGLETRANSLATE(F57,""en"",""zh-CN"")"),"大量的划桨者。")</f>
        <v>大量的划桨者。</v>
      </c>
      <c r="R57" s="3" t="str">
        <f>IFERROR(__xludf.DUMMYFUNCTION("GOOGLETRANSLATE(G57,""en"",""zh-CN"")"),"船上的旗帜。")</f>
        <v>船上的旗帜。</v>
      </c>
      <c r="S57" s="3" t="s">
        <v>1743</v>
      </c>
      <c r="T57" s="3" t="str">
        <f>IFERROR(__xludf.DUMMYFUNCTION("GOOGLETRANSLATE(H57,""en"",""zh-CN"")"),"色彩鲜艳、装饰精美的龙头。")</f>
        <v>色彩鲜艳、装饰精美的龙头。</v>
      </c>
      <c r="U57" s="3" t="str">
        <f>IFERROR(__xludf.DUMMYFUNCTION("GOOGLETRANSLATE(I57,""en"",""zh-CN"")"),"这些船只拥有大型、精雕细琢、彩绘精美的龙头，龙头张着大嘴，露出獠牙和犄角，这是最突出、最传统的特征。")</f>
        <v>这些船只拥有大型、精雕细琢、彩绘精美的龙头，龙头张着大嘴，露出獠牙和犄角，这是最突出、最传统的特征。</v>
      </c>
      <c r="V57" s="2"/>
      <c r="W57" s="2"/>
      <c r="X57" s="2"/>
      <c r="Y57" s="2"/>
      <c r="Z57" s="2"/>
      <c r="AA57" s="2"/>
      <c r="AB57" s="2"/>
      <c r="AC57" s="2"/>
      <c r="AD57" s="2"/>
      <c r="AE57" s="2"/>
      <c r="AF57" s="2"/>
      <c r="AG57" s="2"/>
      <c r="AH57" s="2"/>
      <c r="AI57" s="2"/>
      <c r="AJ57" s="2"/>
      <c r="AK57" s="2"/>
      <c r="AL57" s="2"/>
    </row>
    <row r="58" ht="22.5" customHeight="1">
      <c r="A58" s="3" t="s">
        <v>1736</v>
      </c>
      <c r="B58" s="4">
        <v>57.0</v>
      </c>
      <c r="C58" s="3" t="s">
        <v>1744</v>
      </c>
      <c r="D58" s="3" t="s">
        <v>1745</v>
      </c>
      <c r="E58" s="3" t="s">
        <v>1746</v>
      </c>
      <c r="F58" s="3" t="s">
        <v>1747</v>
      </c>
      <c r="G58" s="3" t="s">
        <v>1748</v>
      </c>
      <c r="H58" s="3" t="s">
        <v>1747</v>
      </c>
      <c r="I58" s="3" t="s">
        <v>1749</v>
      </c>
      <c r="J58" s="2"/>
      <c r="K58" s="2"/>
      <c r="L58" s="3" t="s">
        <v>1736</v>
      </c>
      <c r="M58" s="4">
        <v>57.0</v>
      </c>
      <c r="N58" s="3" t="str">
        <f>IFERROR(__xludf.DUMMYFUNCTION("GOOGLETRANSLATE(C58,""en"",""zh-CN"")"),"这张图片传达了怎样的整体氛围？")</f>
        <v>这张图片传达了怎样的整体氛围？</v>
      </c>
      <c r="O58" s="3" t="str">
        <f>IFERROR(__xludf.DUMMYFUNCTION("GOOGLETRANSLATE(D58,""en"",""zh-CN"")"),"一场紧张而平静的比赛。")</f>
        <v>一场紧张而平静的比赛。</v>
      </c>
      <c r="P58" s="3" t="str">
        <f>IFERROR(__xludf.DUMMYFUNCTION("GOOGLETRANSLATE(E58,""en"",""zh-CN"")"),"轻松惬意的乘船之旅。")</f>
        <v>轻松惬意的乘船之旅。</v>
      </c>
      <c r="Q58" s="3" t="str">
        <f>IFERROR(__xludf.DUMMYFUNCTION("GOOGLETRANSLATE(F58,""en"",""zh-CN"")"),"一个充满活力、喜庆的节日。")</f>
        <v>一个充满活力、喜庆的节日。</v>
      </c>
      <c r="R58" s="3" t="str">
        <f>IFERROR(__xludf.DUMMYFUNCTION("GOOGLETRANSLATE(G58,""en"",""zh-CN"")"),"阅兵式。")</f>
        <v>阅兵式。</v>
      </c>
      <c r="S58" s="3" t="s">
        <v>1750</v>
      </c>
      <c r="T58" s="3" t="str">
        <f>IFERROR(__xludf.DUMMYFUNCTION("GOOGLETRANSLATE(H58,""en"",""zh-CN"")"),"一个充满活力、喜庆的节日。")</f>
        <v>一个充满活力、喜庆的节日。</v>
      </c>
      <c r="U58" s="3" t="str">
        <f>IFERROR(__xludf.DUMMYFUNCTION("GOOGLETRANSLATE(I58,""en"",""zh-CN"")"),"船只鲜艳的色彩、观众喜庆的装束以及熙熙攘攘、热闹非凡的背景，都表明这是一场充满活力的节日，而不是一场严肃的或纯粹的竞技赛事。")</f>
        <v>船只鲜艳的色彩、观众喜庆的装束以及熙熙攘攘、热闹非凡的背景，都表明这是一场充满活力的节日，而不是一场严肃的或纯粹的竞技赛事。</v>
      </c>
      <c r="V58" s="2"/>
      <c r="W58" s="2"/>
      <c r="X58" s="2"/>
      <c r="Y58" s="2"/>
      <c r="Z58" s="2"/>
      <c r="AA58" s="2"/>
      <c r="AB58" s="2"/>
      <c r="AC58" s="2"/>
      <c r="AD58" s="2"/>
      <c r="AE58" s="2"/>
      <c r="AF58" s="2"/>
      <c r="AG58" s="2"/>
      <c r="AH58" s="2"/>
      <c r="AI58" s="2"/>
      <c r="AJ58" s="2"/>
      <c r="AK58" s="2"/>
      <c r="AL58" s="2"/>
    </row>
    <row r="59" ht="22.5" customHeight="1">
      <c r="A59" s="3" t="s">
        <v>1736</v>
      </c>
      <c r="B59" s="4">
        <v>58.0</v>
      </c>
      <c r="C59" s="3" t="s">
        <v>1751</v>
      </c>
      <c r="D59" s="3" t="s">
        <v>1752</v>
      </c>
      <c r="E59" s="3" t="s">
        <v>1753</v>
      </c>
      <c r="F59" s="3" t="s">
        <v>1754</v>
      </c>
      <c r="G59" s="3" t="s">
        <v>1755</v>
      </c>
      <c r="H59" s="3" t="s">
        <v>1754</v>
      </c>
      <c r="I59" s="3" t="s">
        <v>1756</v>
      </c>
      <c r="J59" s="2"/>
      <c r="K59" s="2"/>
      <c r="L59" s="3" t="s">
        <v>1736</v>
      </c>
      <c r="M59" s="4">
        <v>58.0</v>
      </c>
      <c r="N59" s="3" t="str">
        <f>IFERROR(__xludf.DUMMYFUNCTION("GOOGLETRANSLATE(C59,""en"",""zh-CN"")"),"龙头上那些长长的、像头发一样的流苏有什么用处？")</f>
        <v>龙头上那些长长的、像头发一样的流苏有什么用处？</v>
      </c>
      <c r="O59" s="3" t="str">
        <f>IFERROR(__xludf.DUMMYFUNCTION("GOOGLETRANSLATE(D59,""en"",""zh-CN"")"),"它们是船只转向机构的一部分。")</f>
        <v>它们是船只转向机构的一部分。</v>
      </c>
      <c r="P59" s="3" t="str">
        <f>IFERROR(__xludf.DUMMYFUNCTION("GOOGLETRANSLATE(E59,""en"",""zh-CN"")"),"它们纯粹是装饰品。")</f>
        <v>它们纯粹是装饰品。</v>
      </c>
      <c r="Q59" s="3" t="str">
        <f>IFERROR(__xludf.DUMMYFUNCTION("GOOGLETRANSLATE(F59,""en"",""zh-CN"")"),"它们是传统的装饰和礼仪元素。")</f>
        <v>它们是传统的装饰和礼仪元素。</v>
      </c>
      <c r="R59" s="3" t="str">
        <f>IFERROR(__xludf.DUMMYFUNCTION("GOOGLETRANSLATE(G59,""en"",""zh-CN"")"),"它们用于提高船速。")</f>
        <v>它们用于提高船速。</v>
      </c>
      <c r="S59" s="3" t="s">
        <v>1757</v>
      </c>
      <c r="T59" s="3" t="str">
        <f>IFERROR(__xludf.DUMMYFUNCTION("GOOGLETRANSLATE(H59,""en"",""zh-CN"")"),"它们是传统的装饰和礼仪元素。")</f>
        <v>它们是传统的装饰和礼仪元素。</v>
      </c>
      <c r="U59" s="3" t="str">
        <f>IFERROR(__xludf.DUMMYFUNCTION("GOOGLETRANSLATE(I59,""en"",""zh-CN"")"),"流苏是传统龙舟设计中的经典装饰元素，增添了龙舟的宏伟气势和文化意义。")</f>
        <v>流苏是传统龙舟设计中的经典装饰元素，增添了龙舟的宏伟气势和文化意义。</v>
      </c>
      <c r="V59" s="2"/>
      <c r="W59" s="2"/>
      <c r="X59" s="2"/>
      <c r="Y59" s="2"/>
      <c r="Z59" s="2"/>
      <c r="AA59" s="2"/>
      <c r="AB59" s="2"/>
      <c r="AC59" s="2"/>
      <c r="AD59" s="2"/>
      <c r="AE59" s="2"/>
      <c r="AF59" s="2"/>
      <c r="AG59" s="2"/>
      <c r="AH59" s="2"/>
      <c r="AI59" s="2"/>
      <c r="AJ59" s="2"/>
      <c r="AK59" s="2"/>
      <c r="AL59" s="2"/>
    </row>
    <row r="60" ht="22.5" customHeight="1">
      <c r="A60" s="3" t="s">
        <v>1736</v>
      </c>
      <c r="B60" s="4">
        <v>59.0</v>
      </c>
      <c r="C60" s="3" t="s">
        <v>1758</v>
      </c>
      <c r="D60" s="3" t="s">
        <v>907</v>
      </c>
      <c r="E60" s="3" t="s">
        <v>1759</v>
      </c>
      <c r="F60" s="3" t="s">
        <v>1760</v>
      </c>
      <c r="G60" s="3" t="s">
        <v>1761</v>
      </c>
      <c r="H60" s="3" t="s">
        <v>1761</v>
      </c>
      <c r="I60" s="3" t="s">
        <v>1762</v>
      </c>
      <c r="J60" s="2"/>
      <c r="K60" s="2"/>
      <c r="L60" s="3" t="s">
        <v>1736</v>
      </c>
      <c r="M60" s="4">
        <v>59.0</v>
      </c>
      <c r="N60" s="3" t="str">
        <f>IFERROR(__xludf.DUMMYFUNCTION("GOOGLETRANSLATE(C60,""en"",""zh-CN"")"),"那些不划桨的人扮演什么角色？")</f>
        <v>那些不划桨的人扮演什么角色？</v>
      </c>
      <c r="O60" s="3" t="str">
        <f>IFERROR(__xludf.DUMMYFUNCTION("GOOGLETRANSLATE(D60,""en"",""zh-CN"")"),"他们是旁观者。")</f>
        <v>他们是旁观者。</v>
      </c>
      <c r="P60" s="3" t="str">
        <f>IFERROR(__xludf.DUMMYFUNCTION("GOOGLETRANSLATE(E60,""en"",""zh-CN"")"),"他们是教练。")</f>
        <v>他们是教练。</v>
      </c>
      <c r="Q60" s="3" t="str">
        <f>IFERROR(__xludf.DUMMYFUNCTION("GOOGLETRANSLATE(F60,""en"",""zh-CN"")"),"他们是赛事官员。")</f>
        <v>他们是赛事官员。</v>
      </c>
      <c r="R60" s="3" t="str">
        <f>IFERROR(__xludf.DUMMYFUNCTION("GOOGLETRANSLATE(G60,""en"",""zh-CN"")"),"他们是鼓手或舵手。")</f>
        <v>他们是鼓手或舵手。</v>
      </c>
      <c r="S60" s="3" t="s">
        <v>1763</v>
      </c>
      <c r="T60" s="3" t="str">
        <f>IFERROR(__xludf.DUMMYFUNCTION("GOOGLETRANSLATE(H60,""en"",""zh-CN"")"),"他们是鼓手或舵手。")</f>
        <v>他们是鼓手或舵手。</v>
      </c>
      <c r="U60" s="3" t="str">
        <f>IFERROR(__xludf.DUMMYFUNCTION("GOOGLETRANSLATE(I60,""en"",""zh-CN"")"),"不划桨的人可能是鼓手（坐在船头）和舵手（坐在船尾），他们在船上扮演着不划桨的角色。")</f>
        <v>不划桨的人可能是鼓手（坐在船头）和舵手（坐在船尾），他们在船上扮演着不划桨的角色。</v>
      </c>
      <c r="V60" s="2"/>
      <c r="W60" s="2"/>
      <c r="X60" s="2"/>
      <c r="Y60" s="2"/>
      <c r="Z60" s="2"/>
      <c r="AA60" s="2"/>
      <c r="AB60" s="2"/>
      <c r="AC60" s="2"/>
      <c r="AD60" s="2"/>
      <c r="AE60" s="2"/>
      <c r="AF60" s="2"/>
      <c r="AG60" s="2"/>
      <c r="AH60" s="2"/>
      <c r="AI60" s="2"/>
      <c r="AJ60" s="2"/>
      <c r="AK60" s="2"/>
      <c r="AL60" s="2"/>
    </row>
    <row r="61" ht="22.5" customHeight="1">
      <c r="A61" s="3" t="s">
        <v>1736</v>
      </c>
      <c r="B61" s="4">
        <v>60.0</v>
      </c>
      <c r="C61" s="3" t="s">
        <v>1764</v>
      </c>
      <c r="D61" s="3" t="s">
        <v>1573</v>
      </c>
      <c r="E61" s="3" t="s">
        <v>1622</v>
      </c>
      <c r="F61" s="3" t="s">
        <v>1765</v>
      </c>
      <c r="G61" s="3" t="s">
        <v>1766</v>
      </c>
      <c r="H61" s="3" t="s">
        <v>1765</v>
      </c>
      <c r="I61" s="3" t="s">
        <v>1767</v>
      </c>
      <c r="J61" s="2"/>
      <c r="K61" s="2"/>
      <c r="L61" s="3" t="s">
        <v>1736</v>
      </c>
      <c r="M61" s="4">
        <v>60.0</v>
      </c>
      <c r="N61" s="3" t="str">
        <f>IFERROR(__xludf.DUMMYFUNCTION("GOOGLETRANSLATE(C61,""en"",""zh-CN"")"),"赢得龙舟比赛的关键是什么？")</f>
        <v>赢得龙舟比赛的关键是什么？</v>
      </c>
      <c r="O61" s="3" t="str">
        <f>IFERROR(__xludf.DUMMYFUNCTION("GOOGLETRANSLATE(D61,""en"",""zh-CN"")"),"每位桨手的实力。")</f>
        <v>每位桨手的实力。</v>
      </c>
      <c r="P61" s="3" t="str">
        <f>IFERROR(__xludf.DUMMYFUNCTION("GOOGLETRANSLATE(E61,""en"",""zh-CN"")"),"船上的人数。")</f>
        <v>船上的人数。</v>
      </c>
      <c r="Q61" s="3" t="str">
        <f>IFERROR(__xludf.DUMMYFUNCTION("GOOGLETRANSLATE(F61,""en"",""zh-CN"")"),"桨手们的同步性和团队合作。")</f>
        <v>桨手们的同步性和团队合作。</v>
      </c>
      <c r="R61" s="3" t="str">
        <f>IFERROR(__xludf.DUMMYFUNCTION("GOOGLETRANSLATE(G61,""en"",""zh-CN"")"),"船的重量。")</f>
        <v>船的重量。</v>
      </c>
      <c r="S61" s="3" t="s">
        <v>1768</v>
      </c>
      <c r="T61" s="3" t="str">
        <f>IFERROR(__xludf.DUMMYFUNCTION("GOOGLETRANSLATE(H61,""en"",""zh-CN"")"),"桨手们的同步性和团队合作。")</f>
        <v>桨手们的同步性和团队合作。</v>
      </c>
      <c r="U61" s="3" t="str">
        <f>IFERROR(__xludf.DUMMYFUNCTION("GOOGLETRANSLATE(I61,""en"",""zh-CN"")"),"龙舟竞渡是一项团队运动，成功取决于桨手们齐心协力，通过同步划桨和共同的节奏，达到最大速度。")</f>
        <v>龙舟竞渡是一项团队运动，成功取决于桨手们齐心协力，通过同步划桨和共同的节奏，达到最大速度。</v>
      </c>
      <c r="V61" s="2"/>
      <c r="W61" s="2"/>
      <c r="X61" s="2"/>
      <c r="Y61" s="2"/>
      <c r="Z61" s="2"/>
      <c r="AA61" s="2"/>
      <c r="AB61" s="2"/>
      <c r="AC61" s="2"/>
      <c r="AD61" s="2"/>
      <c r="AE61" s="2"/>
      <c r="AF61" s="2"/>
      <c r="AG61" s="2"/>
      <c r="AH61" s="2"/>
      <c r="AI61" s="2"/>
      <c r="AJ61" s="2"/>
      <c r="AK61" s="2"/>
      <c r="AL61" s="2"/>
    </row>
    <row r="62" ht="22.5" customHeight="1">
      <c r="A62" s="3" t="s">
        <v>1769</v>
      </c>
      <c r="B62" s="4">
        <v>61.0</v>
      </c>
      <c r="C62" s="3" t="s">
        <v>1770</v>
      </c>
      <c r="D62" s="3" t="s">
        <v>1771</v>
      </c>
      <c r="E62" s="3" t="s">
        <v>1772</v>
      </c>
      <c r="F62" s="3" t="s">
        <v>1773</v>
      </c>
      <c r="G62" s="3" t="s">
        <v>1774</v>
      </c>
      <c r="H62" s="3" t="s">
        <v>1772</v>
      </c>
      <c r="I62" s="3" t="s">
        <v>1775</v>
      </c>
      <c r="J62" s="2"/>
      <c r="K62" s="2"/>
      <c r="L62" s="3" t="s">
        <v>1769</v>
      </c>
      <c r="M62" s="4">
        <v>61.0</v>
      </c>
      <c r="N62" s="3" t="str">
        <f>IFERROR(__xludf.DUMMYFUNCTION("GOOGLETRANSLATE(C62,""en"",""zh-CN"")"),"图片中最引人注目的场景元素是什么？")</f>
        <v>图片中最引人注目的场景元素是什么？</v>
      </c>
      <c r="O62" s="3" t="str">
        <f>IFERROR(__xludf.DUMMYFUNCTION("GOOGLETRANSLATE(D62,""en"",""zh-CN"")"),"一条天然的乡村河流。")</f>
        <v>一条天然的乡村河流。</v>
      </c>
      <c r="P62" s="3" t="str">
        <f>IFERROR(__xludf.DUMMYFUNCTION("GOOGLETRANSLATE(E62,""en"",""zh-CN"")"),"一座拥有水道的现代化都市。")</f>
        <v>一座拥有水道的现代化都市。</v>
      </c>
      <c r="Q62" s="3" t="str">
        <f>IFERROR(__xludf.DUMMYFUNCTION("GOOGLETRANSLATE(F62,""en"",""zh-CN"")"),"人工湖。")</f>
        <v>人工湖。</v>
      </c>
      <c r="R62" s="3" t="str">
        <f>IFERROR(__xludf.DUMMYFUNCTION("GOOGLETRANSLATE(G62,""en"",""zh-CN"")"),"一座人工室内竞技场。")</f>
        <v>一座人工室内竞技场。</v>
      </c>
      <c r="S62" s="3" t="s">
        <v>1776</v>
      </c>
      <c r="T62" s="3" t="str">
        <f>IFERROR(__xludf.DUMMYFUNCTION("GOOGLETRANSLATE(H62,""en"",""zh-CN"")"),"一座拥有水道的现代化都市。")</f>
        <v>一座拥有水道的现代化都市。</v>
      </c>
      <c r="U62" s="3" t="str">
        <f>IFERROR(__xludf.DUMMYFUNCTION("GOOGLETRANSLATE(I62,""en"",""zh-CN"")"),"背景中展现了一座未来主义的玻璃建筑和其他现代摩天大楼，表明比赛是在现代都市环境中进行的。")</f>
        <v>背景中展现了一座未来主义的玻璃建筑和其他现代摩天大楼，表明比赛是在现代都市环境中进行的。</v>
      </c>
      <c r="V62" s="2"/>
      <c r="W62" s="2"/>
      <c r="X62" s="2"/>
      <c r="Y62" s="2"/>
      <c r="Z62" s="2"/>
      <c r="AA62" s="2"/>
      <c r="AB62" s="2"/>
      <c r="AC62" s="2"/>
      <c r="AD62" s="2"/>
      <c r="AE62" s="2"/>
      <c r="AF62" s="2"/>
      <c r="AG62" s="2"/>
      <c r="AH62" s="2"/>
      <c r="AI62" s="2"/>
      <c r="AJ62" s="2"/>
      <c r="AK62" s="2"/>
      <c r="AL62" s="2"/>
    </row>
    <row r="63" ht="22.5" customHeight="1">
      <c r="A63" s="3" t="s">
        <v>1769</v>
      </c>
      <c r="B63" s="4">
        <v>62.0</v>
      </c>
      <c r="C63" s="3" t="s">
        <v>1777</v>
      </c>
      <c r="D63" s="3" t="s">
        <v>1591</v>
      </c>
      <c r="E63" s="3" t="s">
        <v>1622</v>
      </c>
      <c r="F63" s="3" t="s">
        <v>1623</v>
      </c>
      <c r="G63" s="3" t="s">
        <v>1624</v>
      </c>
      <c r="H63" s="3" t="s">
        <v>1623</v>
      </c>
      <c r="I63" s="3" t="s">
        <v>1778</v>
      </c>
      <c r="J63" s="2"/>
      <c r="K63" s="2"/>
      <c r="L63" s="3" t="s">
        <v>1769</v>
      </c>
      <c r="M63" s="4">
        <v>62.0</v>
      </c>
      <c r="N63" s="3" t="str">
        <f>IFERROR(__xludf.DUMMYFUNCTION("GOOGLETRANSLATE(C63,""en"",""zh-CN"")"),"船舷上的数字代表什么？")</f>
        <v>船舷上的数字代表什么？</v>
      </c>
      <c r="O63" s="3" t="str">
        <f>IFERROR(__xludf.DUMMYFUNCTION("GOOGLETRANSLATE(D63,""en"",""zh-CN"")"),"球队得分。")</f>
        <v>球队得分。</v>
      </c>
      <c r="P63" s="3" t="str">
        <f>IFERROR(__xludf.DUMMYFUNCTION("GOOGLETRANSLATE(E63,""en"",""zh-CN"")"),"船上的人数。")</f>
        <v>船上的人数。</v>
      </c>
      <c r="Q63" s="3" t="str">
        <f>IFERROR(__xludf.DUMMYFUNCTION("GOOGLETRANSLATE(F63,""en"",""zh-CN"")"),"船只的航道编号。")</f>
        <v>船只的航道编号。</v>
      </c>
      <c r="R63" s="3" t="str">
        <f>IFERROR(__xludf.DUMMYFUNCTION("GOOGLETRANSLATE(G63,""en"",""zh-CN"")"),"球队排名。")</f>
        <v>球队排名。</v>
      </c>
      <c r="S63" s="3" t="s">
        <v>1779</v>
      </c>
      <c r="T63" s="3" t="str">
        <f>IFERROR(__xludf.DUMMYFUNCTION("GOOGLETRANSLATE(H63,""en"",""zh-CN"")"),"船只的航道编号。")</f>
        <v>船只的航道编号。</v>
      </c>
      <c r="U63" s="3" t="str">
        <f>IFERROR(__xludf.DUMMYFUNCTION("GOOGLETRANSLATE(I63,""en"",""zh-CN"")"),"其中一艘船上的数字“3”表示其在比赛中指定的赛道编号，这是竞技比赛中的惯例。")</f>
        <v>其中一艘船上的数字“3”表示其在比赛中指定的赛道编号，这是竞技比赛中的惯例。</v>
      </c>
      <c r="V63" s="2"/>
      <c r="W63" s="2"/>
      <c r="X63" s="2"/>
      <c r="Y63" s="2"/>
      <c r="Z63" s="2"/>
      <c r="AA63" s="2"/>
      <c r="AB63" s="2"/>
      <c r="AC63" s="2"/>
      <c r="AD63" s="2"/>
      <c r="AE63" s="2"/>
      <c r="AF63" s="2"/>
      <c r="AG63" s="2"/>
      <c r="AH63" s="2"/>
      <c r="AI63" s="2"/>
      <c r="AJ63" s="2"/>
      <c r="AK63" s="2"/>
      <c r="AL63" s="2"/>
    </row>
    <row r="64" ht="22.5" customHeight="1">
      <c r="A64" s="3" t="s">
        <v>1769</v>
      </c>
      <c r="B64" s="4">
        <v>63.0</v>
      </c>
      <c r="C64" s="3" t="s">
        <v>1780</v>
      </c>
      <c r="D64" s="3" t="s">
        <v>1781</v>
      </c>
      <c r="E64" s="3" t="s">
        <v>1782</v>
      </c>
      <c r="F64" s="3" t="s">
        <v>1783</v>
      </c>
      <c r="G64" s="3" t="s">
        <v>1784</v>
      </c>
      <c r="H64" s="3" t="s">
        <v>1784</v>
      </c>
      <c r="I64" s="3" t="s">
        <v>1785</v>
      </c>
      <c r="J64" s="2"/>
      <c r="K64" s="2"/>
      <c r="L64" s="3" t="s">
        <v>1769</v>
      </c>
      <c r="M64" s="4">
        <v>63.0</v>
      </c>
      <c r="N64" s="3" t="str">
        <f>IFERROR(__xludf.DUMMYFUNCTION("GOOGLETRANSLATE(C64,""en"",""zh-CN"")"),"从湛蓝的天空和晴朗的天气可以推断出这场比赛的什么情况？")</f>
        <v>从湛蓝的天空和晴朗的天气可以推断出这场比赛的什么情况？</v>
      </c>
      <c r="O64" s="3" t="str">
        <f>IFERROR(__xludf.DUMMYFUNCTION("GOOGLETRANSLATE(D64,""en"",""zh-CN"")"),"比赛在夜间举行。")</f>
        <v>比赛在夜间举行。</v>
      </c>
      <c r="P64" s="3" t="str">
        <f>IFERROR(__xludf.DUMMYFUNCTION("GOOGLETRANSLATE(E64,""en"",""zh-CN"")"),"比赛已延期。")</f>
        <v>比赛已延期。</v>
      </c>
      <c r="Q64" s="3" t="str">
        <f>IFERROR(__xludf.DUMMYFUNCTION("GOOGLETRANSLATE(F64,""en"",""zh-CN"")"),"天气是影响比赛的关键因素。")</f>
        <v>天气是影响比赛的关键因素。</v>
      </c>
      <c r="R64" s="3" t="str">
        <f>IFERROR(__xludf.DUMMYFUNCTION("GOOGLETRANSLATE(G64,""en"",""zh-CN"")"),"这里条件非常适合举办户外活动。")</f>
        <v>这里条件非常适合举办户外活动。</v>
      </c>
      <c r="S64" s="3" t="s">
        <v>1786</v>
      </c>
      <c r="T64" s="3" t="str">
        <f>IFERROR(__xludf.DUMMYFUNCTION("GOOGLETRANSLATE(H64,""en"",""zh-CN"")"),"这里条件非常适合举办户外活动。")</f>
        <v>这里条件非常适合举办户外活动。</v>
      </c>
      <c r="U64" s="3" t="str">
        <f>IFERROR(__xludf.DUMMYFUNCTION("GOOGLETRANSLATE(I64,""en"",""zh-CN"")"),"阳光明媚，天空晴朗，表明天气条件良好，这对龙舟比赛等户外水上运动来说非常重要。")</f>
        <v>阳光明媚，天空晴朗，表明天气条件良好，这对龙舟比赛等户外水上运动来说非常重要。</v>
      </c>
      <c r="V64" s="2"/>
      <c r="W64" s="2"/>
      <c r="X64" s="2"/>
      <c r="Y64" s="2"/>
      <c r="Z64" s="2"/>
      <c r="AA64" s="2"/>
      <c r="AB64" s="2"/>
      <c r="AC64" s="2"/>
      <c r="AD64" s="2"/>
      <c r="AE64" s="2"/>
      <c r="AF64" s="2"/>
      <c r="AG64" s="2"/>
      <c r="AH64" s="2"/>
      <c r="AI64" s="2"/>
      <c r="AJ64" s="2"/>
      <c r="AK64" s="2"/>
      <c r="AL64" s="2"/>
    </row>
    <row r="65" ht="22.5" customHeight="1">
      <c r="A65" s="3" t="s">
        <v>1769</v>
      </c>
      <c r="B65" s="4">
        <v>64.0</v>
      </c>
      <c r="C65" s="3" t="s">
        <v>1787</v>
      </c>
      <c r="D65" s="3" t="s">
        <v>1788</v>
      </c>
      <c r="E65" s="3" t="s">
        <v>1789</v>
      </c>
      <c r="F65" s="3" t="s">
        <v>1790</v>
      </c>
      <c r="G65" s="3" t="s">
        <v>1791</v>
      </c>
      <c r="H65" s="3" t="s">
        <v>1790</v>
      </c>
      <c r="I65" s="3" t="s">
        <v>1792</v>
      </c>
      <c r="J65" s="2"/>
      <c r="K65" s="2"/>
      <c r="L65" s="3" t="s">
        <v>1769</v>
      </c>
      <c r="M65" s="4">
        <v>64.0</v>
      </c>
      <c r="N65" s="3" t="str">
        <f>IFERROR(__xludf.DUMMYFUNCTION("GOOGLETRANSLATE(C65,""en"",""zh-CN"")"),"背景中那些小船的主要用途是什么？")</f>
        <v>背景中那些小船的主要用途是什么？</v>
      </c>
      <c r="O65" s="3" t="str">
        <f>IFERROR(__xludf.DUMMYFUNCTION("GOOGLETRANSLATE(D65,""en"",""zh-CN"")"),"它们是供个人使用。")</f>
        <v>它们是供个人使用。</v>
      </c>
      <c r="P65" s="3" t="str">
        <f>IFERROR(__xludf.DUMMYFUNCTION("GOOGLETRANSLATE(E65,""en"",""zh-CN"")"),"它们仅用于娱乐目的。")</f>
        <v>它们仅用于娱乐目的。</v>
      </c>
      <c r="Q65" s="3" t="str">
        <f>IFERROR(__xludf.DUMMYFUNCTION("GOOGLETRANSLATE(F65,""en"",""zh-CN"")"),"他们的职责是确保船只安全。")</f>
        <v>他们的职责是确保船只安全。</v>
      </c>
      <c r="R65" s="3" t="str">
        <f>IFERROR(__xludf.DUMMYFUNCTION("GOOGLETRANSLATE(G65,""en"",""zh-CN"")"),"他们是来帮助观众的。")</f>
        <v>他们是来帮助观众的。</v>
      </c>
      <c r="S65" s="3" t="s">
        <v>1793</v>
      </c>
      <c r="T65" s="3" t="str">
        <f>IFERROR(__xludf.DUMMYFUNCTION("GOOGLETRANSLATE(H65,""en"",""zh-CN"")"),"他们的职责是确保船只安全。")</f>
        <v>他们的职责是确保船只安全。</v>
      </c>
      <c r="U65" s="3" t="str">
        <f>IFERROR(__xludf.DUMMYFUNCTION("GOOGLETRANSLATE(I65,""en"",""zh-CN"")"),"背景中较小的充气船和其他小型船只很可能是安全船或官方船只，用于监控比赛并在发生紧急情况时提供协助。")</f>
        <v>背景中较小的充气船和其他小型船只很可能是安全船或官方船只，用于监控比赛并在发生紧急情况时提供协助。</v>
      </c>
      <c r="V65" s="2"/>
      <c r="W65" s="2"/>
      <c r="X65" s="2"/>
      <c r="Y65" s="2"/>
      <c r="Z65" s="2"/>
      <c r="AA65" s="2"/>
      <c r="AB65" s="2"/>
      <c r="AC65" s="2"/>
      <c r="AD65" s="2"/>
      <c r="AE65" s="2"/>
      <c r="AF65" s="2"/>
      <c r="AG65" s="2"/>
      <c r="AH65" s="2"/>
      <c r="AI65" s="2"/>
      <c r="AJ65" s="2"/>
      <c r="AK65" s="2"/>
      <c r="AL65" s="2"/>
    </row>
    <row r="66" ht="22.5" customHeight="1">
      <c r="A66" s="3" t="s">
        <v>1769</v>
      </c>
      <c r="B66" s="4">
        <v>65.0</v>
      </c>
      <c r="C66" s="3" t="s">
        <v>1794</v>
      </c>
      <c r="D66" s="3" t="s">
        <v>1795</v>
      </c>
      <c r="E66" s="3" t="s">
        <v>1796</v>
      </c>
      <c r="F66" s="3" t="s">
        <v>1797</v>
      </c>
      <c r="G66" s="3" t="s">
        <v>1798</v>
      </c>
      <c r="H66" s="3" t="s">
        <v>1797</v>
      </c>
      <c r="I66" s="3" t="s">
        <v>1799</v>
      </c>
      <c r="J66" s="2"/>
      <c r="K66" s="2"/>
      <c r="L66" s="3" t="s">
        <v>1769</v>
      </c>
      <c r="M66" s="4">
        <v>65.0</v>
      </c>
      <c r="N66" s="3" t="str">
        <f>IFERROR(__xludf.DUMMYFUNCTION("GOOGLETRANSLATE(C66,""en"",""zh-CN"")"),"划桨者们动作同步。这样做有什么好处？")</f>
        <v>划桨者们动作同步。这样做有什么好处？</v>
      </c>
      <c r="O66" s="3" t="str">
        <f>IFERROR(__xludf.DUMMYFUNCTION("GOOGLETRANSLATE(D66,""en"",""zh-CN"")"),"它让船只看起来更具吸引力。")</f>
        <v>它让船只看起来更具吸引力。</v>
      </c>
      <c r="P66" s="3" t="str">
        <f>IFERROR(__xludf.DUMMYFUNCTION("GOOGLETRANSLATE(E66,""en"",""zh-CN"")"),"这是传统要求。")</f>
        <v>这是传统要求。</v>
      </c>
      <c r="Q66" s="3" t="str">
        <f>IFERROR(__xludf.DUMMYFUNCTION("GOOGLETRANSLATE(F66,""en"",""zh-CN"")"),"这是速度方面的竞争优势。")</f>
        <v>这是速度方面的竞争优势。</v>
      </c>
      <c r="R66" s="3" t="str">
        <f>IFERROR(__xludf.DUMMYFUNCTION("GOOGLETRANSLATE(G66,""en"",""zh-CN"")"),"这样船更容易转弯。")</f>
        <v>这样船更容易转弯。</v>
      </c>
      <c r="S66" s="3" t="s">
        <v>1800</v>
      </c>
      <c r="T66" s="3" t="str">
        <f>IFERROR(__xludf.DUMMYFUNCTION("GOOGLETRANSLATE(H66,""en"",""zh-CN"")"),"这是速度方面的竞争优势。")</f>
        <v>这是速度方面的竞争优势。</v>
      </c>
      <c r="U66" s="3" t="str">
        <f>IFERROR(__xludf.DUMMYFUNCTION("GOOGLETRANSLATE(I66,""en"",""zh-CN"")"),"同步划桨，即所有队员同时划桨，可以产生最有效、最强大的推力，使团队获得竞争优势。")</f>
        <v>同步划桨，即所有队员同时划桨，可以产生最有效、最强大的推力，使团队获得竞争优势。</v>
      </c>
      <c r="V66" s="2"/>
      <c r="W66" s="2"/>
      <c r="X66" s="2"/>
      <c r="Y66" s="2"/>
      <c r="Z66" s="2"/>
      <c r="AA66" s="2"/>
      <c r="AB66" s="2"/>
      <c r="AC66" s="2"/>
      <c r="AD66" s="2"/>
      <c r="AE66" s="2"/>
      <c r="AF66" s="2"/>
      <c r="AG66" s="2"/>
      <c r="AH66" s="2"/>
      <c r="AI66" s="2"/>
      <c r="AJ66" s="2"/>
      <c r="AK66" s="2"/>
      <c r="AL66" s="2"/>
    </row>
    <row r="67" ht="22.5" customHeight="1">
      <c r="A67" s="3" t="s">
        <v>1801</v>
      </c>
      <c r="B67" s="4">
        <v>66.0</v>
      </c>
      <c r="C67" s="3" t="s">
        <v>1239</v>
      </c>
      <c r="D67" s="3" t="s">
        <v>1802</v>
      </c>
      <c r="E67" s="3" t="s">
        <v>1713</v>
      </c>
      <c r="F67" s="3" t="s">
        <v>1803</v>
      </c>
      <c r="G67" s="3" t="s">
        <v>1804</v>
      </c>
      <c r="H67" s="3" t="s">
        <v>1802</v>
      </c>
      <c r="I67" s="3" t="s">
        <v>1805</v>
      </c>
      <c r="J67" s="2"/>
      <c r="K67" s="2"/>
      <c r="L67" s="3" t="s">
        <v>1801</v>
      </c>
      <c r="M67" s="4">
        <v>66.0</v>
      </c>
      <c r="N67" s="3" t="str">
        <f>IFERROR(__xludf.DUMMYFUNCTION("GOOGLETRANSLATE(C67,""en"",""zh-CN"")"),"图片中展示的主要活动是什么？")</f>
        <v>图片中展示的主要活动是什么？</v>
      </c>
      <c r="O67" s="3" t="str">
        <f>IFERROR(__xludf.DUMMYFUNCTION("GOOGLETRANSLATE(D67,""en"",""zh-CN"")"),"龙舟比赛。")</f>
        <v>龙舟比赛。</v>
      </c>
      <c r="P67" s="3" t="str">
        <f>IFERROR(__xludf.DUMMYFUNCTION("GOOGLETRANSLATE(E67,""en"",""zh-CN"")"),"一次休闲划船之旅。")</f>
        <v>一次休闲划船之旅。</v>
      </c>
      <c r="Q67" s="3" t="str">
        <f>IFERROR(__xludf.DUMMYFUNCTION("GOOGLETRANSLATE(F67,""en"",""zh-CN"")"),"一次培训课程。")</f>
        <v>一次培训课程。</v>
      </c>
      <c r="R67" s="3" t="str">
        <f>IFERROR(__xludf.DUMMYFUNCTION("GOOGLETRANSLATE(G67,""en"",""zh-CN"")"),"团队建设活动。")</f>
        <v>团队建设活动。</v>
      </c>
      <c r="S67" s="3" t="s">
        <v>1806</v>
      </c>
      <c r="T67" s="3" t="str">
        <f>IFERROR(__xludf.DUMMYFUNCTION("GOOGLETRANSLATE(H67,""en"",""zh-CN"")"),"龙舟比赛。")</f>
        <v>龙舟比赛。</v>
      </c>
      <c r="U67" s="3" t="str">
        <f>IFERROR(__xludf.DUMMYFUNCTION("GOOGLETRANSLATE(I67,""en"",""zh-CN"")"),"图片显示多艘龙头船、鼓手和大批划桨者，这明显表明这是一场龙舟比赛。")</f>
        <v>图片显示多艘龙头船、鼓手和大批划桨者，这明显表明这是一场龙舟比赛。</v>
      </c>
      <c r="V67" s="2"/>
      <c r="W67" s="2"/>
      <c r="X67" s="2"/>
      <c r="Y67" s="2"/>
      <c r="Z67" s="2"/>
      <c r="AA67" s="2"/>
      <c r="AB67" s="2"/>
      <c r="AC67" s="2"/>
      <c r="AD67" s="2"/>
      <c r="AE67" s="2"/>
      <c r="AF67" s="2"/>
      <c r="AG67" s="2"/>
      <c r="AH67" s="2"/>
      <c r="AI67" s="2"/>
      <c r="AJ67" s="2"/>
      <c r="AK67" s="2"/>
      <c r="AL67" s="2"/>
    </row>
    <row r="68" ht="22.5" customHeight="1">
      <c r="A68" s="3" t="s">
        <v>1801</v>
      </c>
      <c r="B68" s="4">
        <v>67.0</v>
      </c>
      <c r="C68" s="3" t="s">
        <v>1807</v>
      </c>
      <c r="D68" s="3" t="s">
        <v>1808</v>
      </c>
      <c r="E68" s="3" t="s">
        <v>1809</v>
      </c>
      <c r="F68" s="3" t="s">
        <v>1810</v>
      </c>
      <c r="G68" s="3" t="s">
        <v>1811</v>
      </c>
      <c r="H68" s="3" t="s">
        <v>1809</v>
      </c>
      <c r="I68" s="3" t="s">
        <v>1812</v>
      </c>
      <c r="J68" s="2"/>
      <c r="K68" s="2"/>
      <c r="L68" s="3" t="s">
        <v>1801</v>
      </c>
      <c r="M68" s="4">
        <v>67.0</v>
      </c>
      <c r="N68" s="3" t="str">
        <f>IFERROR(__xludf.DUMMYFUNCTION("GOOGLETRANSLATE(C68,""en"",""zh-CN"")"),"前景中船只最突出的视觉元素是什么？")</f>
        <v>前景中船只最突出的视觉元素是什么？</v>
      </c>
      <c r="O68" s="3" t="str">
        <f>IFERROR(__xludf.DUMMYFUNCTION("GOOGLETRANSLATE(D68,""en"",""zh-CN"")"),"庞大的划桨队伍。")</f>
        <v>庞大的划桨队伍。</v>
      </c>
      <c r="P68" s="3" t="str">
        <f>IFERROR(__xludf.DUMMYFUNCTION("GOOGLETRANSLATE(E68,""en"",""zh-CN"")"),"栩栩如生、细节丰富的龙头。")</f>
        <v>栩栩如生、细节丰富的龙头。</v>
      </c>
      <c r="Q68" s="3" t="str">
        <f>IFERROR(__xludf.DUMMYFUNCTION("GOOGLETRANSLATE(F68,""en"",""zh-CN"")"),"水面上的波浪。")</f>
        <v>水面上的波浪。</v>
      </c>
      <c r="R68" s="3" t="str">
        <f>IFERROR(__xludf.DUMMYFUNCTION("GOOGLETRANSLATE(G68,""en"",""zh-CN"")"),"球队的队服。")</f>
        <v>球队的队服。</v>
      </c>
      <c r="S68" s="3" t="s">
        <v>1813</v>
      </c>
      <c r="T68" s="3" t="str">
        <f>IFERROR(__xludf.DUMMYFUNCTION("GOOGLETRANSLATE(H68,""en"",""zh-CN"")"),"栩栩如生、细节丰富的龙头。")</f>
        <v>栩栩如生、细节丰富的龙头。</v>
      </c>
      <c r="U68" s="3" t="str">
        <f>IFERROR(__xludf.DUMMYFUNCTION("GOOGLETRANSLATE(I68,""en"",""zh-CN"")"),"船头细节丰富、色彩鲜艳、十分醒目，以白色、紫色和绿色为主色调，使其成为最引人注目的元素。")</f>
        <v>船头细节丰富、色彩鲜艳、十分醒目，以白色、紫色和绿色为主色调，使其成为最引人注目的元素。</v>
      </c>
      <c r="V68" s="2"/>
      <c r="W68" s="2"/>
      <c r="X68" s="2"/>
      <c r="Y68" s="2"/>
      <c r="Z68" s="2"/>
      <c r="AA68" s="2"/>
      <c r="AB68" s="2"/>
      <c r="AC68" s="2"/>
      <c r="AD68" s="2"/>
      <c r="AE68" s="2"/>
      <c r="AF68" s="2"/>
      <c r="AG68" s="2"/>
      <c r="AH68" s="2"/>
      <c r="AI68" s="2"/>
      <c r="AJ68" s="2"/>
      <c r="AK68" s="2"/>
      <c r="AL68" s="2"/>
    </row>
    <row r="69" ht="22.5" customHeight="1">
      <c r="A69" s="3" t="s">
        <v>1801</v>
      </c>
      <c r="B69" s="4">
        <v>68.0</v>
      </c>
      <c r="C69" s="3" t="s">
        <v>1814</v>
      </c>
      <c r="D69" s="3" t="s">
        <v>1629</v>
      </c>
      <c r="E69" s="3" t="s">
        <v>1815</v>
      </c>
      <c r="F69" s="3" t="s">
        <v>1631</v>
      </c>
      <c r="G69" s="3" t="s">
        <v>1632</v>
      </c>
      <c r="H69" s="3" t="s">
        <v>1631</v>
      </c>
      <c r="I69" s="3" t="s">
        <v>1816</v>
      </c>
      <c r="J69" s="2"/>
      <c r="K69" s="2"/>
      <c r="L69" s="3" t="s">
        <v>1801</v>
      </c>
      <c r="M69" s="4">
        <v>68.0</v>
      </c>
      <c r="N69" s="3" t="str">
        <f>IFERROR(__xludf.DUMMYFUNCTION("GOOGLETRANSLATE(C69,""en"",""zh-CN"")"),"船头靠近龙头的那个人扮演什么角色？")</f>
        <v>船头靠近龙头的那个人扮演什么角色？</v>
      </c>
      <c r="O69" s="3" t="str">
        <f>IFERROR(__xludf.DUMMYFUNCTION("GOOGLETRANSLATE(D69,""en"",""zh-CN"")"),"舵手。")</f>
        <v>舵手。</v>
      </c>
      <c r="P69" s="3" t="str">
        <f>IFERROR(__xludf.DUMMYFUNCTION("GOOGLETRANSLATE(E69,""en"",""zh-CN"")"),"领头桨手。")</f>
        <v>领头桨手。</v>
      </c>
      <c r="Q69" s="3" t="str">
        <f>IFERROR(__xludf.DUMMYFUNCTION("GOOGLETRANSLATE(F69,""en"",""zh-CN"")"),"鼓手。")</f>
        <v>鼓手。</v>
      </c>
      <c r="R69" s="3" t="str">
        <f>IFERROR(__xludf.DUMMYFUNCTION("GOOGLETRANSLATE(G69,""en"",""zh-CN"")"),"队长。")</f>
        <v>队长。</v>
      </c>
      <c r="S69" s="3" t="s">
        <v>1817</v>
      </c>
      <c r="T69" s="3" t="str">
        <f>IFERROR(__xludf.DUMMYFUNCTION("GOOGLETRANSLATE(H69,""en"",""zh-CN"")"),"鼓手。")</f>
        <v>鼓手。</v>
      </c>
      <c r="U69" s="3" t="str">
        <f>IFERROR(__xludf.DUMMYFUNCTION("GOOGLETRANSLATE(I69,""en"",""zh-CN"")"),"这个人站在前面的平台上，旁边是一面鼓，手里拿着鼓槌，这表明他是鼓手，负责设定节奏。")</f>
        <v>这个人站在前面的平台上，旁边是一面鼓，手里拿着鼓槌，这表明他是鼓手，负责设定节奏。</v>
      </c>
      <c r="V69" s="2"/>
      <c r="W69" s="2"/>
      <c r="X69" s="2"/>
      <c r="Y69" s="2"/>
      <c r="Z69" s="2"/>
      <c r="AA69" s="2"/>
      <c r="AB69" s="2"/>
      <c r="AC69" s="2"/>
      <c r="AD69" s="2"/>
      <c r="AE69" s="2"/>
      <c r="AF69" s="2"/>
      <c r="AG69" s="2"/>
      <c r="AH69" s="2"/>
      <c r="AI69" s="2"/>
      <c r="AJ69" s="2"/>
      <c r="AK69" s="2"/>
      <c r="AL69" s="2"/>
    </row>
    <row r="70" ht="22.5" customHeight="1">
      <c r="A70" s="3" t="s">
        <v>1801</v>
      </c>
      <c r="B70" s="4">
        <v>69.0</v>
      </c>
      <c r="C70" s="3" t="s">
        <v>1818</v>
      </c>
      <c r="D70" s="3" t="s">
        <v>1819</v>
      </c>
      <c r="E70" s="3" t="s">
        <v>1820</v>
      </c>
      <c r="F70" s="3" t="s">
        <v>1821</v>
      </c>
      <c r="G70" s="3" t="s">
        <v>1822</v>
      </c>
      <c r="H70" s="3" t="s">
        <v>1819</v>
      </c>
      <c r="I70" s="3" t="s">
        <v>1823</v>
      </c>
      <c r="J70" s="2"/>
      <c r="K70" s="2"/>
      <c r="L70" s="3" t="s">
        <v>1801</v>
      </c>
      <c r="M70" s="4">
        <v>69.0</v>
      </c>
      <c r="N70" s="3" t="str">
        <f>IFERROR(__xludf.DUMMYFUNCTION("GOOGLETRANSLATE(C70,""en"",""zh-CN"")"),"两队服装有什么显著区别？")</f>
        <v>两队服装有什么显著区别？</v>
      </c>
      <c r="O70" s="3" t="str">
        <f>IFERROR(__xludf.DUMMYFUNCTION("GOOGLETRANSLATE(D70,""en"",""zh-CN"")"),"他们穿着不同颜色的救生衣。")</f>
        <v>他们穿着不同颜色的救生衣。</v>
      </c>
      <c r="P70" s="3" t="str">
        <f>IFERROR(__xludf.DUMMYFUNCTION("GOOGLETRANSLATE(E70,""en"",""zh-CN"")"),"他们穿着同样的制服。")</f>
        <v>他们穿着同样的制服。</v>
      </c>
      <c r="Q70" s="3" t="str">
        <f>IFERROR(__xludf.DUMMYFUNCTION("GOOGLETRANSLATE(F70,""en"",""zh-CN"")"),"他们穿着救生衣，但没有穿制服。")</f>
        <v>他们穿着救生衣，但没有穿制服。</v>
      </c>
      <c r="R70" s="3" t="str">
        <f>IFERROR(__xludf.DUMMYFUNCTION("GOOGLETRANSLATE(G70,""en"",""zh-CN"")"),"他们都穿着白色救生衣。")</f>
        <v>他们都穿着白色救生衣。</v>
      </c>
      <c r="S70" s="3" t="s">
        <v>1824</v>
      </c>
      <c r="T70" s="3" t="str">
        <f>IFERROR(__xludf.DUMMYFUNCTION("GOOGLETRANSLATE(H70,""en"",""zh-CN"")"),"他们穿着不同颜色的救生衣。")</f>
        <v>他们穿着不同颜色的救生衣。</v>
      </c>
      <c r="U70" s="3" t="str">
        <f>IFERROR(__xludf.DUMMYFUNCTION("GOOGLETRANSLATE(I70,""en"",""zh-CN"")"),"可以通过救生衣的颜色来区分两队；例如，前景中的队伍穿着绿色救生衣，而后面的队伍穿着橙色救生衣。")</f>
        <v>可以通过救生衣的颜色来区分两队；例如，前景中的队伍穿着绿色救生衣，而后面的队伍穿着橙色救生衣。</v>
      </c>
      <c r="V70" s="2"/>
      <c r="W70" s="2"/>
      <c r="X70" s="2"/>
      <c r="Y70" s="2"/>
      <c r="Z70" s="2"/>
      <c r="AA70" s="2"/>
      <c r="AB70" s="2"/>
      <c r="AC70" s="2"/>
      <c r="AD70" s="2"/>
      <c r="AE70" s="2"/>
      <c r="AF70" s="2"/>
      <c r="AG70" s="2"/>
      <c r="AH70" s="2"/>
      <c r="AI70" s="2"/>
      <c r="AJ70" s="2"/>
      <c r="AK70" s="2"/>
      <c r="AL70" s="2"/>
    </row>
    <row r="71" ht="22.5" customHeight="1">
      <c r="A71" s="3" t="s">
        <v>1801</v>
      </c>
      <c r="B71" s="4">
        <v>70.0</v>
      </c>
      <c r="C71" s="3" t="s">
        <v>1397</v>
      </c>
      <c r="D71" s="3" t="s">
        <v>1400</v>
      </c>
      <c r="E71" s="3" t="s">
        <v>1825</v>
      </c>
      <c r="F71" s="3" t="s">
        <v>1399</v>
      </c>
      <c r="G71" s="3" t="s">
        <v>1826</v>
      </c>
      <c r="H71" s="3" t="s">
        <v>1399</v>
      </c>
      <c r="I71" s="3" t="s">
        <v>1827</v>
      </c>
      <c r="J71" s="2"/>
      <c r="K71" s="2"/>
      <c r="L71" s="3" t="s">
        <v>1801</v>
      </c>
      <c r="M71" s="4">
        <v>70.0</v>
      </c>
      <c r="N71" s="3" t="str">
        <f>IFERROR(__xludf.DUMMYFUNCTION("GOOGLETRANSLATE(C71,""en"",""zh-CN"")"),"桨手们如此拼尽全力，这说明这场比赛有什么特点？")</f>
        <v>桨手们如此拼尽全力，这说明这场比赛有什么特点？</v>
      </c>
      <c r="O71" s="3" t="str">
        <f>IFERROR(__xludf.DUMMYFUNCTION("GOOGLETRANSLATE(D71,""en"",""zh-CN"")"),"这是一个缓慢而庄严的游行队伍。")</f>
        <v>这是一个缓慢而庄严的游行队伍。</v>
      </c>
      <c r="P71" s="3" t="str">
        <f>IFERROR(__xludf.DUMMYFUNCTION("GOOGLETRANSLATE(E71,""en"",""zh-CN"")"),"这是一项令人放松的活动。")</f>
        <v>这是一项令人放松的活动。</v>
      </c>
      <c r="Q71" s="3" t="str">
        <f>IFERROR(__xludf.DUMMYFUNCTION("GOOGLETRANSLATE(F71,""en"",""zh-CN"")"),"这是一项竞争非常激烈且对体能要求很高的运动。")</f>
        <v>这是一项竞争非常激烈且对体能要求很高的运动。</v>
      </c>
      <c r="R71" s="3" t="str">
        <f>IFERROR(__xludf.DUMMYFUNCTION("GOOGLETRANSLATE(G71,""en"",""zh-CN"")"),"这是一项休闲活动。")</f>
        <v>这是一项休闲活动。</v>
      </c>
      <c r="S71" s="3" t="s">
        <v>1828</v>
      </c>
      <c r="T71" s="3" t="str">
        <f>IFERROR(__xludf.DUMMYFUNCTION("GOOGLETRANSLATE(H71,""en"",""zh-CN"")"),"这是一项竞争非常激烈且对体能要求很高的运动。")</f>
        <v>这是一项竞争非常激烈且对体能要求很高的运动。</v>
      </c>
      <c r="U71" s="3" t="str">
        <f>IFERROR(__xludf.DUMMYFUNCTION("GOOGLETRANSLATE(I71,""en"",""zh-CN"")"),"桨手们向前倾斜、有力划水，加上溅起的水花，表明这是一场高强度、竞争激烈的比赛。")</f>
        <v>桨手们向前倾斜、有力划水，加上溅起的水花，表明这是一场高强度、竞争激烈的比赛。</v>
      </c>
      <c r="V71" s="2"/>
      <c r="W71" s="2"/>
      <c r="X71" s="2"/>
      <c r="Y71" s="2"/>
      <c r="Z71" s="2"/>
      <c r="AA71" s="2"/>
      <c r="AB71" s="2"/>
      <c r="AC71" s="2"/>
      <c r="AD71" s="2"/>
      <c r="AE71" s="2"/>
      <c r="AF71" s="2"/>
      <c r="AG71" s="2"/>
      <c r="AH71" s="2"/>
      <c r="AI71" s="2"/>
      <c r="AJ71" s="2"/>
      <c r="AK71" s="2"/>
      <c r="AL71" s="2"/>
    </row>
    <row r="72" ht="22.5" customHeight="1">
      <c r="A72" s="3" t="s">
        <v>1829</v>
      </c>
      <c r="B72" s="4">
        <v>71.0</v>
      </c>
      <c r="C72" s="3" t="s">
        <v>1830</v>
      </c>
      <c r="D72" s="3" t="s">
        <v>1831</v>
      </c>
      <c r="E72" s="3" t="s">
        <v>1832</v>
      </c>
      <c r="F72" s="3" t="s">
        <v>1833</v>
      </c>
      <c r="G72" s="3" t="s">
        <v>1834</v>
      </c>
      <c r="H72" s="3" t="s">
        <v>1833</v>
      </c>
      <c r="I72" s="3" t="s">
        <v>1835</v>
      </c>
      <c r="J72" s="2"/>
      <c r="K72" s="2"/>
      <c r="L72" s="3" t="s">
        <v>1829</v>
      </c>
      <c r="M72" s="4">
        <v>71.0</v>
      </c>
      <c r="N72" s="3" t="str">
        <f>IFERROR(__xludf.DUMMYFUNCTION("GOOGLETRANSLATE(C72,""en"",""zh-CN"")"),"这张照片中相机的视角是什么？")</f>
        <v>这张照片中相机的视角是什么？</v>
      </c>
      <c r="O72" s="3" t="str">
        <f>IFERROR(__xludf.DUMMYFUNCTION("GOOGLETRANSLATE(D72,""en"",""zh-CN"")"),"从船边。")</f>
        <v>从船边。</v>
      </c>
      <c r="P72" s="3" t="str">
        <f>IFERROR(__xludf.DUMMYFUNCTION("GOOGLETRANSLATE(E72,""en"",""zh-CN"")"),"从船上上方拍摄。")</f>
        <v>从船上上方拍摄。</v>
      </c>
      <c r="Q72" s="3" t="str">
        <f>IFERROR(__xludf.DUMMYFUNCTION("GOOGLETRANSLATE(F72,""en"",""zh-CN"")"),"从船尾向前看。")</f>
        <v>从船尾向前看。</v>
      </c>
      <c r="R72" s="3" t="str">
        <f>IFERROR(__xludf.DUMMYFUNCTION("GOOGLETRANSLATE(G72,""en"",""zh-CN"")"),"从船头向后看。")</f>
        <v>从船头向后看。</v>
      </c>
      <c r="S72" s="3" t="s">
        <v>1836</v>
      </c>
      <c r="T72" s="3" t="str">
        <f>IFERROR(__xludf.DUMMYFUNCTION("GOOGLETRANSLATE(H72,""en"",""zh-CN"")"),"从船尾向前看。")</f>
        <v>从船尾向前看。</v>
      </c>
      <c r="U72" s="3" t="str">
        <f>IFERROR(__xludf.DUMMYFUNCTION("GOOGLETRANSLATE(I72,""en"",""zh-CN"")"),"这张照片是从坐在船尾的人的角度拍摄的，显示了前面长长的一排划桨者。")</f>
        <v>这张照片是从坐在船尾的人的角度拍摄的，显示了前面长长的一排划桨者。</v>
      </c>
      <c r="V72" s="2"/>
      <c r="W72" s="2"/>
      <c r="X72" s="2"/>
      <c r="Y72" s="2"/>
      <c r="Z72" s="2"/>
      <c r="AA72" s="2"/>
      <c r="AB72" s="2"/>
      <c r="AC72" s="2"/>
      <c r="AD72" s="2"/>
      <c r="AE72" s="2"/>
      <c r="AF72" s="2"/>
      <c r="AG72" s="2"/>
      <c r="AH72" s="2"/>
      <c r="AI72" s="2"/>
      <c r="AJ72" s="2"/>
      <c r="AK72" s="2"/>
      <c r="AL72" s="2"/>
    </row>
    <row r="73" ht="22.5" customHeight="1">
      <c r="A73" s="3" t="s">
        <v>1829</v>
      </c>
      <c r="B73" s="4">
        <v>72.0</v>
      </c>
      <c r="C73" s="3" t="s">
        <v>1837</v>
      </c>
      <c r="D73" s="3" t="s">
        <v>1838</v>
      </c>
      <c r="E73" s="3" t="s">
        <v>1839</v>
      </c>
      <c r="F73" s="3" t="s">
        <v>1840</v>
      </c>
      <c r="G73" s="3" t="s">
        <v>1841</v>
      </c>
      <c r="H73" s="3" t="s">
        <v>1839</v>
      </c>
      <c r="I73" s="3" t="s">
        <v>1842</v>
      </c>
      <c r="J73" s="2"/>
      <c r="K73" s="2"/>
      <c r="L73" s="3" t="s">
        <v>1829</v>
      </c>
      <c r="M73" s="4">
        <v>72.0</v>
      </c>
      <c r="N73" s="3" t="str">
        <f>IFERROR(__xludf.DUMMYFUNCTION("GOOGLETRANSLATE(C73,""en"",""zh-CN"")"),"划桨手的服装有什么显著特点？")</f>
        <v>划桨手的服装有什么显著特点？</v>
      </c>
      <c r="O73" s="3" t="str">
        <f>IFERROR(__xludf.DUMMYFUNCTION("GOOGLETRANSLATE(D73,""en"",""zh-CN"")"),"他们都戴着头盔。")</f>
        <v>他们都戴着头盔。</v>
      </c>
      <c r="P73" s="3" t="str">
        <f>IFERROR(__xludf.DUMMYFUNCTION("GOOGLETRANSLATE(E73,""en"",""zh-CN"")"),"他们穿着同款衬衫和帽子。")</f>
        <v>他们穿着同款衬衫和帽子。</v>
      </c>
      <c r="Q73" s="3" t="str">
        <f>IFERROR(__xludf.DUMMYFUNCTION("GOOGLETRANSLATE(F73,""en"",""zh-CN"")"),"他们穿着救生衣。")</f>
        <v>他们穿着救生衣。</v>
      </c>
      <c r="R73" s="3" t="str">
        <f>IFERROR(__xludf.DUMMYFUNCTION("GOOGLETRANSLATE(G73,""en"",""zh-CN"")"),"他们都穿着同一种颜色的衣服。")</f>
        <v>他们都穿着同一种颜色的衣服。</v>
      </c>
      <c r="S73" s="3" t="s">
        <v>1843</v>
      </c>
      <c r="T73" s="3" t="str">
        <f>IFERROR(__xludf.DUMMYFUNCTION("GOOGLETRANSLATE(H73,""en"",""zh-CN"")"),"他们穿着同款衬衫和帽子。")</f>
        <v>他们穿着同款衬衫和帽子。</v>
      </c>
      <c r="U73" s="3" t="str">
        <f>IFERROR(__xludf.DUMMYFUNCTION("GOOGLETRANSLATE(I73,""en"",""zh-CN"")"),"划桨手们穿着统一的橙色衬衫和帽子，上面印有特定的标志，表明他们是一个统一团队的成员。")</f>
        <v>划桨手们穿着统一的橙色衬衫和帽子，上面印有特定的标志，表明他们是一个统一团队的成员。</v>
      </c>
      <c r="V73" s="2"/>
      <c r="W73" s="2"/>
      <c r="X73" s="2"/>
      <c r="Y73" s="2"/>
      <c r="Z73" s="2"/>
      <c r="AA73" s="2"/>
      <c r="AB73" s="2"/>
      <c r="AC73" s="2"/>
      <c r="AD73" s="2"/>
      <c r="AE73" s="2"/>
      <c r="AF73" s="2"/>
      <c r="AG73" s="2"/>
      <c r="AH73" s="2"/>
      <c r="AI73" s="2"/>
      <c r="AJ73" s="2"/>
      <c r="AK73" s="2"/>
      <c r="AL73" s="2"/>
    </row>
    <row r="74" ht="22.5" customHeight="1">
      <c r="A74" s="3" t="s">
        <v>1829</v>
      </c>
      <c r="B74" s="4">
        <v>73.0</v>
      </c>
      <c r="C74" s="3" t="s">
        <v>1844</v>
      </c>
      <c r="D74" s="3" t="s">
        <v>1845</v>
      </c>
      <c r="E74" s="3" t="s">
        <v>1846</v>
      </c>
      <c r="F74" s="3" t="s">
        <v>1847</v>
      </c>
      <c r="G74" s="3" t="s">
        <v>1848</v>
      </c>
      <c r="H74" s="3" t="s">
        <v>1848</v>
      </c>
      <c r="I74" s="3" t="s">
        <v>1849</v>
      </c>
      <c r="J74" s="2"/>
      <c r="K74" s="2"/>
      <c r="L74" s="3" t="s">
        <v>1829</v>
      </c>
      <c r="M74" s="4">
        <v>73.0</v>
      </c>
      <c r="N74" s="3" t="str">
        <f>IFERROR(__xludf.DUMMYFUNCTION("GOOGLETRANSLATE(C74,""en"",""zh-CN"")"),"图中所示划桨者动作的关键要素是什么？")</f>
        <v>图中所示划桨者动作的关键要素是什么？</v>
      </c>
      <c r="O74" s="3" t="str">
        <f>IFERROR(__xludf.DUMMYFUNCTION("GOOGLETRANSLATE(D74,""en"",""zh-CN"")"),"他们在休息。")</f>
        <v>他们在休息。</v>
      </c>
      <c r="P74" s="3" t="str">
        <f>IFERROR(__xludf.DUMMYFUNCTION("GOOGLETRANSLATE(E74,""en"",""zh-CN"")"),"他们的位置各不相同。")</f>
        <v>他们的位置各不相同。</v>
      </c>
      <c r="Q74" s="3" t="str">
        <f>IFERROR(__xludf.DUMMYFUNCTION("GOOGLETRANSLATE(F74,""en"",""zh-CN"")"),"他们握桨的方式并不一致。")</f>
        <v>他们握桨的方式并不一致。</v>
      </c>
      <c r="R74" s="3" t="str">
        <f>IFERROR(__xludf.DUMMYFUNCTION("GOOGLETRANSLATE(G74,""en"",""zh-CN"")"),"他们动作同步，同时举起桨。")</f>
        <v>他们动作同步，同时举起桨。</v>
      </c>
      <c r="S74" s="3" t="s">
        <v>1850</v>
      </c>
      <c r="T74" s="3" t="str">
        <f>IFERROR(__xludf.DUMMYFUNCTION("GOOGLETRANSLATE(H74,""en"",""zh-CN"")"),"他们动作同步，同时举起桨。")</f>
        <v>他们动作同步，同时举起桨。</v>
      </c>
      <c r="U74" s="3" t="str">
        <f>IFERROR(__xludf.DUMMYFUNCTION("GOOGLETRANSLATE(I74,""en"",""zh-CN"")"),"划桨者们将桨保持在相同的高度，并以同步的方式挥动，这对于流畅高效的划桨动作至关重要。")</f>
        <v>划桨者们将桨保持在相同的高度，并以同步的方式挥动，这对于流畅高效的划桨动作至关重要。</v>
      </c>
      <c r="V74" s="2"/>
      <c r="W74" s="2"/>
      <c r="X74" s="2"/>
      <c r="Y74" s="2"/>
      <c r="Z74" s="2"/>
      <c r="AA74" s="2"/>
      <c r="AB74" s="2"/>
      <c r="AC74" s="2"/>
      <c r="AD74" s="2"/>
      <c r="AE74" s="2"/>
      <c r="AF74" s="2"/>
      <c r="AG74" s="2"/>
      <c r="AH74" s="2"/>
      <c r="AI74" s="2"/>
      <c r="AJ74" s="2"/>
      <c r="AK74" s="2"/>
      <c r="AL74" s="2"/>
    </row>
    <row r="75" ht="22.5" customHeight="1">
      <c r="A75" s="3" t="s">
        <v>1829</v>
      </c>
      <c r="B75" s="4">
        <v>74.0</v>
      </c>
      <c r="C75" s="3" t="s">
        <v>1851</v>
      </c>
      <c r="D75" s="3" t="s">
        <v>1852</v>
      </c>
      <c r="E75" s="3" t="s">
        <v>1853</v>
      </c>
      <c r="F75" s="3" t="s">
        <v>1854</v>
      </c>
      <c r="G75" s="3" t="s">
        <v>1247</v>
      </c>
      <c r="H75" s="3" t="s">
        <v>1853</v>
      </c>
      <c r="I75" s="3" t="s">
        <v>1855</v>
      </c>
      <c r="J75" s="2"/>
      <c r="K75" s="2"/>
      <c r="L75" s="3" t="s">
        <v>1829</v>
      </c>
      <c r="M75" s="4">
        <v>74.0</v>
      </c>
      <c r="N75" s="3" t="str">
        <f>IFERROR(__xludf.DUMMYFUNCTION("GOOGLETRANSLATE(C75,""en"",""zh-CN"")"),"图片背景显示的是什么？")</f>
        <v>图片背景显示的是什么？</v>
      </c>
      <c r="O75" s="3" t="str">
        <f>IFERROR(__xludf.DUMMYFUNCTION("GOOGLETRANSLATE(D75,""en"",""zh-CN"")"),"一条绿树成荫的天然河流。")</f>
        <v>一条绿树成荫的天然河流。</v>
      </c>
      <c r="P75" s="3" t="str">
        <f>IFERROR(__xludf.DUMMYFUNCTION("GOOGLETRANSLATE(E75,""en"",""zh-CN"")"),"一座拥有现代化都市结构的现代化城市。")</f>
        <v>一座拥有现代化都市结构的现代化城市。</v>
      </c>
      <c r="Q75" s="3" t="str">
        <f>IFERROR(__xludf.DUMMYFUNCTION("GOOGLETRANSLATE(F75,""en"",""zh-CN"")"),"一个开阔的大湖。")</f>
        <v>一个开阔的大湖。</v>
      </c>
      <c r="R75" s="3" t="str">
        <f>IFERROR(__xludf.DUMMYFUNCTION("GOOGLETRANSLATE(G75,""en"",""zh-CN"")"),"一个乡村。")</f>
        <v>一个乡村。</v>
      </c>
      <c r="S75" s="3" t="s">
        <v>1856</v>
      </c>
      <c r="T75" s="3" t="str">
        <f>IFERROR(__xludf.DUMMYFUNCTION("GOOGLETRANSLATE(H75,""en"",""zh-CN"")"),"一座拥有现代化都市结构的现代化城市。")</f>
        <v>一座拥有现代化都市结构的现代化城市。</v>
      </c>
      <c r="U75" s="3" t="str">
        <f>IFERROR(__xludf.DUMMYFUNCTION("GOOGLETRANSLATE(I75,""en"",""zh-CN"")"),"图片显示的是混凝土建筑和背景中的高速公路或桥梁，这是现代城市环境的典型特征。")</f>
        <v>图片显示的是混凝土建筑和背景中的高速公路或桥梁，这是现代城市环境的典型特征。</v>
      </c>
      <c r="V75" s="2"/>
      <c r="W75" s="2"/>
      <c r="X75" s="2"/>
      <c r="Y75" s="2"/>
      <c r="Z75" s="2"/>
      <c r="AA75" s="2"/>
      <c r="AB75" s="2"/>
      <c r="AC75" s="2"/>
      <c r="AD75" s="2"/>
      <c r="AE75" s="2"/>
      <c r="AF75" s="2"/>
      <c r="AG75" s="2"/>
      <c r="AH75" s="2"/>
      <c r="AI75" s="2"/>
      <c r="AJ75" s="2"/>
      <c r="AK75" s="2"/>
      <c r="AL75" s="2"/>
    </row>
    <row r="76" ht="22.5" customHeight="1">
      <c r="A76" s="3" t="s">
        <v>1829</v>
      </c>
      <c r="B76" s="4">
        <v>75.0</v>
      </c>
      <c r="C76" s="3" t="s">
        <v>1857</v>
      </c>
      <c r="D76" s="3" t="s">
        <v>1604</v>
      </c>
      <c r="E76" s="3" t="s">
        <v>1603</v>
      </c>
      <c r="F76" s="3" t="s">
        <v>1423</v>
      </c>
      <c r="G76" s="3" t="s">
        <v>1858</v>
      </c>
      <c r="H76" s="3" t="s">
        <v>1603</v>
      </c>
      <c r="I76" s="3" t="s">
        <v>1859</v>
      </c>
      <c r="J76" s="2"/>
      <c r="K76" s="2"/>
      <c r="L76" s="3" t="s">
        <v>1829</v>
      </c>
      <c r="M76" s="4">
        <v>75.0</v>
      </c>
      <c r="N76" s="3" t="str">
        <f>IFERROR(__xludf.DUMMYFUNCTION("GOOGLETRANSLATE(C76,""en"",""zh-CN"")"),"最前面的人画面模糊不清。这暗示着他/她扮演什么角色？")</f>
        <v>最前面的人画面模糊不清。这暗示着他/她扮演什么角色？</v>
      </c>
      <c r="O76" s="3" t="str">
        <f>IFERROR(__xludf.DUMMYFUNCTION("GOOGLETRANSLATE(D76,""en"",""zh-CN"")"),"他们是掌舵人。")</f>
        <v>他们是掌舵人。</v>
      </c>
      <c r="P76" s="3" t="str">
        <f>IFERROR(__xludf.DUMMYFUNCTION("GOOGLETRANSLATE(E76,""en"",""zh-CN"")"),"他们是鼓手。")</f>
        <v>他们是鼓手。</v>
      </c>
      <c r="Q76" s="3" t="str">
        <f>IFERROR(__xludf.DUMMYFUNCTION("GOOGLETRANSLATE(F76,""en"",""zh-CN"")"),"他们是旁观者。")</f>
        <v>他们是旁观者。</v>
      </c>
      <c r="R76" s="3" t="str">
        <f>IFERROR(__xludf.DUMMYFUNCTION("GOOGLETRANSLATE(G76,""en"",""zh-CN"")"),"他们是队长。")</f>
        <v>他们是队长。</v>
      </c>
      <c r="S76" s="3" t="s">
        <v>1860</v>
      </c>
      <c r="T76" s="3" t="str">
        <f>IFERROR(__xludf.DUMMYFUNCTION("GOOGLETRANSLATE(H76,""en"",""zh-CN"")"),"他们是鼓手。")</f>
        <v>他们是鼓手。</v>
      </c>
      <c r="U76" s="3" t="str">
        <f>IFERROR(__xludf.DUMMYFUNCTION("GOOGLETRANSLATE(I76,""en"",""zh-CN"")"),"船头那个不太清晰的人很可能是负责为团队划桨打节奏的鼓手。")</f>
        <v>船头那个不太清晰的人很可能是负责为团队划桨打节奏的鼓手。</v>
      </c>
      <c r="V76" s="2"/>
      <c r="W76" s="2"/>
      <c r="X76" s="2"/>
      <c r="Y76" s="2"/>
      <c r="Z76" s="2"/>
      <c r="AA76" s="2"/>
      <c r="AB76" s="2"/>
      <c r="AC76" s="2"/>
      <c r="AD76" s="2"/>
      <c r="AE76" s="2"/>
      <c r="AF76" s="2"/>
      <c r="AG76" s="2"/>
      <c r="AH76" s="2"/>
      <c r="AI76" s="2"/>
      <c r="AJ76" s="2"/>
      <c r="AK76" s="2"/>
      <c r="AL76" s="2"/>
    </row>
    <row r="77" ht="22.5" customHeight="1">
      <c r="A77" s="3" t="s">
        <v>1861</v>
      </c>
      <c r="B77" s="4">
        <v>76.0</v>
      </c>
      <c r="C77" s="3" t="s">
        <v>1239</v>
      </c>
      <c r="D77" s="3" t="s">
        <v>1713</v>
      </c>
      <c r="E77" s="3" t="s">
        <v>1802</v>
      </c>
      <c r="F77" s="3" t="s">
        <v>1712</v>
      </c>
      <c r="G77" s="3" t="s">
        <v>1714</v>
      </c>
      <c r="H77" s="3" t="s">
        <v>1712</v>
      </c>
      <c r="I77" s="3" t="s">
        <v>1862</v>
      </c>
      <c r="J77" s="2"/>
      <c r="K77" s="2"/>
      <c r="L77" s="3" t="s">
        <v>1861</v>
      </c>
      <c r="M77" s="4">
        <v>76.0</v>
      </c>
      <c r="N77" s="3" t="str">
        <f>IFERROR(__xludf.DUMMYFUNCTION("GOOGLETRANSLATE(C77,""en"",""zh-CN"")"),"图片中展示的主要活动是什么？")</f>
        <v>图片中展示的主要活动是什么？</v>
      </c>
      <c r="O77" s="3" t="str">
        <f>IFERROR(__xludf.DUMMYFUNCTION("GOOGLETRANSLATE(D77,""en"",""zh-CN"")"),"一次休闲划船之旅。")</f>
        <v>一次休闲划船之旅。</v>
      </c>
      <c r="P77" s="3" t="str">
        <f>IFERROR(__xludf.DUMMYFUNCTION("GOOGLETRANSLATE(E77,""en"",""zh-CN"")"),"龙舟比赛。")</f>
        <v>龙舟比赛。</v>
      </c>
      <c r="Q77" s="3" t="str">
        <f>IFERROR(__xludf.DUMMYFUNCTION("GOOGLETRANSLATE(F77,""en"",""zh-CN"")"),"赛前练习赛。")</f>
        <v>赛前练习赛。</v>
      </c>
      <c r="R77" s="3" t="str">
        <f>IFERROR(__xludf.DUMMYFUNCTION("GOOGLETRANSLATE(G77,""en"",""zh-CN"")"),"河上游行。")</f>
        <v>河上游行。</v>
      </c>
      <c r="S77" s="3" t="s">
        <v>1863</v>
      </c>
      <c r="T77" s="3" t="str">
        <f>IFERROR(__xludf.DUMMYFUNCTION("GOOGLETRANSLATE(H77,""en"",""zh-CN"")"),"赛前练习赛。")</f>
        <v>赛前练习赛。</v>
      </c>
      <c r="U77" s="3" t="str">
        <f>IFERROR(__xludf.DUMMYFUNCTION("GOOGLETRANSLATE(I77,""en"",""zh-CN"")"),"划桨者们面带微笑，神态放松，划桨并不费力，后面的女子还拿着桨，这表明这可能是一次练习或非竞技性活动。")</f>
        <v>划桨者们面带微笑，神态放松，划桨并不费力，后面的女子还拿着桨，这表明这可能是一次练习或非竞技性活动。</v>
      </c>
      <c r="V77" s="2"/>
      <c r="W77" s="2"/>
      <c r="X77" s="2"/>
      <c r="Y77" s="2"/>
      <c r="Z77" s="2"/>
      <c r="AA77" s="2"/>
      <c r="AB77" s="2"/>
      <c r="AC77" s="2"/>
      <c r="AD77" s="2"/>
      <c r="AE77" s="2"/>
      <c r="AF77" s="2"/>
      <c r="AG77" s="2"/>
      <c r="AH77" s="2"/>
      <c r="AI77" s="2"/>
      <c r="AJ77" s="2"/>
      <c r="AK77" s="2"/>
      <c r="AL77" s="2"/>
    </row>
    <row r="78" ht="22.5" customHeight="1">
      <c r="A78" s="3" t="s">
        <v>1861</v>
      </c>
      <c r="B78" s="4">
        <v>77.0</v>
      </c>
      <c r="C78" s="3" t="s">
        <v>1864</v>
      </c>
      <c r="D78" s="3" t="s">
        <v>1631</v>
      </c>
      <c r="E78" s="3" t="s">
        <v>1630</v>
      </c>
      <c r="F78" s="3" t="s">
        <v>1629</v>
      </c>
      <c r="G78" s="3" t="s">
        <v>1632</v>
      </c>
      <c r="H78" s="3" t="s">
        <v>1630</v>
      </c>
      <c r="I78" s="3" t="s">
        <v>1865</v>
      </c>
      <c r="J78" s="2"/>
      <c r="K78" s="2"/>
      <c r="L78" s="3" t="s">
        <v>1861</v>
      </c>
      <c r="M78" s="4">
        <v>77.0</v>
      </c>
      <c r="N78" s="3" t="str">
        <f>IFERROR(__xludf.DUMMYFUNCTION("GOOGLETRANSLATE(C78,""en"",""zh-CN"")"),"站在船尾的那个人是做什么用的？")</f>
        <v>站在船尾的那个人是做什么用的？</v>
      </c>
      <c r="O78" s="3" t="str">
        <f>IFERROR(__xludf.DUMMYFUNCTION("GOOGLETRANSLATE(D78,""en"",""zh-CN"")"),"鼓手。")</f>
        <v>鼓手。</v>
      </c>
      <c r="P78" s="3" t="str">
        <f>IFERROR(__xludf.DUMMYFUNCTION("GOOGLETRANSLATE(E78,""en"",""zh-CN"")"),"教练。")</f>
        <v>教练。</v>
      </c>
      <c r="Q78" s="3" t="str">
        <f>IFERROR(__xludf.DUMMYFUNCTION("GOOGLETRANSLATE(F78,""en"",""zh-CN"")"),"舵手。")</f>
        <v>舵手。</v>
      </c>
      <c r="R78" s="3" t="str">
        <f>IFERROR(__xludf.DUMMYFUNCTION("GOOGLETRANSLATE(G78,""en"",""zh-CN"")"),"队长。")</f>
        <v>队长。</v>
      </c>
      <c r="S78" s="3" t="s">
        <v>1866</v>
      </c>
      <c r="T78" s="3" t="str">
        <f>IFERROR(__xludf.DUMMYFUNCTION("GOOGLETRANSLATE(H78,""en"",""zh-CN"")"),"教练。")</f>
        <v>教练。</v>
      </c>
      <c r="U78" s="3" t="str">
        <f>IFERROR(__xludf.DUMMYFUNCTION("GOOGLETRANSLATE(I78,""en"",""zh-CN"")"),"站在队伍后方大声喊叫的人很可能是教练或训练员，正在向划桨手们提供指导。")</f>
        <v>站在队伍后方大声喊叫的人很可能是教练或训练员，正在向划桨手们提供指导。</v>
      </c>
      <c r="V78" s="2"/>
      <c r="W78" s="2"/>
      <c r="X78" s="2"/>
      <c r="Y78" s="2"/>
      <c r="Z78" s="2"/>
      <c r="AA78" s="2"/>
      <c r="AB78" s="2"/>
      <c r="AC78" s="2"/>
      <c r="AD78" s="2"/>
      <c r="AE78" s="2"/>
      <c r="AF78" s="2"/>
      <c r="AG78" s="2"/>
      <c r="AH78" s="2"/>
      <c r="AI78" s="2"/>
      <c r="AJ78" s="2"/>
      <c r="AK78" s="2"/>
      <c r="AL78" s="2"/>
    </row>
    <row r="79" ht="22.5" customHeight="1">
      <c r="A79" s="3" t="s">
        <v>1861</v>
      </c>
      <c r="B79" s="4">
        <v>78.0</v>
      </c>
      <c r="C79" s="3" t="s">
        <v>1867</v>
      </c>
      <c r="D79" s="3" t="s">
        <v>1868</v>
      </c>
      <c r="E79" s="3" t="s">
        <v>1869</v>
      </c>
      <c r="F79" s="3" t="s">
        <v>1870</v>
      </c>
      <c r="G79" s="3" t="s">
        <v>1871</v>
      </c>
      <c r="H79" s="3" t="s">
        <v>1869</v>
      </c>
      <c r="I79" s="3" t="s">
        <v>1872</v>
      </c>
      <c r="J79" s="2"/>
      <c r="K79" s="2"/>
      <c r="L79" s="3" t="s">
        <v>1861</v>
      </c>
      <c r="M79" s="4">
        <v>78.0</v>
      </c>
      <c r="N79" s="3" t="str">
        <f>IFERROR(__xludf.DUMMYFUNCTION("GOOGLETRANSLATE(C79,""en"",""zh-CN"")"),"划桨者服装最显著的特点是什么？")</f>
        <v>划桨者服装最显著的特点是什么？</v>
      </c>
      <c r="O79" s="3" t="str">
        <f>IFERROR(__xludf.DUMMYFUNCTION("GOOGLETRANSLATE(D79,""en"",""zh-CN"")"),"他们的太阳镜。")</f>
        <v>他们的太阳镜。</v>
      </c>
      <c r="P79" s="3" t="str">
        <f>IFERROR(__xludf.DUMMYFUNCTION("GOOGLETRANSLATE(E79,""en"",""zh-CN"")"),"他们的救生衣。")</f>
        <v>他们的救生衣。</v>
      </c>
      <c r="Q79" s="3" t="str">
        <f>IFERROR(__xludf.DUMMYFUNCTION("GOOGLETRANSLATE(F79,""en"",""zh-CN"")"),"他们的帽子。")</f>
        <v>他们的帽子。</v>
      </c>
      <c r="R79" s="3" t="str">
        <f>IFERROR(__xludf.DUMMYFUNCTION("GOOGLETRANSLATE(G79,""en"",""zh-CN"")"),"他们的衬衫。")</f>
        <v>他们的衬衫。</v>
      </c>
      <c r="S79" s="3" t="s">
        <v>1873</v>
      </c>
      <c r="T79" s="3" t="str">
        <f>IFERROR(__xludf.DUMMYFUNCTION("GOOGLETRANSLATE(H79,""en"",""zh-CN"")"),"他们的救生衣。")</f>
        <v>他们的救生衣。</v>
      </c>
      <c r="U79" s="3" t="str">
        <f>IFERROR(__xludf.DUMMYFUNCTION("GOOGLETRANSLATE(I79,""en"",""zh-CN"")"),"为了安全起见，所有桨手都穿着颜色鲜艳的救生衣，这是龙舟运动中必备的装备。")</f>
        <v>为了安全起见，所有桨手都穿着颜色鲜艳的救生衣，这是龙舟运动中必备的装备。</v>
      </c>
      <c r="V79" s="2"/>
      <c r="W79" s="2"/>
      <c r="X79" s="2"/>
      <c r="Y79" s="2"/>
      <c r="Z79" s="2"/>
      <c r="AA79" s="2"/>
      <c r="AB79" s="2"/>
      <c r="AC79" s="2"/>
      <c r="AD79" s="2"/>
      <c r="AE79" s="2"/>
      <c r="AF79" s="2"/>
      <c r="AG79" s="2"/>
      <c r="AH79" s="2"/>
      <c r="AI79" s="2"/>
      <c r="AJ79" s="2"/>
      <c r="AK79" s="2"/>
      <c r="AL79" s="2"/>
    </row>
    <row r="80" ht="22.5" customHeight="1">
      <c r="A80" s="3" t="s">
        <v>1861</v>
      </c>
      <c r="B80" s="4">
        <v>79.0</v>
      </c>
      <c r="C80" s="3" t="s">
        <v>1874</v>
      </c>
      <c r="D80" s="3" t="s">
        <v>1875</v>
      </c>
      <c r="E80" s="3" t="s">
        <v>1876</v>
      </c>
      <c r="F80" s="3" t="s">
        <v>1877</v>
      </c>
      <c r="G80" s="3" t="s">
        <v>1878</v>
      </c>
      <c r="H80" s="3" t="s">
        <v>1878</v>
      </c>
      <c r="I80" s="3" t="s">
        <v>1879</v>
      </c>
      <c r="J80" s="2"/>
      <c r="K80" s="2"/>
      <c r="L80" s="3" t="s">
        <v>1861</v>
      </c>
      <c r="M80" s="4">
        <v>79.0</v>
      </c>
      <c r="N80" s="3" t="str">
        <f>IFERROR(__xludf.DUMMYFUNCTION("GOOGLETRANSLATE(C80,""en"",""zh-CN"")"),"船中间的划桨手们高举着船桨。这代表什么？")</f>
        <v>船中间的划桨手们高举着船桨。这代表什么？</v>
      </c>
      <c r="O80" s="3" t="str">
        <f>IFERROR(__xludf.DUMMYFUNCTION("GOOGLETRANSLATE(D80,""en"",""zh-CN"")"),"他们正在庆祝胜利。")</f>
        <v>他们正在庆祝胜利。</v>
      </c>
      <c r="P80" s="3" t="str">
        <f>IFERROR(__xludf.DUMMYFUNCTION("GOOGLETRANSLATE(E80,""en"",""zh-CN"")"),"他们在向朋友发出信号。")</f>
        <v>他们在向朋友发出信号。</v>
      </c>
      <c r="Q80" s="3" t="str">
        <f>IFERROR(__xludf.DUMMYFUNCTION("GOOGLETRANSLATE(F80,""en"",""zh-CN"")"),"比赛结束了。")</f>
        <v>比赛结束了。</v>
      </c>
      <c r="R80" s="3" t="str">
        <f>IFERROR(__xludf.DUMMYFUNCTION("GOOGLETRANSLATE(G80,""en"",""zh-CN"")"),"他们正在休息或执行指令。")</f>
        <v>他们正在休息或执行指令。</v>
      </c>
      <c r="S80" s="3" t="s">
        <v>1880</v>
      </c>
      <c r="T80" s="3" t="str">
        <f>IFERROR(__xludf.DUMMYFUNCTION("GOOGLETRANSLATE(H80,""en"",""zh-CN"")"),"他们正在休息或执行指令。")</f>
        <v>他们正在休息或执行指令。</v>
      </c>
      <c r="U80" s="3" t="str">
        <f>IFERROR(__xludf.DUMMYFUNCTION("GOOGLETRANSLATE(I80,""en"",""zh-CN"")"),"在训练中，举起桨是停止划桨、听从教练或舵手指示的常见动作。")</f>
        <v>在训练中，举起桨是停止划桨、听从教练或舵手指示的常见动作。</v>
      </c>
      <c r="V80" s="2"/>
      <c r="W80" s="2"/>
      <c r="X80" s="2"/>
      <c r="Y80" s="2"/>
      <c r="Z80" s="2"/>
      <c r="AA80" s="2"/>
      <c r="AB80" s="2"/>
      <c r="AC80" s="2"/>
      <c r="AD80" s="2"/>
      <c r="AE80" s="2"/>
      <c r="AF80" s="2"/>
      <c r="AG80" s="2"/>
      <c r="AH80" s="2"/>
      <c r="AI80" s="2"/>
      <c r="AJ80" s="2"/>
      <c r="AK80" s="2"/>
      <c r="AL80" s="2"/>
    </row>
    <row r="81" ht="22.5" customHeight="1">
      <c r="A81" s="3" t="s">
        <v>1861</v>
      </c>
      <c r="B81" s="4">
        <v>80.0</v>
      </c>
      <c r="C81" s="3" t="s">
        <v>1881</v>
      </c>
      <c r="D81" s="3" t="s">
        <v>1882</v>
      </c>
      <c r="E81" s="3" t="s">
        <v>1883</v>
      </c>
      <c r="F81" s="3" t="s">
        <v>1884</v>
      </c>
      <c r="G81" s="3" t="s">
        <v>1885</v>
      </c>
      <c r="H81" s="3" t="s">
        <v>1884</v>
      </c>
      <c r="I81" s="3" t="s">
        <v>1886</v>
      </c>
      <c r="J81" s="2"/>
      <c r="K81" s="2"/>
      <c r="L81" s="3" t="s">
        <v>1861</v>
      </c>
      <c r="M81" s="4">
        <v>80.0</v>
      </c>
      <c r="N81" s="3" t="str">
        <f>IFERROR(__xludf.DUMMYFUNCTION("GOOGLETRANSLATE(C81,""en"",""zh-CN"")"),"这张图片与种族图片最显著的区别是什么？")</f>
        <v>这张图片与种族图片最显著的区别是什么？</v>
      </c>
      <c r="O81" s="3" t="str">
        <f>IFERROR(__xludf.DUMMYFUNCTION("GOOGLETRANSLATE(D81,""en"",""zh-CN"")"),"教练在场。")</f>
        <v>教练在场。</v>
      </c>
      <c r="P81" s="3" t="str">
        <f>IFERROR(__xludf.DUMMYFUNCTION("GOOGLETRANSLATE(E81,""en"",""zh-CN"")"),"没有龙头。")</f>
        <v>没有龙头。</v>
      </c>
      <c r="Q81" s="3" t="str">
        <f>IFERROR(__xludf.DUMMYFUNCTION("GOOGLETRANSLATE(F81,""en"",""zh-CN"")"),"划桨者们轻松自在的态度。")</f>
        <v>划桨者们轻松自在的态度。</v>
      </c>
      <c r="R81" s="3" t="str">
        <f>IFERROR(__xludf.DUMMYFUNCTION("GOOGLETRANSLATE(G81,""en"",""zh-CN"")"),"没有鼓的事实。")</f>
        <v>没有鼓的事实。</v>
      </c>
      <c r="S81" s="3" t="s">
        <v>1887</v>
      </c>
      <c r="T81" s="3" t="str">
        <f>IFERROR(__xludf.DUMMYFUNCTION("GOOGLETRANSLATE(H81,""en"",""zh-CN"")"),"划桨者们轻松自在的态度。")</f>
        <v>划桨者们轻松自在的态度。</v>
      </c>
      <c r="U81" s="3" t="str">
        <f>IFERROR(__xludf.DUMMYFUNCTION("GOOGLETRANSLATE(I81,""en"",""zh-CN"")"),"与竞技比赛中桨手们高度集中注意力不同，这里的桨手们看起来很放松，他们聊天、微笑，这表明这里没有竞争的氛围。")</f>
        <v>与竞技比赛中桨手们高度集中注意力不同，这里的桨手们看起来很放松，他们聊天、微笑，这表明这里没有竞争的氛围。</v>
      </c>
      <c r="V81" s="2"/>
      <c r="W81" s="2"/>
      <c r="X81" s="2"/>
      <c r="Y81" s="2"/>
      <c r="Z81" s="2"/>
      <c r="AA81" s="2"/>
      <c r="AB81" s="2"/>
      <c r="AC81" s="2"/>
      <c r="AD81" s="2"/>
      <c r="AE81" s="2"/>
      <c r="AF81" s="2"/>
      <c r="AG81" s="2"/>
      <c r="AH81" s="2"/>
      <c r="AI81" s="2"/>
      <c r="AJ81" s="2"/>
      <c r="AK81" s="2"/>
      <c r="AL81" s="2"/>
    </row>
    <row r="82" ht="22.5" customHeight="1">
      <c r="A82" s="3" t="s">
        <v>1888</v>
      </c>
      <c r="B82" s="4">
        <v>81.0</v>
      </c>
      <c r="C82" s="3" t="s">
        <v>1239</v>
      </c>
      <c r="D82" s="3" t="s">
        <v>1711</v>
      </c>
      <c r="E82" s="3" t="s">
        <v>1889</v>
      </c>
      <c r="F82" s="3" t="s">
        <v>1803</v>
      </c>
      <c r="G82" s="3" t="s">
        <v>1242</v>
      </c>
      <c r="H82" s="3" t="s">
        <v>1711</v>
      </c>
      <c r="I82" s="3" t="s">
        <v>1715</v>
      </c>
      <c r="J82" s="2"/>
      <c r="K82" s="2"/>
      <c r="L82" s="3" t="s">
        <v>1888</v>
      </c>
      <c r="M82" s="4">
        <v>81.0</v>
      </c>
      <c r="N82" s="3" t="str">
        <f>IFERROR(__xludf.DUMMYFUNCTION("GOOGLETRANSLATE(C82,""en"",""zh-CN"")"),"图片中展示的主要活动是什么？")</f>
        <v>图片中展示的主要活动是什么？</v>
      </c>
      <c r="O82" s="3" t="str">
        <f>IFERROR(__xludf.DUMMYFUNCTION("GOOGLETRANSLATE(D82,""en"",""zh-CN"")"),"一场激烈的龙舟比赛。")</f>
        <v>一场激烈的龙舟比赛。</v>
      </c>
      <c r="P82" s="3" t="str">
        <f>IFERROR(__xludf.DUMMYFUNCTION("GOOGLETRANSLATE(E82,""en"",""zh-CN"")"),"一次轻松的乘船之旅。")</f>
        <v>一次轻松的乘船之旅。</v>
      </c>
      <c r="Q82" s="3" t="str">
        <f>IFERROR(__xludf.DUMMYFUNCTION("GOOGLETRANSLATE(F82,""en"",""zh-CN"")"),"一次培训课程。")</f>
        <v>一次培训课程。</v>
      </c>
      <c r="R82" s="3" t="str">
        <f>IFERROR(__xludf.DUMMYFUNCTION("GOOGLETRANSLATE(G82,""en"",""zh-CN"")"),"游行。")</f>
        <v>游行。</v>
      </c>
      <c r="S82" s="3" t="s">
        <v>1890</v>
      </c>
      <c r="T82" s="3" t="str">
        <f>IFERROR(__xludf.DUMMYFUNCTION("GOOGLETRANSLATE(H82,""en"",""zh-CN"")"),"一场激烈的龙舟比赛。")</f>
        <v>一场激烈的龙舟比赛。</v>
      </c>
      <c r="U82" s="3" t="str">
        <f>IFERROR(__xludf.DUMMYFUNCTION("GOOGLETRANSLATE(I82,""en"",""zh-CN"")"),"图片显示多艘船只并排进行比赛，每艘船都有一个编号和一个不同的队伍，表明这是一场正式比赛。")</f>
        <v>图片显示多艘船只并排进行比赛，每艘船都有一个编号和一个不同的队伍，表明这是一场正式比赛。</v>
      </c>
      <c r="V82" s="2"/>
      <c r="W82" s="2"/>
      <c r="X82" s="2"/>
      <c r="Y82" s="2"/>
      <c r="Z82" s="2"/>
      <c r="AA82" s="2"/>
      <c r="AB82" s="2"/>
      <c r="AC82" s="2"/>
      <c r="AD82" s="2"/>
      <c r="AE82" s="2"/>
      <c r="AF82" s="2"/>
      <c r="AG82" s="2"/>
      <c r="AH82" s="2"/>
      <c r="AI82" s="2"/>
      <c r="AJ82" s="2"/>
      <c r="AK82" s="2"/>
      <c r="AL82" s="2"/>
    </row>
    <row r="83" ht="22.5" customHeight="1">
      <c r="A83" s="3" t="s">
        <v>1888</v>
      </c>
      <c r="B83" s="4">
        <v>82.0</v>
      </c>
      <c r="C83" s="3" t="s">
        <v>1891</v>
      </c>
      <c r="D83" s="3" t="s">
        <v>1629</v>
      </c>
      <c r="E83" s="3" t="s">
        <v>1631</v>
      </c>
      <c r="F83" s="3" t="s">
        <v>1630</v>
      </c>
      <c r="G83" s="3" t="s">
        <v>1632</v>
      </c>
      <c r="H83" s="3" t="s">
        <v>1631</v>
      </c>
      <c r="I83" s="3" t="s">
        <v>1892</v>
      </c>
      <c r="J83" s="2"/>
      <c r="K83" s="2"/>
      <c r="L83" s="3" t="s">
        <v>1888</v>
      </c>
      <c r="M83" s="4">
        <v>82.0</v>
      </c>
      <c r="N83" s="3" t="str">
        <f>IFERROR(__xludf.DUMMYFUNCTION("GOOGLETRANSLATE(C83,""en"",""zh-CN"")"),"每艘船前平台上的工作人员扮演什么角色？")</f>
        <v>每艘船前平台上的工作人员扮演什么角色？</v>
      </c>
      <c r="O83" s="3" t="str">
        <f>IFERROR(__xludf.DUMMYFUNCTION("GOOGLETRANSLATE(D83,""en"",""zh-CN"")"),"舵手。")</f>
        <v>舵手。</v>
      </c>
      <c r="P83" s="3" t="str">
        <f>IFERROR(__xludf.DUMMYFUNCTION("GOOGLETRANSLATE(E83,""en"",""zh-CN"")"),"鼓手。")</f>
        <v>鼓手。</v>
      </c>
      <c r="Q83" s="3" t="str">
        <f>IFERROR(__xludf.DUMMYFUNCTION("GOOGLETRANSLATE(F83,""en"",""zh-CN"")"),"教练。")</f>
        <v>教练。</v>
      </c>
      <c r="R83" s="3" t="str">
        <f>IFERROR(__xludf.DUMMYFUNCTION("GOOGLETRANSLATE(G83,""en"",""zh-CN"")"),"队长。")</f>
        <v>队长。</v>
      </c>
      <c r="S83" s="3" t="s">
        <v>1893</v>
      </c>
      <c r="T83" s="3" t="str">
        <f>IFERROR(__xludf.DUMMYFUNCTION("GOOGLETRANSLATE(H83,""en"",""zh-CN"")"),"鼓手。")</f>
        <v>鼓手。</v>
      </c>
      <c r="U83" s="3" t="str">
        <f>IFERROR(__xludf.DUMMYFUNCTION("GOOGLETRANSLATE(I83,""en"",""zh-CN"")"),"站在船头平台上、手持鼓槌的人是鼓手，他负责为球队设定节奏。")</f>
        <v>站在船头平台上、手持鼓槌的人是鼓手，他负责为球队设定节奏。</v>
      </c>
      <c r="V83" s="2"/>
      <c r="W83" s="2"/>
      <c r="X83" s="2"/>
      <c r="Y83" s="2"/>
      <c r="Z83" s="2"/>
      <c r="AA83" s="2"/>
      <c r="AB83" s="2"/>
      <c r="AC83" s="2"/>
      <c r="AD83" s="2"/>
      <c r="AE83" s="2"/>
      <c r="AF83" s="2"/>
      <c r="AG83" s="2"/>
      <c r="AH83" s="2"/>
      <c r="AI83" s="2"/>
      <c r="AJ83" s="2"/>
      <c r="AK83" s="2"/>
      <c r="AL83" s="2"/>
    </row>
    <row r="84" ht="22.5" customHeight="1">
      <c r="A84" s="3" t="s">
        <v>1888</v>
      </c>
      <c r="B84" s="4">
        <v>83.0</v>
      </c>
      <c r="C84" s="3" t="s">
        <v>1448</v>
      </c>
      <c r="D84" s="3" t="s">
        <v>1727</v>
      </c>
      <c r="E84" s="3" t="s">
        <v>1728</v>
      </c>
      <c r="F84" s="3" t="s">
        <v>1729</v>
      </c>
      <c r="G84" s="3" t="s">
        <v>1730</v>
      </c>
      <c r="H84" s="3" t="s">
        <v>1729</v>
      </c>
      <c r="I84" s="3" t="s">
        <v>1453</v>
      </c>
      <c r="J84" s="2"/>
      <c r="K84" s="2"/>
      <c r="L84" s="3" t="s">
        <v>1888</v>
      </c>
      <c r="M84" s="4">
        <v>83.0</v>
      </c>
      <c r="N84" s="3" t="str">
        <f>IFERROR(__xludf.DUMMYFUNCTION("GOOGLETRANSLATE(C84,""en"",""zh-CN"")"),"划桨者身体前倾幅度很大，身体贴近水面。这种姿势的原因是什么？")</f>
        <v>划桨者身体前倾幅度很大，身体贴近水面。这种姿势的原因是什么？</v>
      </c>
      <c r="O84" s="3" t="str">
        <f>IFERROR(__xludf.DUMMYFUNCTION("GOOGLETRANSLATE(D84,""en"",""zh-CN"")"),"让手臂休息一下。")</f>
        <v>让手臂休息一下。</v>
      </c>
      <c r="P84" s="3" t="str">
        <f>IFERROR(__xludf.DUMMYFUNCTION("GOOGLETRANSLATE(E84,""en"",""zh-CN"")"),"伸展一下背部。")</f>
        <v>伸展一下背部。</v>
      </c>
      <c r="Q84" s="3" t="str">
        <f>IFERROR(__xludf.DUMMYFUNCTION("GOOGLETRANSLATE(F84,""en"",""zh-CN"")"),"为了产生更长、更有力的击球。")</f>
        <v>为了产生更长、更有力的击球。</v>
      </c>
      <c r="R84" s="3" t="str">
        <f>IFERROR(__xludf.DUMMYFUNCTION("GOOGLETRANSLATE(G84,""en"",""zh-CN"")"),"为了让自己冷静下来。")</f>
        <v>为了让自己冷静下来。</v>
      </c>
      <c r="S84" s="3" t="s">
        <v>1732</v>
      </c>
      <c r="T84" s="3" t="str">
        <f>IFERROR(__xludf.DUMMYFUNCTION("GOOGLETRANSLATE(H84,""en"",""zh-CN"")"),"为了产生更长、更有力的击球。")</f>
        <v>为了产生更长、更有力的击球。</v>
      </c>
      <c r="U84" s="3" t="str">
        <f>IFERROR(__xludf.DUMMYFUNCTION("GOOGLETRANSLATE(I84,""en"",""zh-CN"")"),"身体前倾可以让划桨者划得更远，在划桨开始时将桨更深地插入水中，从而产生更大的力量。")</f>
        <v>身体前倾可以让划桨者划得更远，在划桨开始时将桨更深地插入水中，从而产生更大的力量。</v>
      </c>
      <c r="V84" s="2"/>
      <c r="W84" s="2"/>
      <c r="X84" s="2"/>
      <c r="Y84" s="2"/>
      <c r="Z84" s="2"/>
      <c r="AA84" s="2"/>
      <c r="AB84" s="2"/>
      <c r="AC84" s="2"/>
      <c r="AD84" s="2"/>
      <c r="AE84" s="2"/>
      <c r="AF84" s="2"/>
      <c r="AG84" s="2"/>
      <c r="AH84" s="2"/>
      <c r="AI84" s="2"/>
      <c r="AJ84" s="2"/>
      <c r="AK84" s="2"/>
      <c r="AL84" s="2"/>
    </row>
    <row r="85" ht="22.5" customHeight="1">
      <c r="A85" s="3" t="s">
        <v>1888</v>
      </c>
      <c r="B85" s="4">
        <v>84.0</v>
      </c>
      <c r="C85" s="3" t="s">
        <v>1397</v>
      </c>
      <c r="D85" s="3" t="s">
        <v>1398</v>
      </c>
      <c r="E85" s="3" t="s">
        <v>1400</v>
      </c>
      <c r="F85" s="3" t="s">
        <v>1399</v>
      </c>
      <c r="G85" s="3" t="s">
        <v>1401</v>
      </c>
      <c r="H85" s="3" t="s">
        <v>1399</v>
      </c>
      <c r="I85" s="3" t="s">
        <v>1402</v>
      </c>
      <c r="J85" s="2"/>
      <c r="K85" s="2"/>
      <c r="L85" s="3" t="s">
        <v>1888</v>
      </c>
      <c r="M85" s="4">
        <v>84.0</v>
      </c>
      <c r="N85" s="3" t="str">
        <f>IFERROR(__xludf.DUMMYFUNCTION("GOOGLETRANSLATE(C85,""en"",""zh-CN"")"),"桨手们如此拼尽全力，这说明这场比赛有什么特点？")</f>
        <v>桨手们如此拼尽全力，这说明这场比赛有什么特点？</v>
      </c>
      <c r="O85" s="3" t="str">
        <f>IFERROR(__xludf.DUMMYFUNCTION("GOOGLETRANSLATE(D85,""en"",""zh-CN"")"),"这是一项休闲活动。")</f>
        <v>这是一项休闲活动。</v>
      </c>
      <c r="P85" s="3" t="str">
        <f>IFERROR(__xludf.DUMMYFUNCTION("GOOGLETRANSLATE(E85,""en"",""zh-CN"")"),"这是一个缓慢而庄严的游行队伍。")</f>
        <v>这是一个缓慢而庄严的游行队伍。</v>
      </c>
      <c r="Q85" s="3" t="str">
        <f>IFERROR(__xludf.DUMMYFUNCTION("GOOGLETRANSLATE(F85,""en"",""zh-CN"")"),"这是一项竞争非常激烈且对体能要求很高的运动。")</f>
        <v>这是一项竞争非常激烈且对体能要求很高的运动。</v>
      </c>
      <c r="R85" s="3" t="str">
        <f>IFERROR(__xludf.DUMMYFUNCTION("GOOGLETRANSLATE(G85,""en"",""zh-CN"")"),"这是一次团队建设活动。")</f>
        <v>这是一次团队建设活动。</v>
      </c>
      <c r="S85" s="3" t="s">
        <v>1894</v>
      </c>
      <c r="T85" s="3" t="str">
        <f>IFERROR(__xludf.DUMMYFUNCTION("GOOGLETRANSLATE(H85,""en"",""zh-CN"")"),"这是一项竞争非常激烈且对体能要求很高的运动。")</f>
        <v>这是一项竞争非常激烈且对体能要求很高的运动。</v>
      </c>
      <c r="U85" s="3" t="str">
        <f>IFERROR(__xludf.DUMMYFUNCTION("GOOGLETRANSLATE(I85,""en"",""zh-CN"")"),"桨手们向前倾斜的身体、强劲的划桨动作以及专注的表情表明，这是一场需要高度体力消耗和团队合作的比赛。")</f>
        <v>桨手们向前倾斜的身体、强劲的划桨动作以及专注的表情表明，这是一场需要高度体力消耗和团队合作的比赛。</v>
      </c>
      <c r="V85" s="2"/>
      <c r="W85" s="2"/>
      <c r="X85" s="2"/>
      <c r="Y85" s="2"/>
      <c r="Z85" s="2"/>
      <c r="AA85" s="2"/>
      <c r="AB85" s="2"/>
      <c r="AC85" s="2"/>
      <c r="AD85" s="2"/>
      <c r="AE85" s="2"/>
      <c r="AF85" s="2"/>
      <c r="AG85" s="2"/>
      <c r="AH85" s="2"/>
      <c r="AI85" s="2"/>
      <c r="AJ85" s="2"/>
      <c r="AK85" s="2"/>
      <c r="AL85" s="2"/>
    </row>
    <row r="86" ht="22.5" customHeight="1">
      <c r="A86" s="3" t="s">
        <v>1888</v>
      </c>
      <c r="B86" s="4">
        <v>85.0</v>
      </c>
      <c r="C86" s="3" t="s">
        <v>1895</v>
      </c>
      <c r="D86" s="3" t="s">
        <v>1427</v>
      </c>
      <c r="E86" s="3" t="s">
        <v>1428</v>
      </c>
      <c r="F86" s="3" t="s">
        <v>1429</v>
      </c>
      <c r="G86" s="3" t="s">
        <v>1430</v>
      </c>
      <c r="H86" s="3" t="s">
        <v>1430</v>
      </c>
      <c r="I86" s="3" t="s">
        <v>1431</v>
      </c>
      <c r="J86" s="2"/>
      <c r="K86" s="2"/>
      <c r="L86" s="3" t="s">
        <v>1888</v>
      </c>
      <c r="M86" s="4">
        <v>85.0</v>
      </c>
      <c r="N86" s="3" t="str">
        <f>IFERROR(__xludf.DUMMYFUNCTION("GOOGLETRANSLATE(C86,""en"",""zh-CN"")"),"水花四溅表明什么？")</f>
        <v>水花四溅表明什么？</v>
      </c>
      <c r="O86" s="3" t="str">
        <f>IFERROR(__xludf.DUMMYFUNCTION("GOOGLETRANSLATE(D86,""en"",""zh-CN"")"),"船正在下沉。")</f>
        <v>船正在下沉。</v>
      </c>
      <c r="P86" s="3" t="str">
        <f>IFERROR(__xludf.DUMMYFUNCTION("GOOGLETRANSLATE(E86,""en"",""zh-CN"")"),"船速很慢。")</f>
        <v>船速很慢。</v>
      </c>
      <c r="Q86" s="3" t="str">
        <f>IFERROR(__xludf.DUMMYFUNCTION("GOOGLETRANSLATE(F86,""en"",""zh-CN"")"),"船静止不动。")</f>
        <v>船静止不动。</v>
      </c>
      <c r="R86" s="3" t="str">
        <f>IFERROR(__xludf.DUMMYFUNCTION("GOOGLETRANSLATE(G86,""en"",""zh-CN"")"),"船速非常快。")</f>
        <v>船速非常快。</v>
      </c>
      <c r="S86" s="3" t="s">
        <v>1432</v>
      </c>
      <c r="T86" s="3" t="str">
        <f>IFERROR(__xludf.DUMMYFUNCTION("GOOGLETRANSLATE(H86,""en"",""zh-CN"")"),"船速非常快。")</f>
        <v>船速非常快。</v>
      </c>
      <c r="U86" s="3" t="str">
        <f>IFERROR(__xludf.DUMMYFUNCTION("GOOGLETRANSLATE(I86,""en"",""zh-CN"")"),"巨大的波浪和飞溅的水花表明船速很快，桨手们同步划水产生了巨大的动力。")</f>
        <v>巨大的波浪和飞溅的水花表明船速很快，桨手们同步划水产生了巨大的动力。</v>
      </c>
      <c r="V86" s="2"/>
      <c r="W86" s="2"/>
      <c r="X86" s="2"/>
      <c r="Y86" s="2"/>
      <c r="Z86" s="2"/>
      <c r="AA86" s="2"/>
      <c r="AB86" s="2"/>
      <c r="AC86" s="2"/>
      <c r="AD86" s="2"/>
      <c r="AE86" s="2"/>
      <c r="AF86" s="2"/>
      <c r="AG86" s="2"/>
      <c r="AH86" s="2"/>
      <c r="AI86" s="2"/>
      <c r="AJ86" s="2"/>
      <c r="AK86" s="2"/>
      <c r="AL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2.88"/>
    <col customWidth="1" min="3" max="3" width="37.63"/>
    <col customWidth="1" min="4" max="4" width="35.0"/>
    <col customWidth="1" min="5" max="9" width="37.63"/>
    <col customWidth="1" min="12" max="12" width="15.0"/>
    <col customWidth="1" min="13" max="13" width="12.88"/>
    <col customWidth="1" min="14" max="14" width="37.63"/>
    <col customWidth="1" min="19" max="19" width="17.0"/>
    <col customWidth="1" min="20" max="20" width="13.88"/>
  </cols>
  <sheetData>
    <row r="1" ht="22.5" customHeight="1">
      <c r="A1" s="1" t="s">
        <v>0</v>
      </c>
      <c r="B1" s="1" t="s">
        <v>1</v>
      </c>
      <c r="C1" s="1" t="s">
        <v>2</v>
      </c>
      <c r="D1" s="1" t="s">
        <v>3</v>
      </c>
      <c r="E1" s="1" t="s">
        <v>4</v>
      </c>
      <c r="F1" s="1" t="s">
        <v>5</v>
      </c>
      <c r="G1" s="1" t="s">
        <v>6</v>
      </c>
      <c r="H1" s="1" t="s">
        <v>7</v>
      </c>
      <c r="I1" s="1" t="s">
        <v>8</v>
      </c>
      <c r="L1" s="1" t="s">
        <v>9</v>
      </c>
      <c r="M1" s="1" t="s">
        <v>10</v>
      </c>
      <c r="N1" s="1" t="s">
        <v>11</v>
      </c>
      <c r="O1" s="1" t="s">
        <v>12</v>
      </c>
      <c r="P1" s="1" t="s">
        <v>13</v>
      </c>
      <c r="Q1" s="1" t="s">
        <v>14</v>
      </c>
      <c r="R1" s="1" t="s">
        <v>15</v>
      </c>
      <c r="S1" s="1" t="s">
        <v>16</v>
      </c>
      <c r="T1" s="1" t="s">
        <v>17</v>
      </c>
      <c r="U1" s="1" t="s">
        <v>18</v>
      </c>
    </row>
    <row r="2" ht="22.5" customHeight="1">
      <c r="A2" s="3" t="s">
        <v>1896</v>
      </c>
      <c r="B2" s="4">
        <v>1.0</v>
      </c>
      <c r="C2" s="3" t="s">
        <v>1897</v>
      </c>
      <c r="D2" s="3" t="s">
        <v>1898</v>
      </c>
      <c r="E2" s="3" t="s">
        <v>1899</v>
      </c>
      <c r="F2" s="3" t="s">
        <v>1900</v>
      </c>
      <c r="G2" s="3" t="s">
        <v>1901</v>
      </c>
      <c r="H2" s="3" t="s">
        <v>1899</v>
      </c>
      <c r="I2" s="3" t="s">
        <v>1902</v>
      </c>
      <c r="L2" s="3" t="s">
        <v>1896</v>
      </c>
      <c r="M2" s="4">
        <v>1.0</v>
      </c>
      <c r="N2" s="5" t="str">
        <f>IFERROR(__xludf.DUMMYFUNCTION("GOOGLETRANSLATE(C2,""en"",""zh-CN"")"),"图片中展示的是什么游戏？")</f>
        <v>图片中展示的是什么游戏？</v>
      </c>
      <c r="O2" s="5" t="str">
        <f>IFERROR(__xludf.DUMMYFUNCTION("GOOGLETRANSLATE(D2,""en"",""zh-CN"")"),"棋")</f>
        <v>棋</v>
      </c>
      <c r="P2" s="5" t="str">
        <f>IFERROR(__xludf.DUMMYFUNCTION("GOOGLETRANSLATE(E2,""en"",""zh-CN"")"),"围棋")</f>
        <v>围棋</v>
      </c>
      <c r="Q2" s="5" t="str">
        <f>IFERROR(__xludf.DUMMYFUNCTION("GOOGLETRANSLATE(F2,""en"",""zh-CN"")"),"跳棋")</f>
        <v>跳棋</v>
      </c>
      <c r="R2" s="5" t="str">
        <f>IFERROR(__xludf.DUMMYFUNCTION("GOOGLETRANSLATE(G2,""en"",""zh-CN"")"),"双陆棋")</f>
        <v>双陆棋</v>
      </c>
      <c r="S2" s="5" t="str">
        <f t="array" ref="S2:S96">TRIM(" (A) " &amp; O2:O96 &amp; " (B) " &amp; P2:P96 &amp; " (C) " &amp; Q2:Q96 &amp; " (D) " &amp; R2:R96)</f>
        <v>(A) 棋 (B) 围棋 (C) 跳棋 (D) 双陆棋</v>
      </c>
      <c r="T2" s="5" t="str">
        <f>IFERROR(__xludf.DUMMYFUNCTION("GOOGLETRANSLATE(H2,""en"",""zh-CN"")"),"围棋")</f>
        <v>围棋</v>
      </c>
      <c r="U2" s="5" t="str">
        <f>IFERROR(__xludf.DUMMYFUNCTION("GOOGLETRANSLATE(I2,""en"",""zh-CN"")"),"图中显示的是一个带有网格的方形棋盘，棋子有黑白两色，这是围棋（又称围棋）的典型特征。")</f>
        <v>图中显示的是一个带有网格的方形棋盘，棋子有黑白两色，这是围棋（又称围棋）的典型特征。</v>
      </c>
    </row>
    <row r="3" ht="22.5" customHeight="1">
      <c r="A3" s="3" t="s">
        <v>1896</v>
      </c>
      <c r="B3" s="4">
        <v>2.0</v>
      </c>
      <c r="C3" s="3" t="s">
        <v>1903</v>
      </c>
      <c r="D3" s="3" t="s">
        <v>1904</v>
      </c>
      <c r="E3" s="3" t="s">
        <v>1905</v>
      </c>
      <c r="F3" s="3" t="s">
        <v>1906</v>
      </c>
      <c r="G3" s="3" t="s">
        <v>1907</v>
      </c>
      <c r="H3" s="3" t="s">
        <v>1906</v>
      </c>
      <c r="I3" s="3" t="s">
        <v>1908</v>
      </c>
      <c r="L3" s="3" t="s">
        <v>1896</v>
      </c>
      <c r="M3" s="4">
        <v>2.0</v>
      </c>
      <c r="N3" s="5" t="str">
        <f>IFERROR(__xludf.DUMMYFUNCTION("GOOGLETRANSLATE(C3,""en"",""zh-CN"")"),"这些黑白圆盘叫什么？")</f>
        <v>这些黑白圆盘叫什么？</v>
      </c>
      <c r="O3" s="5" t="str">
        <f>IFERROR(__xludf.DUMMYFUNCTION("GOOGLETRANSLATE(D3,""en"",""zh-CN"")"),"兵")</f>
        <v>兵</v>
      </c>
      <c r="P3" s="5" t="str">
        <f>IFERROR(__xludf.DUMMYFUNCTION("GOOGLETRANSLATE(E3,""en"",""zh-CN"")"),"薯片")</f>
        <v>薯片</v>
      </c>
      <c r="Q3" s="5" t="str">
        <f>IFERROR(__xludf.DUMMYFUNCTION("GOOGLETRANSLATE(F3,""en"",""zh-CN"")"),"石头")</f>
        <v>石头</v>
      </c>
      <c r="R3" s="5" t="str">
        <f>IFERROR(__xludf.DUMMYFUNCTION("GOOGLETRANSLATE(G3,""en"",""zh-CN"")"),"光盘")</f>
        <v>光盘</v>
      </c>
      <c r="S3" s="5" t="s">
        <v>1909</v>
      </c>
      <c r="T3" s="5" t="str">
        <f>IFERROR(__xludf.DUMMYFUNCTION("GOOGLETRANSLATE(H3,""en"",""zh-CN"")"),"石头")</f>
        <v>石头</v>
      </c>
      <c r="U3" s="5" t="str">
        <f>IFERROR(__xludf.DUMMYFUNCTION("GOOGLETRANSLATE(I3,""en"",""zh-CN"")"),"围棋中的棋子称为棋子，放置在棋盘线条的交叉点上。")</f>
        <v>围棋中的棋子称为棋子，放置在棋盘线条的交叉点上。</v>
      </c>
    </row>
    <row r="4" ht="22.5" customHeight="1">
      <c r="A4" s="3" t="s">
        <v>1896</v>
      </c>
      <c r="B4" s="4">
        <v>3.0</v>
      </c>
      <c r="C4" s="3" t="s">
        <v>1910</v>
      </c>
      <c r="D4" s="3" t="s">
        <v>1911</v>
      </c>
      <c r="E4" s="3" t="s">
        <v>1912</v>
      </c>
      <c r="F4" s="3" t="s">
        <v>1913</v>
      </c>
      <c r="G4" s="3" t="s">
        <v>1914</v>
      </c>
      <c r="H4" s="3" t="s">
        <v>1912</v>
      </c>
      <c r="I4" s="3" t="s">
        <v>1915</v>
      </c>
      <c r="L4" s="3" t="s">
        <v>1896</v>
      </c>
      <c r="M4" s="4">
        <v>3.0</v>
      </c>
      <c r="N4" s="5" t="str">
        <f>IFERROR(__xludf.DUMMYFUNCTION("GOOGLETRANSLATE(C4,""en"",""zh-CN"")"),"这个游戏的主要目标是什么？")</f>
        <v>这个游戏的主要目标是什么？</v>
      </c>
      <c r="O4" s="5" t="str">
        <f>IFERROR(__xludf.DUMMYFUNCTION("GOOGLETRANSLATE(D4,""en"",""zh-CN"")"),"吃掉对方所有棋子。")</f>
        <v>吃掉对方所有棋子。</v>
      </c>
      <c r="P4" s="5" t="str">
        <f>IFERROR(__xludf.DUMMYFUNCTION("GOOGLETRANSLATE(E4,""en"",""zh-CN"")"),"占据棋盘上最多的领土。")</f>
        <v>占据棋盘上最多的领土。</v>
      </c>
      <c r="Q4" s="5" t="str">
        <f>IFERROR(__xludf.DUMMYFUNCTION("GOOGLETRANSLATE(F4,""en"",""zh-CN"")"),"到达棋盘的另一边。")</f>
        <v>到达棋盘的另一边。</v>
      </c>
      <c r="R4" s="5" t="str">
        <f>IFERROR(__xludf.DUMMYFUNCTION("GOOGLETRANSLATE(G4,""en"",""zh-CN"")"),"形成特定图案。")</f>
        <v>形成特定图案。</v>
      </c>
      <c r="S4" s="5" t="s">
        <v>1916</v>
      </c>
      <c r="T4" s="5" t="str">
        <f>IFERROR(__xludf.DUMMYFUNCTION("GOOGLETRANSLATE(H4,""en"",""zh-CN"")"),"占据棋盘上最多的领土。")</f>
        <v>占据棋盘上最多的领土。</v>
      </c>
      <c r="U4" s="5" t="str">
        <f>IFERROR(__xludf.DUMMYFUNCTION("GOOGLETRANSLATE(I4,""en"",""zh-CN"")"),"围棋的主要目标是包围并控制比对手更大的棋盘区域，这以“领土”来衡量。")</f>
        <v>围棋的主要目标是包围并控制比对手更大的棋盘区域，这以“领土”来衡量。</v>
      </c>
    </row>
    <row r="5" ht="22.5" customHeight="1">
      <c r="A5" s="3" t="s">
        <v>1896</v>
      </c>
      <c r="B5" s="4">
        <v>4.0</v>
      </c>
      <c r="C5" s="3" t="s">
        <v>1917</v>
      </c>
      <c r="D5" s="3" t="s">
        <v>1918</v>
      </c>
      <c r="E5" s="3" t="s">
        <v>1919</v>
      </c>
      <c r="F5" s="3" t="s">
        <v>1920</v>
      </c>
      <c r="G5" s="3" t="s">
        <v>1921</v>
      </c>
      <c r="H5" s="3" t="s">
        <v>1919</v>
      </c>
      <c r="I5" s="3" t="s">
        <v>1922</v>
      </c>
      <c r="L5" s="3" t="s">
        <v>1896</v>
      </c>
      <c r="M5" s="4">
        <v>4.0</v>
      </c>
      <c r="N5" s="5" t="str">
        <f>IFERROR(__xludf.DUMMYFUNCTION("GOOGLETRANSLATE(C5,""en"",""zh-CN"")"),"如图所示，围棋棋盘的一个显著特点是什么？")</f>
        <v>如图所示，围棋棋盘的一个显著特点是什么？</v>
      </c>
      <c r="O5" s="5" t="str">
        <f>IFERROR(__xludf.DUMMYFUNCTION("GOOGLETRANSLATE(D5,""en"",""zh-CN"")"),"它有棋盘格图案。")</f>
        <v>它有棋盘格图案。</v>
      </c>
      <c r="P5" s="5" t="str">
        <f>IFERROR(__xludf.DUMMYFUNCTION("GOOGLETRANSLATE(E5,""en"",""zh-CN"")"),"这是一个有交叉点的正方形网格。")</f>
        <v>这是一个有交叉点的正方形网格。</v>
      </c>
      <c r="Q5" s="5" t="str">
        <f>IFERROR(__xludf.DUMMYFUNCTION("GOOGLETRANSLATE(F5,""en"",""zh-CN"")"),"它呈圆形图案。")</f>
        <v>它呈圆形图案。</v>
      </c>
      <c r="R5" s="5" t="str">
        <f>IFERROR(__xludf.DUMMYFUNCTION("GOOGLETRANSLATE(G5,""en"",""zh-CN"")"),"这是一块很大的纯色木板。")</f>
        <v>这是一块很大的纯色木板。</v>
      </c>
      <c r="S5" s="5" t="s">
        <v>1923</v>
      </c>
      <c r="T5" s="5" t="str">
        <f>IFERROR(__xludf.DUMMYFUNCTION("GOOGLETRANSLATE(H5,""en"",""zh-CN"")"),"这是一个有交叉点的正方形网格。")</f>
        <v>这是一个有交叉点的正方形网格。</v>
      </c>
      <c r="U5" s="5" t="str">
        <f>IFERROR(__xludf.DUMMYFUNCTION("GOOGLETRANSLATE(I5,""en"",""zh-CN"")"),"围棋棋盘是由线条组成的网格，棋子（棋子）放置在这些线条的交点上，而不是放置在方格内。")</f>
        <v>围棋棋盘是由线条组成的网格，棋子（棋子）放置在这些线条的交点上，而不是放置在方格内。</v>
      </c>
    </row>
    <row r="6" ht="22.5" customHeight="1">
      <c r="A6" s="3" t="s">
        <v>1896</v>
      </c>
      <c r="B6" s="4">
        <v>5.0</v>
      </c>
      <c r="C6" s="3" t="s">
        <v>1924</v>
      </c>
      <c r="D6" s="3" t="s">
        <v>1925</v>
      </c>
      <c r="E6" s="3" t="s">
        <v>1926</v>
      </c>
      <c r="F6" s="3" t="s">
        <v>1927</v>
      </c>
      <c r="G6" s="3" t="s">
        <v>1928</v>
      </c>
      <c r="H6" s="3" t="s">
        <v>1926</v>
      </c>
      <c r="I6" s="3" t="s">
        <v>1929</v>
      </c>
      <c r="L6" s="3" t="s">
        <v>1896</v>
      </c>
      <c r="M6" s="4">
        <v>5.0</v>
      </c>
      <c r="N6" s="5" t="str">
        <f>IFERROR(__xludf.DUMMYFUNCTION("GOOGLETRANSLATE(C6,""en"",""zh-CN"")"),"这两个木碗是做什么用的？")</f>
        <v>这两个木碗是做什么用的？</v>
      </c>
      <c r="O6" s="5" t="str">
        <f>IFERROR(__xludf.DUMMYFUNCTION("GOOGLETRANSLATE(D6,""en"",""zh-CN"")"),"用于储存捕获的石头。")</f>
        <v>用于储存捕获的石头。</v>
      </c>
      <c r="P6" s="5" t="str">
        <f>IFERROR(__xludf.DUMMYFUNCTION("GOOGLETRANSLATE(E6,""en"",""zh-CN"")"),"用来存放玩家自己的棋子。")</f>
        <v>用来存放玩家自己的棋子。</v>
      </c>
      <c r="Q6" s="5" t="str">
        <f>IFERROR(__xludf.DUMMYFUNCTION("GOOGLETRANSLATE(F6,""en"",""zh-CN"")"),"用来存放玩家多余的棋子。")</f>
        <v>用来存放玩家多余的棋子。</v>
      </c>
      <c r="R6" s="5" t="str">
        <f>IFERROR(__xludf.DUMMYFUNCTION("GOOGLETRANSLATE(G6,""en"",""zh-CN"")"),"可用作计时器。")</f>
        <v>可用作计时器。</v>
      </c>
      <c r="S6" s="5" t="s">
        <v>1930</v>
      </c>
      <c r="T6" s="5" t="str">
        <f>IFERROR(__xludf.DUMMYFUNCTION("GOOGLETRANSLATE(H6,""en"",""zh-CN"")"),"用来存放玩家自己的棋子。")</f>
        <v>用来存放玩家自己的棋子。</v>
      </c>
      <c r="U6" s="5" t="str">
        <f>IFERROR(__xludf.DUMMYFUNCTION("GOOGLETRANSLATE(I6,""en"",""zh-CN"")"),"这些碗，称为围棋碗或棋盘碗，是用来存放每位玩家在比赛期间放置在棋盘上的黑白棋子的。")</f>
        <v>这些碗，称为围棋碗或棋盘碗，是用来存放每位玩家在比赛期间放置在棋盘上的黑白棋子的。</v>
      </c>
    </row>
    <row r="7" ht="22.5" customHeight="1">
      <c r="A7" s="3" t="s">
        <v>1931</v>
      </c>
      <c r="B7" s="4">
        <v>6.0</v>
      </c>
      <c r="C7" s="3" t="s">
        <v>1546</v>
      </c>
      <c r="D7" s="3" t="s">
        <v>1932</v>
      </c>
      <c r="E7" s="3" t="s">
        <v>1933</v>
      </c>
      <c r="F7" s="3" t="s">
        <v>1934</v>
      </c>
      <c r="G7" s="3" t="s">
        <v>1935</v>
      </c>
      <c r="H7" s="3" t="s">
        <v>1935</v>
      </c>
      <c r="I7" s="3" t="s">
        <v>1936</v>
      </c>
      <c r="L7" s="3" t="s">
        <v>1931</v>
      </c>
      <c r="M7" s="4">
        <v>6.0</v>
      </c>
      <c r="N7" s="5" t="str">
        <f>IFERROR(__xludf.DUMMYFUNCTION("GOOGLETRANSLATE(C7,""en"",""zh-CN"")"),"图中所示的主要动作是什么？")</f>
        <v>图中所示的主要动作是什么？</v>
      </c>
      <c r="O7" s="5" t="str">
        <f>IFERROR(__xludf.DUMMYFUNCTION("GOOGLETRANSLATE(D7,""en"",""zh-CN"")"),"一名玩家正在移动石子。")</f>
        <v>一名玩家正在移动石子。</v>
      </c>
      <c r="P7" s="5" t="str">
        <f>IFERROR(__xludf.DUMMYFUNCTION("GOOGLETRANSLATE(E7,""en"",""zh-CN"")"),"一名球员正在取石。")</f>
        <v>一名球员正在取石。</v>
      </c>
      <c r="Q7" s="5" t="str">
        <f>IFERROR(__xludf.DUMMYFUNCTION("GOOGLETRANSLATE(F7,""en"",""zh-CN"")"),"一名玩家吃掉了一颗棋子。")</f>
        <v>一名玩家吃掉了一颗棋子。</v>
      </c>
      <c r="R7" s="5" t="str">
        <f>IFERROR(__xludf.DUMMYFUNCTION("GOOGLETRANSLATE(G7,""en"",""zh-CN"")"),"一名玩家将棋子放置在棋盘上。")</f>
        <v>一名玩家将棋子放置在棋盘上。</v>
      </c>
      <c r="S7" s="5" t="s">
        <v>1937</v>
      </c>
      <c r="T7" s="5" t="str">
        <f>IFERROR(__xludf.DUMMYFUNCTION("GOOGLETRANSLATE(H7,""en"",""zh-CN"")"),"一名玩家将棋子放置在棋盘上。")</f>
        <v>一名玩家将棋子放置在棋盘上。</v>
      </c>
      <c r="U7" s="5" t="str">
        <f>IFERROR(__xludf.DUMMYFUNCTION("GOOGLETRANSLATE(I7,""en"",""zh-CN"")"),"图中显示一只手拿着一颗白棋子，手指摆放的位置是将棋子放在棋盘的十字路口上，这是围棋的基本动作。")</f>
        <v>图中显示一只手拿着一颗白棋子，手指摆放的位置是将棋子放在棋盘的十字路口上，这是围棋的基本动作。</v>
      </c>
    </row>
    <row r="8" ht="22.5" customHeight="1">
      <c r="A8" s="3" t="s">
        <v>1931</v>
      </c>
      <c r="B8" s="4">
        <v>7.0</v>
      </c>
      <c r="C8" s="3" t="s">
        <v>1938</v>
      </c>
      <c r="D8" s="3" t="s">
        <v>1939</v>
      </c>
      <c r="E8" s="3" t="s">
        <v>1940</v>
      </c>
      <c r="F8" s="3" t="s">
        <v>1941</v>
      </c>
      <c r="G8" s="3" t="s">
        <v>1942</v>
      </c>
      <c r="H8" s="3" t="s">
        <v>1942</v>
      </c>
      <c r="I8" s="3" t="s">
        <v>1943</v>
      </c>
      <c r="L8" s="3" t="s">
        <v>1931</v>
      </c>
      <c r="M8" s="4">
        <v>7.0</v>
      </c>
      <c r="N8" s="5" t="str">
        <f>IFERROR(__xludf.DUMMYFUNCTION("GOOGLETRANSLATE(C8,""en"",""zh-CN"")"),"这个人正在把一块石头放在棋盘上。传统上与这个动作相关的声音是什么？")</f>
        <v>这个人正在把一块石头放在棋盘上。传统上与这个动作相关的声音是什么？</v>
      </c>
      <c r="O8" s="5" t="str">
        <f>IFERROR(__xludf.DUMMYFUNCTION("GOOGLETRANSLATE(D8,""en"",""zh-CN"")"),"轻轻一按")</f>
        <v>轻轻一按</v>
      </c>
      <c r="P8" s="5" t="str">
        <f>IFERROR(__xludf.DUMMYFUNCTION("GOOGLETRANSLATE(E8,""en"",""zh-CN"")"),"一声响亮的咔嚓声")</f>
        <v>一声响亮的咔嚓声</v>
      </c>
      <c r="Q8" s="5" t="str">
        <f>IFERROR(__xludf.DUMMYFUNCTION("GOOGLETRANSLATE(F8,""en"",""zh-CN"")"),"轻轻的敲击声")</f>
        <v>轻轻的敲击声</v>
      </c>
      <c r="R8" s="5" t="str">
        <f>IFERROR(__xludf.DUMMYFUNCTION("GOOGLETRANSLATE(G8,""en"",""zh-CN"")"),"一声清脆的响声")</f>
        <v>一声清脆的响声</v>
      </c>
      <c r="S8" s="5" t="s">
        <v>1944</v>
      </c>
      <c r="T8" s="5" t="str">
        <f>IFERROR(__xludf.DUMMYFUNCTION("GOOGLETRANSLATE(H8,""en"",""zh-CN"")"),"一声清脆的响声")</f>
        <v>一声清脆的响声</v>
      </c>
      <c r="U8" s="5" t="str">
        <f>IFERROR(__xludf.DUMMYFUNCTION("GOOGLETRANSLATE(I8,""en"",""zh-CN"")"),"当一位高手将棋子放在棋盘上时，他们经常使用一种特殊的技巧，发出清脆的响声，这是该游戏的传统元素。")</f>
        <v>当一位高手将棋子放在棋盘上时，他们经常使用一种特殊的技巧，发出清脆的响声，这是该游戏的传统元素。</v>
      </c>
    </row>
    <row r="9" ht="22.5" customHeight="1">
      <c r="A9" s="3" t="s">
        <v>1931</v>
      </c>
      <c r="B9" s="4">
        <v>8.0</v>
      </c>
      <c r="C9" s="3" t="s">
        <v>1945</v>
      </c>
      <c r="D9" s="3" t="s">
        <v>1946</v>
      </c>
      <c r="E9" s="3" t="s">
        <v>1947</v>
      </c>
      <c r="F9" s="3" t="s">
        <v>1948</v>
      </c>
      <c r="G9" s="3" t="s">
        <v>1949</v>
      </c>
      <c r="H9" s="3" t="s">
        <v>1947</v>
      </c>
      <c r="I9" s="3" t="s">
        <v>1950</v>
      </c>
      <c r="L9" s="3" t="s">
        <v>1931</v>
      </c>
      <c r="M9" s="4">
        <v>8.0</v>
      </c>
      <c r="N9" s="5" t="str">
        <f>IFERROR(__xludf.DUMMYFUNCTION("GOOGLETRANSLATE(C9,""en"",""zh-CN"")"),"为什么棋盘上已经有这么多棋子了？")</f>
        <v>为什么棋盘上已经有这么多棋子了？</v>
      </c>
      <c r="O9" s="5" t="str">
        <f>IFERROR(__xludf.DUMMYFUNCTION("GOOGLETRANSLATE(D9,""en"",""zh-CN"")"),"这款游戏节奏很快。")</f>
        <v>这款游戏节奏很快。</v>
      </c>
      <c r="P9" s="5" t="str">
        <f>IFERROR(__xludf.DUMMYFUNCTION("GOOGLETRANSLATE(E9,""en"",""zh-CN"")"),"游戏正处于一个复杂的阶段。")</f>
        <v>游戏正处于一个复杂的阶段。</v>
      </c>
      <c r="Q9" s="5" t="str">
        <f>IFERROR(__xludf.DUMMYFUNCTION("GOOGLETRANSLATE(F9,""en"",""zh-CN"")"),"这个游戏很简单。")</f>
        <v>这个游戏很简单。</v>
      </c>
      <c r="R9" s="5" t="str">
        <f>IFERROR(__xludf.DUMMYFUNCTION("GOOGLETRANSLATE(G9,""en"",""zh-CN"")"),"游戏时间很短。")</f>
        <v>游戏时间很短。</v>
      </c>
      <c r="S9" s="5" t="s">
        <v>1951</v>
      </c>
      <c r="T9" s="5" t="str">
        <f>IFERROR(__xludf.DUMMYFUNCTION("GOOGLETRANSLATE(H9,""en"",""zh-CN"")"),"游戏正处于一个复杂的阶段。")</f>
        <v>游戏正处于一个复杂的阶段。</v>
      </c>
      <c r="U9" s="5" t="str">
        <f>IFERROR(__xludf.DUMMYFUNCTION("GOOGLETRANSLATE(I9,""en"",""zh-CN"")"),"围棋比赛可能耗时很长，而且非常复杂，有很多走法和反击，随着比赛的进行，棋盘上会积累大量的棋子。")</f>
        <v>围棋比赛可能耗时很长，而且非常复杂，有很多走法和反击，随着比赛的进行，棋盘上会积累大量的棋子。</v>
      </c>
    </row>
    <row r="10" ht="22.5" customHeight="1">
      <c r="A10" s="3" t="s">
        <v>1931</v>
      </c>
      <c r="B10" s="4">
        <v>9.0</v>
      </c>
      <c r="C10" s="3" t="s">
        <v>1952</v>
      </c>
      <c r="D10" s="3" t="s">
        <v>1953</v>
      </c>
      <c r="E10" s="3" t="s">
        <v>1954</v>
      </c>
      <c r="F10" s="3" t="s">
        <v>1955</v>
      </c>
      <c r="G10" s="3" t="s">
        <v>1956</v>
      </c>
      <c r="H10" s="3" t="s">
        <v>1954</v>
      </c>
      <c r="I10" s="3" t="s">
        <v>1957</v>
      </c>
      <c r="L10" s="3" t="s">
        <v>1931</v>
      </c>
      <c r="M10" s="4">
        <v>9.0</v>
      </c>
      <c r="N10" s="5" t="str">
        <f>IFERROR(__xludf.DUMMYFUNCTION("GOOGLETRANSLATE(C10,""en"",""zh-CN"")"),"一只手正在放置一块白石头。这表示什么？")</f>
        <v>一只手正在放置一块白石头。这表示什么？</v>
      </c>
      <c r="O10" s="5" t="str">
        <f>IFERROR(__xludf.DUMMYFUNCTION("GOOGLETRANSLATE(D10,""en"",""zh-CN"")"),"白方处于优势地位。")</f>
        <v>白方处于优势地位。</v>
      </c>
      <c r="P10" s="5" t="str">
        <f>IFERROR(__xludf.DUMMYFUNCTION("GOOGLETRANSLATE(E10,""en"",""zh-CN"")"),"轮到白方走棋了。")</f>
        <v>轮到白方走棋了。</v>
      </c>
      <c r="Q10" s="5" t="str">
        <f>IFERROR(__xludf.DUMMYFUNCTION("GOOGLETRANSLATE(F10,""en"",""zh-CN"")"),"白方处于劣势。")</f>
        <v>白方处于劣势。</v>
      </c>
      <c r="R10" s="5" t="str">
        <f>IFERROR(__xludf.DUMMYFUNCTION("GOOGLETRANSLATE(G10,""en"",""zh-CN"")"),"白方刚刚吃掉了一枚棋子。")</f>
        <v>白方刚刚吃掉了一枚棋子。</v>
      </c>
      <c r="S10" s="5" t="s">
        <v>1958</v>
      </c>
      <c r="T10" s="5" t="str">
        <f>IFERROR(__xludf.DUMMYFUNCTION("GOOGLETRANSLATE(H10,""en"",""zh-CN"")"),"轮到白方走棋了。")</f>
        <v>轮到白方走棋了。</v>
      </c>
      <c r="U10" s="5" t="str">
        <f>IFERROR(__xludf.DUMMYFUNCTION("GOOGLETRANSLATE(I10,""en"",""zh-CN"")"),"在围棋中，玩家轮流在棋盘上放置一枚棋子，图中所示的动作表示轮到白方玩家了。")</f>
        <v>在围棋中，玩家轮流在棋盘上放置一枚棋子，图中所示的动作表示轮到白方玩家了。</v>
      </c>
    </row>
    <row r="11" ht="22.5" customHeight="1">
      <c r="A11" s="3" t="s">
        <v>1931</v>
      </c>
      <c r="B11" s="4">
        <v>10.0</v>
      </c>
      <c r="C11" s="3" t="s">
        <v>1959</v>
      </c>
      <c r="D11" s="3" t="s">
        <v>1960</v>
      </c>
      <c r="E11" s="3" t="s">
        <v>1961</v>
      </c>
      <c r="F11" s="3" t="s">
        <v>1962</v>
      </c>
      <c r="G11" s="3" t="s">
        <v>1963</v>
      </c>
      <c r="H11" s="3" t="s">
        <v>1961</v>
      </c>
      <c r="I11" s="3" t="s">
        <v>1964</v>
      </c>
      <c r="L11" s="3" t="s">
        <v>1931</v>
      </c>
      <c r="M11" s="4">
        <v>10.0</v>
      </c>
      <c r="N11" s="5" t="str">
        <f>IFERROR(__xludf.DUMMYFUNCTION("GOOGLETRANSLATE(C11,""en"",""zh-CN"")"),"从棋子的排列方式可以看出，围棋的一个关键原则是什么？")</f>
        <v>从棋子的排列方式可以看出，围棋的一个关键原则是什么？</v>
      </c>
      <c r="O11" s="5" t="str">
        <f>IFERROR(__xludf.DUMMYFUNCTION("GOOGLETRANSLATE(D11,""en"",""zh-CN"")"),"这个游戏以画直线为基础。")</f>
        <v>这个游戏以画直线为基础。</v>
      </c>
      <c r="P11" s="5" t="str">
        <f>IFERROR(__xludf.DUMMYFUNCTION("GOOGLETRANSLATE(E11,""en"",""zh-CN"")"),"这款游戏以领土控制和影响力为基础。")</f>
        <v>这款游戏以领土控制和影响力为基础。</v>
      </c>
      <c r="Q11" s="5" t="str">
        <f>IFERROR(__xludf.DUMMYFUNCTION("GOOGLETRANSLATE(F11,""en"",""zh-CN"")"),"这个游戏的目标是吃掉对方的棋子。")</f>
        <v>这个游戏的目标是吃掉对方的棋子。</v>
      </c>
      <c r="R11" s="5" t="str">
        <f>IFERROR(__xludf.DUMMYFUNCTION("GOOGLETRANSLATE(G11,""en"",""zh-CN"")"),"这款游戏基于特定的模式。")</f>
        <v>这款游戏基于特定的模式。</v>
      </c>
      <c r="S11" s="5" t="s">
        <v>1965</v>
      </c>
      <c r="T11" s="5" t="str">
        <f>IFERROR(__xludf.DUMMYFUNCTION("GOOGLETRANSLATE(H11,""en"",""zh-CN"")"),"这款游戏以领土控制和影响力为基础。")</f>
        <v>这款游戏以领土控制和影响力为基础。</v>
      </c>
      <c r="U11" s="5" t="str">
        <f>IFERROR(__xludf.DUMMYFUNCTION("GOOGLETRANSLATE(I11,""en"",""zh-CN"")"),"石块分散的排列方式暗示着一场争夺领土的战略性战斗，玩家们试图建立封闭区域并影响棋盘。")</f>
        <v>石块分散的排列方式暗示着一场争夺领土的战略性战斗，玩家们试图建立封闭区域并影响棋盘。</v>
      </c>
    </row>
    <row r="12" ht="22.5" customHeight="1">
      <c r="A12" s="3" t="s">
        <v>1966</v>
      </c>
      <c r="B12" s="4">
        <v>11.0</v>
      </c>
      <c r="C12" s="3" t="s">
        <v>1967</v>
      </c>
      <c r="D12" s="3" t="s">
        <v>1968</v>
      </c>
      <c r="E12" s="3" t="s">
        <v>1969</v>
      </c>
      <c r="F12" s="3" t="s">
        <v>1970</v>
      </c>
      <c r="G12" s="3" t="s">
        <v>1971</v>
      </c>
      <c r="H12" s="3" t="s">
        <v>1970</v>
      </c>
      <c r="I12" s="3" t="s">
        <v>1972</v>
      </c>
      <c r="L12" s="3" t="s">
        <v>1966</v>
      </c>
      <c r="M12" s="4">
        <v>11.0</v>
      </c>
      <c r="N12" s="5" t="str">
        <f>IFERROR(__xludf.DUMMYFUNCTION("GOOGLETRANSLATE(C12,""en"",""zh-CN"")"),"这个特写镜头中正在发生什么动作？")</f>
        <v>这个特写镜头中正在发生什么动作？</v>
      </c>
      <c r="O12" s="5" t="str">
        <f>IFERROR(__xludf.DUMMYFUNCTION("GOOGLETRANSLATE(D12,""en"",""zh-CN"")"),"一名玩家正在移动石子。")</f>
        <v>一名玩家正在移动石子。</v>
      </c>
      <c r="P12" s="5" t="str">
        <f>IFERROR(__xludf.DUMMYFUNCTION("GOOGLETRANSLATE(E12,""en"",""zh-CN"")"),"一名玩家即将吃掉一颗棋子。")</f>
        <v>一名玩家即将吃掉一颗棋子。</v>
      </c>
      <c r="Q12" s="5" t="str">
        <f>IFERROR(__xludf.DUMMYFUNCTION("GOOGLETRANSLATE(F12,""en"",""zh-CN"")"),"一名玩家即将把一颗黑棋子放在棋盘上。")</f>
        <v>一名玩家即将把一颗黑棋子放在棋盘上。</v>
      </c>
      <c r="R12" s="5" t="str">
        <f>IFERROR(__xludf.DUMMYFUNCTION("GOOGLETRANSLATE(G12,""en"",""zh-CN"")"),"一名玩家正在移走一颗石子。")</f>
        <v>一名玩家正在移走一颗石子。</v>
      </c>
      <c r="S12" s="5" t="s">
        <v>1973</v>
      </c>
      <c r="T12" s="5" t="str">
        <f>IFERROR(__xludf.DUMMYFUNCTION("GOOGLETRANSLATE(H12,""en"",""zh-CN"")"),"一名玩家即将把一颗黑棋子放在棋盘上。")</f>
        <v>一名玩家即将把一颗黑棋子放在棋盘上。</v>
      </c>
      <c r="U12" s="5" t="str">
        <f>IFERROR(__xludf.DUMMYFUNCTION("GOOGLETRANSLATE(I12,""en"",""zh-CN"")"),"图像显示一只手拿着一块黑色石头，将其放到网格上的一个空十字路口，这是移动的动作。")</f>
        <v>图像显示一只手拿着一块黑色石头，将其放到网格上的一个空十字路口，这是移动的动作。</v>
      </c>
    </row>
    <row r="13" ht="22.5" customHeight="1">
      <c r="A13" s="3" t="s">
        <v>1966</v>
      </c>
      <c r="B13" s="4">
        <v>12.0</v>
      </c>
      <c r="C13" s="3" t="s">
        <v>1974</v>
      </c>
      <c r="D13" s="3" t="s">
        <v>1975</v>
      </c>
      <c r="E13" s="3" t="s">
        <v>1976</v>
      </c>
      <c r="F13" s="3" t="s">
        <v>1977</v>
      </c>
      <c r="G13" s="3" t="s">
        <v>1978</v>
      </c>
      <c r="H13" s="3" t="s">
        <v>1978</v>
      </c>
      <c r="I13" s="3" t="s">
        <v>1979</v>
      </c>
      <c r="L13" s="3" t="s">
        <v>1966</v>
      </c>
      <c r="M13" s="4">
        <v>12.0</v>
      </c>
      <c r="N13" s="5" t="str">
        <f>IFERROR(__xludf.DUMMYFUNCTION("GOOGLETRANSLATE(C13,""en"",""zh-CN"")"),"棋手的手以一种特定的方式握棋。这种技巧叫什么？")</f>
        <v>棋手的手以一种特定的方式握棋。这种技巧叫什么？</v>
      </c>
      <c r="O13" s="5" t="str">
        <f>IFERROR(__xludf.DUMMYFUNCTION("GOOGLETRANSLATE(D13,""en"",""zh-CN"")"),"捏")</f>
        <v>捏</v>
      </c>
      <c r="P13" s="5" t="str">
        <f>IFERROR(__xludf.DUMMYFUNCTION("GOOGLETRANSLATE(E13,""en"",""zh-CN"")"),"抓握")</f>
        <v>抓握</v>
      </c>
      <c r="Q13" s="5" t="str">
        <f>IFERROR(__xludf.DUMMYFUNCTION("GOOGLETRANSLATE(F13,""en"",""zh-CN"")"),"“中国式”")</f>
        <v>“中国式”</v>
      </c>
      <c r="R13" s="5" t="str">
        <f>IFERROR(__xludf.DUMMYFUNCTION("GOOGLETRANSLATE(G13,""en"",""zh-CN"")"),"“日式”风格")</f>
        <v>“日式”风格</v>
      </c>
      <c r="S13" s="5" t="s">
        <v>1980</v>
      </c>
      <c r="T13" s="5" t="str">
        <f>IFERROR(__xludf.DUMMYFUNCTION("GOOGLETRANSLATE(H13,""en"",""zh-CN"")"),"“日式”风格")</f>
        <v>“日式”风格</v>
      </c>
      <c r="U13" s="5" t="str">
        <f>IFERROR(__xludf.DUMMYFUNCTION("GOOGLETRANSLATE(I13,""en"",""zh-CN"")"),"玩家用拇指和中指握住棋子，食指略微抬起，这是一种常见的握棋方式，被称为“日式”握法。")</f>
        <v>玩家用拇指和中指握住棋子，食指略微抬起，这是一种常见的握棋方式，被称为“日式”握法。</v>
      </c>
    </row>
    <row r="14" ht="22.5" customHeight="1">
      <c r="A14" s="3" t="s">
        <v>1966</v>
      </c>
      <c r="B14" s="4">
        <v>13.0</v>
      </c>
      <c r="C14" s="3" t="s">
        <v>1981</v>
      </c>
      <c r="D14" s="3" t="s">
        <v>1982</v>
      </c>
      <c r="E14" s="3" t="s">
        <v>1983</v>
      </c>
      <c r="F14" s="3" t="s">
        <v>1984</v>
      </c>
      <c r="G14" s="3" t="s">
        <v>1985</v>
      </c>
      <c r="H14" s="3" t="s">
        <v>1984</v>
      </c>
      <c r="I14" s="3" t="s">
        <v>1986</v>
      </c>
      <c r="L14" s="3" t="s">
        <v>1966</v>
      </c>
      <c r="M14" s="4">
        <v>13.0</v>
      </c>
      <c r="N14" s="5" t="str">
        <f>IFERROR(__xludf.DUMMYFUNCTION("GOOGLETRANSLATE(C14,""en"",""zh-CN"")"),"围棋棋盘的常用材料是什么？")</f>
        <v>围棋棋盘的常用材料是什么？</v>
      </c>
      <c r="O14" s="5" t="str">
        <f>IFERROR(__xludf.DUMMYFUNCTION("GOOGLETRANSLATE(D14,""en"",""zh-CN"")"),"塑料")</f>
        <v>塑料</v>
      </c>
      <c r="P14" s="5" t="str">
        <f>IFERROR(__xludf.DUMMYFUNCTION("GOOGLETRANSLATE(E14,""en"",""zh-CN"")"),"玻璃")</f>
        <v>玻璃</v>
      </c>
      <c r="Q14" s="5" t="str">
        <f>IFERROR(__xludf.DUMMYFUNCTION("GOOGLETRANSLATE(F14,""en"",""zh-CN"")"),"木头")</f>
        <v>木头</v>
      </c>
      <c r="R14" s="5" t="str">
        <f>IFERROR(__xludf.DUMMYFUNCTION("GOOGLETRANSLATE(G14,""en"",""zh-CN"")"),"金属")</f>
        <v>金属</v>
      </c>
      <c r="S14" s="5" t="s">
        <v>1987</v>
      </c>
      <c r="T14" s="5" t="str">
        <f>IFERROR(__xludf.DUMMYFUNCTION("GOOGLETRANSLATE(H14,""en"",""zh-CN"")"),"木头")</f>
        <v>木头</v>
      </c>
      <c r="U14" s="5" t="str">
        <f>IFERROR(__xludf.DUMMYFUNCTION("GOOGLETRANSLATE(I14,""en"",""zh-CN"")"),"围棋棋盘传统上由一整块木头制成，通常取自日本的卡亚树，这种木材因其优良品质而备受推崇。")</f>
        <v>围棋棋盘传统上由一整块木头制成，通常取自日本的卡亚树，这种木材因其优良品质而备受推崇。</v>
      </c>
    </row>
    <row r="15" ht="22.5" customHeight="1">
      <c r="A15" s="3" t="s">
        <v>1966</v>
      </c>
      <c r="B15" s="4">
        <v>14.0</v>
      </c>
      <c r="C15" s="3" t="s">
        <v>1988</v>
      </c>
      <c r="D15" s="3" t="s">
        <v>1989</v>
      </c>
      <c r="E15" s="3" t="s">
        <v>1990</v>
      </c>
      <c r="F15" s="3" t="s">
        <v>1991</v>
      </c>
      <c r="G15" s="3" t="s">
        <v>1992</v>
      </c>
      <c r="H15" s="3" t="s">
        <v>1991</v>
      </c>
      <c r="I15" s="3" t="s">
        <v>1993</v>
      </c>
      <c r="L15" s="3" t="s">
        <v>1966</v>
      </c>
      <c r="M15" s="4">
        <v>14.0</v>
      </c>
      <c r="N15" s="5" t="str">
        <f>IFERROR(__xludf.DUMMYFUNCTION("GOOGLETRANSLATE(C15,""en"",""zh-CN"")"),"这些石头被放置在网格的交叉点上。这有什么意义呢？")</f>
        <v>这些石头被放置在网格的交叉点上。这有什么意义呢？</v>
      </c>
      <c r="O15" s="5" t="str">
        <f>IFERROR(__xludf.DUMMYFUNCTION("GOOGLETRANSLATE(D15,""en"",""zh-CN"")"),"这是一种审美选择。")</f>
        <v>这是一种审美选择。</v>
      </c>
      <c r="P15" s="5" t="str">
        <f>IFERROR(__xludf.DUMMYFUNCTION("GOOGLETRANSLATE(E15,""en"",""zh-CN"")"),"这是将围棋与其他游戏区分开来的一种方式。")</f>
        <v>这是将围棋与其他游戏区分开来的一种方式。</v>
      </c>
      <c r="Q15" s="5" t="str">
        <f>IFERROR(__xludf.DUMMYFUNCTION("GOOGLETRANSLATE(F15,""en"",""zh-CN"")"),"它允许进行更复杂的战略博弈。")</f>
        <v>它允许进行更复杂的战略博弈。</v>
      </c>
      <c r="R15" s="5" t="str">
        <f>IFERROR(__xludf.DUMMYFUNCTION("GOOGLETRANSLATE(G15,""en"",""zh-CN"")"),"这是一项历史悠久的传统。")</f>
        <v>这是一项历史悠久的传统。</v>
      </c>
      <c r="S15" s="5" t="s">
        <v>1994</v>
      </c>
      <c r="T15" s="5" t="str">
        <f>IFERROR(__xludf.DUMMYFUNCTION("GOOGLETRANSLATE(H15,""en"",""zh-CN"")"),"它允许进行更复杂的战略博弈。")</f>
        <v>它允许进行更复杂的战略博弈。</v>
      </c>
      <c r="U15" s="5" t="str">
        <f>IFERROR(__xludf.DUMMYFUNCTION("GOOGLETRANSLATE(I15,""en"",""zh-CN"")"),"将石子放置在十字路口而不是方格上，可以使每个点都有一组独特的连接，从而实现更复杂精细的战略布局。")</f>
        <v>将石子放置在十字路口而不是方格上，可以使每个点都有一组独特的连接，从而实现更复杂精细的战略布局。</v>
      </c>
    </row>
    <row r="16" ht="22.5" customHeight="1">
      <c r="A16" s="3" t="s">
        <v>1966</v>
      </c>
      <c r="B16" s="4">
        <v>15.0</v>
      </c>
      <c r="C16" s="3" t="s">
        <v>1744</v>
      </c>
      <c r="D16" s="3" t="s">
        <v>1995</v>
      </c>
      <c r="E16" s="3" t="s">
        <v>1996</v>
      </c>
      <c r="F16" s="3" t="s">
        <v>1997</v>
      </c>
      <c r="G16" s="3" t="s">
        <v>1998</v>
      </c>
      <c r="H16" s="3" t="s">
        <v>1996</v>
      </c>
      <c r="I16" s="3" t="s">
        <v>1999</v>
      </c>
      <c r="L16" s="3" t="s">
        <v>1966</v>
      </c>
      <c r="M16" s="4">
        <v>15.0</v>
      </c>
      <c r="N16" s="5" t="str">
        <f>IFERROR(__xludf.DUMMYFUNCTION("GOOGLETRANSLATE(C16,""en"",""zh-CN"")"),"这张图片传达了怎样的整体氛围？")</f>
        <v>这张图片传达了怎样的整体氛围？</v>
      </c>
      <c r="O16" s="5" t="str">
        <f>IFERROR(__xludf.DUMMYFUNCTION("GOOGLETRANSLATE(D16,""en"",""zh-CN"")"),"一款轻松有趣的休闲游戏。")</f>
        <v>一款轻松有趣的休闲游戏。</v>
      </c>
      <c r="P16" s="5" t="str">
        <f>IFERROR(__xludf.DUMMYFUNCTION("GOOGLETRANSLATE(E16,""en"",""zh-CN"")"),"一场激烈而专注的比赛。")</f>
        <v>一场激烈而专注的比赛。</v>
      </c>
      <c r="Q16" s="5" t="str">
        <f>IFERROR(__xludf.DUMMYFUNCTION("GOOGLETRANSLATE(F16,""en"",""zh-CN"")"),"一款节奏快、能量高的游戏。")</f>
        <v>一款节奏快、能量高的游戏。</v>
      </c>
      <c r="R16" s="5" t="str">
        <f>IFERROR(__xludf.DUMMYFUNCTION("GOOGLETRANSLATE(G16,""en"",""zh-CN"")"),"一款简单轻松的游戏。")</f>
        <v>一款简单轻松的游戏。</v>
      </c>
      <c r="S16" s="5" t="s">
        <v>2000</v>
      </c>
      <c r="T16" s="5" t="str">
        <f>IFERROR(__xludf.DUMMYFUNCTION("GOOGLETRANSLATE(H16,""en"",""zh-CN"")"),"一场激烈而专注的比赛。")</f>
        <v>一场激烈而专注的比赛。</v>
      </c>
      <c r="U16" s="5" t="str">
        <f>IFERROR(__xludf.DUMMYFUNCTION("GOOGLETRANSLATE(I16,""en"",""zh-CN"")"),"手的特写镜头和棋子的精心放置，以及棋盘上散落的棋子，都表明这是一款需要高度集中注意力和战略思维的游戏。")</f>
        <v>手的特写镜头和棋子的精心放置，以及棋盘上散落的棋子，都表明这是一款需要高度集中注意力和战略思维的游戏。</v>
      </c>
    </row>
    <row r="17" ht="22.5" customHeight="1">
      <c r="A17" s="3" t="s">
        <v>2001</v>
      </c>
      <c r="B17" s="4">
        <v>16.0</v>
      </c>
      <c r="C17" s="3" t="s">
        <v>1546</v>
      </c>
      <c r="D17" s="3" t="s">
        <v>2002</v>
      </c>
      <c r="E17" s="3" t="s">
        <v>2003</v>
      </c>
      <c r="F17" s="3" t="s">
        <v>2004</v>
      </c>
      <c r="G17" s="3" t="s">
        <v>2005</v>
      </c>
      <c r="H17" s="3" t="s">
        <v>2003</v>
      </c>
      <c r="I17" s="3" t="s">
        <v>2006</v>
      </c>
      <c r="L17" s="3" t="s">
        <v>2001</v>
      </c>
      <c r="M17" s="4">
        <v>16.0</v>
      </c>
      <c r="N17" s="5" t="str">
        <f>IFERROR(__xludf.DUMMYFUNCTION("GOOGLETRANSLATE(C17,""en"",""zh-CN"")"),"图中所示的主要动作是什么？")</f>
        <v>图中所示的主要动作是什么？</v>
      </c>
      <c r="O17" s="5" t="str">
        <f>IFERROR(__xludf.DUMMYFUNCTION("GOOGLETRANSLATE(D17,""en"",""zh-CN"")"),"一名玩家正在吃掉一颗棋子。")</f>
        <v>一名玩家正在吃掉一颗棋子。</v>
      </c>
      <c r="P17" s="5" t="str">
        <f>IFERROR(__xludf.DUMMYFUNCTION("GOOGLETRANSLATE(E17,""en"",""zh-CN"")"),"一名玩家正在放置一枚白色棋子。")</f>
        <v>一名玩家正在放置一枚白色棋子。</v>
      </c>
      <c r="Q17" s="5" t="str">
        <f>IFERROR(__xludf.DUMMYFUNCTION("GOOGLETRANSLATE(F17,""en"",""zh-CN"")"),"一名玩家正在从棋盘上移除一颗棋子。")</f>
        <v>一名玩家正在从棋盘上移除一颗棋子。</v>
      </c>
      <c r="R17" s="5" t="str">
        <f>IFERROR(__xludf.DUMMYFUNCTION("GOOGLETRANSLATE(G17,""en"",""zh-CN"")"),"一名玩家正在棋盘上移动棋子。")</f>
        <v>一名玩家正在棋盘上移动棋子。</v>
      </c>
      <c r="S17" s="5" t="s">
        <v>2007</v>
      </c>
      <c r="T17" s="5" t="str">
        <f>IFERROR(__xludf.DUMMYFUNCTION("GOOGLETRANSLATE(H17,""en"",""zh-CN"")"),"一名玩家正在放置一枚白色棋子。")</f>
        <v>一名玩家正在放置一枚白色棋子。</v>
      </c>
      <c r="U17" s="5" t="str">
        <f>IFERROR(__xludf.DUMMYFUNCTION("GOOGLETRANSLATE(I17,""en"",""zh-CN"")"),"这张图片捕捉到了玩家即将把白棋放在棋盘十字路口的那一刻，这是游戏中的标准走法。")</f>
        <v>这张图片捕捉到了玩家即将把白棋放在棋盘十字路口的那一刻，这是游戏中的标准走法。</v>
      </c>
    </row>
    <row r="18" ht="22.5" customHeight="1">
      <c r="A18" s="3" t="s">
        <v>2001</v>
      </c>
      <c r="B18" s="4">
        <v>17.0</v>
      </c>
      <c r="C18" s="3" t="s">
        <v>2008</v>
      </c>
      <c r="D18" s="3" t="s">
        <v>2009</v>
      </c>
      <c r="E18" s="3" t="s">
        <v>2010</v>
      </c>
      <c r="F18" s="3" t="s">
        <v>2011</v>
      </c>
      <c r="G18" s="3" t="s">
        <v>2012</v>
      </c>
      <c r="H18" s="3" t="s">
        <v>2010</v>
      </c>
      <c r="I18" s="3" t="s">
        <v>2013</v>
      </c>
      <c r="L18" s="3" t="s">
        <v>2001</v>
      </c>
      <c r="M18" s="4">
        <v>17.0</v>
      </c>
      <c r="N18" s="5" t="str">
        <f>IFERROR(__xludf.DUMMYFUNCTION("GOOGLETRANSLATE(C18,""en"",""zh-CN"")"),"为什么有些石头会成群排列？")</f>
        <v>为什么有些石头会成群排列？</v>
      </c>
      <c r="O18" s="5" t="str">
        <f>IFERROR(__xludf.DUMMYFUNCTION("GOOGLETRANSLATE(D18,""en"",""zh-CN"")"),"阻挡对手。")</f>
        <v>阻挡对手。</v>
      </c>
      <c r="P18" s="5" t="str">
        <f>IFERROR(__xludf.DUMMYFUNCTION("GOOGLETRANSLATE(E18,""en"",""zh-CN"")"),"划分领地，创造生存的“眼睛”。")</f>
        <v>划分领地，创造生存的“眼睛”。</v>
      </c>
      <c r="Q18" s="5" t="str">
        <f>IFERROR(__xludf.DUMMYFUNCTION("GOOGLETRANSLATE(F18,""en"",""zh-CN"")"),"创造美丽的图案。")</f>
        <v>创造美丽的图案。</v>
      </c>
      <c r="R18" s="5" t="str">
        <f>IFERROR(__xludf.DUMMYFUNCTION("GOOGLETRANSLATE(G18,""en"",""zh-CN"")"),"迷惑对手。")</f>
        <v>迷惑对手。</v>
      </c>
      <c r="S18" s="5" t="s">
        <v>2014</v>
      </c>
      <c r="T18" s="5" t="str">
        <f>IFERROR(__xludf.DUMMYFUNCTION("GOOGLETRANSLATE(H18,""en"",""zh-CN"")"),"划分领地，创造生存的“眼睛”。")</f>
        <v>划分领地，创造生存的“眼睛”。</v>
      </c>
      <c r="U18" s="5" t="str">
        <f>IFERROR(__xludf.DUMMYFUNCTION("GOOGLETRANSLATE(I18,""en"",""zh-CN"")"),"围棋策略包括创建相互连接的棋子组，形成影响区域（领地），并创建两个或多个“眼睛”，使该组棋子不会被占领。")</f>
        <v>围棋策略包括创建相互连接的棋子组，形成影响区域（领地），并创建两个或多个“眼睛”，使该组棋子不会被占领。</v>
      </c>
    </row>
    <row r="19" ht="22.5" customHeight="1">
      <c r="A19" s="3" t="s">
        <v>2001</v>
      </c>
      <c r="B19" s="4">
        <v>18.0</v>
      </c>
      <c r="C19" s="3" t="s">
        <v>2015</v>
      </c>
      <c r="D19" s="3" t="s">
        <v>2016</v>
      </c>
      <c r="E19" s="3" t="s">
        <v>2017</v>
      </c>
      <c r="F19" s="3" t="s">
        <v>2018</v>
      </c>
      <c r="G19" s="3" t="s">
        <v>2019</v>
      </c>
      <c r="H19" s="3" t="s">
        <v>2019</v>
      </c>
      <c r="I19" s="3" t="s">
        <v>2020</v>
      </c>
      <c r="L19" s="3" t="s">
        <v>2001</v>
      </c>
      <c r="M19" s="4">
        <v>18.0</v>
      </c>
      <c r="N19" s="5" t="str">
        <f>IFERROR(__xludf.DUMMYFUNCTION("GOOGLETRANSLATE(C19,""en"",""zh-CN"")"),"白色背景的主要用途是什么？")</f>
        <v>白色背景的主要用途是什么？</v>
      </c>
      <c r="O19" s="5" t="str">
        <f>IFERROR(__xludf.DUMMYFUNCTION("GOOGLETRANSLATE(D19,""en"",""zh-CN"")"),"分散观众注意力。")</f>
        <v>分散观众注意力。</v>
      </c>
      <c r="P19" s="5" t="str">
        <f>IFERROR(__xludf.DUMMYFUNCTION("GOOGLETRANSLATE(E19,""en"",""zh-CN"")"),"营造平静的氛围。")</f>
        <v>营造平静的氛围。</v>
      </c>
      <c r="Q19" s="5" t="str">
        <f>IFERROR(__xludf.DUMMYFUNCTION("GOOGLETRANSLATE(F19,""en"",""zh-CN"")"),"为了让黑色石头更加突出。")</f>
        <v>为了让黑色石头更加突出。</v>
      </c>
      <c r="R19" s="5" t="str">
        <f>IFERROR(__xludf.DUMMYFUNCTION("GOOGLETRANSLATE(G19,""en"",""zh-CN"")"),"为游戏提供简洁、清晰的视觉焦点。")</f>
        <v>为游戏提供简洁、清晰的视觉焦点。</v>
      </c>
      <c r="S19" s="5" t="s">
        <v>2021</v>
      </c>
      <c r="T19" s="5" t="str">
        <f>IFERROR(__xludf.DUMMYFUNCTION("GOOGLETRANSLATE(H19,""en"",""zh-CN"")"),"为游戏提供简洁、清晰的视觉焦点。")</f>
        <v>为游戏提供简洁、清晰的视觉焦点。</v>
      </c>
      <c r="U19" s="5" t="str">
        <f>IFERROR(__xludf.DUMMYFUNCTION("GOOGLETRANSLATE(I19,""en"",""zh-CN"")"),"纯白的背景消除了干扰，使观众能够完全专注于正在进行的游戏，包括手牌、棋盘和棋子。")</f>
        <v>纯白的背景消除了干扰，使观众能够完全专注于正在进行的游戏，包括手牌、棋盘和棋子。</v>
      </c>
    </row>
    <row r="20" ht="22.5" customHeight="1">
      <c r="A20" s="3" t="s">
        <v>2001</v>
      </c>
      <c r="B20" s="4">
        <v>19.0</v>
      </c>
      <c r="C20" s="3" t="s">
        <v>2022</v>
      </c>
      <c r="D20" s="3" t="s">
        <v>2023</v>
      </c>
      <c r="E20" s="3" t="s">
        <v>2024</v>
      </c>
      <c r="F20" s="3" t="s">
        <v>2025</v>
      </c>
      <c r="G20" s="3" t="s">
        <v>2026</v>
      </c>
      <c r="H20" s="3" t="s">
        <v>2025</v>
      </c>
      <c r="I20" s="3" t="s">
        <v>2027</v>
      </c>
      <c r="L20" s="3" t="s">
        <v>2001</v>
      </c>
      <c r="M20" s="4">
        <v>19.0</v>
      </c>
      <c r="N20" s="5" t="str">
        <f>IFERROR(__xludf.DUMMYFUNCTION("GOOGLETRANSLATE(C20,""en"",""zh-CN"")"),"黑棋所代表的对手策略是什么？")</f>
        <v>黑棋所代表的对手策略是什么？</v>
      </c>
      <c r="O20" s="5" t="str">
        <f>IFERROR(__xludf.DUMMYFUNCTION("GOOGLETRANSLATE(D20,""en"",""zh-CN"")"),"围绕一块白色石头。")</f>
        <v>围绕一块白色石头。</v>
      </c>
      <c r="P20" s="5" t="str">
        <f>IFERROR(__xludf.DUMMYFUNCTION("GOOGLETRANSLATE(E20,""en"",""zh-CN"")"),"形成一个覆盖整个市场的庞大链条。")</f>
        <v>形成一个覆盖整个市场的庞大链条。</v>
      </c>
      <c r="Q20" s="5" t="str">
        <f>IFERROR(__xludf.DUMMYFUNCTION("GOOGLETRANSLATE(F20,""en"",""zh-CN"")"),"包围棋盘上更大的区域。")</f>
        <v>包围棋盘上更大的区域。</v>
      </c>
      <c r="R20" s="5" t="str">
        <f>IFERROR(__xludf.DUMMYFUNCTION("GOOGLETRANSLATE(G20,""en"",""zh-CN"")"),"构筑防御墙。")</f>
        <v>构筑防御墙。</v>
      </c>
      <c r="S20" s="5" t="s">
        <v>2028</v>
      </c>
      <c r="T20" s="5" t="str">
        <f>IFERROR(__xludf.DUMMYFUNCTION("GOOGLETRANSLATE(H20,""en"",""zh-CN"")"),"包围棋盘上更大的区域。")</f>
        <v>包围棋盘上更大的区域。</v>
      </c>
      <c r="U20" s="5" t="str">
        <f>IFERROR(__xludf.DUMMYFUNCTION("GOOGLETRANSLATE(I20,""en"",""zh-CN"")"),"黑色棋子经过精心摆放，形成庞大而有影响力的集团，旨在包围并占领棋盘上的重要区域。")</f>
        <v>黑色棋子经过精心摆放，形成庞大而有影响力的集团，旨在包围并占领棋盘上的重要区域。</v>
      </c>
    </row>
    <row r="21" ht="22.5" customHeight="1">
      <c r="A21" s="3" t="s">
        <v>2001</v>
      </c>
      <c r="B21" s="4">
        <v>20.0</v>
      </c>
      <c r="C21" s="3" t="s">
        <v>2029</v>
      </c>
      <c r="D21" s="3" t="s">
        <v>2030</v>
      </c>
      <c r="E21" s="3" t="s">
        <v>2031</v>
      </c>
      <c r="F21" s="3" t="s">
        <v>2032</v>
      </c>
      <c r="G21" s="3" t="s">
        <v>2033</v>
      </c>
      <c r="H21" s="3" t="s">
        <v>2031</v>
      </c>
      <c r="I21" s="3" t="s">
        <v>2034</v>
      </c>
      <c r="L21" s="3" t="s">
        <v>2001</v>
      </c>
      <c r="M21" s="4">
        <v>20.0</v>
      </c>
      <c r="N21" s="5" t="str">
        <f>IFERROR(__xludf.DUMMYFUNCTION("GOOGLETRANSLATE(C21,""en"",""zh-CN"")"),"这款游戏基于哪种战略理念？")</f>
        <v>这款游戏基于哪种战略理念？</v>
      </c>
      <c r="O21" s="5" t="str">
        <f>IFERROR(__xludf.DUMMYFUNCTION("GOOGLETRANSLATE(D21,""en"",""zh-CN"")"),"侵略性和直接对抗。")</f>
        <v>侵略性和直接对抗。</v>
      </c>
      <c r="P21" s="5" t="str">
        <f>IFERROR(__xludf.DUMMYFUNCTION("GOOGLETRANSLATE(E21,""en"",""zh-CN"")"),"逐步包围和领土扩张。")</f>
        <v>逐步包围和领土扩张。</v>
      </c>
      <c r="Q21" s="5" t="str">
        <f>IFERROR(__xludf.DUMMYFUNCTION("GOOGLETRANSLATE(F21,""en"",""zh-CN"")"),"快速攻击和迅捷的移动。")</f>
        <v>快速攻击和迅捷的移动。</v>
      </c>
      <c r="R21" s="5" t="str">
        <f>IFERROR(__xludf.DUMMYFUNCTION("GOOGLETRANSLATE(G21,""en"",""zh-CN"")"),"一系列预先计划好的行动。")</f>
        <v>一系列预先计划好的行动。</v>
      </c>
      <c r="S21" s="5" t="s">
        <v>2035</v>
      </c>
      <c r="T21" s="5" t="str">
        <f>IFERROR(__xludf.DUMMYFUNCTION("GOOGLETRANSLATE(H21,""en"",""zh-CN"")"),"逐步包围和领土扩张。")</f>
        <v>逐步包围和领土扩张。</v>
      </c>
      <c r="U21" s="5" t="str">
        <f>IFERROR(__xludf.DUMMYFUNCTION("GOOGLETRANSLATE(I21,""en"",""zh-CN"")"),"围棋是一种逐步包围和领土扩张的游戏，玩家通过缓慢而谨慎地扩张影响力来占领领土。")</f>
        <v>围棋是一种逐步包围和领土扩张的游戏，玩家通过缓慢而谨慎地扩张影响力来占领领土。</v>
      </c>
    </row>
    <row r="22" ht="22.5" customHeight="1">
      <c r="A22" s="3" t="s">
        <v>2036</v>
      </c>
      <c r="B22" s="4">
        <v>21.0</v>
      </c>
      <c r="C22" s="3" t="s">
        <v>2037</v>
      </c>
      <c r="D22" s="3" t="s">
        <v>2038</v>
      </c>
      <c r="E22" s="3" t="s">
        <v>2039</v>
      </c>
      <c r="F22" s="3" t="s">
        <v>2040</v>
      </c>
      <c r="G22" s="3" t="s">
        <v>2041</v>
      </c>
      <c r="H22" s="3" t="s">
        <v>2038</v>
      </c>
      <c r="I22" s="3" t="s">
        <v>2042</v>
      </c>
      <c r="L22" s="3" t="s">
        <v>2036</v>
      </c>
      <c r="M22" s="4">
        <v>21.0</v>
      </c>
      <c r="N22" s="5" t="str">
        <f>IFERROR(__xludf.DUMMYFUNCTION("GOOGLETRANSLATE(C22,""en"",""zh-CN"")"),"这幅古代绘画描绘的主要活动是什么？")</f>
        <v>这幅古代绘画描绘的主要活动是什么？</v>
      </c>
      <c r="O22" s="5" t="str">
        <f>IFERROR(__xludf.DUMMYFUNCTION("GOOGLETRANSLATE(D22,""en"",""zh-CN"")"),"一群女性正在玩棋盘游戏。")</f>
        <v>一群女性正在玩棋盘游戏。</v>
      </c>
      <c r="P22" s="5" t="str">
        <f>IFERROR(__xludf.DUMMYFUNCTION("GOOGLETRANSLATE(E22,""en"",""zh-CN"")"),"一次皇家宫廷会议。")</f>
        <v>一次皇家宫廷会议。</v>
      </c>
      <c r="Q22" s="5" t="str">
        <f>IFERROR(__xludf.DUMMYFUNCTION("GOOGLETRANSLATE(F22,""en"",""zh-CN"")"),"一群妇女在喝茶。")</f>
        <v>一群妇女在喝茶。</v>
      </c>
      <c r="R22" s="5" t="str">
        <f>IFERROR(__xludf.DUMMYFUNCTION("GOOGLETRANSLATE(G22,""en"",""zh-CN"")"),"家庭聚会。")</f>
        <v>家庭聚会。</v>
      </c>
      <c r="S22" s="5" t="s">
        <v>2043</v>
      </c>
      <c r="T22" s="5" t="str">
        <f>IFERROR(__xludf.DUMMYFUNCTION("GOOGLETRANSLATE(H22,""en"",""zh-CN"")"),"一群女性正在玩棋盘游戏。")</f>
        <v>一群女性正在玩棋盘游戏。</v>
      </c>
      <c r="U22" s="5" t="str">
        <f>IFERROR(__xludf.DUMMYFUNCTION("GOOGLETRANSLATE(I22,""en"",""zh-CN"")"),"这幅画描绘了两个女人坐在矮桌旁玩棋盘游戏，而其他女人则在一旁观看，表明她们正在玩游戏。")</f>
        <v>这幅画描绘了两个女人坐在矮桌旁玩棋盘游戏，而其他女人则在一旁观看，表明她们正在玩游戏。</v>
      </c>
    </row>
    <row r="23" ht="22.5" customHeight="1">
      <c r="A23" s="3" t="s">
        <v>2036</v>
      </c>
      <c r="B23" s="4">
        <v>22.0</v>
      </c>
      <c r="C23" s="3" t="s">
        <v>2044</v>
      </c>
      <c r="D23" s="3" t="s">
        <v>2045</v>
      </c>
      <c r="E23" s="3" t="s">
        <v>2046</v>
      </c>
      <c r="F23" s="3" t="s">
        <v>2047</v>
      </c>
      <c r="G23" s="3" t="s">
        <v>2048</v>
      </c>
      <c r="H23" s="3" t="s">
        <v>2047</v>
      </c>
      <c r="I23" s="3" t="s">
        <v>2049</v>
      </c>
      <c r="L23" s="3" t="s">
        <v>2036</v>
      </c>
      <c r="M23" s="4">
        <v>22.0</v>
      </c>
      <c r="N23" s="5" t="str">
        <f>IFERROR(__xludf.DUMMYFUNCTION("GOOGLETRANSLATE(C23,""en"",""zh-CN"")"),"他们玩的是什么游戏？")</f>
        <v>他们玩的是什么游戏？</v>
      </c>
      <c r="O23" s="5" t="str">
        <f>IFERROR(__xludf.DUMMYFUNCTION("GOOGLETRANSLATE(D23,""en"",""zh-CN"")"),"跳棋。")</f>
        <v>跳棋。</v>
      </c>
      <c r="P23" s="5" t="str">
        <f>IFERROR(__xludf.DUMMYFUNCTION("GOOGLETRANSLATE(E23,""en"",""zh-CN"")"),"麻将。")</f>
        <v>麻将。</v>
      </c>
      <c r="Q23" s="5" t="str">
        <f>IFERROR(__xludf.DUMMYFUNCTION("GOOGLETRANSLATE(F23,""en"",""zh-CN"")"),"围棋。")</f>
        <v>围棋。</v>
      </c>
      <c r="R23" s="5" t="str">
        <f>IFERROR(__xludf.DUMMYFUNCTION("GOOGLETRANSLATE(G23,""en"",""zh-CN"")"),"象棋（中国象棋）。")</f>
        <v>象棋（中国象棋）。</v>
      </c>
      <c r="S23" s="5" t="s">
        <v>2050</v>
      </c>
      <c r="T23" s="5" t="str">
        <f>IFERROR(__xludf.DUMMYFUNCTION("GOOGLETRANSLATE(H23,""en"",""zh-CN"")"),"围棋。")</f>
        <v>围棋。</v>
      </c>
      <c r="U23" s="5" t="str">
        <f>IFERROR(__xludf.DUMMYFUNCTION("GOOGLETRANSLATE(I23,""en"",""zh-CN"")"),"棋盘和棋盘上的黑白棋子显然是围棋游戏。")</f>
        <v>棋盘和棋盘上的黑白棋子显然是围棋游戏。</v>
      </c>
    </row>
    <row r="24" ht="22.5" customHeight="1">
      <c r="A24" s="3" t="s">
        <v>2036</v>
      </c>
      <c r="B24" s="4">
        <v>23.0</v>
      </c>
      <c r="C24" s="3" t="s">
        <v>2051</v>
      </c>
      <c r="D24" s="3" t="s">
        <v>2052</v>
      </c>
      <c r="E24" s="3" t="s">
        <v>879</v>
      </c>
      <c r="F24" s="3" t="s">
        <v>2053</v>
      </c>
      <c r="G24" s="3" t="s">
        <v>2054</v>
      </c>
      <c r="H24" s="3" t="s">
        <v>2053</v>
      </c>
      <c r="I24" s="3" t="s">
        <v>2055</v>
      </c>
      <c r="L24" s="3" t="s">
        <v>2036</v>
      </c>
      <c r="M24" s="4">
        <v>23.0</v>
      </c>
      <c r="N24" s="5" t="str">
        <f>IFERROR(__xludf.DUMMYFUNCTION("GOOGLETRANSLATE(C24,""en"",""zh-CN"")"),"从女性的穿着和所处环境可以看出她们的社会地位如何？")</f>
        <v>从女性的穿着和所处环境可以看出她们的社会地位如何？</v>
      </c>
      <c r="O24" s="5" t="str">
        <f>IFERROR(__xludf.DUMMYFUNCTION("GOOGLETRANSLATE(D24,""en"",""zh-CN"")"),"他们是平民百姓。")</f>
        <v>他们是平民百姓。</v>
      </c>
      <c r="P24" s="5" t="str">
        <f>IFERROR(__xludf.DUMMYFUNCTION("GOOGLETRANSLATE(E24,""en"",""zh-CN"")"),"他们的社会地位很低。")</f>
        <v>他们的社会地位很低。</v>
      </c>
      <c r="Q24" s="5" t="str">
        <f>IFERROR(__xludf.DUMMYFUNCTION("GOOGLETRANSLATE(F24,""en"",""zh-CN"")"),"他们家境富裕，社会地位显赫。")</f>
        <v>他们家境富裕，社会地位显赫。</v>
      </c>
      <c r="R24" s="5" t="str">
        <f>IFERROR(__xludf.DUMMYFUNCTION("GOOGLETRANSLATE(G24,""en"",""zh-CN"")"),"他们是仆人。")</f>
        <v>他们是仆人。</v>
      </c>
      <c r="S24" s="5" t="s">
        <v>2056</v>
      </c>
      <c r="T24" s="5" t="str">
        <f>IFERROR(__xludf.DUMMYFUNCTION("GOOGLETRANSLATE(H24,""en"",""zh-CN"")"),"他们家境富裕，社会地位显赫。")</f>
        <v>他们家境富裕，社会地位显赫。</v>
      </c>
      <c r="U24" s="5" t="str">
        <f>IFERROR(__xludf.DUMMYFUNCTION("GOOGLETRANSLATE(I24,""en"",""zh-CN"")"),"这些女性身着华丽的长袍，所处环境是一座装饰精美的建筑物，这表明她们富有且社会地位很高，可能是在皇家宫廷中。")</f>
        <v>这些女性身着华丽的长袍，所处环境是一座装饰精美的建筑物，这表明她们富有且社会地位很高，可能是在皇家宫廷中。</v>
      </c>
    </row>
    <row r="25" ht="22.5" customHeight="1">
      <c r="A25" s="3" t="s">
        <v>2036</v>
      </c>
      <c r="B25" s="4">
        <v>24.0</v>
      </c>
      <c r="C25" s="3" t="s">
        <v>2057</v>
      </c>
      <c r="D25" s="3" t="s">
        <v>2058</v>
      </c>
      <c r="E25" s="3" t="s">
        <v>2059</v>
      </c>
      <c r="F25" s="3" t="s">
        <v>2060</v>
      </c>
      <c r="G25" s="3" t="s">
        <v>2061</v>
      </c>
      <c r="H25" s="3" t="s">
        <v>2059</v>
      </c>
      <c r="I25" s="3" t="s">
        <v>2062</v>
      </c>
      <c r="L25" s="3" t="s">
        <v>2036</v>
      </c>
      <c r="M25" s="4">
        <v>24.0</v>
      </c>
      <c r="N25" s="5" t="str">
        <f>IFERROR(__xludf.DUMMYFUNCTION("GOOGLETRANSLATE(C25,""en"",""zh-CN"")"),"围棋出现在这幅画中，这暗示了围棋的历史意义是什么？")</f>
        <v>围棋出现在这幅画中，这暗示了围棋的历史意义是什么？</v>
      </c>
      <c r="O25" s="5" t="str">
        <f>IFERROR(__xludf.DUMMYFUNCTION("GOOGLETRANSLATE(D25,""en"",""zh-CN"")"),"这是一款面向下层阶级的游戏。")</f>
        <v>这是一款面向下层阶级的游戏。</v>
      </c>
      <c r="P25" s="5" t="str">
        <f>IFERROR(__xludf.DUMMYFUNCTION("GOOGLETRANSLATE(E25,""en"",""zh-CN"")"),"这曾是中国上流社会流行的一种消遣方式。")</f>
        <v>这曾是中国上流社会流行的一种消遣方式。</v>
      </c>
      <c r="Q25" s="5" t="str">
        <f>IFERROR(__xludf.DUMMYFUNCTION("GOOGLETRANSLATE(F25,""en"",""zh-CN"")"),"它曾被用于军事战略。")</f>
        <v>它曾被用于军事战略。</v>
      </c>
      <c r="R25" s="5" t="str">
        <f>IFERROR(__xludf.DUMMYFUNCTION("GOOGLETRANSLATE(G25,""en"",""zh-CN"")"),"它只由男性演奏。")</f>
        <v>它只由男性演奏。</v>
      </c>
      <c r="S25" s="5" t="s">
        <v>2063</v>
      </c>
      <c r="T25" s="5" t="str">
        <f>IFERROR(__xludf.DUMMYFUNCTION("GOOGLETRANSLATE(H25,""en"",""zh-CN"")"),"这曾是中国上流社会流行的一种消遣方式。")</f>
        <v>这曾是中国上流社会流行的一种消遣方式。</v>
      </c>
      <c r="U25" s="5" t="str">
        <f>IFERROR(__xludf.DUMMYFUNCTION("GOOGLETRANSLATE(I25,""en"",""zh-CN"")"),"这幅画描绘了女性在奢华的环境中下围棋的场景，表明围棋在当时是上流社会男女都非常推崇和流行的智力消遣。")</f>
        <v>这幅画描绘了女性在奢华的环境中下围棋的场景，表明围棋在当时是上流社会男女都非常推崇和流行的智力消遣。</v>
      </c>
    </row>
    <row r="26" ht="22.5" customHeight="1">
      <c r="A26" s="3" t="s">
        <v>2036</v>
      </c>
      <c r="B26" s="4">
        <v>25.0</v>
      </c>
      <c r="C26" s="3" t="s">
        <v>2064</v>
      </c>
      <c r="D26" s="3" t="s">
        <v>2065</v>
      </c>
      <c r="E26" s="3" t="s">
        <v>2066</v>
      </c>
      <c r="F26" s="3" t="s">
        <v>2067</v>
      </c>
      <c r="G26" s="3" t="s">
        <v>2068</v>
      </c>
      <c r="H26" s="3" t="s">
        <v>2066</v>
      </c>
      <c r="I26" s="3" t="s">
        <v>2069</v>
      </c>
      <c r="L26" s="3" t="s">
        <v>2036</v>
      </c>
      <c r="M26" s="4">
        <v>25.0</v>
      </c>
      <c r="N26" s="5" t="str">
        <f>IFERROR(__xludf.DUMMYFUNCTION("GOOGLETRANSLATE(C26,""en"",""zh-CN"")"),"场景整体传达的氛围如何？")</f>
        <v>场景整体传达的氛围如何？</v>
      </c>
      <c r="O26" s="5" t="str">
        <f>IFERROR(__xludf.DUMMYFUNCTION("GOOGLETRANSLATE(D26,""en"",""zh-CN"")"),"气氛紧张，竞争激烈。")</f>
        <v>气氛紧张，竞争激烈。</v>
      </c>
      <c r="P26" s="5" t="str">
        <f>IFERROR(__xludf.DUMMYFUNCTION("GOOGLETRANSLATE(E26,""en"",""zh-CN"")"),"一个休闲、充满智慧和社交乐趣的地方。")</f>
        <v>一个休闲、充满智慧和社交乐趣的地方。</v>
      </c>
      <c r="Q26" s="5" t="str">
        <f>IFERROR(__xludf.DUMMYFUNCTION("GOOGLETRANSLATE(F26,""en"",""zh-CN"")"),"节奏快、充满活力。")</f>
        <v>节奏快、充满活力。</v>
      </c>
      <c r="R26" s="5" t="str">
        <f>IFERROR(__xludf.DUMMYFUNCTION("GOOGLETRANSLATE(G26,""en"",""zh-CN"")"),"一个安静、独居的人。")</f>
        <v>一个安静、独居的人。</v>
      </c>
      <c r="S26" s="5" t="s">
        <v>2070</v>
      </c>
      <c r="T26" s="5" t="str">
        <f>IFERROR(__xludf.DUMMYFUNCTION("GOOGLETRANSLATE(H26,""en"",""zh-CN"")"),"一个休闲、充满智慧和社交乐趣的地方。")</f>
        <v>一个休闲、充满智慧和社交乐趣的地方。</v>
      </c>
      <c r="U26" s="5" t="str">
        <f>IFERROR(__xludf.DUMMYFUNCTION("GOOGLETRANSLATE(I26,""en"",""zh-CN"")"),"女人们围坐在棋盘旁，气氛轻松愉快，有的在观看，有的在交谈，这表明游戏是一种休闲的社交活动。")</f>
        <v>女人们围坐在棋盘旁，气氛轻松愉快，有的在观看，有的在交谈，这表明游戏是一种休闲的社交活动。</v>
      </c>
    </row>
    <row r="27" ht="22.5" customHeight="1">
      <c r="A27" s="3" t="s">
        <v>2071</v>
      </c>
      <c r="B27" s="4">
        <v>26.0</v>
      </c>
      <c r="C27" s="3" t="s">
        <v>2072</v>
      </c>
      <c r="D27" s="3" t="s">
        <v>2073</v>
      </c>
      <c r="E27" s="3" t="s">
        <v>2074</v>
      </c>
      <c r="F27" s="3" t="s">
        <v>2075</v>
      </c>
      <c r="G27" s="3" t="s">
        <v>2076</v>
      </c>
      <c r="H27" s="3" t="s">
        <v>2073</v>
      </c>
      <c r="I27" s="3" t="s">
        <v>2077</v>
      </c>
      <c r="L27" s="3" t="s">
        <v>2071</v>
      </c>
      <c r="M27" s="4">
        <v>26.0</v>
      </c>
      <c r="N27" s="5" t="str">
        <f>IFERROR(__xludf.DUMMYFUNCTION("GOOGLETRANSLATE(C27,""en"",""zh-CN"")"),"这则历史广告主要描绘的是什么活动？")</f>
        <v>这则历史广告主要描绘的是什么活动？</v>
      </c>
      <c r="O27" s="5" t="str">
        <f>IFERROR(__xludf.DUMMYFUNCTION("GOOGLETRANSLATE(D27,""en"",""zh-CN"")"),"日本女性在玩游戏。")</f>
        <v>日本女性在玩游戏。</v>
      </c>
      <c r="P27" s="5" t="str">
        <f>IFERROR(__xludf.DUMMYFUNCTION("GOOGLETRANSLATE(E27,""en"",""zh-CN"")"),"日本女性在喝茶。")</f>
        <v>日本女性在喝茶。</v>
      </c>
      <c r="Q27" s="5" t="str">
        <f>IFERROR(__xludf.DUMMYFUNCTION("GOOGLETRANSLATE(F27,""en"",""zh-CN"")"),"日本戏剧中的一个场景。")</f>
        <v>日本戏剧中的一个场景。</v>
      </c>
      <c r="R27" s="5" t="str">
        <f>IFERROR(__xludf.DUMMYFUNCTION("GOOGLETRANSLATE(G27,""en"",""zh-CN"")"),"社交聚会。")</f>
        <v>社交聚会。</v>
      </c>
      <c r="S27" s="5" t="s">
        <v>2078</v>
      </c>
      <c r="T27" s="5" t="str">
        <f>IFERROR(__xludf.DUMMYFUNCTION("GOOGLETRANSLATE(H27,""en"",""zh-CN"")"),"日本女性在玩游戏。")</f>
        <v>日本女性在玩游戏。</v>
      </c>
      <c r="U27" s="5" t="str">
        <f>IFERROR(__xludf.DUMMYFUNCTION("GOOGLETRANSLATE(I27,""en"",""zh-CN"")"),"图片显示三名日本女性围坐在棋盘游戏旁，其中两名女性正在积极地玩游戏。")</f>
        <v>图片显示三名日本女性围坐在棋盘游戏旁，其中两名女性正在积极地玩游戏。</v>
      </c>
    </row>
    <row r="28" ht="22.5" customHeight="1">
      <c r="A28" s="3" t="s">
        <v>2071</v>
      </c>
      <c r="B28" s="4">
        <v>27.0</v>
      </c>
      <c r="C28" s="3" t="s">
        <v>2044</v>
      </c>
      <c r="D28" s="3" t="s">
        <v>2079</v>
      </c>
      <c r="E28" s="3" t="s">
        <v>2080</v>
      </c>
      <c r="F28" s="3" t="s">
        <v>2081</v>
      </c>
      <c r="G28" s="3" t="s">
        <v>1898</v>
      </c>
      <c r="H28" s="3" t="s">
        <v>2080</v>
      </c>
      <c r="I28" s="3" t="s">
        <v>2082</v>
      </c>
      <c r="L28" s="3" t="s">
        <v>2071</v>
      </c>
      <c r="M28" s="4">
        <v>27.0</v>
      </c>
      <c r="N28" s="5" t="str">
        <f>IFERROR(__xludf.DUMMYFUNCTION("GOOGLETRANSLATE(C28,""en"",""zh-CN"")"),"他们玩的是什么游戏？")</f>
        <v>他们玩的是什么游戏？</v>
      </c>
      <c r="O28" s="5" t="str">
        <f>IFERROR(__xludf.DUMMYFUNCTION("GOOGLETRANSLATE(D28,""en"",""zh-CN"")"),"将棋（日本象棋）")</f>
        <v>将棋（日本象棋）</v>
      </c>
      <c r="P28" s="5" t="str">
        <f>IFERROR(__xludf.DUMMYFUNCTION("GOOGLETRANSLATE(E28,""en"",""zh-CN"")"),"走（Igo）")</f>
        <v>走（Igo）</v>
      </c>
      <c r="Q28" s="5" t="str">
        <f>IFERROR(__xludf.DUMMYFUNCTION("GOOGLETRANSLATE(F28,""en"",""zh-CN"")"),"麻将")</f>
        <v>麻将</v>
      </c>
      <c r="R28" s="5" t="str">
        <f>IFERROR(__xludf.DUMMYFUNCTION("GOOGLETRANSLATE(G28,""en"",""zh-CN"")"),"棋")</f>
        <v>棋</v>
      </c>
      <c r="S28" s="5" t="s">
        <v>2083</v>
      </c>
      <c r="T28" s="5" t="str">
        <f>IFERROR(__xludf.DUMMYFUNCTION("GOOGLETRANSLATE(H28,""en"",""zh-CN"")"),"走（Igo）")</f>
        <v>走（Igo）</v>
      </c>
      <c r="U28" s="5" t="str">
        <f>IFERROR(__xludf.DUMMYFUNCTION("GOOGLETRANSLATE(I28,""en"",""zh-CN"")"),"棋盘和黑白棋子的排列是围棋的特征，围棋在日本也被称为围棋。")</f>
        <v>棋盘和黑白棋子的排列是围棋的特征，围棋在日本也被称为围棋。</v>
      </c>
    </row>
    <row r="29" ht="22.5" customHeight="1">
      <c r="A29" s="3" t="s">
        <v>2071</v>
      </c>
      <c r="B29" s="4">
        <v>28.0</v>
      </c>
      <c r="C29" s="3" t="s">
        <v>2084</v>
      </c>
      <c r="D29" s="3" t="s">
        <v>2085</v>
      </c>
      <c r="E29" s="3" t="s">
        <v>2086</v>
      </c>
      <c r="F29" s="3" t="s">
        <v>2087</v>
      </c>
      <c r="G29" s="3" t="s">
        <v>2088</v>
      </c>
      <c r="H29" s="3" t="s">
        <v>2087</v>
      </c>
      <c r="I29" s="3" t="s">
        <v>2089</v>
      </c>
      <c r="L29" s="3" t="s">
        <v>2071</v>
      </c>
      <c r="M29" s="4">
        <v>28.0</v>
      </c>
      <c r="N29" s="5" t="str">
        <f>IFERROR(__xludf.DUMMYFUNCTION("GOOGLETRANSLATE(C29,""en"",""zh-CN"")"),"这张图片的目的是什么？")</f>
        <v>这张图片的目的是什么？</v>
      </c>
      <c r="O29" s="5" t="str">
        <f>IFERROR(__xludf.DUMMYFUNCTION("GOOGLETRANSLATE(D29,""en"",""zh-CN"")"),"这是一幅历史画。")</f>
        <v>这是一幅历史画。</v>
      </c>
      <c r="P29" s="5" t="str">
        <f>IFERROR(__xludf.DUMMYFUNCTION("GOOGLETRANSLATE(E29,""en"",""zh-CN"")"),"这是一张历史事件的照片。")</f>
        <v>这是一张历史事件的照片。</v>
      </c>
      <c r="Q29" s="5" t="str">
        <f>IFERROR(__xludf.DUMMYFUNCTION("GOOGLETRANSLATE(F29,""en"",""zh-CN"")"),"这是一则产品广告。")</f>
        <v>这是一则产品广告。</v>
      </c>
      <c r="R29" s="5" t="str">
        <f>IFERROR(__xludf.DUMMYFUNCTION("GOOGLETRANSLATE(G29,""en"",""zh-CN"")"),"这是一张电影宣传海报。")</f>
        <v>这是一张电影宣传海报。</v>
      </c>
      <c r="S29" s="5" t="s">
        <v>2090</v>
      </c>
      <c r="T29" s="5" t="str">
        <f>IFERROR(__xludf.DUMMYFUNCTION("GOOGLETRANSLATE(H29,""en"",""zh-CN"")"),"这是一则产品广告。")</f>
        <v>这是一则产品广告。</v>
      </c>
      <c r="U29" s="5" t="str">
        <f>IFERROR(__xludf.DUMMYFUNCTION("GOOGLETRANSLATE(I29,""en"",""zh-CN"")"),"顶部的文字“利比希公司肉提取物”以及角落里的产品瓶表明这是一则关于肉提取物的历史广告。")</f>
        <v>顶部的文字“利比希公司肉提取物”以及角落里的产品瓶表明这是一则关于肉提取物的历史广告。</v>
      </c>
    </row>
    <row r="30" ht="22.5" customHeight="1">
      <c r="A30" s="3" t="s">
        <v>2071</v>
      </c>
      <c r="B30" s="4">
        <v>29.0</v>
      </c>
      <c r="C30" s="3" t="s">
        <v>2091</v>
      </c>
      <c r="D30" s="3" t="s">
        <v>2092</v>
      </c>
      <c r="E30" s="3" t="s">
        <v>2093</v>
      </c>
      <c r="F30" s="3" t="s">
        <v>2094</v>
      </c>
      <c r="G30" s="3" t="s">
        <v>2095</v>
      </c>
      <c r="H30" s="3" t="s">
        <v>2094</v>
      </c>
      <c r="I30" s="3" t="s">
        <v>2096</v>
      </c>
      <c r="L30" s="3" t="s">
        <v>2071</v>
      </c>
      <c r="M30" s="4">
        <v>29.0</v>
      </c>
      <c r="N30" s="5" t="str">
        <f>IFERROR(__xludf.DUMMYFUNCTION("GOOGLETRANSLATE(C30,""en"",""zh-CN"")"),"根据这张图片，我们可以推断出这款游戏在文化传播方面的哪些情况？")</f>
        <v>根据这张图片，我们可以推断出这款游戏在文化传播方面的哪些情况？</v>
      </c>
      <c r="O30" s="5" t="str">
        <f>IFERROR(__xludf.DUMMYFUNCTION("GOOGLETRANSLATE(D30,""en"",""zh-CN"")"),"它只在中国上映过。")</f>
        <v>它只在中国上映过。</v>
      </c>
      <c r="P30" s="5" t="str">
        <f>IFERROR(__xludf.DUMMYFUNCTION("GOOGLETRANSLATE(E30,""en"",""zh-CN"")"),"它主要是一款日本游戏。")</f>
        <v>它主要是一款日本游戏。</v>
      </c>
      <c r="Q30" s="5" t="str">
        <f>IFERROR(__xludf.DUMMYFUNCTION("GOOGLETRANSLATE(F30,""en"",""zh-CN"")"),"它从中国传播到日本等其他东亚国家。")</f>
        <v>它从中国传播到日本等其他东亚国家。</v>
      </c>
      <c r="R30" s="5" t="str">
        <f>IFERROR(__xludf.DUMMYFUNCTION("GOOGLETRANSLATE(G30,""en"",""zh-CN"")"),"这是一场欧洲比赛。")</f>
        <v>这是一场欧洲比赛。</v>
      </c>
      <c r="S30" s="5" t="s">
        <v>2097</v>
      </c>
      <c r="T30" s="5" t="str">
        <f>IFERROR(__xludf.DUMMYFUNCTION("GOOGLETRANSLATE(H30,""en"",""zh-CN"")"),"它从中国传播到日本等其他东亚国家。")</f>
        <v>它从中国传播到日本等其他东亚国家。</v>
      </c>
      <c r="U30" s="5" t="str">
        <f>IFERROR(__xludf.DUMMYFUNCTION("GOOGLETRANSLATE(I30,""en"",""zh-CN"")"),"图片说明文字提到围棋是“舜帝在中国发明”并“传入日本”的，这表明围棋是一种从中国传播到日本的文化游戏。")</f>
        <v>图片说明文字提到围棋是“舜帝在中国发明”并“传入日本”的，这表明围棋是一种从中国传播到日本的文化游戏。</v>
      </c>
    </row>
    <row r="31" ht="22.5" customHeight="1">
      <c r="A31" s="3" t="s">
        <v>2071</v>
      </c>
      <c r="B31" s="4">
        <v>30.0</v>
      </c>
      <c r="C31" s="3" t="s">
        <v>2098</v>
      </c>
      <c r="D31" s="3" t="s">
        <v>2099</v>
      </c>
      <c r="E31" s="3" t="s">
        <v>2100</v>
      </c>
      <c r="F31" s="3" t="s">
        <v>2101</v>
      </c>
      <c r="G31" s="3" t="s">
        <v>2102</v>
      </c>
      <c r="H31" s="3" t="s">
        <v>2101</v>
      </c>
      <c r="I31" s="3" t="s">
        <v>2103</v>
      </c>
      <c r="L31" s="3" t="s">
        <v>2071</v>
      </c>
      <c r="M31" s="4">
        <v>30.0</v>
      </c>
      <c r="N31" s="5" t="str">
        <f>IFERROR(__xludf.DUMMYFUNCTION("GOOGLETRANSLATE(C31,""en"",""zh-CN"")"),"这些女性穿着什么类型的服装？")</f>
        <v>这些女性穿着什么类型的服装？</v>
      </c>
      <c r="O31" s="5" t="str">
        <f>IFERROR(__xludf.DUMMYFUNCTION("GOOGLETRANSLATE(D31,""en"",""zh-CN"")"),"休闲西式服装。")</f>
        <v>休闲西式服装。</v>
      </c>
      <c r="P31" s="5" t="str">
        <f>IFERROR(__xludf.DUMMYFUNCTION("GOOGLETRANSLATE(E31,""en"",""zh-CN"")"),"中国长袍。")</f>
        <v>中国长袍。</v>
      </c>
      <c r="Q31" s="5" t="str">
        <f>IFERROR(__xludf.DUMMYFUNCTION("GOOGLETRANSLATE(F31,""en"",""zh-CN"")"),"日本传统和服。")</f>
        <v>日本传统和服。</v>
      </c>
      <c r="R31" s="5" t="str">
        <f>IFERROR(__xludf.DUMMYFUNCTION("GOOGLETRANSLATE(G31,""en"",""zh-CN"")"),"韩服。")</f>
        <v>韩服。</v>
      </c>
      <c r="S31" s="5" t="s">
        <v>2104</v>
      </c>
      <c r="T31" s="5" t="str">
        <f>IFERROR(__xludf.DUMMYFUNCTION("GOOGLETRANSLATE(H31,""en"",""zh-CN"")"),"日本传统和服。")</f>
        <v>日本传统和服。</v>
      </c>
      <c r="U31" s="5" t="str">
        <f>IFERROR(__xludf.DUMMYFUNCTION("GOOGLETRANSLATE(I31,""en"",""zh-CN"")"),"这些女性身着传统的日本和服，梳着特定的发型，手持扇子，这是这幅图像文化背景的关键组成部分。")</f>
        <v>这些女性身着传统的日本和服，梳着特定的发型，手持扇子，这是这幅图像文化背景的关键组成部分。</v>
      </c>
    </row>
    <row r="32" ht="22.5" customHeight="1">
      <c r="A32" s="3" t="s">
        <v>2105</v>
      </c>
      <c r="B32" s="4">
        <v>31.0</v>
      </c>
      <c r="C32" s="3" t="s">
        <v>1405</v>
      </c>
      <c r="D32" s="3" t="s">
        <v>2106</v>
      </c>
      <c r="E32" s="3" t="s">
        <v>2107</v>
      </c>
      <c r="F32" s="3" t="s">
        <v>2108</v>
      </c>
      <c r="G32" s="3" t="s">
        <v>2109</v>
      </c>
      <c r="H32" s="3" t="s">
        <v>2108</v>
      </c>
      <c r="I32" s="3" t="s">
        <v>2110</v>
      </c>
      <c r="L32" s="3" t="s">
        <v>2105</v>
      </c>
      <c r="M32" s="4">
        <v>31.0</v>
      </c>
      <c r="N32" s="5" t="str">
        <f>IFERROR(__xludf.DUMMYFUNCTION("GOOGLETRANSLATE(C32,""en"",""zh-CN"")"),"这张图片的主要焦点是什么？")</f>
        <v>这张图片的主要焦点是什么？</v>
      </c>
      <c r="O32" s="5" t="str">
        <f>IFERROR(__xludf.DUMMYFUNCTION("GOOGLETRANSLATE(D32,""en"",""zh-CN"")"),"围棋棋盘的构造。")</f>
        <v>围棋棋盘的构造。</v>
      </c>
      <c r="P32" s="5" t="str">
        <f>IFERROR(__xludf.DUMMYFUNCTION("GOOGLETRANSLATE(E32,""en"",""zh-CN"")"),"玩家的手。")</f>
        <v>玩家的手。</v>
      </c>
      <c r="Q32" s="5" t="str">
        <f>IFERROR(__xludf.DUMMYFUNCTION("GOOGLETRANSLATE(F32,""en"",""zh-CN"")"),"棋盘上有一小堆棋子。")</f>
        <v>棋盘上有一小堆棋子。</v>
      </c>
      <c r="R32" s="5" t="str">
        <f>IFERROR(__xludf.DUMMYFUNCTION("GOOGLETRANSLATE(G32,""en"",""zh-CN"")"),"从远处看整个棋盘。")</f>
        <v>从远处看整个棋盘。</v>
      </c>
      <c r="S32" s="5" t="s">
        <v>2111</v>
      </c>
      <c r="T32" s="5" t="str">
        <f>IFERROR(__xludf.DUMMYFUNCTION("GOOGLETRANSLATE(H32,""en"",""zh-CN"")"),"棋盘上有一小堆棋子。")</f>
        <v>棋盘上有一小堆棋子。</v>
      </c>
      <c r="U32" s="5" t="str">
        <f>IFERROR(__xludf.DUMMYFUNCTION("GOOGLETRANSLATE(I32,""en"",""zh-CN"")"),"这是一张近距离的低角度照片，聚焦于围棋棋盘上的一簇黑白棋子。")</f>
        <v>这是一张近距离的低角度照片，聚焦于围棋棋盘上的一簇黑白棋子。</v>
      </c>
    </row>
    <row r="33" ht="22.5" customHeight="1">
      <c r="A33" s="3" t="s">
        <v>2105</v>
      </c>
      <c r="B33" s="4">
        <v>32.0</v>
      </c>
      <c r="C33" s="3" t="s">
        <v>2112</v>
      </c>
      <c r="D33" s="3" t="s">
        <v>2113</v>
      </c>
      <c r="E33" s="3" t="s">
        <v>2114</v>
      </c>
      <c r="F33" s="3" t="s">
        <v>2115</v>
      </c>
      <c r="G33" s="3" t="s">
        <v>2116</v>
      </c>
      <c r="H33" s="3" t="s">
        <v>2114</v>
      </c>
      <c r="I33" s="3" t="s">
        <v>2117</v>
      </c>
      <c r="L33" s="3" t="s">
        <v>2105</v>
      </c>
      <c r="M33" s="4">
        <v>32.0</v>
      </c>
      <c r="N33" s="5" t="str">
        <f>IFERROR(__xludf.DUMMYFUNCTION("GOOGLETRANSLATE(C33,""en"",""zh-CN"")"),"这些成簇的石块有什么战略意义？")</f>
        <v>这些成簇的石块有什么战略意义？</v>
      </c>
      <c r="O33" s="5" t="str">
        <f>IFERROR(__xludf.DUMMYFUNCTION("GOOGLETRANSLATE(D33,""en"",""zh-CN"")"),"它们位置偏僻，容易捕捉。")</f>
        <v>它们位置偏僻，容易捕捉。</v>
      </c>
      <c r="P33" s="5" t="str">
        <f>IFERROR(__xludf.DUMMYFUNCTION("GOOGLETRANSLATE(E33,""en"",""zh-CN"")"),"他们正在形成一个“领地”或影响范围。")</f>
        <v>他们正在形成一个“领地”或影响范围。</v>
      </c>
      <c r="Q33" s="5" t="str">
        <f>IFERROR(__xludf.DUMMYFUNCTION("GOOGLETRANSLATE(F33,""en"",""zh-CN"")"),"它们被随机放置。")</f>
        <v>它们被随机放置。</v>
      </c>
      <c r="R33" s="5" t="str">
        <f>IFERROR(__xludf.DUMMYFUNCTION("GOOGLETRANSLATE(G33,""en"",""zh-CN"")"),"这是输掉比赛的结果。")</f>
        <v>这是输掉比赛的结果。</v>
      </c>
      <c r="S33" s="5" t="s">
        <v>2118</v>
      </c>
      <c r="T33" s="5" t="str">
        <f>IFERROR(__xludf.DUMMYFUNCTION("GOOGLETRANSLATE(H33,""en"",""zh-CN"")"),"他们正在形成一个“领地”或影响范围。")</f>
        <v>他们正在形成一个“领地”或影响范围。</v>
      </c>
      <c r="U33" s="5" t="str">
        <f>IFERROR(__xludf.DUMMYFUNCTION("GOOGLETRANSLATE(I33,""en"",""zh-CN"")"),"这些石块彼此靠近，排列方式也表明它们是更大群体的一部分，试图形成领地并在棋盘上占据一席之地。")</f>
        <v>这些石块彼此靠近，排列方式也表明它们是更大群体的一部分，试图形成领地并在棋盘上占据一席之地。</v>
      </c>
    </row>
    <row r="34" ht="22.5" customHeight="1">
      <c r="A34" s="3" t="s">
        <v>2105</v>
      </c>
      <c r="B34" s="4">
        <v>33.0</v>
      </c>
      <c r="C34" s="3" t="s">
        <v>2119</v>
      </c>
      <c r="D34" s="3" t="s">
        <v>2120</v>
      </c>
      <c r="E34" s="3" t="s">
        <v>2121</v>
      </c>
      <c r="F34" s="3" t="s">
        <v>2122</v>
      </c>
      <c r="G34" s="3" t="s">
        <v>2123</v>
      </c>
      <c r="H34" s="3" t="s">
        <v>2120</v>
      </c>
      <c r="I34" s="3" t="s">
        <v>2124</v>
      </c>
      <c r="L34" s="3" t="s">
        <v>2105</v>
      </c>
      <c r="M34" s="4">
        <v>33.0</v>
      </c>
      <c r="N34" s="5" t="str">
        <f>IFERROR(__xludf.DUMMYFUNCTION("GOOGLETRANSLATE(C34,""en"",""zh-CN"")"),"黑色的石头围绕着白色的石头形成了一个松散的圆圈。这可能是出于什么目的？")</f>
        <v>黑色的石头围绕着白色的石头形成了一个松散的圆圈。这可能是出于什么目的？</v>
      </c>
      <c r="O34" s="5" t="str">
        <f>IFERROR(__xludf.DUMMYFUNCTION("GOOGLETRANSLATE(D34,""en"",""zh-CN"")"),"去捕捉白色的石头。")</f>
        <v>去捕捉白色的石头。</v>
      </c>
      <c r="P34" s="5" t="str">
        <f>IFERROR(__xludf.DUMMYFUNCTION("GOOGLETRANSLATE(E34,""en"",""zh-CN"")"),"为了保护白色石头。")</f>
        <v>为了保护白色石头。</v>
      </c>
      <c r="Q34" s="5" t="str">
        <f>IFERROR(__xludf.DUMMYFUNCTION("GOOGLETRANSLATE(F34,""en"",""zh-CN"")"),"制作一个漂亮的图案。")</f>
        <v>制作一个漂亮的图案。</v>
      </c>
      <c r="R34" s="5" t="str">
        <f>IFERROR(__xludf.DUMMYFUNCTION("GOOGLETRANSLATE(G34,""en"",""zh-CN"")"),"迷惑白方。")</f>
        <v>迷惑白方。</v>
      </c>
      <c r="S34" s="5" t="s">
        <v>2125</v>
      </c>
      <c r="T34" s="5" t="str">
        <f>IFERROR(__xludf.DUMMYFUNCTION("GOOGLETRANSLATE(H34,""en"",""zh-CN"")"),"去捕捉白色的石头。")</f>
        <v>去捕捉白色的石头。</v>
      </c>
      <c r="U34" s="5" t="str">
        <f>IFERROR(__xludf.DUMMYFUNCTION("GOOGLETRANSLATE(I34,""en"",""zh-CN"")"),"在围棋中，主要战术是包围对手的棋子，黑棋的松散包围表明试图吃掉白棋。")</f>
        <v>在围棋中，主要战术是包围对手的棋子，黑棋的松散包围表明试图吃掉白棋。</v>
      </c>
    </row>
    <row r="35" ht="22.5" customHeight="1">
      <c r="A35" s="3" t="s">
        <v>2105</v>
      </c>
      <c r="B35" s="4">
        <v>34.0</v>
      </c>
      <c r="C35" s="3" t="s">
        <v>2126</v>
      </c>
      <c r="D35" s="3" t="s">
        <v>2127</v>
      </c>
      <c r="E35" s="3" t="s">
        <v>2128</v>
      </c>
      <c r="F35" s="3" t="s">
        <v>2129</v>
      </c>
      <c r="G35" s="3" t="s">
        <v>2130</v>
      </c>
      <c r="H35" s="3" t="s">
        <v>2129</v>
      </c>
      <c r="I35" s="3" t="s">
        <v>2131</v>
      </c>
      <c r="L35" s="3" t="s">
        <v>2105</v>
      </c>
      <c r="M35" s="4">
        <v>34.0</v>
      </c>
      <c r="N35" s="5" t="str">
        <f>IFERROR(__xludf.DUMMYFUNCTION("GOOGLETRANSLATE(C35,""en"",""zh-CN"")"),"赢得围棋比赛的关键是什么？")</f>
        <v>赢得围棋比赛的关键是什么？</v>
      </c>
      <c r="O35" s="5" t="str">
        <f>IFERROR(__xludf.DUMMYFUNCTION("GOOGLETRANSLATE(D35,""en"",""zh-CN"")"),"吃掉对方所有的棋子。")</f>
        <v>吃掉对方所有的棋子。</v>
      </c>
      <c r="P35" s="5" t="str">
        <f>IFERROR(__xludf.DUMMYFUNCTION("GOOGLETRANSLATE(E35,""en"",""zh-CN"")"),"棋盘上棋子数量更多。")</f>
        <v>棋盘上棋子数量更多。</v>
      </c>
      <c r="Q35" s="5" t="str">
        <f>IFERROR(__xludf.DUMMYFUNCTION("GOOGLETRANSLATE(F35,""en"",""zh-CN"")"),"控制的领土比对手多。")</f>
        <v>控制的领土比对手多。</v>
      </c>
      <c r="R35" s="5" t="str">
        <f>IFERROR(__xludf.DUMMYFUNCTION("GOOGLETRANSLATE(G35,""en"",""zh-CN"")"),"第一个放石头的人。")</f>
        <v>第一个放石头的人。</v>
      </c>
      <c r="S35" s="5" t="s">
        <v>2132</v>
      </c>
      <c r="T35" s="5" t="str">
        <f>IFERROR(__xludf.DUMMYFUNCTION("GOOGLETRANSLATE(H35,""en"",""zh-CN"")"),"控制的领土比对手多。")</f>
        <v>控制的领土比对手多。</v>
      </c>
      <c r="U35" s="5" t="str">
        <f>IFERROR(__xludf.DUMMYFUNCTION("GOOGLETRANSLATE(I35,""en"",""zh-CN"")"),"获胜者由谁拥有最多的领地来决定，领地数量是指被己方石块包围的空路口总数，加上任何被占领的石块。")</f>
        <v>获胜者由谁拥有最多的领地来决定，领地数量是指被己方石块包围的空路口总数，加上任何被占领的石块。</v>
      </c>
    </row>
    <row r="36" ht="22.5" customHeight="1">
      <c r="A36" s="3" t="s">
        <v>2105</v>
      </c>
      <c r="B36" s="4">
        <v>35.0</v>
      </c>
      <c r="C36" s="3" t="s">
        <v>2133</v>
      </c>
      <c r="D36" s="3" t="s">
        <v>2134</v>
      </c>
      <c r="E36" s="3" t="s">
        <v>2135</v>
      </c>
      <c r="F36" s="3" t="s">
        <v>2136</v>
      </c>
      <c r="G36" s="3" t="s">
        <v>2137</v>
      </c>
      <c r="H36" s="3" t="s">
        <v>2135</v>
      </c>
      <c r="I36" s="3" t="s">
        <v>2138</v>
      </c>
      <c r="L36" s="3" t="s">
        <v>2105</v>
      </c>
      <c r="M36" s="4">
        <v>35.0</v>
      </c>
      <c r="N36" s="5" t="str">
        <f>IFERROR(__xludf.DUMMYFUNCTION("GOOGLETRANSLATE(C36,""en"",""zh-CN"")"),"围棋棋盘材料最显著的特点是什么？")</f>
        <v>围棋棋盘材料最显著的特点是什么？</v>
      </c>
      <c r="O36" s="5" t="str">
        <f>IFERROR(__xludf.DUMMYFUNCTION("GOOGLETRANSLATE(D36,""en"",""zh-CN"")"),"它是由塑料制成的。")</f>
        <v>它是由塑料制成的。</v>
      </c>
      <c r="P36" s="5" t="str">
        <f>IFERROR(__xludf.DUMMYFUNCTION("GOOGLETRANSLATE(E36,""en"",""zh-CN"")"),"它是一种浅色木材，带有网格图案。")</f>
        <v>它是一种浅色木材，带有网格图案。</v>
      </c>
      <c r="Q36" s="5" t="str">
        <f>IFERROR(__xludf.DUMMYFUNCTION("GOOGLETRANSLATE(F36,""en"",""zh-CN"")"),"这是一种深色木材。")</f>
        <v>这是一种深色木材。</v>
      </c>
      <c r="R36" s="5" t="str">
        <f>IFERROR(__xludf.DUMMYFUNCTION("GOOGLETRANSLATE(G36,""en"",""zh-CN"")"),"它是用石头做的。")</f>
        <v>它是用石头做的。</v>
      </c>
      <c r="S36" s="5" t="s">
        <v>2139</v>
      </c>
      <c r="T36" s="5" t="str">
        <f>IFERROR(__xludf.DUMMYFUNCTION("GOOGLETRANSLATE(H36,""en"",""zh-CN"")"),"它是一种浅色木材，带有网格图案。")</f>
        <v>它是一种浅色木材，带有网格图案。</v>
      </c>
      <c r="U36" s="5" t="str">
        <f>IFERROR(__xludf.DUMMYFUNCTION("GOOGLETRANSLATE(I36,""en"",""zh-CN"")"),"棋盘由浅色蜜色木材制成，上面有清晰的网格线，这是传统围棋棋盘的典型特征。")</f>
        <v>棋盘由浅色蜜色木材制成，上面有清晰的网格线，这是传统围棋棋盘的典型特征。</v>
      </c>
    </row>
    <row r="37" ht="22.5" customHeight="1">
      <c r="A37" s="3" t="s">
        <v>2140</v>
      </c>
      <c r="B37" s="4">
        <v>36.0</v>
      </c>
      <c r="C37" s="3" t="s">
        <v>1405</v>
      </c>
      <c r="D37" s="3" t="s">
        <v>2141</v>
      </c>
      <c r="E37" s="3" t="s">
        <v>2142</v>
      </c>
      <c r="F37" s="3" t="s">
        <v>2143</v>
      </c>
      <c r="G37" s="3" t="s">
        <v>2144</v>
      </c>
      <c r="H37" s="3" t="s">
        <v>2142</v>
      </c>
      <c r="I37" s="3" t="s">
        <v>2145</v>
      </c>
      <c r="L37" s="3" t="s">
        <v>2140</v>
      </c>
      <c r="M37" s="4">
        <v>36.0</v>
      </c>
      <c r="N37" s="5" t="str">
        <f>IFERROR(__xludf.DUMMYFUNCTION("GOOGLETRANSLATE(C37,""en"",""zh-CN"")"),"这张图片的主要焦点是什么？")</f>
        <v>这张图片的主要焦点是什么？</v>
      </c>
      <c r="O37" s="5" t="str">
        <f>IFERROR(__xludf.DUMMYFUNCTION("GOOGLETRANSLATE(D37,""en"",""zh-CN"")"),"两个木碗。")</f>
        <v>两个木碗。</v>
      </c>
      <c r="P37" s="5" t="str">
        <f>IFERROR(__xludf.DUMMYFUNCTION("GOOGLETRANSLATE(E37,""en"",""zh-CN"")"),"有很多棋子的围棋棋盘。")</f>
        <v>有很多棋子的围棋棋盘。</v>
      </c>
      <c r="Q37" s="5" t="str">
        <f>IFERROR(__xludf.DUMMYFUNCTION("GOOGLETRANSLATE(F37,""en"",""zh-CN"")"),"球员的特写镜头。")</f>
        <v>球员的特写镜头。</v>
      </c>
      <c r="R37" s="5" t="str">
        <f>IFERROR(__xludf.DUMMYFUNCTION("GOOGLETRANSLATE(G37,""en"",""zh-CN"")"),"一块石头。")</f>
        <v>一块石头。</v>
      </c>
      <c r="S37" s="5" t="s">
        <v>2146</v>
      </c>
      <c r="T37" s="5" t="str">
        <f>IFERROR(__xludf.DUMMYFUNCTION("GOOGLETRANSLATE(H37,""en"",""zh-CN"")"),"有很多棋子的围棋棋盘。")</f>
        <v>有很多棋子的围棋棋盘。</v>
      </c>
      <c r="U37" s="5" t="str">
        <f>IFERROR(__xludf.DUMMYFUNCTION("GOOGLETRANSLATE(I37,""en"",""zh-CN"")"),"图片显示了完整的围棋棋盘，上面布满了大量的黑白棋子，表明比赛已经进入中后期阶段。")</f>
        <v>图片显示了完整的围棋棋盘，上面布满了大量的黑白棋子，表明比赛已经进入中后期阶段。</v>
      </c>
    </row>
    <row r="38" ht="22.5" customHeight="1">
      <c r="A38" s="3" t="s">
        <v>2140</v>
      </c>
      <c r="B38" s="4">
        <v>37.0</v>
      </c>
      <c r="C38" s="3" t="s">
        <v>2147</v>
      </c>
      <c r="D38" s="3" t="s">
        <v>2148</v>
      </c>
      <c r="E38" s="3" t="s">
        <v>2149</v>
      </c>
      <c r="F38" s="3" t="s">
        <v>2150</v>
      </c>
      <c r="G38" s="3" t="s">
        <v>2151</v>
      </c>
      <c r="H38" s="3" t="s">
        <v>2149</v>
      </c>
      <c r="I38" s="3" t="s">
        <v>2152</v>
      </c>
      <c r="L38" s="3" t="s">
        <v>2140</v>
      </c>
      <c r="M38" s="4">
        <v>37.0</v>
      </c>
      <c r="N38" s="5" t="str">
        <f>IFERROR(__xludf.DUMMYFUNCTION("GOOGLETRANSLATE(C38,""en"",""zh-CN"")"),"这些白色石头排列成一条长长的蜿蜒路线。这种排列方式可能代表什么？")</f>
        <v>这些白色石头排列成一条长长的蜿蜒路线。这种排列方式可能代表什么？</v>
      </c>
      <c r="O38" s="5" t="str">
        <f>IFERROR(__xludf.DUMMYFUNCTION("GOOGLETRANSLATE(D38,""en"",""zh-CN"")"),"装饰图案。")</f>
        <v>装饰图案。</v>
      </c>
      <c r="P38" s="5" t="str">
        <f>IFERROR(__xludf.DUMMYFUNCTION("GOOGLETRANSLATE(E38,""en"",""zh-CN"")"),"一串石头或一组石头。")</f>
        <v>一串石头或一组石头。</v>
      </c>
      <c r="Q38" s="5" t="str">
        <f>IFERROR(__xludf.DUMMYFUNCTION("GOOGLETRANSLATE(F38,""en"",""zh-CN"")"),"随意摆放的石头。")</f>
        <v>随意摆放的石头。</v>
      </c>
      <c r="R38" s="5" t="str">
        <f>IFERROR(__xludf.DUMMYFUNCTION("GOOGLETRANSLATE(G38,""en"",""zh-CN"")"),"一道防御墙。")</f>
        <v>一道防御墙。</v>
      </c>
      <c r="S38" s="5" t="s">
        <v>2153</v>
      </c>
      <c r="T38" s="5" t="str">
        <f>IFERROR(__xludf.DUMMYFUNCTION("GOOGLETRANSLATE(H38,""en"",""zh-CN"")"),"一串石头或一组石头。")</f>
        <v>一串石头或一组石头。</v>
      </c>
      <c r="U38" s="5" t="str">
        <f>IFERROR(__xludf.DUMMYFUNCTION("GOOGLETRANSLATE(I38,""en"",""zh-CN"")"),"一长串相连的白色石头构成了一个“链”或“组”，这是一种战略性策略，旨在连接和保护己方的石头不被夺取。")</f>
        <v>一长串相连的白色石头构成了一个“链”或“组”，这是一种战略性策略，旨在连接和保护己方的石头不被夺取。</v>
      </c>
    </row>
    <row r="39" ht="22.5" customHeight="1">
      <c r="A39" s="3" t="s">
        <v>2140</v>
      </c>
      <c r="B39" s="4">
        <v>38.0</v>
      </c>
      <c r="C39" s="3" t="s">
        <v>2154</v>
      </c>
      <c r="D39" s="3" t="s">
        <v>1925</v>
      </c>
      <c r="E39" s="3" t="s">
        <v>2155</v>
      </c>
      <c r="F39" s="3" t="s">
        <v>2156</v>
      </c>
      <c r="G39" s="3" t="s">
        <v>2157</v>
      </c>
      <c r="H39" s="3" t="s">
        <v>2155</v>
      </c>
      <c r="I39" s="3" t="s">
        <v>2158</v>
      </c>
      <c r="L39" s="3" t="s">
        <v>2140</v>
      </c>
      <c r="M39" s="4">
        <v>38.0</v>
      </c>
      <c r="N39" s="5" t="str">
        <f>IFERROR(__xludf.DUMMYFUNCTION("GOOGLETRANSLATE(C39,""en"",""zh-CN"")"),"板子两侧的两个碗是做什么用的？")</f>
        <v>板子两侧的两个碗是做什么用的？</v>
      </c>
      <c r="O39" s="5" t="str">
        <f>IFERROR(__xludf.DUMMYFUNCTION("GOOGLETRANSLATE(D39,""en"",""zh-CN"")"),"用于储存捕获的石头。")</f>
        <v>用于储存捕获的石头。</v>
      </c>
      <c r="P39" s="5" t="str">
        <f>IFERROR(__xludf.DUMMYFUNCTION("GOOGLETRANSLATE(E39,""en"",""zh-CN"")"),"在游戏过程中用来保管玩家的棋子。")</f>
        <v>在游戏过程中用来保管玩家的棋子。</v>
      </c>
      <c r="Q39" s="5" t="str">
        <f>IFERROR(__xludf.DUMMYFUNCTION("GOOGLETRANSLATE(F39,""en"",""zh-CN"")"),"用作计时器。")</f>
        <v>用作计时器。</v>
      </c>
      <c r="R39" s="5" t="str">
        <f>IFERROR(__xludf.DUMMYFUNCTION("GOOGLETRANSLATE(G39,""en"",""zh-CN"")"),"用来存放一套备用宝石。")</f>
        <v>用来存放一套备用宝石。</v>
      </c>
      <c r="S39" s="5" t="s">
        <v>2159</v>
      </c>
      <c r="T39" s="5" t="str">
        <f>IFERROR(__xludf.DUMMYFUNCTION("GOOGLETRANSLATE(H39,""en"",""zh-CN"")"),"在游戏过程中用来保管玩家的棋子。")</f>
        <v>在游戏过程中用来保管玩家的棋子。</v>
      </c>
      <c r="U39" s="5" t="str">
        <f>IFERROR(__xludf.DUMMYFUNCTION("GOOGLETRANSLATE(I39,""en"",""zh-CN"")"),"这两个木碗用于存放和分发每位玩家用来下棋的黑白棋子。")</f>
        <v>这两个木碗用于存放和分发每位玩家用来下棋的黑白棋子。</v>
      </c>
    </row>
    <row r="40" ht="22.5" customHeight="1">
      <c r="A40" s="3" t="s">
        <v>2140</v>
      </c>
      <c r="B40" s="4">
        <v>39.0</v>
      </c>
      <c r="C40" s="3" t="s">
        <v>2160</v>
      </c>
      <c r="D40" s="3" t="s">
        <v>2161</v>
      </c>
      <c r="E40" s="3" t="s">
        <v>2162</v>
      </c>
      <c r="F40" s="3" t="s">
        <v>2163</v>
      </c>
      <c r="G40" s="3" t="s">
        <v>2164</v>
      </c>
      <c r="H40" s="3" t="s">
        <v>2162</v>
      </c>
      <c r="I40" s="3" t="s">
        <v>2165</v>
      </c>
      <c r="L40" s="3" t="s">
        <v>2140</v>
      </c>
      <c r="M40" s="4">
        <v>39.0</v>
      </c>
      <c r="N40" s="5" t="str">
        <f>IFERROR(__xludf.DUMMYFUNCTION("GOOGLETRANSLATE(C40,""en"",""zh-CN"")"),"黑白棋子之间存在怎样的战略关系？")</f>
        <v>黑白棋子之间存在怎样的战略关系？</v>
      </c>
      <c r="O40" s="5" t="str">
        <f>IFERROR(__xludf.DUMMYFUNCTION("GOOGLETRANSLATE(D40,""en"",""zh-CN"")"),"它们都在试图形成相同的形状。")</f>
        <v>它们都在试图形成相同的形状。</v>
      </c>
      <c r="P40" s="5" t="str">
        <f>IFERROR(__xludf.DUMMYFUNCTION("GOOGLETRANSLATE(E40,""en"",""zh-CN"")"),"它们都在试图夺取对方的石头和领地。")</f>
        <v>它们都在试图夺取对方的石头和领地。</v>
      </c>
      <c r="Q40" s="5" t="str">
        <f>IFERROR(__xludf.DUMMYFUNCTION("GOOGLETRANSLATE(F40,""en"",""zh-CN"")"),"他们正试图共同创造一种模式。")</f>
        <v>他们正试图共同创造一种模式。</v>
      </c>
      <c r="R40" s="5" t="str">
        <f>IFERROR(__xludf.DUMMYFUNCTION("GOOGLETRANSLATE(G40,""en"",""zh-CN"")"),"他们之间没有亲属关系。")</f>
        <v>他们之间没有亲属关系。</v>
      </c>
      <c r="S40" s="5" t="s">
        <v>2166</v>
      </c>
      <c r="T40" s="5" t="str">
        <f>IFERROR(__xludf.DUMMYFUNCTION("GOOGLETRANSLATE(H40,""en"",""zh-CN"")"),"它们都在试图夺取对方的石头和领地。")</f>
        <v>它们都在试图夺取对方的石头和领地。</v>
      </c>
      <c r="U40" s="5" t="str">
        <f>IFERROR(__xludf.DUMMYFUNCTION("GOOGLETRANSLATE(I40,""en"",""zh-CN"")"),"这些石子之间展开了一场持续不断的包围战略战，每个玩家都试图包围对方的石块群并占领领地。")</f>
        <v>这些石子之间展开了一场持续不断的包围战略战，每个玩家都试图包围对方的石块群并占领领地。</v>
      </c>
    </row>
    <row r="41" ht="22.5" customHeight="1">
      <c r="A41" s="3" t="s">
        <v>2140</v>
      </c>
      <c r="B41" s="4">
        <v>40.0</v>
      </c>
      <c r="C41" s="3" t="s">
        <v>2167</v>
      </c>
      <c r="D41" s="3" t="s">
        <v>2168</v>
      </c>
      <c r="E41" s="3" t="s">
        <v>2169</v>
      </c>
      <c r="F41" s="3" t="s">
        <v>2170</v>
      </c>
      <c r="G41" s="3" t="s">
        <v>2171</v>
      </c>
      <c r="H41" s="3" t="s">
        <v>2170</v>
      </c>
      <c r="I41" s="3" t="s">
        <v>2172</v>
      </c>
      <c r="L41" s="3" t="s">
        <v>2140</v>
      </c>
      <c r="M41" s="4">
        <v>40.0</v>
      </c>
      <c r="N41" s="5" t="str">
        <f>IFERROR(__xludf.DUMMYFUNCTION("GOOGLETRANSLATE(C41,""en"",""zh-CN"")"),"整体布置的美感如何？")</f>
        <v>整体布置的美感如何？</v>
      </c>
      <c r="O41" s="5" t="str">
        <f>IFERROR(__xludf.DUMMYFUNCTION("GOOGLETRANSLATE(D41,""en"",""zh-CN"")"),"现代简约美学。")</f>
        <v>现代简约美学。</v>
      </c>
      <c r="P41" s="5" t="str">
        <f>IFERROR(__xludf.DUMMYFUNCTION("GOOGLETRANSLATE(E41,""en"",""zh-CN"")"),"简约休闲的美学风格。")</f>
        <v>简约休闲的美学风格。</v>
      </c>
      <c r="Q41" s="5" t="str">
        <f>IFERROR(__xludf.DUMMYFUNCTION("GOOGLETRANSLATE(F41,""en"",""zh-CN"")"),"传统、经典的审美。")</f>
        <v>传统、经典的审美。</v>
      </c>
      <c r="R41" s="5" t="str">
        <f>IFERROR(__xludf.DUMMYFUNCTION("GOOGLETRANSLATE(G41,""en"",""zh-CN"")"),"一种凌乱、无序的美学风格。")</f>
        <v>一种凌乱、无序的美学风格。</v>
      </c>
      <c r="S41" s="5" t="s">
        <v>2173</v>
      </c>
      <c r="T41" s="5" t="str">
        <f>IFERROR(__xludf.DUMMYFUNCTION("GOOGLETRANSLATE(H41,""en"",""zh-CN"")"),"传统、经典的审美。")</f>
        <v>传统、经典的审美。</v>
      </c>
      <c r="U41" s="5" t="str">
        <f>IFERROR(__xludf.DUMMYFUNCTION("GOOGLETRANSLATE(I41,""en"",""zh-CN"")"),"木制棋盘、圆形棋子和木制棋碗，都体现了围棋运动的传统和经典美学。")</f>
        <v>木制棋盘、圆形棋子和木制棋碗，都体现了围棋运动的传统和经典美学。</v>
      </c>
    </row>
    <row r="42" ht="22.5" customHeight="1">
      <c r="A42" s="3" t="s">
        <v>2174</v>
      </c>
      <c r="B42" s="4">
        <v>41.0</v>
      </c>
      <c r="C42" s="3" t="s">
        <v>2175</v>
      </c>
      <c r="D42" s="3" t="s">
        <v>2176</v>
      </c>
      <c r="E42" s="3" t="s">
        <v>2177</v>
      </c>
      <c r="F42" s="3" t="s">
        <v>2178</v>
      </c>
      <c r="G42" s="3" t="s">
        <v>2179</v>
      </c>
      <c r="H42" s="3" t="s">
        <v>2177</v>
      </c>
      <c r="I42" s="3" t="s">
        <v>2180</v>
      </c>
      <c r="L42" s="3" t="s">
        <v>2174</v>
      </c>
      <c r="M42" s="4">
        <v>41.0</v>
      </c>
      <c r="N42" s="5" t="str">
        <f>IFERROR(__xludf.DUMMYFUNCTION("GOOGLETRANSLATE(C42,""en"",""zh-CN"")"),"这张图片显示的是什么？")</f>
        <v>这张图片显示的是什么？</v>
      </c>
      <c r="O42" s="5" t="str">
        <f>IFERROR(__xludf.DUMMYFUNCTION("GOOGLETRANSLATE(D42,""en"",""zh-CN"")"),"正在进行中的桌游。")</f>
        <v>正在进行中的桌游。</v>
      </c>
      <c r="P42" s="5" t="str">
        <f>IFERROR(__xludf.DUMMYFUNCTION("GOOGLETRANSLATE(E42,""en"",""zh-CN"")"),"围棋中一个战略问题的示意图。")</f>
        <v>围棋中一个战略问题的示意图。</v>
      </c>
      <c r="Q42" s="5" t="str">
        <f>IFERROR(__xludf.DUMMYFUNCTION("GOOGLETRANSLATE(F42,""en"",""zh-CN"")"),"游戏已完成。")</f>
        <v>游戏已完成。</v>
      </c>
      <c r="R42" s="5" t="str">
        <f>IFERROR(__xludf.DUMMYFUNCTION("GOOGLETRANSLATE(G42,""en"",""zh-CN"")"),"一个谜题。")</f>
        <v>一个谜题。</v>
      </c>
      <c r="S42" s="5" t="s">
        <v>2181</v>
      </c>
      <c r="T42" s="5" t="str">
        <f>IFERROR(__xludf.DUMMYFUNCTION("GOOGLETRANSLATE(H42,""en"",""zh-CN"")"),"围棋中一个战略问题的示意图。")</f>
        <v>围棋中一个战略问题的示意图。</v>
      </c>
      <c r="U42" s="5" t="str">
        <f>IFERROR(__xludf.DUMMYFUNCTION("GOOGLETRANSLATE(I42,""en"",""zh-CN"")"),"图中显示了部分围棋棋盘，上面有字母和箭头，这表明它是一张图示，用来说明特定的战略问题或一系列走法。")</f>
        <v>图中显示了部分围棋棋盘，上面有字母和箭头，这表明它是一张图示，用来说明特定的战略问题或一系列走法。</v>
      </c>
    </row>
    <row r="43" ht="22.5" customHeight="1">
      <c r="A43" s="3" t="s">
        <v>2174</v>
      </c>
      <c r="B43" s="4">
        <v>42.0</v>
      </c>
      <c r="C43" s="3" t="s">
        <v>2182</v>
      </c>
      <c r="D43" s="3" t="s">
        <v>2183</v>
      </c>
      <c r="E43" s="3" t="s">
        <v>2184</v>
      </c>
      <c r="F43" s="3" t="s">
        <v>2185</v>
      </c>
      <c r="G43" s="3" t="s">
        <v>2186</v>
      </c>
      <c r="H43" s="3" t="s">
        <v>2185</v>
      </c>
      <c r="I43" s="3" t="s">
        <v>2187</v>
      </c>
      <c r="L43" s="3" t="s">
        <v>2174</v>
      </c>
      <c r="M43" s="4">
        <v>42.0</v>
      </c>
      <c r="N43" s="5" t="str">
        <f>IFERROR(__xludf.DUMMYFUNCTION("GOOGLETRANSLATE(C43,""en"",""zh-CN"")"),"黑板上的字母（A、B、C、D、E、F）有什么作用？")</f>
        <v>黑板上的字母（A、B、C、D、E、F）有什么作用？</v>
      </c>
      <c r="O43" s="5" t="str">
        <f>IFERROR(__xludf.DUMMYFUNCTION("GOOGLETRANSLATE(D43,""en"",""zh-CN"")"),"它们是游戏规则的一部分。")</f>
        <v>它们是游戏规则的一部分。</v>
      </c>
      <c r="P43" s="5" t="str">
        <f>IFERROR(__xludf.DUMMYFUNCTION("GOOGLETRANSLATE(E43,""en"",""zh-CN"")"),"他们代表不同的球员。")</f>
        <v>他们代表不同的球员。</v>
      </c>
      <c r="Q43" s="5" t="str">
        <f>IFERROR(__xludf.DUMMYFUNCTION("GOOGLETRANSLATE(F43,""en"",""zh-CN"")"),"它们用于识别问题中的特定要点或步骤。")</f>
        <v>它们用于识别问题中的特定要点或步骤。</v>
      </c>
      <c r="R43" s="5" t="str">
        <f>IFERROR(__xludf.DUMMYFUNCTION("GOOGLETRANSLATE(G43,""en"",""zh-CN"")"),"它们是游戏中新增的现代元素。")</f>
        <v>它们是游戏中新增的现代元素。</v>
      </c>
      <c r="S43" s="5" t="s">
        <v>2188</v>
      </c>
      <c r="T43" s="5" t="str">
        <f>IFERROR(__xludf.DUMMYFUNCTION("GOOGLETRANSLATE(H43,""en"",""zh-CN"")"),"它们用于识别问题中的特定要点或步骤。")</f>
        <v>它们用于识别问题中的特定要点或步骤。</v>
      </c>
      <c r="U43" s="5" t="str">
        <f>IFERROR(__xludf.DUMMYFUNCTION("GOOGLETRANSLATE(I43,""en"",""zh-CN"")"),"这些字母用作符号系统，在讨论或分析特定游戏或战略问题时，用来指代棋盘上的特定交叉点。")</f>
        <v>这些字母用作符号系统，在讨论或分析特定游戏或战略问题时，用来指代棋盘上的特定交叉点。</v>
      </c>
    </row>
    <row r="44" ht="22.5" customHeight="1">
      <c r="A44" s="3" t="s">
        <v>2174</v>
      </c>
      <c r="B44" s="4">
        <v>43.0</v>
      </c>
      <c r="C44" s="3" t="s">
        <v>2189</v>
      </c>
      <c r="D44" s="3" t="s">
        <v>2190</v>
      </c>
      <c r="E44" s="3" t="s">
        <v>2191</v>
      </c>
      <c r="F44" s="3" t="s">
        <v>2192</v>
      </c>
      <c r="G44" s="3" t="s">
        <v>2193</v>
      </c>
      <c r="H44" s="3" t="s">
        <v>2191</v>
      </c>
      <c r="I44" s="3" t="s">
        <v>2194</v>
      </c>
      <c r="L44" s="3" t="s">
        <v>2174</v>
      </c>
      <c r="M44" s="4">
        <v>43.0</v>
      </c>
      <c r="N44" s="5" t="str">
        <f>IFERROR(__xludf.DUMMYFUNCTION("GOOGLETRANSLATE(C44,""en"",""zh-CN"")"),"右上角的白色石头（B）呈长条状相连。这组石头叫什么？")</f>
        <v>右上角的白色石头（B）呈长条状相连。这组石头叫什么？</v>
      </c>
      <c r="O44" s="5" t="str">
        <f>IFERROR(__xludf.DUMMYFUNCTION("GOOGLETRANSLATE(D44,""en"",""zh-CN"")"),"一个“已死”的团体。")</f>
        <v>一个“已死”的团体。</v>
      </c>
      <c r="P44" s="5" t="str">
        <f>IFERROR(__xludf.DUMMYFUNCTION("GOOGLETRANSLATE(E44,""en"",""zh-CN"")"),"一个“现场”乐队。")</f>
        <v>一个“现场”乐队。</v>
      </c>
      <c r="Q44" s="5" t="str">
        <f>IFERROR(__xludf.DUMMYFUNCTION("GOOGLETRANSLATE(F44,""en"",""zh-CN"")"),"一串石头。")</f>
        <v>一串石头。</v>
      </c>
      <c r="R44" s="5" t="str">
        <f>IFERROR(__xludf.DUMMYFUNCTION("GOOGLETRANSLATE(G44,""en"",""zh-CN"")"),"一个孤立的群体。")</f>
        <v>一个孤立的群体。</v>
      </c>
      <c r="S44" s="5" t="s">
        <v>2195</v>
      </c>
      <c r="T44" s="5" t="str">
        <f>IFERROR(__xludf.DUMMYFUNCTION("GOOGLETRANSLATE(H44,""en"",""zh-CN"")"),"一个“现场”乐队。")</f>
        <v>一个“现场”乐队。</v>
      </c>
      <c r="U44" s="5" t="str">
        <f>IFERROR(__xludf.DUMMYFUNCTION("GOOGLETRANSLATE(I44,""en"",""zh-CN"")"),"一组至少形成两个“眼”（无法填充的空交点）的石头被认为是“活的”，不能被捕获。")</f>
        <v>一组至少形成两个“眼”（无法填充的空交点）的石头被认为是“活的”，不能被捕获。</v>
      </c>
    </row>
    <row r="45" ht="22.5" customHeight="1">
      <c r="A45" s="3" t="s">
        <v>2174</v>
      </c>
      <c r="B45" s="4">
        <v>44.0</v>
      </c>
      <c r="C45" s="3" t="s">
        <v>2196</v>
      </c>
      <c r="D45" s="3" t="s">
        <v>2197</v>
      </c>
      <c r="E45" s="3" t="s">
        <v>2198</v>
      </c>
      <c r="F45" s="3" t="s">
        <v>2199</v>
      </c>
      <c r="G45" s="3" t="s">
        <v>2200</v>
      </c>
      <c r="H45" s="3" t="s">
        <v>2198</v>
      </c>
      <c r="I45" s="3" t="s">
        <v>2201</v>
      </c>
      <c r="L45" s="3" t="s">
        <v>2174</v>
      </c>
      <c r="M45" s="4">
        <v>44.0</v>
      </c>
      <c r="N45" s="5" t="str">
        <f>IFERROR(__xludf.DUMMYFUNCTION("GOOGLETRANSLATE(C45,""en"",""zh-CN"")"),"图中黑色石头和白色石头之间是什么关系？")</f>
        <v>图中黑色石头和白色石头之间是什么关系？</v>
      </c>
      <c r="O45" s="5" t="str">
        <f>IFERROR(__xludf.DUMMYFUNCTION("GOOGLETRANSLATE(D45,""en"",""zh-CN"")"),"它们随机散布。")</f>
        <v>它们随机散布。</v>
      </c>
      <c r="P45" s="5" t="str">
        <f>IFERROR(__xludf.DUMMYFUNCTION("GOOGLETRANSLATE(E45,""en"",""zh-CN"")"),"他们正在进行一场战略包围战。")</f>
        <v>他们正在进行一场战略包围战。</v>
      </c>
      <c r="Q45" s="5" t="str">
        <f>IFERROR(__xludf.DUMMYFUNCTION("GOOGLETRANSLATE(F45,""en"",""zh-CN"")"),"他们正在组成一个庞大的团体。")</f>
        <v>他们正在组成一个庞大的团体。</v>
      </c>
      <c r="R45" s="5" t="str">
        <f>IFERROR(__xludf.DUMMYFUNCTION("GOOGLETRANSLATE(G45,""en"",""zh-CN"")"),"他们之间没有互动。")</f>
        <v>他们之间没有互动。</v>
      </c>
      <c r="S45" s="5" t="s">
        <v>2202</v>
      </c>
      <c r="T45" s="5" t="str">
        <f>IFERROR(__xludf.DUMMYFUNCTION("GOOGLETRANSLATE(H45,""en"",""zh-CN"")"),"他们正在进行一场战略包围战。")</f>
        <v>他们正在进行一场战略包围战。</v>
      </c>
      <c r="U45" s="5" t="str">
        <f>IFERROR(__xludf.DUMMYFUNCTION("GOOGLETRANSLATE(I45,""en"",""zh-CN"")"),"该图显示了两种颜色之间明显的战略斗争，双方都试图包围和占领对方的部队并占领领土。")</f>
        <v>该图显示了两种颜色之间明显的战略斗争，双方都试图包围和占领对方的部队并占领领土。</v>
      </c>
    </row>
    <row r="46" ht="22.5" customHeight="1">
      <c r="A46" s="3" t="s">
        <v>2174</v>
      </c>
      <c r="B46" s="4">
        <v>45.0</v>
      </c>
      <c r="C46" s="3" t="s">
        <v>2203</v>
      </c>
      <c r="D46" s="3" t="s">
        <v>2191</v>
      </c>
      <c r="E46" s="3" t="s">
        <v>2204</v>
      </c>
      <c r="F46" s="3" t="s">
        <v>2190</v>
      </c>
      <c r="G46" s="3" t="s">
        <v>2205</v>
      </c>
      <c r="H46" s="3" t="s">
        <v>2190</v>
      </c>
      <c r="I46" s="3" t="s">
        <v>2206</v>
      </c>
      <c r="L46" s="3" t="s">
        <v>2174</v>
      </c>
      <c r="M46" s="4">
        <v>45.0</v>
      </c>
      <c r="N46" s="5" t="str">
        <f>IFERROR(__xludf.DUMMYFUNCTION("GOOGLETRANSLATE(C46,""en"",""zh-CN"")"),"黑石的位置是为了困住左下角的白石群。被包围且无法逃脱的群体被称为？")</f>
        <v>黑石的位置是为了困住左下角的白石群。被包围且无法逃脱的群体被称为？</v>
      </c>
      <c r="O46" s="5" t="str">
        <f>IFERROR(__xludf.DUMMYFUNCTION("GOOGLETRANSLATE(D46,""en"",""zh-CN"")"),"一个“现场”乐队。")</f>
        <v>一个“现场”乐队。</v>
      </c>
      <c r="P46" s="5" t="str">
        <f>IFERROR(__xludf.DUMMYFUNCTION("GOOGLETRANSLATE(E46,""en"",""zh-CN"")"),"一个“ko”组。")</f>
        <v>一个“ko”组。</v>
      </c>
      <c r="Q46" s="5" t="str">
        <f>IFERROR(__xludf.DUMMYFUNCTION("GOOGLETRANSLATE(F46,""en"",""zh-CN"")"),"一个“已死”的团体。")</f>
        <v>一个“已死”的团体。</v>
      </c>
      <c r="R46" s="5" t="str">
        <f>IFERROR(__xludf.DUMMYFUNCTION("GOOGLETRANSLATE(G46,""en"",""zh-CN"")"),"一个“sente”小组。")</f>
        <v>一个“sente”小组。</v>
      </c>
      <c r="S46" s="5" t="s">
        <v>2207</v>
      </c>
      <c r="T46" s="5" t="str">
        <f>IFERROR(__xludf.DUMMYFUNCTION("GOOGLETRANSLATE(H46,""en"",""zh-CN"")"),"一个“已死”的团体。")</f>
        <v>一个“已死”的团体。</v>
      </c>
      <c r="U46" s="5" t="str">
        <f>IFERROR(__xludf.DUMMYFUNCTION("GOOGLETRANSLATE(I46,""en"",""zh-CN"")"),"一组完全被包围且无法形成两个“眼睛”以求生存的石头被认为是“死的”，最终将被从棋盘上移除。")</f>
        <v>一组完全被包围且无法形成两个“眼睛”以求生存的石头被认为是“死的”，最终将被从棋盘上移除。</v>
      </c>
    </row>
    <row r="47" ht="22.5" customHeight="1">
      <c r="A47" s="3" t="s">
        <v>2208</v>
      </c>
      <c r="B47" s="4">
        <v>46.0</v>
      </c>
      <c r="C47" s="3" t="s">
        <v>1546</v>
      </c>
      <c r="D47" s="3" t="s">
        <v>1968</v>
      </c>
      <c r="E47" s="3" t="s">
        <v>2209</v>
      </c>
      <c r="F47" s="3" t="s">
        <v>2210</v>
      </c>
      <c r="G47" s="3" t="s">
        <v>2211</v>
      </c>
      <c r="H47" s="3" t="s">
        <v>2209</v>
      </c>
      <c r="I47" s="3" t="s">
        <v>1972</v>
      </c>
      <c r="L47" s="3" t="s">
        <v>2208</v>
      </c>
      <c r="M47" s="4">
        <v>46.0</v>
      </c>
      <c r="N47" s="5" t="str">
        <f>IFERROR(__xludf.DUMMYFUNCTION("GOOGLETRANSLATE(C47,""en"",""zh-CN"")"),"图中所示的主要动作是什么？")</f>
        <v>图中所示的主要动作是什么？</v>
      </c>
      <c r="O47" s="5" t="str">
        <f>IFERROR(__xludf.DUMMYFUNCTION("GOOGLETRANSLATE(D47,""en"",""zh-CN"")"),"一名玩家正在移动石子。")</f>
        <v>一名玩家正在移动石子。</v>
      </c>
      <c r="P47" s="5" t="str">
        <f>IFERROR(__xludf.DUMMYFUNCTION("GOOGLETRANSLATE(E47,""en"",""zh-CN"")"),"一名玩家在棋盘上放置一枚黑棋子。")</f>
        <v>一名玩家在棋盘上放置一枚黑棋子。</v>
      </c>
      <c r="Q47" s="5" t="str">
        <f>IFERROR(__xludf.DUMMYFUNCTION("GOOGLETRANSLATE(F47,""en"",""zh-CN"")"),"一名玩家正在移除被占领的棋子。")</f>
        <v>一名玩家正在移除被占领的棋子。</v>
      </c>
      <c r="R47" s="5" t="str">
        <f>IFERROR(__xludf.DUMMYFUNCTION("GOOGLETRANSLATE(G47,""en"",""zh-CN"")"),"一名玩家正在敲击棋盘。")</f>
        <v>一名玩家正在敲击棋盘。</v>
      </c>
      <c r="S47" s="5" t="s">
        <v>2212</v>
      </c>
      <c r="T47" s="5" t="str">
        <f>IFERROR(__xludf.DUMMYFUNCTION("GOOGLETRANSLATE(H47,""en"",""zh-CN"")"),"一名玩家在棋盘上放置一枚黑棋子。")</f>
        <v>一名玩家在棋盘上放置一枚黑棋子。</v>
      </c>
      <c r="U47" s="5" t="str">
        <f>IFERROR(__xludf.DUMMYFUNCTION("GOOGLETRANSLATE(I47,""en"",""zh-CN"")"),"图像显示一只手拿着一块黑色石头，将其放到网格上的一个空十字路口，这是移动的动作。")</f>
        <v>图像显示一只手拿着一块黑色石头，将其放到网格上的一个空十字路口，这是移动的动作。</v>
      </c>
    </row>
    <row r="48" ht="22.5" customHeight="1">
      <c r="A48" s="3" t="s">
        <v>2208</v>
      </c>
      <c r="B48" s="4">
        <v>47.0</v>
      </c>
      <c r="C48" s="3" t="s">
        <v>2213</v>
      </c>
      <c r="D48" s="3" t="s">
        <v>1975</v>
      </c>
      <c r="E48" s="3" t="s">
        <v>1977</v>
      </c>
      <c r="F48" s="3" t="s">
        <v>1978</v>
      </c>
      <c r="G48" s="3" t="s">
        <v>1976</v>
      </c>
      <c r="H48" s="3" t="s">
        <v>1977</v>
      </c>
      <c r="I48" s="3" t="s">
        <v>2214</v>
      </c>
      <c r="L48" s="3" t="s">
        <v>2208</v>
      </c>
      <c r="M48" s="4">
        <v>47.0</v>
      </c>
      <c r="N48" s="5" t="str">
        <f>IFERROR(__xludf.DUMMYFUNCTION("GOOGLETRANSLATE(C48,""en"",""zh-CN"")"),"玩家的手指以一种特定的方式握住冰壶。这种技巧叫什么？")</f>
        <v>玩家的手指以一种特定的方式握住冰壶。这种技巧叫什么？</v>
      </c>
      <c r="O48" s="5" t="str">
        <f>IFERROR(__xludf.DUMMYFUNCTION("GOOGLETRANSLATE(D48,""en"",""zh-CN"")"),"捏")</f>
        <v>捏</v>
      </c>
      <c r="P48" s="5" t="str">
        <f>IFERROR(__xludf.DUMMYFUNCTION("GOOGLETRANSLATE(E48,""en"",""zh-CN"")"),"“中国式”")</f>
        <v>“中国式”</v>
      </c>
      <c r="Q48" s="5" t="str">
        <f>IFERROR(__xludf.DUMMYFUNCTION("GOOGLETRANSLATE(F48,""en"",""zh-CN"")"),"“日式”风格")</f>
        <v>“日式”风格</v>
      </c>
      <c r="R48" s="5" t="str">
        <f>IFERROR(__xludf.DUMMYFUNCTION("GOOGLETRANSLATE(G48,""en"",""zh-CN"")"),"抓握")</f>
        <v>抓握</v>
      </c>
      <c r="S48" s="5" t="s">
        <v>2215</v>
      </c>
      <c r="T48" s="5" t="str">
        <f>IFERROR(__xludf.DUMMYFUNCTION("GOOGLETRANSLATE(H48,""en"",""zh-CN"")"),"“中国式”")</f>
        <v>“中国式”</v>
      </c>
      <c r="U48" s="5" t="str">
        <f>IFERROR(__xludf.DUMMYFUNCTION("GOOGLETRANSLATE(I48,""en"",""zh-CN"")"),"玩家用食指和拇指夹住冰球，食指弯曲放在冰球顶部，这是一种常见的握冰球方式，被称为“中国式”。")</f>
        <v>玩家用食指和拇指夹住冰球，食指弯曲放在冰球顶部，这是一种常见的握冰球方式，被称为“中国式”。</v>
      </c>
    </row>
    <row r="49" ht="22.5" customHeight="1">
      <c r="A49" s="3" t="s">
        <v>2208</v>
      </c>
      <c r="B49" s="4">
        <v>48.0</v>
      </c>
      <c r="C49" s="3" t="s">
        <v>2216</v>
      </c>
      <c r="D49" s="3" t="s">
        <v>2217</v>
      </c>
      <c r="E49" s="3" t="s">
        <v>2218</v>
      </c>
      <c r="F49" s="3" t="s">
        <v>2219</v>
      </c>
      <c r="G49" s="3" t="s">
        <v>2220</v>
      </c>
      <c r="H49" s="3" t="s">
        <v>2219</v>
      </c>
      <c r="I49" s="3" t="s">
        <v>2221</v>
      </c>
      <c r="L49" s="3" t="s">
        <v>2208</v>
      </c>
      <c r="M49" s="4">
        <v>48.0</v>
      </c>
      <c r="N49" s="5" t="str">
        <f>IFERROR(__xludf.DUMMYFUNCTION("GOOGLETRANSLATE(C49,""en"",""zh-CN"")"),"棋盘背景是深色的。这暗示着怎样的游戏环境？")</f>
        <v>棋盘背景是深色的。这暗示着怎样的游戏环境？</v>
      </c>
      <c r="O49" s="5" t="str">
        <f>IFERROR(__xludf.DUMMYFUNCTION("GOOGLETRANSLATE(D49,""en"",""zh-CN"")"),"它在一个非常黑暗的房间里。")</f>
        <v>它在一个非常黑暗的房间里。</v>
      </c>
      <c r="P49" s="5" t="str">
        <f>IFERROR(__xludf.DUMMYFUNCTION("GOOGLETRANSLATE(E49,""en"",""zh-CN"")"),"这是一个现代化的室内环境。")</f>
        <v>这是一个现代化的室内环境。</v>
      </c>
      <c r="Q49" s="5" t="str">
        <f>IFERROR(__xludf.DUMMYFUNCTION("GOOGLETRANSLATE(F49,""en"",""zh-CN"")"),"它是在专业或正式场合进行的。")</f>
        <v>它是在专业或正式场合进行的。</v>
      </c>
      <c r="R49" s="5" t="str">
        <f>IFERROR(__xludf.DUMMYFUNCTION("GOOGLETRANSLATE(G49,""en"",""zh-CN"")"),"这是一个古老的历史遗迹。")</f>
        <v>这是一个古老的历史遗迹。</v>
      </c>
      <c r="S49" s="5" t="s">
        <v>2222</v>
      </c>
      <c r="T49" s="5" t="str">
        <f>IFERROR(__xludf.DUMMYFUNCTION("GOOGLETRANSLATE(H49,""en"",""zh-CN"")"),"它是在专业或正式场合进行的。")</f>
        <v>它是在专业或正式场合进行的。</v>
      </c>
      <c r="U49" s="5" t="str">
        <f>IFERROR(__xludf.DUMMYFUNCTION("GOOGLETRANSLATE(I49,""en"",""zh-CN"")"),"黑色背景很可能是一种风格选择，旨在强调游戏本身，并暗示着正式或专业的环境，例如工作室或正式比赛。")</f>
        <v>黑色背景很可能是一种风格选择，旨在强调游戏本身，并暗示着正式或专业的环境，例如工作室或正式比赛。</v>
      </c>
    </row>
    <row r="50" ht="22.5" customHeight="1">
      <c r="A50" s="3" t="s">
        <v>2208</v>
      </c>
      <c r="B50" s="4">
        <v>49.0</v>
      </c>
      <c r="C50" s="3" t="s">
        <v>2223</v>
      </c>
      <c r="D50" s="3" t="s">
        <v>2224</v>
      </c>
      <c r="E50" s="3" t="s">
        <v>2225</v>
      </c>
      <c r="F50" s="3" t="s">
        <v>2226</v>
      </c>
      <c r="G50" s="3" t="s">
        <v>2227</v>
      </c>
      <c r="H50" s="3" t="s">
        <v>2225</v>
      </c>
      <c r="I50" s="3" t="s">
        <v>2228</v>
      </c>
      <c r="L50" s="3" t="s">
        <v>2208</v>
      </c>
      <c r="M50" s="4">
        <v>49.0</v>
      </c>
      <c r="N50" s="5" t="str">
        <f>IFERROR(__xludf.DUMMYFUNCTION("GOOGLETRANSLATE(C50,""en"",""zh-CN"")"),"棋子散落在棋盘各处。这表明游戏处于什么阶段？")</f>
        <v>棋子散落在棋盘各处。这表明游戏处于什么阶段？</v>
      </c>
      <c r="O50" s="5" t="str">
        <f>IFERROR(__xludf.DUMMYFUNCTION("GOOGLETRANSLATE(D50,""en"",""zh-CN"")"),"一切都始于最初。")</f>
        <v>一切都始于最初。</v>
      </c>
      <c r="P50" s="5" t="str">
        <f>IFERROR(__xludf.DUMMYFUNCTION("GOOGLETRANSLATE(E50,""en"",""zh-CN"")"),"这是游戏后期才会出现的情况。")</f>
        <v>这是游戏后期才会出现的情况。</v>
      </c>
      <c r="Q50" s="5" t="str">
        <f>IFERROR(__xludf.DUMMYFUNCTION("GOOGLETRANSLATE(F50,""en"",""zh-CN"")"),"这是一个简单的游戏。")</f>
        <v>这是一个简单的游戏。</v>
      </c>
      <c r="R50" s="5" t="str">
        <f>IFERROR(__xludf.DUMMYFUNCTION("GOOGLETRANSLATE(G50,""en"",""zh-CN"")"),"这是一场练习赛。")</f>
        <v>这是一场练习赛。</v>
      </c>
      <c r="S50" s="5" t="s">
        <v>2229</v>
      </c>
      <c r="T50" s="5" t="str">
        <f>IFERROR(__xludf.DUMMYFUNCTION("GOOGLETRANSLATE(H50,""en"",""zh-CN"")"),"这是游戏后期才会出现的情况。")</f>
        <v>这是游戏后期才会出现的情况。</v>
      </c>
      <c r="U50" s="5" t="str">
        <f>IFERROR(__xludf.DUMMYFUNCTION("GOOGLETRANSLATE(I50,""en"",""zh-CN"")"),"棋盘上大量的棋子表明游戏已经进行到中后期，战略性的领土争夺战正在如火如荼地进行。")</f>
        <v>棋盘上大量的棋子表明游戏已经进行到中后期，战略性的领土争夺战正在如火如荼地进行。</v>
      </c>
    </row>
    <row r="51" ht="22.5" customHeight="1">
      <c r="A51" s="3" t="s">
        <v>2208</v>
      </c>
      <c r="B51" s="4">
        <v>50.0</v>
      </c>
      <c r="C51" s="3" t="s">
        <v>2230</v>
      </c>
      <c r="D51" s="3" t="s">
        <v>2231</v>
      </c>
      <c r="E51" s="3" t="s">
        <v>2232</v>
      </c>
      <c r="F51" s="3" t="s">
        <v>2233</v>
      </c>
      <c r="G51" s="3" t="s">
        <v>1057</v>
      </c>
      <c r="H51" s="3" t="s">
        <v>1057</v>
      </c>
      <c r="I51" s="3" t="s">
        <v>2234</v>
      </c>
      <c r="L51" s="3" t="s">
        <v>2208</v>
      </c>
      <c r="M51" s="4">
        <v>50.0</v>
      </c>
      <c r="N51" s="5" t="str">
        <f>IFERROR(__xludf.DUMMYFUNCTION("GOOGLETRANSLATE(C51,""en"",""zh-CN"")"),"在围棋游戏中，“走棋”的主要目的是什么？")</f>
        <v>在围棋游戏中，“走棋”的主要目的是什么？</v>
      </c>
      <c r="O51" s="5" t="str">
        <f>IFERROR(__xludf.DUMMYFUNCTION("GOOGLETRANSLATE(D51,""en"",""zh-CN"")"),"吃掉对方的棋子。")</f>
        <v>吃掉对方的棋子。</v>
      </c>
      <c r="P51" s="5" t="str">
        <f>IFERROR(__xludf.DUMMYFUNCTION("GOOGLETRANSLATE(E51,""en"",""zh-CN"")"),"为了保护自己的石头。")</f>
        <v>为了保护自己的石头。</v>
      </c>
      <c r="Q51" s="5" t="str">
        <f>IFERROR(__xludf.DUMMYFUNCTION("GOOGLETRANSLATE(F51,""en"",""zh-CN"")"),"扩大自身的影响力和领土。")</f>
        <v>扩大自身的影响力和领土。</v>
      </c>
      <c r="R51" s="5" t="str">
        <f>IFERROR(__xludf.DUMMYFUNCTION("GOOGLETRANSLATE(G51,""en"",""zh-CN"")"),"上述所有的。")</f>
        <v>上述所有的。</v>
      </c>
      <c r="S51" s="5" t="s">
        <v>2235</v>
      </c>
      <c r="T51" s="5" t="str">
        <f>IFERROR(__xludf.DUMMYFUNCTION("GOOGLETRANSLATE(H51,""en"",""zh-CN"")"),"上述所有的。")</f>
        <v>上述所有的。</v>
      </c>
      <c r="U51" s="5" t="str">
        <f>IFERROR(__xludf.DUMMYFUNCTION("GOOGLETRANSLATE(I51,""en"",""zh-CN"")"),"围棋中的一步棋可以达到多种目的，包括吃掉对方的棋子、保护自己的一部分棋子，以及最重要的，扩大自己的领地。")</f>
        <v>围棋中的一步棋可以达到多种目的，包括吃掉对方的棋子、保护自己的一部分棋子，以及最重要的，扩大自己的领地。</v>
      </c>
    </row>
    <row r="52" ht="22.5" customHeight="1">
      <c r="A52" s="3" t="s">
        <v>2236</v>
      </c>
      <c r="B52" s="4">
        <v>51.0</v>
      </c>
      <c r="C52" s="3" t="s">
        <v>1897</v>
      </c>
      <c r="D52" s="3" t="s">
        <v>1898</v>
      </c>
      <c r="E52" s="3" t="s">
        <v>1899</v>
      </c>
      <c r="F52" s="3" t="s">
        <v>1900</v>
      </c>
      <c r="G52" s="3" t="s">
        <v>1901</v>
      </c>
      <c r="H52" s="3" t="s">
        <v>1899</v>
      </c>
      <c r="I52" s="3" t="s">
        <v>2237</v>
      </c>
      <c r="J52" s="2"/>
      <c r="K52" s="2"/>
      <c r="L52" s="3" t="s">
        <v>2236</v>
      </c>
      <c r="M52" s="4">
        <v>51.0</v>
      </c>
      <c r="N52" s="5" t="str">
        <f>IFERROR(__xludf.DUMMYFUNCTION("GOOGLETRANSLATE(C52,""en"",""zh-CN"")"),"图片中展示的是什么游戏？")</f>
        <v>图片中展示的是什么游戏？</v>
      </c>
      <c r="O52" s="5" t="str">
        <f>IFERROR(__xludf.DUMMYFUNCTION("GOOGLETRANSLATE(D52,""en"",""zh-CN"")"),"棋")</f>
        <v>棋</v>
      </c>
      <c r="P52" s="5" t="str">
        <f>IFERROR(__xludf.DUMMYFUNCTION("GOOGLETRANSLATE(E52,""en"",""zh-CN"")"),"围棋")</f>
        <v>围棋</v>
      </c>
      <c r="Q52" s="5" t="str">
        <f>IFERROR(__xludf.DUMMYFUNCTION("GOOGLETRANSLATE(F52,""en"",""zh-CN"")"),"跳棋")</f>
        <v>跳棋</v>
      </c>
      <c r="R52" s="5" t="str">
        <f>IFERROR(__xludf.DUMMYFUNCTION("GOOGLETRANSLATE(G52,""en"",""zh-CN"")"),"双陆棋")</f>
        <v>双陆棋</v>
      </c>
      <c r="S52" s="5" t="s">
        <v>2238</v>
      </c>
      <c r="T52" s="5" t="str">
        <f>IFERROR(__xludf.DUMMYFUNCTION("GOOGLETRANSLATE(H52,""en"",""zh-CN"")"),"围棋")</f>
        <v>围棋</v>
      </c>
      <c r="U52" s="5" t="str">
        <f>IFERROR(__xludf.DUMMYFUNCTION("GOOGLETRANSLATE(I52,""en"",""zh-CN"")"),"图中显示了一个方形棋盘，棋盘上有网格，棋子有两枚，一白一黑，以及它们各自的棋碗，这些都是围棋（又称围棋）的标志性特征。")</f>
        <v>图中显示了一个方形棋盘，棋盘上有网格，棋子有两枚，一白一黑，以及它们各自的棋碗，这些都是围棋（又称围棋）的标志性特征。</v>
      </c>
      <c r="V52" s="2"/>
      <c r="W52" s="2"/>
      <c r="X52" s="2"/>
      <c r="Y52" s="2"/>
      <c r="Z52" s="2"/>
      <c r="AA52" s="2"/>
      <c r="AB52" s="2"/>
      <c r="AC52" s="2"/>
      <c r="AD52" s="2"/>
      <c r="AE52" s="2"/>
      <c r="AF52" s="2"/>
      <c r="AG52" s="2"/>
      <c r="AH52" s="2"/>
      <c r="AI52" s="2"/>
      <c r="AJ52" s="2"/>
      <c r="AK52" s="2"/>
      <c r="AL52" s="2"/>
    </row>
    <row r="53" ht="22.5" customHeight="1">
      <c r="A53" s="3" t="s">
        <v>2236</v>
      </c>
      <c r="B53" s="4">
        <v>52.0</v>
      </c>
      <c r="C53" s="3" t="s">
        <v>2239</v>
      </c>
      <c r="D53" s="3" t="s">
        <v>2240</v>
      </c>
      <c r="E53" s="3" t="s">
        <v>1919</v>
      </c>
      <c r="F53" s="3" t="s">
        <v>1920</v>
      </c>
      <c r="G53" s="3" t="s">
        <v>1921</v>
      </c>
      <c r="H53" s="3" t="s">
        <v>1919</v>
      </c>
      <c r="I53" s="3" t="s">
        <v>1922</v>
      </c>
      <c r="J53" s="2"/>
      <c r="K53" s="2"/>
      <c r="L53" s="3" t="s">
        <v>2236</v>
      </c>
      <c r="M53" s="4">
        <v>52.0</v>
      </c>
      <c r="N53" s="5" t="str">
        <f>IFERROR(__xludf.DUMMYFUNCTION("GOOGLETRANSLATE(C53,""en"",""zh-CN"")"),"图中围棋棋盘最显著的特点是什么？")</f>
        <v>图中围棋棋盘最显著的特点是什么？</v>
      </c>
      <c r="O53" s="5" t="str">
        <f>IFERROR(__xludf.DUMMYFUNCTION("GOOGLETRANSLATE(D53,""en"",""zh-CN"")"),"它是棋盘格图案。")</f>
        <v>它是棋盘格图案。</v>
      </c>
      <c r="P53" s="5" t="str">
        <f>IFERROR(__xludf.DUMMYFUNCTION("GOOGLETRANSLATE(E53,""en"",""zh-CN"")"),"这是一个有交叉点的正方形网格。")</f>
        <v>这是一个有交叉点的正方形网格。</v>
      </c>
      <c r="Q53" s="5" t="str">
        <f>IFERROR(__xludf.DUMMYFUNCTION("GOOGLETRANSLATE(F53,""en"",""zh-CN"")"),"它呈圆形图案。")</f>
        <v>它呈圆形图案。</v>
      </c>
      <c r="R53" s="5" t="str">
        <f>IFERROR(__xludf.DUMMYFUNCTION("GOOGLETRANSLATE(G53,""en"",""zh-CN"")"),"这是一块很大的纯色木板。")</f>
        <v>这是一块很大的纯色木板。</v>
      </c>
      <c r="S53" s="5" t="s">
        <v>2241</v>
      </c>
      <c r="T53" s="5" t="str">
        <f>IFERROR(__xludf.DUMMYFUNCTION("GOOGLETRANSLATE(H53,""en"",""zh-CN"")"),"这是一个有交叉点的正方形网格。")</f>
        <v>这是一个有交叉点的正方形网格。</v>
      </c>
      <c r="U53" s="5" t="str">
        <f>IFERROR(__xludf.DUMMYFUNCTION("GOOGLETRANSLATE(I53,""en"",""zh-CN"")"),"围棋棋盘是由线条组成的网格，棋子（棋子）放置在这些线条的交点上，而不是放置在方格内。")</f>
        <v>围棋棋盘是由线条组成的网格，棋子（棋子）放置在这些线条的交点上，而不是放置在方格内。</v>
      </c>
      <c r="V53" s="2"/>
      <c r="W53" s="2"/>
      <c r="X53" s="2"/>
      <c r="Y53" s="2"/>
      <c r="Z53" s="2"/>
      <c r="AA53" s="2"/>
      <c r="AB53" s="2"/>
      <c r="AC53" s="2"/>
      <c r="AD53" s="2"/>
      <c r="AE53" s="2"/>
      <c r="AF53" s="2"/>
      <c r="AG53" s="2"/>
      <c r="AH53" s="2"/>
      <c r="AI53" s="2"/>
      <c r="AJ53" s="2"/>
      <c r="AK53" s="2"/>
      <c r="AL53" s="2"/>
    </row>
    <row r="54" ht="22.5" customHeight="1">
      <c r="A54" s="3" t="s">
        <v>2236</v>
      </c>
      <c r="B54" s="4">
        <v>53.0</v>
      </c>
      <c r="C54" s="3" t="s">
        <v>1924</v>
      </c>
      <c r="D54" s="3" t="s">
        <v>1925</v>
      </c>
      <c r="E54" s="3" t="s">
        <v>1926</v>
      </c>
      <c r="F54" s="3" t="s">
        <v>1927</v>
      </c>
      <c r="G54" s="3" t="s">
        <v>1928</v>
      </c>
      <c r="H54" s="3" t="s">
        <v>1926</v>
      </c>
      <c r="I54" s="3" t="s">
        <v>1929</v>
      </c>
      <c r="J54" s="2"/>
      <c r="K54" s="2"/>
      <c r="L54" s="3" t="s">
        <v>2236</v>
      </c>
      <c r="M54" s="4">
        <v>53.0</v>
      </c>
      <c r="N54" s="5" t="str">
        <f>IFERROR(__xludf.DUMMYFUNCTION("GOOGLETRANSLATE(C54,""en"",""zh-CN"")"),"这两个木碗是做什么用的？")</f>
        <v>这两个木碗是做什么用的？</v>
      </c>
      <c r="O54" s="5" t="str">
        <f>IFERROR(__xludf.DUMMYFUNCTION("GOOGLETRANSLATE(D54,""en"",""zh-CN"")"),"用于储存捕获的石头。")</f>
        <v>用于储存捕获的石头。</v>
      </c>
      <c r="P54" s="5" t="str">
        <f>IFERROR(__xludf.DUMMYFUNCTION("GOOGLETRANSLATE(E54,""en"",""zh-CN"")"),"用来存放玩家自己的棋子。")</f>
        <v>用来存放玩家自己的棋子。</v>
      </c>
      <c r="Q54" s="5" t="str">
        <f>IFERROR(__xludf.DUMMYFUNCTION("GOOGLETRANSLATE(F54,""en"",""zh-CN"")"),"用来存放玩家多余的棋子。")</f>
        <v>用来存放玩家多余的棋子。</v>
      </c>
      <c r="R54" s="5" t="str">
        <f>IFERROR(__xludf.DUMMYFUNCTION("GOOGLETRANSLATE(G54,""en"",""zh-CN"")"),"可用作计时器。")</f>
        <v>可用作计时器。</v>
      </c>
      <c r="S54" s="5" t="s">
        <v>1930</v>
      </c>
      <c r="T54" s="5" t="str">
        <f>IFERROR(__xludf.DUMMYFUNCTION("GOOGLETRANSLATE(H54,""en"",""zh-CN"")"),"用来存放玩家自己的棋子。")</f>
        <v>用来存放玩家自己的棋子。</v>
      </c>
      <c r="U54" s="5" t="str">
        <f>IFERROR(__xludf.DUMMYFUNCTION("GOOGLETRANSLATE(I54,""en"",""zh-CN"")"),"这些碗，称为围棋碗或棋盘碗，是用来存放每位玩家在比赛期间放置在棋盘上的黑白棋子的。")</f>
        <v>这些碗，称为围棋碗或棋盘碗，是用来存放每位玩家在比赛期间放置在棋盘上的黑白棋子的。</v>
      </c>
      <c r="V54" s="2"/>
      <c r="W54" s="2"/>
      <c r="X54" s="2"/>
      <c r="Y54" s="2"/>
      <c r="Z54" s="2"/>
      <c r="AA54" s="2"/>
      <c r="AB54" s="2"/>
      <c r="AC54" s="2"/>
      <c r="AD54" s="2"/>
      <c r="AE54" s="2"/>
      <c r="AF54" s="2"/>
      <c r="AG54" s="2"/>
      <c r="AH54" s="2"/>
      <c r="AI54" s="2"/>
      <c r="AJ54" s="2"/>
      <c r="AK54" s="2"/>
      <c r="AL54" s="2"/>
    </row>
    <row r="55" ht="22.5" customHeight="1">
      <c r="A55" s="3" t="s">
        <v>2236</v>
      </c>
      <c r="B55" s="4">
        <v>54.0</v>
      </c>
      <c r="C55" s="3" t="s">
        <v>2242</v>
      </c>
      <c r="D55" s="3" t="s">
        <v>2243</v>
      </c>
      <c r="E55" s="3" t="s">
        <v>2244</v>
      </c>
      <c r="F55" s="3" t="s">
        <v>2245</v>
      </c>
      <c r="G55" s="3" t="s">
        <v>1947</v>
      </c>
      <c r="H55" s="3" t="s">
        <v>2244</v>
      </c>
      <c r="I55" s="3" t="s">
        <v>2246</v>
      </c>
      <c r="J55" s="2"/>
      <c r="K55" s="2"/>
      <c r="L55" s="3" t="s">
        <v>2236</v>
      </c>
      <c r="M55" s="4">
        <v>54.0</v>
      </c>
      <c r="N55" s="5" t="str">
        <f>IFERROR(__xludf.DUMMYFUNCTION("GOOGLETRANSLATE(C55,""en"",""zh-CN"")"),"棋盘上的大量空白区域说明了什么？")</f>
        <v>棋盘上的大量空白区域说明了什么？</v>
      </c>
      <c r="O55" s="5" t="str">
        <f>IFERROR(__xludf.DUMMYFUNCTION("GOOGLETRANSLATE(D55,""en"",""zh-CN"")"),"游戏结束了。")</f>
        <v>游戏结束了。</v>
      </c>
      <c r="P55" s="5" t="str">
        <f>IFERROR(__xludf.DUMMYFUNCTION("GOOGLETRANSLATE(E55,""en"",""zh-CN"")"),"比赛即将开始。")</f>
        <v>比赛即将开始。</v>
      </c>
      <c r="Q55" s="5" t="str">
        <f>IFERROR(__xludf.DUMMYFUNCTION("GOOGLETRANSLATE(F55,""en"",""zh-CN"")"),"游戏结束了。")</f>
        <v>游戏结束了。</v>
      </c>
      <c r="R55" s="5" t="str">
        <f>IFERROR(__xludf.DUMMYFUNCTION("GOOGLETRANSLATE(G55,""en"",""zh-CN"")"),"游戏正处于一个复杂的阶段。")</f>
        <v>游戏正处于一个复杂的阶段。</v>
      </c>
      <c r="S55" s="5" t="s">
        <v>2247</v>
      </c>
      <c r="T55" s="5" t="str">
        <f>IFERROR(__xludf.DUMMYFUNCTION("GOOGLETRANSLATE(H55,""en"",""zh-CN"")"),"比赛即将开始。")</f>
        <v>比赛即将开始。</v>
      </c>
      <c r="U55" s="5" t="str">
        <f>IFERROR(__xludf.DUMMYFUNCTION("GOOGLETRANSLATE(I55,""en"",""zh-CN"")"),"棋盘上几乎空无一物，每位玩家只有一颗棋子，这表明游戏还处于非常早期的阶段。")</f>
        <v>棋盘上几乎空无一物，每位玩家只有一颗棋子，这表明游戏还处于非常早期的阶段。</v>
      </c>
      <c r="V55" s="2"/>
      <c r="W55" s="2"/>
      <c r="X55" s="2"/>
      <c r="Y55" s="2"/>
      <c r="Z55" s="2"/>
      <c r="AA55" s="2"/>
      <c r="AB55" s="2"/>
      <c r="AC55" s="2"/>
      <c r="AD55" s="2"/>
      <c r="AE55" s="2"/>
      <c r="AF55" s="2"/>
      <c r="AG55" s="2"/>
      <c r="AH55" s="2"/>
      <c r="AI55" s="2"/>
      <c r="AJ55" s="2"/>
      <c r="AK55" s="2"/>
      <c r="AL55" s="2"/>
    </row>
    <row r="56" ht="22.5" customHeight="1">
      <c r="A56" s="3" t="s">
        <v>2236</v>
      </c>
      <c r="B56" s="4">
        <v>55.0</v>
      </c>
      <c r="C56" s="3" t="s">
        <v>2248</v>
      </c>
      <c r="D56" s="3" t="s">
        <v>2249</v>
      </c>
      <c r="E56" s="3" t="s">
        <v>2250</v>
      </c>
      <c r="F56" s="3" t="s">
        <v>2251</v>
      </c>
      <c r="G56" s="3" t="s">
        <v>2252</v>
      </c>
      <c r="H56" s="3" t="s">
        <v>2250</v>
      </c>
      <c r="I56" s="3" t="s">
        <v>2253</v>
      </c>
      <c r="J56" s="2"/>
      <c r="K56" s="2"/>
      <c r="L56" s="3" t="s">
        <v>2236</v>
      </c>
      <c r="M56" s="4">
        <v>55.0</v>
      </c>
      <c r="N56" s="5" t="str">
        <f>IFERROR(__xludf.DUMMYFUNCTION("GOOGLETRANSLATE(C56,""en"",""zh-CN"")"),"棋盘上每位玩家放置的那颗棋子有什么作用？")</f>
        <v>棋盘上每位玩家放置的那颗棋子有什么作用？</v>
      </c>
      <c r="O56" s="5" t="str">
        <f>IFERROR(__xludf.DUMMYFUNCTION("GOOGLETRANSLATE(D56,""en"",""zh-CN"")"),"这是随机放置的。")</f>
        <v>这是随机放置的。</v>
      </c>
      <c r="P56" s="5" t="str">
        <f>IFERROR(__xludf.DUMMYFUNCTION("GOOGLETRANSLATE(E56,""en"",""zh-CN"")"),"这是游戏的第一步。")</f>
        <v>这是游戏的第一步。</v>
      </c>
      <c r="Q56" s="5" t="str">
        <f>IFERROR(__xludf.DUMMYFUNCTION("GOOGLETRANSLATE(F56,""en"",""zh-CN"")"),"这是为了标记某个特定点。")</f>
        <v>这是为了标记某个特定点。</v>
      </c>
      <c r="R56" s="5" t="str">
        <f>IFERROR(__xludf.DUMMYFUNCTION("GOOGLETRANSLATE(G56,""en"",""zh-CN"")"),"这表示平局。")</f>
        <v>这表示平局。</v>
      </c>
      <c r="S56" s="5" t="s">
        <v>2254</v>
      </c>
      <c r="T56" s="5" t="str">
        <f>IFERROR(__xludf.DUMMYFUNCTION("GOOGLETRANSLATE(H56,""en"",""zh-CN"")"),"这是游戏的第一步。")</f>
        <v>这是游戏的第一步。</v>
      </c>
      <c r="U56" s="5" t="str">
        <f>IFERROR(__xludf.DUMMYFUNCTION("GOOGLETRANSLATE(I56,""en"",""zh-CN"")"),"在棋盘上放置一黑一白两颗棋子标志着游戏的开始，玩家们将进行最初的几步棋。")</f>
        <v>在棋盘上放置一黑一白两颗棋子标志着游戏的开始，玩家们将进行最初的几步棋。</v>
      </c>
      <c r="V56" s="2"/>
      <c r="W56" s="2"/>
      <c r="X56" s="2"/>
      <c r="Y56" s="2"/>
      <c r="Z56" s="2"/>
      <c r="AA56" s="2"/>
      <c r="AB56" s="2"/>
      <c r="AC56" s="2"/>
      <c r="AD56" s="2"/>
      <c r="AE56" s="2"/>
      <c r="AF56" s="2"/>
      <c r="AG56" s="2"/>
      <c r="AH56" s="2"/>
      <c r="AI56" s="2"/>
      <c r="AJ56" s="2"/>
      <c r="AK56" s="2"/>
      <c r="AL56" s="2"/>
    </row>
    <row r="57" ht="22.5" customHeight="1">
      <c r="A57" s="3" t="s">
        <v>2255</v>
      </c>
      <c r="B57" s="4">
        <v>56.0</v>
      </c>
      <c r="C57" s="3" t="s">
        <v>1546</v>
      </c>
      <c r="D57" s="3" t="s">
        <v>2002</v>
      </c>
      <c r="E57" s="3" t="s">
        <v>2003</v>
      </c>
      <c r="F57" s="3" t="s">
        <v>2004</v>
      </c>
      <c r="G57" s="3" t="s">
        <v>2005</v>
      </c>
      <c r="H57" s="3" t="s">
        <v>2003</v>
      </c>
      <c r="I57" s="3" t="s">
        <v>2256</v>
      </c>
      <c r="J57" s="2"/>
      <c r="K57" s="2"/>
      <c r="L57" s="3" t="s">
        <v>2255</v>
      </c>
      <c r="M57" s="4">
        <v>56.0</v>
      </c>
      <c r="N57" s="5" t="str">
        <f>IFERROR(__xludf.DUMMYFUNCTION("GOOGLETRANSLATE(C57,""en"",""zh-CN"")"),"图中所示的主要动作是什么？")</f>
        <v>图中所示的主要动作是什么？</v>
      </c>
      <c r="O57" s="5" t="str">
        <f>IFERROR(__xludf.DUMMYFUNCTION("GOOGLETRANSLATE(D57,""en"",""zh-CN"")"),"一名玩家正在吃掉一颗棋子。")</f>
        <v>一名玩家正在吃掉一颗棋子。</v>
      </c>
      <c r="P57" s="5" t="str">
        <f>IFERROR(__xludf.DUMMYFUNCTION("GOOGLETRANSLATE(E57,""en"",""zh-CN"")"),"一名玩家正在放置一枚白色棋子。")</f>
        <v>一名玩家正在放置一枚白色棋子。</v>
      </c>
      <c r="Q57" s="5" t="str">
        <f>IFERROR(__xludf.DUMMYFUNCTION("GOOGLETRANSLATE(F57,""en"",""zh-CN"")"),"一名玩家正在从棋盘上移除一颗棋子。")</f>
        <v>一名玩家正在从棋盘上移除一颗棋子。</v>
      </c>
      <c r="R57" s="5" t="str">
        <f>IFERROR(__xludf.DUMMYFUNCTION("GOOGLETRANSLATE(G57,""en"",""zh-CN"")"),"一名玩家正在棋盘上移动棋子。")</f>
        <v>一名玩家正在棋盘上移动棋子。</v>
      </c>
      <c r="S57" s="5" t="s">
        <v>2007</v>
      </c>
      <c r="T57" s="5" t="str">
        <f>IFERROR(__xludf.DUMMYFUNCTION("GOOGLETRANSLATE(H57,""en"",""zh-CN"")"),"一名玩家正在放置一枚白色棋子。")</f>
        <v>一名玩家正在放置一枚白色棋子。</v>
      </c>
      <c r="U57" s="5" t="str">
        <f>IFERROR(__xludf.DUMMYFUNCTION("GOOGLETRANSLATE(I57,""en"",""zh-CN"")"),"这张图片捕捉到了玩家即将把白棋子放在棋盘上的瞬间，这是游戏中一个标准的走法。")</f>
        <v>这张图片捕捉到了玩家即将把白棋子放在棋盘上的瞬间，这是游戏中一个标准的走法。</v>
      </c>
      <c r="V57" s="2"/>
      <c r="W57" s="2"/>
      <c r="X57" s="2"/>
      <c r="Y57" s="2"/>
      <c r="Z57" s="2"/>
      <c r="AA57" s="2"/>
      <c r="AB57" s="2"/>
      <c r="AC57" s="2"/>
      <c r="AD57" s="2"/>
      <c r="AE57" s="2"/>
      <c r="AF57" s="2"/>
      <c r="AG57" s="2"/>
      <c r="AH57" s="2"/>
      <c r="AI57" s="2"/>
      <c r="AJ57" s="2"/>
      <c r="AK57" s="2"/>
      <c r="AL57" s="2"/>
    </row>
    <row r="58" ht="22.5" customHeight="1">
      <c r="A58" s="3" t="s">
        <v>2255</v>
      </c>
      <c r="B58" s="4">
        <v>57.0</v>
      </c>
      <c r="C58" s="3" t="s">
        <v>2257</v>
      </c>
      <c r="D58" s="3" t="s">
        <v>2009</v>
      </c>
      <c r="E58" s="3" t="s">
        <v>2010</v>
      </c>
      <c r="F58" s="3" t="s">
        <v>2012</v>
      </c>
      <c r="G58" s="3" t="s">
        <v>2011</v>
      </c>
      <c r="H58" s="3" t="s">
        <v>2010</v>
      </c>
      <c r="I58" s="3" t="s">
        <v>2258</v>
      </c>
      <c r="J58" s="2"/>
      <c r="K58" s="2"/>
      <c r="L58" s="3" t="s">
        <v>2255</v>
      </c>
      <c r="M58" s="4">
        <v>57.0</v>
      </c>
      <c r="N58" s="5" t="str">
        <f>IFERROR(__xludf.DUMMYFUNCTION("GOOGLETRANSLATE(C58,""en"",""zh-CN"")"),"为什么有些石头会以松散的小群形式排列？")</f>
        <v>为什么有些石头会以松散的小群形式排列？</v>
      </c>
      <c r="O58" s="5" t="str">
        <f>IFERROR(__xludf.DUMMYFUNCTION("GOOGLETRANSLATE(D58,""en"",""zh-CN"")"),"阻挡对手。")</f>
        <v>阻挡对手。</v>
      </c>
      <c r="P58" s="5" t="str">
        <f>IFERROR(__xludf.DUMMYFUNCTION("GOOGLETRANSLATE(E58,""en"",""zh-CN"")"),"划分领地，创造生存的“眼睛”。")</f>
        <v>划分领地，创造生存的“眼睛”。</v>
      </c>
      <c r="Q58" s="5" t="str">
        <f>IFERROR(__xludf.DUMMYFUNCTION("GOOGLETRANSLATE(F58,""en"",""zh-CN"")"),"迷惑对手。")</f>
        <v>迷惑对手。</v>
      </c>
      <c r="R58" s="5" t="str">
        <f>IFERROR(__xludf.DUMMYFUNCTION("GOOGLETRANSLATE(G58,""en"",""zh-CN"")"),"创造美丽的图案。")</f>
        <v>创造美丽的图案。</v>
      </c>
      <c r="S58" s="5" t="s">
        <v>2259</v>
      </c>
      <c r="T58" s="5" t="str">
        <f>IFERROR(__xludf.DUMMYFUNCTION("GOOGLETRANSLATE(H58,""en"",""zh-CN"")"),"划分领地，创造生存的“眼睛”。")</f>
        <v>划分领地，创造生存的“眼睛”。</v>
      </c>
      <c r="U58" s="5" t="str">
        <f>IFERROR(__xludf.DUMMYFUNCTION("GOOGLETRANSLATE(I58,""en"",""zh-CN"")"),"这些石头被成组地放置，以扩大影响力并建立领地，同时也能形成“眼睛”，即空隙，以确保该群体不会被俘虏。")</f>
        <v>这些石头被成组地放置，以扩大影响力并建立领地，同时也能形成“眼睛”，即空隙，以确保该群体不会被俘虏。</v>
      </c>
      <c r="V58" s="2"/>
      <c r="W58" s="2"/>
      <c r="X58" s="2"/>
      <c r="Y58" s="2"/>
      <c r="Z58" s="2"/>
      <c r="AA58" s="2"/>
      <c r="AB58" s="2"/>
      <c r="AC58" s="2"/>
      <c r="AD58" s="2"/>
      <c r="AE58" s="2"/>
      <c r="AF58" s="2"/>
      <c r="AG58" s="2"/>
      <c r="AH58" s="2"/>
      <c r="AI58" s="2"/>
      <c r="AJ58" s="2"/>
      <c r="AK58" s="2"/>
      <c r="AL58" s="2"/>
    </row>
    <row r="59" ht="22.5" customHeight="1">
      <c r="A59" s="3" t="s">
        <v>2255</v>
      </c>
      <c r="B59" s="4">
        <v>58.0</v>
      </c>
      <c r="C59" s="3" t="s">
        <v>2260</v>
      </c>
      <c r="D59" s="3" t="s">
        <v>2016</v>
      </c>
      <c r="E59" s="3" t="s">
        <v>2017</v>
      </c>
      <c r="F59" s="3" t="s">
        <v>2018</v>
      </c>
      <c r="G59" s="3" t="s">
        <v>2019</v>
      </c>
      <c r="H59" s="3" t="s">
        <v>2019</v>
      </c>
      <c r="I59" s="3" t="s">
        <v>2020</v>
      </c>
      <c r="J59" s="2"/>
      <c r="K59" s="2"/>
      <c r="L59" s="3" t="s">
        <v>2255</v>
      </c>
      <c r="M59" s="4">
        <v>58.0</v>
      </c>
      <c r="N59" s="5" t="str">
        <f>IFERROR(__xludf.DUMMYFUNCTION("GOOGLETRANSLATE(C59,""en"",""zh-CN"")"),"纯色背景的主要用途是什么？")</f>
        <v>纯色背景的主要用途是什么？</v>
      </c>
      <c r="O59" s="5" t="str">
        <f>IFERROR(__xludf.DUMMYFUNCTION("GOOGLETRANSLATE(D59,""en"",""zh-CN"")"),"分散观众注意力。")</f>
        <v>分散观众注意力。</v>
      </c>
      <c r="P59" s="5" t="str">
        <f>IFERROR(__xludf.DUMMYFUNCTION("GOOGLETRANSLATE(E59,""en"",""zh-CN"")"),"营造平静的氛围。")</f>
        <v>营造平静的氛围。</v>
      </c>
      <c r="Q59" s="5" t="str">
        <f>IFERROR(__xludf.DUMMYFUNCTION("GOOGLETRANSLATE(F59,""en"",""zh-CN"")"),"为了让黑色石头更加突出。")</f>
        <v>为了让黑色石头更加突出。</v>
      </c>
      <c r="R59" s="5" t="str">
        <f>IFERROR(__xludf.DUMMYFUNCTION("GOOGLETRANSLATE(G59,""en"",""zh-CN"")"),"为游戏提供简洁、清晰的视觉焦点。")</f>
        <v>为游戏提供简洁、清晰的视觉焦点。</v>
      </c>
      <c r="S59" s="5" t="s">
        <v>2021</v>
      </c>
      <c r="T59" s="5" t="str">
        <f>IFERROR(__xludf.DUMMYFUNCTION("GOOGLETRANSLATE(H59,""en"",""zh-CN"")"),"为游戏提供简洁、清晰的视觉焦点。")</f>
        <v>为游戏提供简洁、清晰的视觉焦点。</v>
      </c>
      <c r="U59" s="5" t="str">
        <f>IFERROR(__xludf.DUMMYFUNCTION("GOOGLETRANSLATE(I59,""en"",""zh-CN"")"),"纯白的背景消除了干扰，使观众能够完全专注于正在进行的游戏，包括手牌、棋盘和棋子。")</f>
        <v>纯白的背景消除了干扰，使观众能够完全专注于正在进行的游戏，包括手牌、棋盘和棋子。</v>
      </c>
      <c r="V59" s="2"/>
      <c r="W59" s="2"/>
      <c r="X59" s="2"/>
      <c r="Y59" s="2"/>
      <c r="Z59" s="2"/>
      <c r="AA59" s="2"/>
      <c r="AB59" s="2"/>
      <c r="AC59" s="2"/>
      <c r="AD59" s="2"/>
      <c r="AE59" s="2"/>
      <c r="AF59" s="2"/>
      <c r="AG59" s="2"/>
      <c r="AH59" s="2"/>
      <c r="AI59" s="2"/>
      <c r="AJ59" s="2"/>
      <c r="AK59" s="2"/>
      <c r="AL59" s="2"/>
    </row>
    <row r="60" ht="22.5" customHeight="1">
      <c r="A60" s="3" t="s">
        <v>2255</v>
      </c>
      <c r="B60" s="4">
        <v>59.0</v>
      </c>
      <c r="C60" s="3" t="s">
        <v>2261</v>
      </c>
      <c r="D60" s="3" t="s">
        <v>2023</v>
      </c>
      <c r="E60" s="3" t="s">
        <v>2024</v>
      </c>
      <c r="F60" s="3" t="s">
        <v>2025</v>
      </c>
      <c r="G60" s="3" t="s">
        <v>2026</v>
      </c>
      <c r="H60" s="3" t="s">
        <v>2025</v>
      </c>
      <c r="I60" s="3" t="s">
        <v>2027</v>
      </c>
      <c r="J60" s="2"/>
      <c r="K60" s="2"/>
      <c r="L60" s="3" t="s">
        <v>2255</v>
      </c>
      <c r="M60" s="4">
        <v>59.0</v>
      </c>
      <c r="N60" s="5" t="str">
        <f>IFERROR(__xludf.DUMMYFUNCTION("GOOGLETRANSLATE(C60,""en"",""zh-CN"")"),"如图所示，这些黑色石头的战略目标是什么？")</f>
        <v>如图所示，这些黑色石头的战略目标是什么？</v>
      </c>
      <c r="O60" s="5" t="str">
        <f>IFERROR(__xludf.DUMMYFUNCTION("GOOGLETRANSLATE(D60,""en"",""zh-CN"")"),"围绕一块白色石头。")</f>
        <v>围绕一块白色石头。</v>
      </c>
      <c r="P60" s="5" t="str">
        <f>IFERROR(__xludf.DUMMYFUNCTION("GOOGLETRANSLATE(E60,""en"",""zh-CN"")"),"形成一个覆盖整个市场的庞大链条。")</f>
        <v>形成一个覆盖整个市场的庞大链条。</v>
      </c>
      <c r="Q60" s="5" t="str">
        <f>IFERROR(__xludf.DUMMYFUNCTION("GOOGLETRANSLATE(F60,""en"",""zh-CN"")"),"包围棋盘上更大的区域。")</f>
        <v>包围棋盘上更大的区域。</v>
      </c>
      <c r="R60" s="5" t="str">
        <f>IFERROR(__xludf.DUMMYFUNCTION("GOOGLETRANSLATE(G60,""en"",""zh-CN"")"),"构筑防御墙。")</f>
        <v>构筑防御墙。</v>
      </c>
      <c r="S60" s="5" t="s">
        <v>2028</v>
      </c>
      <c r="T60" s="5" t="str">
        <f>IFERROR(__xludf.DUMMYFUNCTION("GOOGLETRANSLATE(H60,""en"",""zh-CN"")"),"包围棋盘上更大的区域。")</f>
        <v>包围棋盘上更大的区域。</v>
      </c>
      <c r="U60" s="5" t="str">
        <f>IFERROR(__xludf.DUMMYFUNCTION("GOOGLETRANSLATE(I60,""en"",""zh-CN"")"),"黑色棋子经过精心摆放，形成庞大而有影响力的集团，旨在包围并占领棋盘上的重要区域。")</f>
        <v>黑色棋子经过精心摆放，形成庞大而有影响力的集团，旨在包围并占领棋盘上的重要区域。</v>
      </c>
      <c r="V60" s="2"/>
      <c r="W60" s="2"/>
      <c r="X60" s="2"/>
      <c r="Y60" s="2"/>
      <c r="Z60" s="2"/>
      <c r="AA60" s="2"/>
      <c r="AB60" s="2"/>
      <c r="AC60" s="2"/>
      <c r="AD60" s="2"/>
      <c r="AE60" s="2"/>
      <c r="AF60" s="2"/>
      <c r="AG60" s="2"/>
      <c r="AH60" s="2"/>
      <c r="AI60" s="2"/>
      <c r="AJ60" s="2"/>
      <c r="AK60" s="2"/>
      <c r="AL60" s="2"/>
    </row>
    <row r="61" ht="22.5" customHeight="1">
      <c r="A61" s="3" t="s">
        <v>2255</v>
      </c>
      <c r="B61" s="4">
        <v>60.0</v>
      </c>
      <c r="C61" s="3" t="s">
        <v>2029</v>
      </c>
      <c r="D61" s="3" t="s">
        <v>2030</v>
      </c>
      <c r="E61" s="3" t="s">
        <v>2031</v>
      </c>
      <c r="F61" s="3" t="s">
        <v>2032</v>
      </c>
      <c r="G61" s="3" t="s">
        <v>2033</v>
      </c>
      <c r="H61" s="3" t="s">
        <v>2031</v>
      </c>
      <c r="I61" s="3" t="s">
        <v>2034</v>
      </c>
      <c r="J61" s="2"/>
      <c r="K61" s="2"/>
      <c r="L61" s="3" t="s">
        <v>2255</v>
      </c>
      <c r="M61" s="4">
        <v>60.0</v>
      </c>
      <c r="N61" s="5" t="str">
        <f>IFERROR(__xludf.DUMMYFUNCTION("GOOGLETRANSLATE(C61,""en"",""zh-CN"")"),"这款游戏基于哪种战略理念？")</f>
        <v>这款游戏基于哪种战略理念？</v>
      </c>
      <c r="O61" s="5" t="str">
        <f>IFERROR(__xludf.DUMMYFUNCTION("GOOGLETRANSLATE(D61,""en"",""zh-CN"")"),"侵略性和直接对抗。")</f>
        <v>侵略性和直接对抗。</v>
      </c>
      <c r="P61" s="5" t="str">
        <f>IFERROR(__xludf.DUMMYFUNCTION("GOOGLETRANSLATE(E61,""en"",""zh-CN"")"),"逐步包围和领土扩张。")</f>
        <v>逐步包围和领土扩张。</v>
      </c>
      <c r="Q61" s="5" t="str">
        <f>IFERROR(__xludf.DUMMYFUNCTION("GOOGLETRANSLATE(F61,""en"",""zh-CN"")"),"快速攻击和迅捷的移动。")</f>
        <v>快速攻击和迅捷的移动。</v>
      </c>
      <c r="R61" s="5" t="str">
        <f>IFERROR(__xludf.DUMMYFUNCTION("GOOGLETRANSLATE(G61,""en"",""zh-CN"")"),"一系列预先计划好的行动。")</f>
        <v>一系列预先计划好的行动。</v>
      </c>
      <c r="S61" s="5" t="s">
        <v>2035</v>
      </c>
      <c r="T61" s="5" t="str">
        <f>IFERROR(__xludf.DUMMYFUNCTION("GOOGLETRANSLATE(H61,""en"",""zh-CN"")"),"逐步包围和领土扩张。")</f>
        <v>逐步包围和领土扩张。</v>
      </c>
      <c r="U61" s="5" t="str">
        <f>IFERROR(__xludf.DUMMYFUNCTION("GOOGLETRANSLATE(I61,""en"",""zh-CN"")"),"围棋是一种逐步包围和领土扩张的游戏，玩家通过缓慢而谨慎地扩张影响力来占领领土。")</f>
        <v>围棋是一种逐步包围和领土扩张的游戏，玩家通过缓慢而谨慎地扩张影响力来占领领土。</v>
      </c>
      <c r="V61" s="2"/>
      <c r="W61" s="2"/>
      <c r="X61" s="2"/>
      <c r="Y61" s="2"/>
      <c r="Z61" s="2"/>
      <c r="AA61" s="2"/>
      <c r="AB61" s="2"/>
      <c r="AC61" s="2"/>
      <c r="AD61" s="2"/>
      <c r="AE61" s="2"/>
      <c r="AF61" s="2"/>
      <c r="AG61" s="2"/>
      <c r="AH61" s="2"/>
      <c r="AI61" s="2"/>
      <c r="AJ61" s="2"/>
      <c r="AK61" s="2"/>
      <c r="AL61" s="2"/>
    </row>
    <row r="62" ht="22.5" customHeight="1">
      <c r="A62" s="3" t="s">
        <v>2262</v>
      </c>
      <c r="B62" s="4">
        <v>61.0</v>
      </c>
      <c r="C62" s="3" t="s">
        <v>1546</v>
      </c>
      <c r="D62" s="3" t="s">
        <v>2002</v>
      </c>
      <c r="E62" s="3" t="s">
        <v>2263</v>
      </c>
      <c r="F62" s="3" t="s">
        <v>2004</v>
      </c>
      <c r="G62" s="3" t="s">
        <v>2005</v>
      </c>
      <c r="H62" s="3" t="s">
        <v>2263</v>
      </c>
      <c r="I62" s="3" t="s">
        <v>1936</v>
      </c>
      <c r="J62" s="2"/>
      <c r="K62" s="2"/>
      <c r="L62" s="3" t="s">
        <v>2262</v>
      </c>
      <c r="M62" s="4">
        <v>61.0</v>
      </c>
      <c r="N62" s="5" t="str">
        <f>IFERROR(__xludf.DUMMYFUNCTION("GOOGLETRANSLATE(C62,""en"",""zh-CN"")"),"图中所示的主要动作是什么？")</f>
        <v>图中所示的主要动作是什么？</v>
      </c>
      <c r="O62" s="5" t="str">
        <f>IFERROR(__xludf.DUMMYFUNCTION("GOOGLETRANSLATE(D62,""en"",""zh-CN"")"),"一名玩家正在吃掉一颗棋子。")</f>
        <v>一名玩家正在吃掉一颗棋子。</v>
      </c>
      <c r="P62" s="5" t="str">
        <f>IFERROR(__xludf.DUMMYFUNCTION("GOOGLETRANSLATE(E62,""en"",""zh-CN"")"),"一名玩家正在棋盘上放置一颗白棋子。")</f>
        <v>一名玩家正在棋盘上放置一颗白棋子。</v>
      </c>
      <c r="Q62" s="5" t="str">
        <f>IFERROR(__xludf.DUMMYFUNCTION("GOOGLETRANSLATE(F62,""en"",""zh-CN"")"),"一名玩家正在从棋盘上移除一颗棋子。")</f>
        <v>一名玩家正在从棋盘上移除一颗棋子。</v>
      </c>
      <c r="R62" s="5" t="str">
        <f>IFERROR(__xludf.DUMMYFUNCTION("GOOGLETRANSLATE(G62,""en"",""zh-CN"")"),"一名玩家正在棋盘上移动棋子。")</f>
        <v>一名玩家正在棋盘上移动棋子。</v>
      </c>
      <c r="S62" s="5" t="s">
        <v>2264</v>
      </c>
      <c r="T62" s="5" t="str">
        <f>IFERROR(__xludf.DUMMYFUNCTION("GOOGLETRANSLATE(H62,""en"",""zh-CN"")"),"一名玩家正在棋盘上放置一颗白棋子。")</f>
        <v>一名玩家正在棋盘上放置一颗白棋子。</v>
      </c>
      <c r="U62" s="5" t="str">
        <f>IFERROR(__xludf.DUMMYFUNCTION("GOOGLETRANSLATE(I62,""en"",""zh-CN"")"),"图中显示一只手拿着一颗白棋子，手指摆放的位置是将棋子放在棋盘的十字路口上，这是围棋的基本动作。")</f>
        <v>图中显示一只手拿着一颗白棋子，手指摆放的位置是将棋子放在棋盘的十字路口上，这是围棋的基本动作。</v>
      </c>
      <c r="V62" s="2"/>
      <c r="W62" s="2"/>
      <c r="X62" s="2"/>
      <c r="Y62" s="2"/>
      <c r="Z62" s="2"/>
      <c r="AA62" s="2"/>
      <c r="AB62" s="2"/>
      <c r="AC62" s="2"/>
      <c r="AD62" s="2"/>
      <c r="AE62" s="2"/>
      <c r="AF62" s="2"/>
      <c r="AG62" s="2"/>
      <c r="AH62" s="2"/>
      <c r="AI62" s="2"/>
      <c r="AJ62" s="2"/>
      <c r="AK62" s="2"/>
      <c r="AL62" s="2"/>
    </row>
    <row r="63" ht="22.5" customHeight="1">
      <c r="A63" s="3" t="s">
        <v>2262</v>
      </c>
      <c r="B63" s="4">
        <v>62.0</v>
      </c>
      <c r="C63" s="3" t="s">
        <v>2265</v>
      </c>
      <c r="D63" s="3" t="s">
        <v>2266</v>
      </c>
      <c r="E63" s="3" t="s">
        <v>2267</v>
      </c>
      <c r="F63" s="3" t="s">
        <v>2268</v>
      </c>
      <c r="G63" s="3" t="s">
        <v>2269</v>
      </c>
      <c r="H63" s="3" t="s">
        <v>2266</v>
      </c>
      <c r="I63" s="3" t="s">
        <v>2270</v>
      </c>
      <c r="J63" s="2"/>
      <c r="K63" s="2"/>
      <c r="L63" s="3" t="s">
        <v>2262</v>
      </c>
      <c r="M63" s="4">
        <v>62.0</v>
      </c>
      <c r="N63" s="5" t="str">
        <f>IFERROR(__xludf.DUMMYFUNCTION("GOOGLETRANSLATE(C63,""en"",""zh-CN"")"),"玩家的手看起来比较老旧。这说明这款游戏有什么特点？")</f>
        <v>玩家的手看起来比较老旧。这说明这款游戏有什么特点？</v>
      </c>
      <c r="O63" s="5" t="str">
        <f>IFERROR(__xludf.DUMMYFUNCTION("GOOGLETRANSLATE(D63,""en"",""zh-CN"")"),"这是一款适合所有年龄段的游戏。")</f>
        <v>这是一款适合所有年龄段的游戏。</v>
      </c>
      <c r="P63" s="5" t="str">
        <f>IFERROR(__xludf.DUMMYFUNCTION("GOOGLETRANSLATE(E63,""en"",""zh-CN"")"),"这是一款老年人游戏。")</f>
        <v>这是一款老年人游戏。</v>
      </c>
      <c r="Q63" s="5" t="str">
        <f>IFERROR(__xludf.DUMMYFUNCTION("GOOGLETRANSLATE(F63,""en"",""zh-CN"")"),"这是一款只有职业选手才能玩的游戏。")</f>
        <v>这是一款只有职业选手才能玩的游戏。</v>
      </c>
      <c r="R63" s="5" t="str">
        <f>IFERROR(__xludf.DUMMYFUNCTION("GOOGLETRANSLATE(G63,""en"",""zh-CN"")"),"这是一款只有业余爱好者才会玩的游戏。")</f>
        <v>这是一款只有业余爱好者才会玩的游戏。</v>
      </c>
      <c r="S63" s="5" t="s">
        <v>2271</v>
      </c>
      <c r="T63" s="5" t="str">
        <f>IFERROR(__xludf.DUMMYFUNCTION("GOOGLETRANSLATE(H63,""en"",""zh-CN"")"),"这是一款适合所有年龄段的游戏。")</f>
        <v>这是一款适合所有年龄段的游戏。</v>
      </c>
      <c r="U63" s="5" t="str">
        <f>IFERROR(__xludf.DUMMYFUNCTION("GOOGLETRANSLATE(I63,""en"",""zh-CN"")"),"一位老年人正在下棋，这表明围棋是一项经久不衰的游戏，深受各个年龄段的人喜爱，从儿童到老年人。")</f>
        <v>一位老年人正在下棋，这表明围棋是一项经久不衰的游戏，深受各个年龄段的人喜爱，从儿童到老年人。</v>
      </c>
      <c r="V63" s="2"/>
      <c r="W63" s="2"/>
      <c r="X63" s="2"/>
      <c r="Y63" s="2"/>
      <c r="Z63" s="2"/>
      <c r="AA63" s="2"/>
      <c r="AB63" s="2"/>
      <c r="AC63" s="2"/>
      <c r="AD63" s="2"/>
      <c r="AE63" s="2"/>
      <c r="AF63" s="2"/>
      <c r="AG63" s="2"/>
      <c r="AH63" s="2"/>
      <c r="AI63" s="2"/>
      <c r="AJ63" s="2"/>
      <c r="AK63" s="2"/>
      <c r="AL63" s="2"/>
    </row>
    <row r="64" ht="22.5" customHeight="1">
      <c r="A64" s="3" t="s">
        <v>2262</v>
      </c>
      <c r="B64" s="4">
        <v>63.0</v>
      </c>
      <c r="C64" s="3" t="s">
        <v>2272</v>
      </c>
      <c r="D64" s="3" t="s">
        <v>2273</v>
      </c>
      <c r="E64" s="3" t="s">
        <v>1946</v>
      </c>
      <c r="F64" s="3" t="s">
        <v>1947</v>
      </c>
      <c r="G64" s="3" t="s">
        <v>1948</v>
      </c>
      <c r="H64" s="3" t="s">
        <v>1947</v>
      </c>
      <c r="I64" s="3" t="s">
        <v>1950</v>
      </c>
      <c r="J64" s="2"/>
      <c r="K64" s="2"/>
      <c r="L64" s="3" t="s">
        <v>2262</v>
      </c>
      <c r="M64" s="4">
        <v>63.0</v>
      </c>
      <c r="N64" s="5" t="str">
        <f>IFERROR(__xludf.DUMMYFUNCTION("GOOGLETRANSLATE(C64,""en"",""zh-CN"")"),"棋盘上已经有很多棋子了。这表明游戏处于什么阶段？")</f>
        <v>棋盘上已经有很多棋子了。这表明游戏处于什么阶段？</v>
      </c>
      <c r="O64" s="5" t="str">
        <f>IFERROR(__xludf.DUMMYFUNCTION("GOOGLETRANSLATE(D64,""en"",""zh-CN"")"),"游戏才刚刚开始。")</f>
        <v>游戏才刚刚开始。</v>
      </c>
      <c r="P64" s="5" t="str">
        <f>IFERROR(__xludf.DUMMYFUNCTION("GOOGLETRANSLATE(E64,""en"",""zh-CN"")"),"这款游戏节奏很快。")</f>
        <v>这款游戏节奏很快。</v>
      </c>
      <c r="Q64" s="5" t="str">
        <f>IFERROR(__xludf.DUMMYFUNCTION("GOOGLETRANSLATE(F64,""en"",""zh-CN"")"),"游戏正处于一个复杂的阶段。")</f>
        <v>游戏正处于一个复杂的阶段。</v>
      </c>
      <c r="R64" s="5" t="str">
        <f>IFERROR(__xludf.DUMMYFUNCTION("GOOGLETRANSLATE(G64,""en"",""zh-CN"")"),"这个游戏很简单。")</f>
        <v>这个游戏很简单。</v>
      </c>
      <c r="S64" s="5" t="s">
        <v>2274</v>
      </c>
      <c r="T64" s="5" t="str">
        <f>IFERROR(__xludf.DUMMYFUNCTION("GOOGLETRANSLATE(H64,""en"",""zh-CN"")"),"游戏正处于一个复杂的阶段。")</f>
        <v>游戏正处于一个复杂的阶段。</v>
      </c>
      <c r="U64" s="5" t="str">
        <f>IFERROR(__xludf.DUMMYFUNCTION("GOOGLETRANSLATE(I64,""en"",""zh-CN"")"),"围棋比赛可能耗时很长，而且非常复杂，有很多走法和反击，随着比赛的进行，棋盘上会积累大量的棋子。")</f>
        <v>围棋比赛可能耗时很长，而且非常复杂，有很多走法和反击，随着比赛的进行，棋盘上会积累大量的棋子。</v>
      </c>
      <c r="V64" s="2"/>
      <c r="W64" s="2"/>
      <c r="X64" s="2"/>
      <c r="Y64" s="2"/>
      <c r="Z64" s="2"/>
      <c r="AA64" s="2"/>
      <c r="AB64" s="2"/>
      <c r="AC64" s="2"/>
      <c r="AD64" s="2"/>
      <c r="AE64" s="2"/>
      <c r="AF64" s="2"/>
      <c r="AG64" s="2"/>
      <c r="AH64" s="2"/>
      <c r="AI64" s="2"/>
      <c r="AJ64" s="2"/>
      <c r="AK64" s="2"/>
      <c r="AL64" s="2"/>
    </row>
    <row r="65" ht="22.5" customHeight="1">
      <c r="A65" s="3" t="s">
        <v>2262</v>
      </c>
      <c r="B65" s="4">
        <v>64.0</v>
      </c>
      <c r="C65" s="3" t="s">
        <v>2112</v>
      </c>
      <c r="D65" s="3" t="s">
        <v>2113</v>
      </c>
      <c r="E65" s="3" t="s">
        <v>2114</v>
      </c>
      <c r="F65" s="3" t="s">
        <v>2115</v>
      </c>
      <c r="G65" s="3" t="s">
        <v>2116</v>
      </c>
      <c r="H65" s="3" t="s">
        <v>2114</v>
      </c>
      <c r="I65" s="3" t="s">
        <v>2117</v>
      </c>
      <c r="J65" s="2"/>
      <c r="K65" s="2"/>
      <c r="L65" s="3" t="s">
        <v>2262</v>
      </c>
      <c r="M65" s="4">
        <v>64.0</v>
      </c>
      <c r="N65" s="5" t="str">
        <f>IFERROR(__xludf.DUMMYFUNCTION("GOOGLETRANSLATE(C65,""en"",""zh-CN"")"),"这些成簇的石块有什么战略意义？")</f>
        <v>这些成簇的石块有什么战略意义？</v>
      </c>
      <c r="O65" s="5" t="str">
        <f>IFERROR(__xludf.DUMMYFUNCTION("GOOGLETRANSLATE(D65,""en"",""zh-CN"")"),"它们位置偏僻，容易捕捉。")</f>
        <v>它们位置偏僻，容易捕捉。</v>
      </c>
      <c r="P65" s="5" t="str">
        <f>IFERROR(__xludf.DUMMYFUNCTION("GOOGLETRANSLATE(E65,""en"",""zh-CN"")"),"他们正在形成一个“领地”或影响范围。")</f>
        <v>他们正在形成一个“领地”或影响范围。</v>
      </c>
      <c r="Q65" s="5" t="str">
        <f>IFERROR(__xludf.DUMMYFUNCTION("GOOGLETRANSLATE(F65,""en"",""zh-CN"")"),"它们被随机放置。")</f>
        <v>它们被随机放置。</v>
      </c>
      <c r="R65" s="5" t="str">
        <f>IFERROR(__xludf.DUMMYFUNCTION("GOOGLETRANSLATE(G65,""en"",""zh-CN"")"),"这是输掉比赛的结果。")</f>
        <v>这是输掉比赛的结果。</v>
      </c>
      <c r="S65" s="5" t="s">
        <v>2118</v>
      </c>
      <c r="T65" s="5" t="str">
        <f>IFERROR(__xludf.DUMMYFUNCTION("GOOGLETRANSLATE(H65,""en"",""zh-CN"")"),"他们正在形成一个“领地”或影响范围。")</f>
        <v>他们正在形成一个“领地”或影响范围。</v>
      </c>
      <c r="U65" s="5" t="str">
        <f>IFERROR(__xludf.DUMMYFUNCTION("GOOGLETRANSLATE(I65,""en"",""zh-CN"")"),"这些石块彼此靠近，排列方式也表明它们是更大群体的一部分，试图形成领地并在棋盘上占据一席之地。")</f>
        <v>这些石块彼此靠近，排列方式也表明它们是更大群体的一部分，试图形成领地并在棋盘上占据一席之地。</v>
      </c>
      <c r="V65" s="2"/>
      <c r="W65" s="2"/>
      <c r="X65" s="2"/>
      <c r="Y65" s="2"/>
      <c r="Z65" s="2"/>
      <c r="AA65" s="2"/>
      <c r="AB65" s="2"/>
      <c r="AC65" s="2"/>
      <c r="AD65" s="2"/>
      <c r="AE65" s="2"/>
      <c r="AF65" s="2"/>
      <c r="AG65" s="2"/>
      <c r="AH65" s="2"/>
      <c r="AI65" s="2"/>
      <c r="AJ65" s="2"/>
      <c r="AK65" s="2"/>
      <c r="AL65" s="2"/>
    </row>
    <row r="66" ht="22.5" customHeight="1">
      <c r="A66" s="3" t="s">
        <v>2262</v>
      </c>
      <c r="B66" s="4">
        <v>65.0</v>
      </c>
      <c r="C66" s="3" t="s">
        <v>2275</v>
      </c>
      <c r="D66" s="3" t="s">
        <v>2276</v>
      </c>
      <c r="E66" s="3" t="s">
        <v>2277</v>
      </c>
      <c r="F66" s="3" t="s">
        <v>2278</v>
      </c>
      <c r="G66" s="3" t="s">
        <v>2279</v>
      </c>
      <c r="H66" s="3" t="s">
        <v>2277</v>
      </c>
      <c r="I66" s="3" t="s">
        <v>2280</v>
      </c>
      <c r="J66" s="2"/>
      <c r="K66" s="2"/>
      <c r="L66" s="3" t="s">
        <v>2262</v>
      </c>
      <c r="M66" s="4">
        <v>65.0</v>
      </c>
      <c r="N66" s="5" t="str">
        <f>IFERROR(__xludf.DUMMYFUNCTION("GOOGLETRANSLATE(C66,""en"",""zh-CN"")"),"照射到黑板上的灯光的主要目的是什么？")</f>
        <v>照射到黑板上的灯光的主要目的是什么？</v>
      </c>
      <c r="O66" s="5" t="str">
        <f>IFERROR(__xludf.DUMMYFUNCTION("GOOGLETRANSLATE(D66,""en"",""zh-CN"")"),"为了让游戏更难看清。")</f>
        <v>为了让游戏更难看清。</v>
      </c>
      <c r="P66" s="5" t="str">
        <f>IFERROR(__xludf.DUMMYFUNCTION("GOOGLETRANSLATE(E66,""en"",""zh-CN"")"),"为了营造戏剧性和艺术性的效果。")</f>
        <v>为了营造戏剧性和艺术性的效果。</v>
      </c>
      <c r="Q66" s="5" t="str">
        <f>IFERROR(__xludf.DUMMYFUNCTION("GOOGLETRANSLATE(F66,""en"",""zh-CN"")"),"显示电路板的详细信息。")</f>
        <v>显示电路板的详细信息。</v>
      </c>
      <c r="R66" s="5" t="str">
        <f>IFERROR(__xludf.DUMMYFUNCTION("GOOGLETRANSLATE(G66,""en"",""zh-CN"")"),"为了让电路板看起来更现代。")</f>
        <v>为了让电路板看起来更现代。</v>
      </c>
      <c r="S66" s="5" t="s">
        <v>2281</v>
      </c>
      <c r="T66" s="5" t="str">
        <f>IFERROR(__xludf.DUMMYFUNCTION("GOOGLETRANSLATE(H66,""en"",""zh-CN"")"),"为了营造戏剧性和艺术性的效果。")</f>
        <v>为了营造戏剧性和艺术性的效果。</v>
      </c>
      <c r="U66" s="5" t="str">
        <f>IFERROR(__xludf.DUMMYFUNCTION("GOOGLETRANSLATE(I66,""en"",""zh-CN"")"),"照射在棋盘上的光线在明暗区域之间形成了鲜明的对比，突显了游戏的审美和智力之美。")</f>
        <v>照射在棋盘上的光线在明暗区域之间形成了鲜明的对比，突显了游戏的审美和智力之美。</v>
      </c>
      <c r="V66" s="2"/>
      <c r="W66" s="2"/>
      <c r="X66" s="2"/>
      <c r="Y66" s="2"/>
      <c r="Z66" s="2"/>
      <c r="AA66" s="2"/>
      <c r="AB66" s="2"/>
      <c r="AC66" s="2"/>
      <c r="AD66" s="2"/>
      <c r="AE66" s="2"/>
      <c r="AF66" s="2"/>
      <c r="AG66" s="2"/>
      <c r="AH66" s="2"/>
      <c r="AI66" s="2"/>
      <c r="AJ66" s="2"/>
      <c r="AK66" s="2"/>
      <c r="AL66" s="2"/>
    </row>
    <row r="67" ht="22.5" customHeight="1">
      <c r="A67" s="3" t="s">
        <v>2282</v>
      </c>
      <c r="B67" s="4">
        <v>66.0</v>
      </c>
      <c r="C67" s="3" t="s">
        <v>1546</v>
      </c>
      <c r="D67" s="3" t="s">
        <v>2283</v>
      </c>
      <c r="E67" s="3" t="s">
        <v>2004</v>
      </c>
      <c r="F67" s="3" t="s">
        <v>2005</v>
      </c>
      <c r="G67" s="3" t="s">
        <v>2002</v>
      </c>
      <c r="H67" s="3" t="s">
        <v>2283</v>
      </c>
      <c r="I67" s="3" t="s">
        <v>2284</v>
      </c>
      <c r="J67" s="2"/>
      <c r="K67" s="2"/>
      <c r="L67" s="3" t="s">
        <v>2282</v>
      </c>
      <c r="M67" s="4">
        <v>66.0</v>
      </c>
      <c r="N67" s="5" t="str">
        <f>IFERROR(__xludf.DUMMYFUNCTION("GOOGLETRANSLATE(C67,""en"",""zh-CN"")"),"图中所示的主要动作是什么？")</f>
        <v>图中所示的主要动作是什么？</v>
      </c>
      <c r="O67" s="5" t="str">
        <f>IFERROR(__xludf.DUMMYFUNCTION("GOOGLETRANSLATE(D67,""en"",""zh-CN"")"),"一名玩家即将下棋。")</f>
        <v>一名玩家即将下棋。</v>
      </c>
      <c r="P67" s="5" t="str">
        <f>IFERROR(__xludf.DUMMYFUNCTION("GOOGLETRANSLATE(E67,""en"",""zh-CN"")"),"一名玩家正在从棋盘上移除一颗棋子。")</f>
        <v>一名玩家正在从棋盘上移除一颗棋子。</v>
      </c>
      <c r="Q67" s="5" t="str">
        <f>IFERROR(__xludf.DUMMYFUNCTION("GOOGLETRANSLATE(F67,""en"",""zh-CN"")"),"一名玩家正在棋盘上移动棋子。")</f>
        <v>一名玩家正在棋盘上移动棋子。</v>
      </c>
      <c r="R67" s="5" t="str">
        <f>IFERROR(__xludf.DUMMYFUNCTION("GOOGLETRANSLATE(G67,""en"",""zh-CN"")"),"一名玩家正在吃掉一颗棋子。")</f>
        <v>一名玩家正在吃掉一颗棋子。</v>
      </c>
      <c r="S67" s="5" t="s">
        <v>2285</v>
      </c>
      <c r="T67" s="5" t="str">
        <f>IFERROR(__xludf.DUMMYFUNCTION("GOOGLETRANSLATE(H67,""en"",""zh-CN"")"),"一名玩家即将下棋。")</f>
        <v>一名玩家即将下棋。</v>
      </c>
      <c r="U67" s="5" t="str">
        <f>IFERROR(__xludf.DUMMYFUNCTION("GOOGLETRANSLATE(I67,""en"",""zh-CN"")"),"图中显示一只木手拿着一颗白石，悬停在棋盘上的一个十字路口上方，这代表着走棋的动作。")</f>
        <v>图中显示一只木手拿着一颗白石，悬停在棋盘上的一个十字路口上方，这代表着走棋的动作。</v>
      </c>
      <c r="V67" s="2"/>
      <c r="W67" s="2"/>
      <c r="X67" s="2"/>
      <c r="Y67" s="2"/>
      <c r="Z67" s="2"/>
      <c r="AA67" s="2"/>
      <c r="AB67" s="2"/>
      <c r="AC67" s="2"/>
      <c r="AD67" s="2"/>
      <c r="AE67" s="2"/>
      <c r="AF67" s="2"/>
      <c r="AG67" s="2"/>
      <c r="AH67" s="2"/>
      <c r="AI67" s="2"/>
      <c r="AJ67" s="2"/>
      <c r="AK67" s="2"/>
      <c r="AL67" s="2"/>
    </row>
    <row r="68" ht="22.5" customHeight="1">
      <c r="A68" s="3" t="s">
        <v>2282</v>
      </c>
      <c r="B68" s="4">
        <v>67.0</v>
      </c>
      <c r="C68" s="3" t="s">
        <v>2286</v>
      </c>
      <c r="D68" s="3" t="s">
        <v>2287</v>
      </c>
      <c r="E68" s="3" t="s">
        <v>2288</v>
      </c>
      <c r="F68" s="3" t="s">
        <v>2289</v>
      </c>
      <c r="G68" s="3" t="s">
        <v>2290</v>
      </c>
      <c r="H68" s="3" t="s">
        <v>2288</v>
      </c>
      <c r="I68" s="3" t="s">
        <v>2291</v>
      </c>
      <c r="J68" s="2"/>
      <c r="K68" s="2"/>
      <c r="L68" s="3" t="s">
        <v>2282</v>
      </c>
      <c r="M68" s="4">
        <v>67.0</v>
      </c>
      <c r="N68" s="5" t="str">
        <f>IFERROR(__xludf.DUMMYFUNCTION("GOOGLETRANSLATE(C68,""en"",""zh-CN"")"),"木手有什么象征意义？")</f>
        <v>木手有什么象征意义？</v>
      </c>
      <c r="O68" s="5" t="str">
        <f>IFERROR(__xludf.DUMMYFUNCTION("GOOGLETRANSLATE(D68,""en"",""zh-CN"")"),"它是一种教育工具。")</f>
        <v>它是一种教育工具。</v>
      </c>
      <c r="P68" s="5" t="str">
        <f>IFERROR(__xludf.DUMMYFUNCTION("GOOGLETRANSLATE(E68,""en"",""zh-CN"")"),"这是一幅艺术表现作品。")</f>
        <v>这是一幅艺术表现作品。</v>
      </c>
      <c r="Q68" s="5" t="str">
        <f>IFERROR(__xludf.DUMMYFUNCTION("GOOGLETRANSLATE(F68,""en"",""zh-CN"")"),"这是一只假肢手。")</f>
        <v>这是一只假肢手。</v>
      </c>
      <c r="R68" s="5" t="str">
        <f>IFERROR(__xludf.DUMMYFUNCTION("GOOGLETRANSLATE(G68,""en"",""zh-CN"")"),"它是一件装饰品。")</f>
        <v>它是一件装饰品。</v>
      </c>
      <c r="S68" s="5" t="s">
        <v>2292</v>
      </c>
      <c r="T68" s="5" t="str">
        <f>IFERROR(__xludf.DUMMYFUNCTION("GOOGLETRANSLATE(H68,""en"",""zh-CN"")"),"这是一幅艺术表现作品。")</f>
        <v>这是一幅艺术表现作品。</v>
      </c>
      <c r="U68" s="5" t="str">
        <f>IFERROR(__xludf.DUMMYFUNCTION("GOOGLETRANSLATE(I68,""en"",""zh-CN"")"),"木制手是一件艺术品或道具，用于创造概念性或艺术性的图像，而不是真人的手。")</f>
        <v>木制手是一件艺术品或道具，用于创造概念性或艺术性的图像，而不是真人的手。</v>
      </c>
      <c r="V68" s="2"/>
      <c r="W68" s="2"/>
      <c r="X68" s="2"/>
      <c r="Y68" s="2"/>
      <c r="Z68" s="2"/>
      <c r="AA68" s="2"/>
      <c r="AB68" s="2"/>
      <c r="AC68" s="2"/>
      <c r="AD68" s="2"/>
      <c r="AE68" s="2"/>
      <c r="AF68" s="2"/>
      <c r="AG68" s="2"/>
      <c r="AH68" s="2"/>
      <c r="AI68" s="2"/>
      <c r="AJ68" s="2"/>
      <c r="AK68" s="2"/>
      <c r="AL68" s="2"/>
    </row>
    <row r="69" ht="22.5" customHeight="1">
      <c r="A69" s="3" t="s">
        <v>2282</v>
      </c>
      <c r="B69" s="4">
        <v>68.0</v>
      </c>
      <c r="C69" s="3" t="s">
        <v>2223</v>
      </c>
      <c r="D69" s="3" t="s">
        <v>2224</v>
      </c>
      <c r="E69" s="3" t="s">
        <v>2293</v>
      </c>
      <c r="F69" s="3" t="s">
        <v>2226</v>
      </c>
      <c r="G69" s="3" t="s">
        <v>2227</v>
      </c>
      <c r="H69" s="3" t="s">
        <v>2293</v>
      </c>
      <c r="I69" s="3" t="s">
        <v>2228</v>
      </c>
      <c r="J69" s="2"/>
      <c r="K69" s="2"/>
      <c r="L69" s="3" t="s">
        <v>2282</v>
      </c>
      <c r="M69" s="4">
        <v>68.0</v>
      </c>
      <c r="N69" s="5" t="str">
        <f>IFERROR(__xludf.DUMMYFUNCTION("GOOGLETRANSLATE(C69,""en"",""zh-CN"")"),"棋子散落在棋盘各处。这表明游戏处于什么阶段？")</f>
        <v>棋子散落在棋盘各处。这表明游戏处于什么阶段？</v>
      </c>
      <c r="O69" s="5" t="str">
        <f>IFERROR(__xludf.DUMMYFUNCTION("GOOGLETRANSLATE(D69,""en"",""zh-CN"")"),"一切都始于最初。")</f>
        <v>一切都始于最初。</v>
      </c>
      <c r="P69" s="5" t="str">
        <f>IFERROR(__xludf.DUMMYFUNCTION("GOOGLETRANSLATE(E69,""en"",""zh-CN"")"),"它正处于一个复杂的阶段之中。")</f>
        <v>它正处于一个复杂的阶段之中。</v>
      </c>
      <c r="Q69" s="5" t="str">
        <f>IFERROR(__xludf.DUMMYFUNCTION("GOOGLETRANSLATE(F69,""en"",""zh-CN"")"),"这是一个简单的游戏。")</f>
        <v>这是一个简单的游戏。</v>
      </c>
      <c r="R69" s="5" t="str">
        <f>IFERROR(__xludf.DUMMYFUNCTION("GOOGLETRANSLATE(G69,""en"",""zh-CN"")"),"这是一场练习赛。")</f>
        <v>这是一场练习赛。</v>
      </c>
      <c r="S69" s="5" t="s">
        <v>2294</v>
      </c>
      <c r="T69" s="5" t="str">
        <f>IFERROR(__xludf.DUMMYFUNCTION("GOOGLETRANSLATE(H69,""en"",""zh-CN"")"),"它正处于一个复杂的阶段之中。")</f>
        <v>它正处于一个复杂的阶段之中。</v>
      </c>
      <c r="U69" s="5" t="str">
        <f>IFERROR(__xludf.DUMMYFUNCTION("GOOGLETRANSLATE(I69,""en"",""zh-CN"")"),"棋盘上大量的棋子表明游戏已经进行到中后期，战略性的领土争夺战正在如火如荼地进行。")</f>
        <v>棋盘上大量的棋子表明游戏已经进行到中后期，战略性的领土争夺战正在如火如荼地进行。</v>
      </c>
      <c r="V69" s="2"/>
      <c r="W69" s="2"/>
      <c r="X69" s="2"/>
      <c r="Y69" s="2"/>
      <c r="Z69" s="2"/>
      <c r="AA69" s="2"/>
      <c r="AB69" s="2"/>
      <c r="AC69" s="2"/>
      <c r="AD69" s="2"/>
      <c r="AE69" s="2"/>
      <c r="AF69" s="2"/>
      <c r="AG69" s="2"/>
      <c r="AH69" s="2"/>
      <c r="AI69" s="2"/>
      <c r="AJ69" s="2"/>
      <c r="AK69" s="2"/>
      <c r="AL69" s="2"/>
    </row>
    <row r="70" ht="22.5" customHeight="1">
      <c r="A70" s="3" t="s">
        <v>2282</v>
      </c>
      <c r="B70" s="4">
        <v>69.0</v>
      </c>
      <c r="C70" s="3" t="s">
        <v>2126</v>
      </c>
      <c r="D70" s="3" t="s">
        <v>2127</v>
      </c>
      <c r="E70" s="3" t="s">
        <v>2128</v>
      </c>
      <c r="F70" s="3" t="s">
        <v>2129</v>
      </c>
      <c r="G70" s="3" t="s">
        <v>2130</v>
      </c>
      <c r="H70" s="3" t="s">
        <v>2129</v>
      </c>
      <c r="I70" s="3" t="s">
        <v>2131</v>
      </c>
      <c r="J70" s="2"/>
      <c r="K70" s="2"/>
      <c r="L70" s="3" t="s">
        <v>2282</v>
      </c>
      <c r="M70" s="4">
        <v>69.0</v>
      </c>
      <c r="N70" s="5" t="str">
        <f>IFERROR(__xludf.DUMMYFUNCTION("GOOGLETRANSLATE(C70,""en"",""zh-CN"")"),"赢得围棋比赛的关键是什么？")</f>
        <v>赢得围棋比赛的关键是什么？</v>
      </c>
      <c r="O70" s="5" t="str">
        <f>IFERROR(__xludf.DUMMYFUNCTION("GOOGLETRANSLATE(D70,""en"",""zh-CN"")"),"吃掉对方所有的棋子。")</f>
        <v>吃掉对方所有的棋子。</v>
      </c>
      <c r="P70" s="5" t="str">
        <f>IFERROR(__xludf.DUMMYFUNCTION("GOOGLETRANSLATE(E70,""en"",""zh-CN"")"),"棋盘上棋子数量更多。")</f>
        <v>棋盘上棋子数量更多。</v>
      </c>
      <c r="Q70" s="5" t="str">
        <f>IFERROR(__xludf.DUMMYFUNCTION("GOOGLETRANSLATE(F70,""en"",""zh-CN"")"),"控制的领土比对手多。")</f>
        <v>控制的领土比对手多。</v>
      </c>
      <c r="R70" s="5" t="str">
        <f>IFERROR(__xludf.DUMMYFUNCTION("GOOGLETRANSLATE(G70,""en"",""zh-CN"")"),"第一个放石头的人。")</f>
        <v>第一个放石头的人。</v>
      </c>
      <c r="S70" s="5" t="s">
        <v>2132</v>
      </c>
      <c r="T70" s="5" t="str">
        <f>IFERROR(__xludf.DUMMYFUNCTION("GOOGLETRANSLATE(H70,""en"",""zh-CN"")"),"控制的领土比对手多。")</f>
        <v>控制的领土比对手多。</v>
      </c>
      <c r="U70" s="5" t="str">
        <f>IFERROR(__xludf.DUMMYFUNCTION("GOOGLETRANSLATE(I70,""en"",""zh-CN"")"),"获胜者由谁拥有最多的领地来决定，领地数量是指被己方石块包围的空路口总数，加上任何被占领的石块。")</f>
        <v>获胜者由谁拥有最多的领地来决定，领地数量是指被己方石块包围的空路口总数，加上任何被占领的石块。</v>
      </c>
      <c r="V70" s="2"/>
      <c r="W70" s="2"/>
      <c r="X70" s="2"/>
      <c r="Y70" s="2"/>
      <c r="Z70" s="2"/>
      <c r="AA70" s="2"/>
      <c r="AB70" s="2"/>
      <c r="AC70" s="2"/>
      <c r="AD70" s="2"/>
      <c r="AE70" s="2"/>
      <c r="AF70" s="2"/>
      <c r="AG70" s="2"/>
      <c r="AH70" s="2"/>
      <c r="AI70" s="2"/>
      <c r="AJ70" s="2"/>
      <c r="AK70" s="2"/>
      <c r="AL70" s="2"/>
    </row>
    <row r="71" ht="22.5" customHeight="1">
      <c r="A71" s="3" t="s">
        <v>2282</v>
      </c>
      <c r="B71" s="4">
        <v>70.0</v>
      </c>
      <c r="C71" s="3" t="s">
        <v>1744</v>
      </c>
      <c r="D71" s="3" t="s">
        <v>1995</v>
      </c>
      <c r="E71" s="3" t="s">
        <v>1996</v>
      </c>
      <c r="F71" s="3" t="s">
        <v>2295</v>
      </c>
      <c r="G71" s="3" t="s">
        <v>1998</v>
      </c>
      <c r="H71" s="3" t="s">
        <v>2295</v>
      </c>
      <c r="I71" s="3" t="s">
        <v>2296</v>
      </c>
      <c r="J71" s="2"/>
      <c r="K71" s="2"/>
      <c r="L71" s="3" t="s">
        <v>2282</v>
      </c>
      <c r="M71" s="4">
        <v>70.0</v>
      </c>
      <c r="N71" s="5" t="str">
        <f>IFERROR(__xludf.DUMMYFUNCTION("GOOGLETRANSLATE(C71,""en"",""zh-CN"")"),"这张图片传达了怎样的整体氛围？")</f>
        <v>这张图片传达了怎样的整体氛围？</v>
      </c>
      <c r="O71" s="5" t="str">
        <f>IFERROR(__xludf.DUMMYFUNCTION("GOOGLETRANSLATE(D71,""en"",""zh-CN"")"),"一款轻松有趣的休闲游戏。")</f>
        <v>一款轻松有趣的休闲游戏。</v>
      </c>
      <c r="P71" s="5" t="str">
        <f>IFERROR(__xludf.DUMMYFUNCTION("GOOGLETRANSLATE(E71,""en"",""zh-CN"")"),"一场激烈而专注的比赛。")</f>
        <v>一场激烈而专注的比赛。</v>
      </c>
      <c r="Q71" s="5" t="str">
        <f>IFERROR(__xludf.DUMMYFUNCTION("GOOGLETRANSLATE(F71,""en"",""zh-CN"")"),"一件概念性和艺术性的作品。")</f>
        <v>一件概念性和艺术性的作品。</v>
      </c>
      <c r="R71" s="5" t="str">
        <f>IFERROR(__xludf.DUMMYFUNCTION("GOOGLETRANSLATE(G71,""en"",""zh-CN"")"),"一款简单轻松的游戏。")</f>
        <v>一款简单轻松的游戏。</v>
      </c>
      <c r="S71" s="5" t="s">
        <v>2297</v>
      </c>
      <c r="T71" s="5" t="str">
        <f>IFERROR(__xludf.DUMMYFUNCTION("GOOGLETRANSLATE(H71,""en"",""zh-CN"")"),"一件概念性和艺术性的作品。")</f>
        <v>一件概念性和艺术性的作品。</v>
      </c>
      <c r="U71" s="5" t="str">
        <f>IFERROR(__xludf.DUMMYFUNCTION("GOOGLETRANSLATE(I71,""en"",""zh-CN"")"),"使用木制手以及艺术化的光线和构图，使图像更具概念性和美感，而不是简单的纪录片感。")</f>
        <v>使用木制手以及艺术化的光线和构图，使图像更具概念性和美感，而不是简单的纪录片感。</v>
      </c>
      <c r="V71" s="2"/>
      <c r="W71" s="2"/>
      <c r="X71" s="2"/>
      <c r="Y71" s="2"/>
      <c r="Z71" s="2"/>
      <c r="AA71" s="2"/>
      <c r="AB71" s="2"/>
      <c r="AC71" s="2"/>
      <c r="AD71" s="2"/>
      <c r="AE71" s="2"/>
      <c r="AF71" s="2"/>
      <c r="AG71" s="2"/>
      <c r="AH71" s="2"/>
      <c r="AI71" s="2"/>
      <c r="AJ71" s="2"/>
      <c r="AK71" s="2"/>
      <c r="AL71" s="2"/>
    </row>
    <row r="72" ht="22.5" customHeight="1">
      <c r="A72" s="3" t="s">
        <v>2298</v>
      </c>
      <c r="B72" s="4">
        <v>71.0</v>
      </c>
      <c r="C72" s="3" t="s">
        <v>1335</v>
      </c>
      <c r="D72" s="3" t="s">
        <v>2299</v>
      </c>
      <c r="E72" s="3" t="s">
        <v>2300</v>
      </c>
      <c r="F72" s="3" t="s">
        <v>2301</v>
      </c>
      <c r="G72" s="3" t="s">
        <v>2302</v>
      </c>
      <c r="H72" s="3" t="s">
        <v>2300</v>
      </c>
      <c r="I72" s="3" t="s">
        <v>2303</v>
      </c>
      <c r="J72" s="2"/>
      <c r="K72" s="2"/>
      <c r="L72" s="3" t="s">
        <v>2298</v>
      </c>
      <c r="M72" s="4">
        <v>71.0</v>
      </c>
      <c r="N72" s="5" t="str">
        <f>IFERROR(__xludf.DUMMYFUNCTION("GOOGLETRANSLATE(C72,""en"",""zh-CN"")"),"图中所示的中心活动是什么？")</f>
        <v>图中所示的中心活动是什么？</v>
      </c>
      <c r="O72" s="5" t="str">
        <f>IFERROR(__xludf.DUMMYFUNCTION("GOOGLETRANSLATE(D72,""en"",""zh-CN"")"),"玩家正在进行休闲游戏。")</f>
        <v>玩家正在进行休闲游戏。</v>
      </c>
      <c r="P72" s="5" t="str">
        <f>IFERROR(__xludf.DUMMYFUNCTION("GOOGLETRANSLATE(E72,""en"",""zh-CN"")"),"一名职业围棋选手正在参加围棋比赛。")</f>
        <v>一名职业围棋选手正在参加围棋比赛。</v>
      </c>
      <c r="Q72" s="5" t="str">
        <f>IFERROR(__xludf.DUMMYFUNCTION("GOOGLETRANSLATE(F72,""en"",""zh-CN"")"),"一个人正在研究围棋棋盘。")</f>
        <v>一个人正在研究围棋棋盘。</v>
      </c>
      <c r="R72" s="5" t="str">
        <f>IFERROR(__xludf.DUMMYFUNCTION("GOOGLETRANSLATE(G72,""en"",""zh-CN"")"),"球员是观众。")</f>
        <v>球员是观众。</v>
      </c>
      <c r="S72" s="5" t="s">
        <v>2304</v>
      </c>
      <c r="T72" s="5" t="str">
        <f>IFERROR(__xludf.DUMMYFUNCTION("GOOGLETRANSLATE(H72,""en"",""zh-CN"")"),"一名职业围棋选手正在参加围棋比赛。")</f>
        <v>一名职业围棋选手正在参加围棋比赛。</v>
      </c>
      <c r="U72" s="5" t="str">
        <f>IFERROR(__xludf.DUMMYFUNCTION("GOOGLETRANSLATE(I72,""en"",""zh-CN"")"),"选手坐在正式的桌子旁，面前放着一张名牌，背景中还有摄像人员，这表明他正在参加职业围棋比赛。")</f>
        <v>选手坐在正式的桌子旁，面前放着一张名牌，背景中还有摄像人员，这表明他正在参加职业围棋比赛。</v>
      </c>
      <c r="V72" s="2"/>
      <c r="W72" s="2"/>
      <c r="X72" s="2"/>
      <c r="Y72" s="2"/>
      <c r="Z72" s="2"/>
      <c r="AA72" s="2"/>
      <c r="AB72" s="2"/>
      <c r="AC72" s="2"/>
      <c r="AD72" s="2"/>
      <c r="AE72" s="2"/>
      <c r="AF72" s="2"/>
      <c r="AG72" s="2"/>
      <c r="AH72" s="2"/>
      <c r="AI72" s="2"/>
      <c r="AJ72" s="2"/>
      <c r="AK72" s="2"/>
      <c r="AL72" s="2"/>
    </row>
    <row r="73" ht="22.5" customHeight="1">
      <c r="A73" s="3" t="s">
        <v>2298</v>
      </c>
      <c r="B73" s="4">
        <v>72.0</v>
      </c>
      <c r="C73" s="3" t="s">
        <v>2305</v>
      </c>
      <c r="D73" s="3" t="s">
        <v>2306</v>
      </c>
      <c r="E73" s="3" t="s">
        <v>2307</v>
      </c>
      <c r="F73" s="3" t="s">
        <v>2308</v>
      </c>
      <c r="G73" s="3" t="s">
        <v>2309</v>
      </c>
      <c r="H73" s="3" t="s">
        <v>2307</v>
      </c>
      <c r="I73" s="3" t="s">
        <v>2310</v>
      </c>
      <c r="J73" s="2"/>
      <c r="K73" s="2"/>
      <c r="L73" s="3" t="s">
        <v>2298</v>
      </c>
      <c r="M73" s="4">
        <v>72.0</v>
      </c>
      <c r="N73" s="5" t="str">
        <f>IFERROR(__xludf.DUMMYFUNCTION("GOOGLETRANSLATE(C73,""en"",""zh-CN"")"),"玩家在做什么？")</f>
        <v>玩家在做什么？</v>
      </c>
      <c r="O73" s="5" t="str">
        <f>IFERROR(__xludf.DUMMYFUNCTION("GOOGLETRANSLATE(D73,""en"",""zh-CN"")"),"他即将采取行动。")</f>
        <v>他即将采取行动。</v>
      </c>
      <c r="P73" s="5" t="str">
        <f>IFERROR(__xludf.DUMMYFUNCTION("GOOGLETRANSLATE(E73,""en"",""zh-CN"")"),"他正在思考下一步该怎么做。")</f>
        <v>他正在思考下一步该怎么做。</v>
      </c>
      <c r="Q73" s="5" t="str">
        <f>IFERROR(__xludf.DUMMYFUNCTION("GOOGLETRANSLATE(F73,""en"",""zh-CN"")"),"他正在休息。")</f>
        <v>他正在休息。</v>
      </c>
      <c r="R73" s="5" t="str">
        <f>IFERROR(__xludf.DUMMYFUNCTION("GOOGLETRANSLATE(G73,""en"",""zh-CN"")"),"他示意暂停。")</f>
        <v>他示意暂停。</v>
      </c>
      <c r="S73" s="5" t="s">
        <v>2311</v>
      </c>
      <c r="T73" s="5" t="str">
        <f>IFERROR(__xludf.DUMMYFUNCTION("GOOGLETRANSLATE(H73,""en"",""zh-CN"")"),"他正在思考下一步该怎么做。")</f>
        <v>他正在思考下一步该怎么做。</v>
      </c>
      <c r="U73" s="5" t="str">
        <f>IFERROR(__xludf.DUMMYFUNCTION("GOOGLETRANSLATE(I73,""en"",""zh-CN"")"),"棋手一手托着下巴，目光专注地盯着棋盘，这是棋手认真思考下一步棋时的常见姿势。")</f>
        <v>棋手一手托着下巴，目光专注地盯着棋盘，这是棋手认真思考下一步棋时的常见姿势。</v>
      </c>
      <c r="V73" s="2"/>
      <c r="W73" s="2"/>
      <c r="X73" s="2"/>
      <c r="Y73" s="2"/>
      <c r="Z73" s="2"/>
      <c r="AA73" s="2"/>
      <c r="AB73" s="2"/>
      <c r="AC73" s="2"/>
      <c r="AD73" s="2"/>
      <c r="AE73" s="2"/>
      <c r="AF73" s="2"/>
      <c r="AG73" s="2"/>
      <c r="AH73" s="2"/>
      <c r="AI73" s="2"/>
      <c r="AJ73" s="2"/>
      <c r="AK73" s="2"/>
      <c r="AL73" s="2"/>
    </row>
    <row r="74" ht="22.5" customHeight="1">
      <c r="A74" s="3" t="s">
        <v>2298</v>
      </c>
      <c r="B74" s="4">
        <v>73.0</v>
      </c>
      <c r="C74" s="3" t="s">
        <v>2312</v>
      </c>
      <c r="D74" s="3" t="s">
        <v>2313</v>
      </c>
      <c r="E74" s="3" t="s">
        <v>2314</v>
      </c>
      <c r="F74" s="3" t="s">
        <v>2315</v>
      </c>
      <c r="G74" s="3" t="s">
        <v>2316</v>
      </c>
      <c r="H74" s="3" t="s">
        <v>2313</v>
      </c>
      <c r="I74" s="3" t="s">
        <v>2317</v>
      </c>
      <c r="J74" s="2"/>
      <c r="K74" s="2"/>
      <c r="L74" s="3" t="s">
        <v>2298</v>
      </c>
      <c r="M74" s="4">
        <v>73.0</v>
      </c>
      <c r="N74" s="5" t="str">
        <f>IFERROR(__xludf.DUMMYFUNCTION("GOOGLETRANSLATE(C74,""en"",""zh-CN"")"),"玩家面前的姓名牌有什么用途？")</f>
        <v>玩家面前的姓名牌有什么用途？</v>
      </c>
      <c r="O74" s="5" t="str">
        <f>IFERROR(__xludf.DUMMYFUNCTION("GOOGLETRANSLATE(D74,""en"",""zh-CN"")"),"识别玩家。")</f>
        <v>识别玩家。</v>
      </c>
      <c r="P74" s="5" t="str">
        <f>IFERROR(__xludf.DUMMYFUNCTION("GOOGLETRANSLATE(E74,""en"",""zh-CN"")"),"显示玩家的排名。")</f>
        <v>显示玩家的排名。</v>
      </c>
      <c r="Q74" s="5" t="str">
        <f>IFERROR(__xludf.DUMMYFUNCTION("GOOGLETRANSLATE(F74,""en"",""zh-CN"")"),"显示球员所属球队。")</f>
        <v>显示球员所属球队。</v>
      </c>
      <c r="R74" s="5" t="str">
        <f>IFERROR(__xludf.DUMMYFUNCTION("GOOGLETRANSLATE(G74,""en"",""zh-CN"")"),"显示玩家所属国家。")</f>
        <v>显示玩家所属国家。</v>
      </c>
      <c r="S74" s="5" t="s">
        <v>2318</v>
      </c>
      <c r="T74" s="5" t="str">
        <f>IFERROR(__xludf.DUMMYFUNCTION("GOOGLETRANSLATE(H74,""en"",""zh-CN"")"),"识别玩家。")</f>
        <v>识别玩家。</v>
      </c>
      <c r="U74" s="5" t="str">
        <f>IFERROR(__xludf.DUMMYFUNCTION("GOOGLETRANSLATE(I74,""en"",""zh-CN"")"),"名片上写着“柯杰”，用于识别职业棋手，这是官方围棋比赛中的惯例。")</f>
        <v>名片上写着“柯杰”，用于识别职业棋手，这是官方围棋比赛中的惯例。</v>
      </c>
      <c r="V74" s="2"/>
      <c r="W74" s="2"/>
      <c r="X74" s="2"/>
      <c r="Y74" s="2"/>
      <c r="Z74" s="2"/>
      <c r="AA74" s="2"/>
      <c r="AB74" s="2"/>
      <c r="AC74" s="2"/>
      <c r="AD74" s="2"/>
      <c r="AE74" s="2"/>
      <c r="AF74" s="2"/>
      <c r="AG74" s="2"/>
      <c r="AH74" s="2"/>
      <c r="AI74" s="2"/>
      <c r="AJ74" s="2"/>
      <c r="AK74" s="2"/>
      <c r="AL74" s="2"/>
    </row>
    <row r="75" ht="22.5" customHeight="1">
      <c r="A75" s="3" t="s">
        <v>2298</v>
      </c>
      <c r="B75" s="4">
        <v>74.0</v>
      </c>
      <c r="C75" s="3" t="s">
        <v>2319</v>
      </c>
      <c r="D75" s="3" t="s">
        <v>2320</v>
      </c>
      <c r="E75" s="3" t="s">
        <v>2321</v>
      </c>
      <c r="F75" s="3" t="s">
        <v>2322</v>
      </c>
      <c r="G75" s="3" t="s">
        <v>2323</v>
      </c>
      <c r="H75" s="3" t="s">
        <v>2323</v>
      </c>
      <c r="I75" s="3" t="s">
        <v>2324</v>
      </c>
      <c r="J75" s="2"/>
      <c r="K75" s="2"/>
      <c r="L75" s="3" t="s">
        <v>2298</v>
      </c>
      <c r="M75" s="4">
        <v>74.0</v>
      </c>
      <c r="N75" s="5" t="str">
        <f>IFERROR(__xludf.DUMMYFUNCTION("GOOGLETRANSLATE(C75,""en"",""zh-CN"")"),"游戏还处于相对早期的阶段。这说明玩家们有什么特点？")</f>
        <v>游戏还处于相对早期的阶段。这说明玩家们有什么特点？</v>
      </c>
      <c r="O75" s="5" t="str">
        <f>IFERROR(__xludf.DUMMYFUNCTION("GOOGLETRANSLATE(D75,""en"",""zh-CN"")"),"这些球员水平不太好。")</f>
        <v>这些球员水平不太好。</v>
      </c>
      <c r="P75" s="5" t="str">
        <f>IFERROR(__xludf.DUMMYFUNCTION("GOOGLETRANSLATE(E75,""en"",""zh-CN"")"),"比赛刚刚开始。")</f>
        <v>比赛刚刚开始。</v>
      </c>
      <c r="Q75" s="5" t="str">
        <f>IFERROR(__xludf.DUMMYFUNCTION("GOOGLETRANSLATE(F75,""en"",""zh-CN"")"),"这些球员速度非常快。")</f>
        <v>这些球员速度非常快。</v>
      </c>
      <c r="R75" s="5" t="str">
        <f>IFERROR(__xludf.DUMMYFUNCTION("GOOGLETRANSLATE(G75,""en"",""zh-CN"")"),"这些球员都很专业，他们的第一步都非常谨慎。")</f>
        <v>这些球员都很专业，他们的第一步都非常谨慎。</v>
      </c>
      <c r="S75" s="5" t="s">
        <v>2325</v>
      </c>
      <c r="T75" s="5" t="str">
        <f>IFERROR(__xludf.DUMMYFUNCTION("GOOGLETRANSLATE(H75,""en"",""zh-CN"")"),"这些球员都很专业，他们的第一步都非常谨慎。")</f>
        <v>这些球员都很专业，他们的第一步都非常谨慎。</v>
      </c>
      <c r="U75" s="5" t="str">
        <f>IFERROR(__xludf.DUMMYFUNCTION("GOOGLETRANSLATE(I75,""en"",""zh-CN"")"),"棋盘上相对空旷，这表明游戏还处于早期阶段，职业棋手会花很长时间仔细考虑每一步棋及其长远影响。")</f>
        <v>棋盘上相对空旷，这表明游戏还处于早期阶段，职业棋手会花很长时间仔细考虑每一步棋及其长远影响。</v>
      </c>
      <c r="V75" s="2"/>
      <c r="W75" s="2"/>
      <c r="X75" s="2"/>
      <c r="Y75" s="2"/>
      <c r="Z75" s="2"/>
      <c r="AA75" s="2"/>
      <c r="AB75" s="2"/>
      <c r="AC75" s="2"/>
      <c r="AD75" s="2"/>
      <c r="AE75" s="2"/>
      <c r="AF75" s="2"/>
      <c r="AG75" s="2"/>
      <c r="AH75" s="2"/>
      <c r="AI75" s="2"/>
      <c r="AJ75" s="2"/>
      <c r="AK75" s="2"/>
      <c r="AL75" s="2"/>
    </row>
    <row r="76" ht="22.5" customHeight="1">
      <c r="A76" s="3" t="s">
        <v>2298</v>
      </c>
      <c r="B76" s="4">
        <v>75.0</v>
      </c>
      <c r="C76" s="3" t="s">
        <v>2326</v>
      </c>
      <c r="D76" s="3" t="s">
        <v>2327</v>
      </c>
      <c r="E76" s="3" t="s">
        <v>2328</v>
      </c>
      <c r="F76" s="3" t="s">
        <v>2329</v>
      </c>
      <c r="G76" s="3" t="s">
        <v>2330</v>
      </c>
      <c r="H76" s="3" t="s">
        <v>2328</v>
      </c>
      <c r="I76" s="3" t="s">
        <v>2331</v>
      </c>
      <c r="J76" s="2"/>
      <c r="K76" s="2"/>
      <c r="L76" s="3" t="s">
        <v>2298</v>
      </c>
      <c r="M76" s="4">
        <v>75.0</v>
      </c>
      <c r="N76" s="5" t="str">
        <f>IFERROR(__xludf.DUMMYFUNCTION("GOOGLETRANSLATE(C76,""en"",""zh-CN"")"),"比赛环境的关键要素是什么？")</f>
        <v>比赛环境的关键要素是什么？</v>
      </c>
      <c r="O76" s="5" t="str">
        <f>IFERROR(__xludf.DUMMYFUNCTION("GOOGLETRANSLATE(D76,""en"",""zh-CN"")"),"这里环境嘈杂，容易分散注意力。")</f>
        <v>这里环境嘈杂，容易分散注意力。</v>
      </c>
      <c r="P76" s="5" t="str">
        <f>IFERROR(__xludf.DUMMYFUNCTION("GOOGLETRANSLATE(E76,""en"",""zh-CN"")"),"这是一个安静且令人专注的环境。")</f>
        <v>这是一个安静且令人专注的环境。</v>
      </c>
      <c r="Q76" s="5" t="str">
        <f>IFERROR(__xludf.DUMMYFUNCTION("GOOGLETRANSLATE(F76,""en"",""zh-CN"")"),"这里环境轻松休闲。")</f>
        <v>这里环境轻松休闲。</v>
      </c>
      <c r="R76" s="5" t="str">
        <f>IFERROR(__xludf.DUMMYFUNCTION("GOOGLETRANSLATE(G76,""en"",""zh-CN"")"),"这是一个户外环境。")</f>
        <v>这是一个户外环境。</v>
      </c>
      <c r="S76" s="5" t="s">
        <v>2332</v>
      </c>
      <c r="T76" s="5" t="str">
        <f>IFERROR(__xludf.DUMMYFUNCTION("GOOGLETRANSLATE(H76,""en"",""zh-CN"")"),"这是一个安静且令人专注的环境。")</f>
        <v>这是一个安静且令人专注的环境。</v>
      </c>
      <c r="U76" s="5" t="str">
        <f>IFERROR(__xludf.DUMMYFUNCTION("GOOGLETRANSLATE(I76,""en"",""zh-CN"")"),"正式的场地布置、球员的专注以及整洁的环境表明，比赛环境的设计旨在营造安静专注的氛围，以便球员能够深度集中注意力。")</f>
        <v>正式的场地布置、球员的专注以及整洁的环境表明，比赛环境的设计旨在营造安静专注的氛围，以便球员能够深度集中注意力。</v>
      </c>
      <c r="V76" s="2"/>
      <c r="W76" s="2"/>
      <c r="X76" s="2"/>
      <c r="Y76" s="2"/>
      <c r="Z76" s="2"/>
      <c r="AA76" s="2"/>
      <c r="AB76" s="2"/>
      <c r="AC76" s="2"/>
      <c r="AD76" s="2"/>
      <c r="AE76" s="2"/>
      <c r="AF76" s="2"/>
      <c r="AG76" s="2"/>
      <c r="AH76" s="2"/>
      <c r="AI76" s="2"/>
      <c r="AJ76" s="2"/>
      <c r="AK76" s="2"/>
      <c r="AL76" s="2"/>
    </row>
    <row r="77" ht="22.5" customHeight="1">
      <c r="A77" s="3" t="s">
        <v>2333</v>
      </c>
      <c r="B77" s="4">
        <v>76.0</v>
      </c>
      <c r="C77" s="3" t="s">
        <v>1546</v>
      </c>
      <c r="D77" s="3" t="s">
        <v>2334</v>
      </c>
      <c r="E77" s="3" t="s">
        <v>2335</v>
      </c>
      <c r="F77" s="3" t="s">
        <v>2002</v>
      </c>
      <c r="G77" s="3" t="s">
        <v>1968</v>
      </c>
      <c r="H77" s="3" t="s">
        <v>2334</v>
      </c>
      <c r="I77" s="3" t="s">
        <v>2336</v>
      </c>
      <c r="J77" s="2"/>
      <c r="K77" s="2"/>
      <c r="L77" s="3" t="s">
        <v>2333</v>
      </c>
      <c r="M77" s="4">
        <v>76.0</v>
      </c>
      <c r="N77" s="5" t="str">
        <f>IFERROR(__xludf.DUMMYFUNCTION("GOOGLETRANSLATE(C77,""en"",""zh-CN"")"),"图中所示的主要动作是什么？")</f>
        <v>图中所示的主要动作是什么？</v>
      </c>
      <c r="O77" s="5" t="str">
        <f>IFERROR(__xludf.DUMMYFUNCTION("GOOGLETRANSLATE(D77,""en"",""zh-CN"")"),"一名玩家正在击打计时器。")</f>
        <v>一名玩家正在击打计时器。</v>
      </c>
      <c r="P77" s="5" t="str">
        <f>IFERROR(__xludf.DUMMYFUNCTION("GOOGLETRANSLATE(E77,""en"",""zh-CN"")"),"一名玩家正在棋盘上放置一颗棋子。")</f>
        <v>一名玩家正在棋盘上放置一颗棋子。</v>
      </c>
      <c r="Q77" s="5" t="str">
        <f>IFERROR(__xludf.DUMMYFUNCTION("GOOGLETRANSLATE(F77,""en"",""zh-CN"")"),"一名玩家正在吃掉一颗棋子。")</f>
        <v>一名玩家正在吃掉一颗棋子。</v>
      </c>
      <c r="R77" s="5" t="str">
        <f>IFERROR(__xludf.DUMMYFUNCTION("GOOGLETRANSLATE(G77,""en"",""zh-CN"")"),"一名玩家正在移动石子。")</f>
        <v>一名玩家正在移动石子。</v>
      </c>
      <c r="S77" s="5" t="s">
        <v>2337</v>
      </c>
      <c r="T77" s="5" t="str">
        <f>IFERROR(__xludf.DUMMYFUNCTION("GOOGLETRANSLATE(H77,""en"",""zh-CN"")"),"一名玩家正在击打计时器。")</f>
        <v>一名玩家正在击打计时器。</v>
      </c>
      <c r="U77" s="5" t="str">
        <f>IFERROR(__xludf.DUMMYFUNCTION("GOOGLETRANSLATE(I77,""en"",""zh-CN"")"),"图片显示一名棋手的手伸向并按下国际象棋计时器上的按钮，该计时器用于为围棋比赛计时。")</f>
        <v>图片显示一名棋手的手伸向并按下国际象棋计时器上的按钮，该计时器用于为围棋比赛计时。</v>
      </c>
      <c r="V77" s="2"/>
      <c r="W77" s="2"/>
      <c r="X77" s="2"/>
      <c r="Y77" s="2"/>
      <c r="Z77" s="2"/>
      <c r="AA77" s="2"/>
      <c r="AB77" s="2"/>
      <c r="AC77" s="2"/>
      <c r="AD77" s="2"/>
      <c r="AE77" s="2"/>
      <c r="AF77" s="2"/>
      <c r="AG77" s="2"/>
      <c r="AH77" s="2"/>
      <c r="AI77" s="2"/>
      <c r="AJ77" s="2"/>
      <c r="AK77" s="2"/>
      <c r="AL77" s="2"/>
    </row>
    <row r="78" ht="22.5" customHeight="1">
      <c r="A78" s="3" t="s">
        <v>2333</v>
      </c>
      <c r="B78" s="4">
        <v>77.0</v>
      </c>
      <c r="C78" s="3" t="s">
        <v>2338</v>
      </c>
      <c r="D78" s="3" t="s">
        <v>2339</v>
      </c>
      <c r="E78" s="3" t="s">
        <v>2340</v>
      </c>
      <c r="F78" s="3" t="s">
        <v>2341</v>
      </c>
      <c r="G78" s="3" t="s">
        <v>1057</v>
      </c>
      <c r="H78" s="3" t="s">
        <v>1057</v>
      </c>
      <c r="I78" s="3" t="s">
        <v>2342</v>
      </c>
      <c r="J78" s="2"/>
      <c r="K78" s="2"/>
      <c r="L78" s="3" t="s">
        <v>2333</v>
      </c>
      <c r="M78" s="4">
        <v>77.0</v>
      </c>
      <c r="N78" s="5" t="str">
        <f>IFERROR(__xludf.DUMMYFUNCTION("GOOGLETRANSLATE(C78,""en"",""zh-CN"")"),"计时器的用途是什么？")</f>
        <v>计时器的用途是什么？</v>
      </c>
      <c r="O78" s="5" t="str">
        <f>IFERROR(__xludf.DUMMYFUNCTION("GOOGLETRANSLATE(D78,""en"",""zh-CN"")"),"记录步数。")</f>
        <v>记录步数。</v>
      </c>
      <c r="P78" s="5" t="str">
        <f>IFERROR(__xludf.DUMMYFUNCTION("GOOGLETRANSLATE(E78,""en"",""zh-CN"")"),"为了确保游戏不会持续太久。")</f>
        <v>为了确保游戏不会持续太久。</v>
      </c>
      <c r="Q78" s="5" t="str">
        <f>IFERROR(__xludf.DUMMYFUNCTION("GOOGLETRANSLATE(F78,""en"",""zh-CN"")"),"确保每位球员获得相同的上场时间。")</f>
        <v>确保每位球员获得相同的上场时间。</v>
      </c>
      <c r="R78" s="5" t="str">
        <f>IFERROR(__xludf.DUMMYFUNCTION("GOOGLETRANSLATE(G78,""en"",""zh-CN"")"),"上述所有的。")</f>
        <v>上述所有的。</v>
      </c>
      <c r="S78" s="5" t="s">
        <v>2343</v>
      </c>
      <c r="T78" s="5" t="str">
        <f>IFERROR(__xludf.DUMMYFUNCTION("GOOGLETRANSLATE(H78,""en"",""zh-CN"")"),"上述所有的。")</f>
        <v>上述所有的。</v>
      </c>
      <c r="U78" s="5" t="str">
        <f>IFERROR(__xludf.DUMMYFUNCTION("GOOGLETRANSLATE(I78,""en"",""zh-CN"")"),"计时器用于限制每位玩家行动的时间，确保游戏公平，不会无限期地进行下去。")</f>
        <v>计时器用于限制每位玩家行动的时间，确保游戏公平，不会无限期地进行下去。</v>
      </c>
      <c r="V78" s="2"/>
      <c r="W78" s="2"/>
      <c r="X78" s="2"/>
      <c r="Y78" s="2"/>
      <c r="Z78" s="2"/>
      <c r="AA78" s="2"/>
      <c r="AB78" s="2"/>
      <c r="AC78" s="2"/>
      <c r="AD78" s="2"/>
      <c r="AE78" s="2"/>
      <c r="AF78" s="2"/>
      <c r="AG78" s="2"/>
      <c r="AH78" s="2"/>
      <c r="AI78" s="2"/>
      <c r="AJ78" s="2"/>
      <c r="AK78" s="2"/>
      <c r="AL78" s="2"/>
    </row>
    <row r="79" ht="22.5" customHeight="1">
      <c r="A79" s="3" t="s">
        <v>2333</v>
      </c>
      <c r="B79" s="4">
        <v>78.0</v>
      </c>
      <c r="C79" s="3" t="s">
        <v>2344</v>
      </c>
      <c r="D79" s="3" t="s">
        <v>2345</v>
      </c>
      <c r="E79" s="3" t="s">
        <v>2346</v>
      </c>
      <c r="F79" s="3" t="s">
        <v>2347</v>
      </c>
      <c r="G79" s="3" t="s">
        <v>2348</v>
      </c>
      <c r="H79" s="3" t="s">
        <v>2347</v>
      </c>
      <c r="I79" s="3" t="s">
        <v>2349</v>
      </c>
      <c r="J79" s="2"/>
      <c r="K79" s="2"/>
      <c r="L79" s="3" t="s">
        <v>2333</v>
      </c>
      <c r="M79" s="4">
        <v>78.0</v>
      </c>
      <c r="N79" s="5" t="str">
        <f>IFERROR(__xludf.DUMMYFUNCTION("GOOGLETRANSLATE(C79,""en"",""zh-CN"")"),"图中围棋棋盘的一个关键特征是什么？")</f>
        <v>图中围棋棋盘的一个关键特征是什么？</v>
      </c>
      <c r="O79" s="5" t="str">
        <f>IFERROR(__xludf.DUMMYFUNCTION("GOOGLETRANSLATE(D79,""en"",""zh-CN"")"),"这是一块深色的木板。")</f>
        <v>这是一块深色的木板。</v>
      </c>
      <c r="P79" s="5" t="str">
        <f>IFERROR(__xludf.DUMMYFUNCTION("GOOGLETRANSLATE(E79,""en"",""zh-CN"")"),"这是一块轻质木板。")</f>
        <v>这是一块轻质木板。</v>
      </c>
      <c r="Q79" s="5" t="str">
        <f>IFERROR(__xludf.DUMMYFUNCTION("GOOGLETRANSLATE(F79,""en"",""zh-CN"")"),"这是一块浅黄色的板子，上面有网格图案。")</f>
        <v>这是一块浅黄色的板子，上面有网格图案。</v>
      </c>
      <c r="R79" s="5" t="str">
        <f>IFERROR(__xludf.DUMMYFUNCTION("GOOGLETRANSLATE(G79,""en"",""zh-CN"")"),"这是一块白色塑料板。")</f>
        <v>这是一块白色塑料板。</v>
      </c>
      <c r="S79" s="5" t="s">
        <v>2350</v>
      </c>
      <c r="T79" s="5" t="str">
        <f>IFERROR(__xludf.DUMMYFUNCTION("GOOGLETRANSLATE(H79,""en"",""zh-CN"")"),"这是一块浅黄色的板子，上面有网格图案。")</f>
        <v>这是一块浅黄色的板子，上面有网格图案。</v>
      </c>
      <c r="U79" s="5" t="str">
        <f>IFERROR(__xludf.DUMMYFUNCTION("GOOGLETRANSLATE(I79,""en"",""zh-CN"")"),"棋盘呈独特的浅黄色，与传统的木质棋盘有所不同，这种颜色常见于职业比赛中或出于美观目的。")</f>
        <v>棋盘呈独特的浅黄色，与传统的木质棋盘有所不同，这种颜色常见于职业比赛中或出于美观目的。</v>
      </c>
      <c r="V79" s="2"/>
      <c r="W79" s="2"/>
      <c r="X79" s="2"/>
      <c r="Y79" s="2"/>
      <c r="Z79" s="2"/>
      <c r="AA79" s="2"/>
      <c r="AB79" s="2"/>
      <c r="AC79" s="2"/>
      <c r="AD79" s="2"/>
      <c r="AE79" s="2"/>
      <c r="AF79" s="2"/>
      <c r="AG79" s="2"/>
      <c r="AH79" s="2"/>
      <c r="AI79" s="2"/>
      <c r="AJ79" s="2"/>
      <c r="AK79" s="2"/>
      <c r="AL79" s="2"/>
    </row>
    <row r="80" ht="22.5" customHeight="1">
      <c r="A80" s="3" t="s">
        <v>2333</v>
      </c>
      <c r="B80" s="4">
        <v>79.0</v>
      </c>
      <c r="C80" s="3" t="s">
        <v>2351</v>
      </c>
      <c r="D80" s="3" t="s">
        <v>2352</v>
      </c>
      <c r="E80" s="3" t="s">
        <v>2353</v>
      </c>
      <c r="F80" s="3" t="s">
        <v>2354</v>
      </c>
      <c r="G80" s="3" t="s">
        <v>2306</v>
      </c>
      <c r="H80" s="3" t="s">
        <v>2352</v>
      </c>
      <c r="I80" s="3" t="s">
        <v>2355</v>
      </c>
      <c r="J80" s="2"/>
      <c r="K80" s="2"/>
      <c r="L80" s="3" t="s">
        <v>2333</v>
      </c>
      <c r="M80" s="4">
        <v>79.0</v>
      </c>
      <c r="N80" s="5" t="str">
        <f>IFERROR(__xludf.DUMMYFUNCTION("GOOGLETRANSLATE(C80,""en"",""zh-CN"")"),"除了击打计时器之外，玩家的手还在做什么？")</f>
        <v>除了击打计时器之外，玩家的手还在做什么？</v>
      </c>
      <c r="O80" s="5" t="str">
        <f>IFERROR(__xludf.DUMMYFUNCTION("GOOGLETRANSLATE(D80,""en"",""zh-CN"")"),"他正准备放置一块石头。")</f>
        <v>他正准备放置一块石头。</v>
      </c>
      <c r="P80" s="5" t="str">
        <f>IFERROR(__xludf.DUMMYFUNCTION("GOOGLETRANSLATE(E80,""en"",""zh-CN"")"),"他正准备搬走一块石头。")</f>
        <v>他正准备搬走一块石头。</v>
      </c>
      <c r="Q80" s="5" t="str">
        <f>IFERROR(__xludf.DUMMYFUNCTION("GOOGLETRANSLATE(F80,""en"",""zh-CN"")"),"他正要抓住一块石头。")</f>
        <v>他正要抓住一块石头。</v>
      </c>
      <c r="R80" s="5" t="str">
        <f>IFERROR(__xludf.DUMMYFUNCTION("GOOGLETRANSLATE(G80,""en"",""zh-CN"")"),"他即将采取行动。")</f>
        <v>他即将采取行动。</v>
      </c>
      <c r="S80" s="5" t="s">
        <v>2356</v>
      </c>
      <c r="T80" s="5" t="str">
        <f>IFERROR(__xludf.DUMMYFUNCTION("GOOGLETRANSLATE(H80,""en"",""zh-CN"")"),"他正准备放置一块石头。")</f>
        <v>他正准备放置一块石头。</v>
      </c>
      <c r="U80" s="5" t="str">
        <f>IFERROR(__xludf.DUMMYFUNCTION("GOOGLETRANSLATE(I80,""en"",""zh-CN"")"),"玩家用一只手按下计时器，另一只手准备在棋盘上放置一颗黑棋子，这是限时游戏中的标准程序。")</f>
        <v>玩家用一只手按下计时器，另一只手准备在棋盘上放置一颗黑棋子，这是限时游戏中的标准程序。</v>
      </c>
      <c r="V80" s="2"/>
      <c r="W80" s="2"/>
      <c r="X80" s="2"/>
      <c r="Y80" s="2"/>
      <c r="Z80" s="2"/>
      <c r="AA80" s="2"/>
      <c r="AB80" s="2"/>
      <c r="AC80" s="2"/>
      <c r="AD80" s="2"/>
      <c r="AE80" s="2"/>
      <c r="AF80" s="2"/>
      <c r="AG80" s="2"/>
      <c r="AH80" s="2"/>
      <c r="AI80" s="2"/>
      <c r="AJ80" s="2"/>
      <c r="AK80" s="2"/>
      <c r="AL80" s="2"/>
    </row>
    <row r="81" ht="22.5" customHeight="1">
      <c r="A81" s="3" t="s">
        <v>2333</v>
      </c>
      <c r="B81" s="4">
        <v>80.0</v>
      </c>
      <c r="C81" s="3" t="s">
        <v>2357</v>
      </c>
      <c r="D81" s="3" t="s">
        <v>2358</v>
      </c>
      <c r="E81" s="3" t="s">
        <v>2359</v>
      </c>
      <c r="F81" s="3" t="s">
        <v>2360</v>
      </c>
      <c r="G81" s="3" t="s">
        <v>2361</v>
      </c>
      <c r="H81" s="3" t="s">
        <v>2361</v>
      </c>
      <c r="I81" s="3" t="s">
        <v>2362</v>
      </c>
      <c r="J81" s="2"/>
      <c r="K81" s="2"/>
      <c r="L81" s="3" t="s">
        <v>2333</v>
      </c>
      <c r="M81" s="4">
        <v>80.0</v>
      </c>
      <c r="N81" s="5" t="str">
        <f>IFERROR(__xludf.DUMMYFUNCTION("GOOGLETRANSLATE(C81,""en"",""zh-CN"")"),"计时器的存在对游戏的性质有何启示？")</f>
        <v>计时器的存在对游戏的性质有何启示？</v>
      </c>
      <c r="O81" s="5" t="str">
        <f>IFERROR(__xludf.DUMMYFUNCTION("GOOGLETRANSLATE(D81,""en"",""zh-CN"")"),"这是一款节奏很快的游戏。")</f>
        <v>这是一款节奏很快的游戏。</v>
      </c>
      <c r="P81" s="5" t="str">
        <f>IFERROR(__xludf.DUMMYFUNCTION("GOOGLETRANSLATE(E81,""en"",""zh-CN"")"),"这是一款休闲游戏。")</f>
        <v>这是一款休闲游戏。</v>
      </c>
      <c r="Q81" s="5" t="str">
        <f>IFERROR(__xludf.DUMMYFUNCTION("GOOGLETRANSLATE(F81,""en"",""zh-CN"")"),"这是一场友谊赛。")</f>
        <v>这是一场友谊赛。</v>
      </c>
      <c r="R81" s="5" t="str">
        <f>IFERROR(__xludf.DUMMYFUNCTION("GOOGLETRANSLATE(G81,""en"",""zh-CN"")"),"这是一项正式的竞技性比赛。")</f>
        <v>这是一项正式的竞技性比赛。</v>
      </c>
      <c r="S81" s="5" t="s">
        <v>2363</v>
      </c>
      <c r="T81" s="5" t="str">
        <f>IFERROR(__xludf.DUMMYFUNCTION("GOOGLETRANSLATE(H81,""en"",""zh-CN"")"),"这是一项正式的竞技性比赛。")</f>
        <v>这是一项正式的竞技性比赛。</v>
      </c>
      <c r="U81" s="5" t="str">
        <f>IFERROR(__xludf.DUMMYFUNCTION("GOOGLETRANSLATE(I81,""en"",""zh-CN"")"),"官方和职业比赛中会使用计时器，以增加比赛的压力，并确保比赛按时完成。")</f>
        <v>官方和职业比赛中会使用计时器，以增加比赛的压力，并确保比赛按时完成。</v>
      </c>
      <c r="V81" s="2"/>
      <c r="W81" s="2"/>
      <c r="X81" s="2"/>
      <c r="Y81" s="2"/>
      <c r="Z81" s="2"/>
      <c r="AA81" s="2"/>
      <c r="AB81" s="2"/>
      <c r="AC81" s="2"/>
      <c r="AD81" s="2"/>
      <c r="AE81" s="2"/>
      <c r="AF81" s="2"/>
      <c r="AG81" s="2"/>
      <c r="AH81" s="2"/>
      <c r="AI81" s="2"/>
      <c r="AJ81" s="2"/>
      <c r="AK81" s="2"/>
      <c r="AL81" s="2"/>
    </row>
    <row r="82" ht="22.5" customHeight="1">
      <c r="A82" s="3" t="s">
        <v>2364</v>
      </c>
      <c r="B82" s="4">
        <v>81.0</v>
      </c>
      <c r="C82" s="3" t="s">
        <v>1897</v>
      </c>
      <c r="D82" s="3" t="s">
        <v>1898</v>
      </c>
      <c r="E82" s="3" t="s">
        <v>1899</v>
      </c>
      <c r="F82" s="3" t="s">
        <v>1900</v>
      </c>
      <c r="G82" s="3" t="s">
        <v>1901</v>
      </c>
      <c r="H82" s="3" t="s">
        <v>1899</v>
      </c>
      <c r="I82" s="3" t="s">
        <v>1902</v>
      </c>
      <c r="J82" s="2"/>
      <c r="K82" s="2"/>
      <c r="L82" s="3" t="s">
        <v>2364</v>
      </c>
      <c r="M82" s="4">
        <v>81.0</v>
      </c>
      <c r="N82" s="5" t="str">
        <f>IFERROR(__xludf.DUMMYFUNCTION("GOOGLETRANSLATE(C82,""en"",""zh-CN"")"),"图片中展示的是什么游戏？")</f>
        <v>图片中展示的是什么游戏？</v>
      </c>
      <c r="O82" s="5" t="str">
        <f>IFERROR(__xludf.DUMMYFUNCTION("GOOGLETRANSLATE(D82,""en"",""zh-CN"")"),"棋")</f>
        <v>棋</v>
      </c>
      <c r="P82" s="5" t="str">
        <f>IFERROR(__xludf.DUMMYFUNCTION("GOOGLETRANSLATE(E82,""en"",""zh-CN"")"),"围棋")</f>
        <v>围棋</v>
      </c>
      <c r="Q82" s="5" t="str">
        <f>IFERROR(__xludf.DUMMYFUNCTION("GOOGLETRANSLATE(F82,""en"",""zh-CN"")"),"跳棋")</f>
        <v>跳棋</v>
      </c>
      <c r="R82" s="5" t="str">
        <f>IFERROR(__xludf.DUMMYFUNCTION("GOOGLETRANSLATE(G82,""en"",""zh-CN"")"),"双陆棋")</f>
        <v>双陆棋</v>
      </c>
      <c r="S82" s="5" t="s">
        <v>2238</v>
      </c>
      <c r="T82" s="5" t="str">
        <f>IFERROR(__xludf.DUMMYFUNCTION("GOOGLETRANSLATE(H82,""en"",""zh-CN"")"),"围棋")</f>
        <v>围棋</v>
      </c>
      <c r="U82" s="5" t="str">
        <f>IFERROR(__xludf.DUMMYFUNCTION("GOOGLETRANSLATE(I82,""en"",""zh-CN"")"),"图中显示的是一个带有网格的方形棋盘，棋子有黑白两色，这是围棋（又称围棋）的典型特征。")</f>
        <v>图中显示的是一个带有网格的方形棋盘，棋子有黑白两色，这是围棋（又称围棋）的典型特征。</v>
      </c>
      <c r="V82" s="2"/>
      <c r="W82" s="2"/>
      <c r="X82" s="2"/>
      <c r="Y82" s="2"/>
      <c r="Z82" s="2"/>
      <c r="AA82" s="2"/>
      <c r="AB82" s="2"/>
      <c r="AC82" s="2"/>
      <c r="AD82" s="2"/>
      <c r="AE82" s="2"/>
      <c r="AF82" s="2"/>
      <c r="AG82" s="2"/>
      <c r="AH82" s="2"/>
      <c r="AI82" s="2"/>
      <c r="AJ82" s="2"/>
      <c r="AK82" s="2"/>
      <c r="AL82" s="2"/>
    </row>
    <row r="83" ht="22.5" customHeight="1">
      <c r="A83" s="3" t="s">
        <v>2364</v>
      </c>
      <c r="B83" s="4">
        <v>82.0</v>
      </c>
      <c r="C83" s="3" t="s">
        <v>2239</v>
      </c>
      <c r="D83" s="3" t="s">
        <v>1918</v>
      </c>
      <c r="E83" s="3" t="s">
        <v>1919</v>
      </c>
      <c r="F83" s="3" t="s">
        <v>1920</v>
      </c>
      <c r="G83" s="3" t="s">
        <v>1921</v>
      </c>
      <c r="H83" s="3" t="s">
        <v>1919</v>
      </c>
      <c r="I83" s="3" t="s">
        <v>1922</v>
      </c>
      <c r="J83" s="2"/>
      <c r="K83" s="2"/>
      <c r="L83" s="3" t="s">
        <v>2364</v>
      </c>
      <c r="M83" s="4">
        <v>82.0</v>
      </c>
      <c r="N83" s="5" t="str">
        <f>IFERROR(__xludf.DUMMYFUNCTION("GOOGLETRANSLATE(C83,""en"",""zh-CN"")"),"图中围棋棋盘最显著的特点是什么？")</f>
        <v>图中围棋棋盘最显著的特点是什么？</v>
      </c>
      <c r="O83" s="5" t="str">
        <f>IFERROR(__xludf.DUMMYFUNCTION("GOOGLETRANSLATE(D83,""en"",""zh-CN"")"),"它有棋盘格图案。")</f>
        <v>它有棋盘格图案。</v>
      </c>
      <c r="P83" s="5" t="str">
        <f>IFERROR(__xludf.DUMMYFUNCTION("GOOGLETRANSLATE(E83,""en"",""zh-CN"")"),"这是一个有交叉点的正方形网格。")</f>
        <v>这是一个有交叉点的正方形网格。</v>
      </c>
      <c r="Q83" s="5" t="str">
        <f>IFERROR(__xludf.DUMMYFUNCTION("GOOGLETRANSLATE(F83,""en"",""zh-CN"")"),"它呈圆形图案。")</f>
        <v>它呈圆形图案。</v>
      </c>
      <c r="R83" s="5" t="str">
        <f>IFERROR(__xludf.DUMMYFUNCTION("GOOGLETRANSLATE(G83,""en"",""zh-CN"")"),"这是一块很大的纯色木板。")</f>
        <v>这是一块很大的纯色木板。</v>
      </c>
      <c r="S83" s="5" t="s">
        <v>1923</v>
      </c>
      <c r="T83" s="5" t="str">
        <f>IFERROR(__xludf.DUMMYFUNCTION("GOOGLETRANSLATE(H83,""en"",""zh-CN"")"),"这是一个有交叉点的正方形网格。")</f>
        <v>这是一个有交叉点的正方形网格。</v>
      </c>
      <c r="U83" s="5" t="str">
        <f>IFERROR(__xludf.DUMMYFUNCTION("GOOGLETRANSLATE(I83,""en"",""zh-CN"")"),"围棋棋盘是由线条组成的网格，棋子（棋子）放置在这些线条的交点上，而不是放置在方格内。")</f>
        <v>围棋棋盘是由线条组成的网格，棋子（棋子）放置在这些线条的交点上，而不是放置在方格内。</v>
      </c>
      <c r="V83" s="2"/>
      <c r="W83" s="2"/>
      <c r="X83" s="2"/>
      <c r="Y83" s="2"/>
      <c r="Z83" s="2"/>
      <c r="AA83" s="2"/>
      <c r="AB83" s="2"/>
      <c r="AC83" s="2"/>
      <c r="AD83" s="2"/>
      <c r="AE83" s="2"/>
      <c r="AF83" s="2"/>
      <c r="AG83" s="2"/>
      <c r="AH83" s="2"/>
      <c r="AI83" s="2"/>
      <c r="AJ83" s="2"/>
      <c r="AK83" s="2"/>
      <c r="AL83" s="2"/>
    </row>
    <row r="84" ht="22.5" customHeight="1">
      <c r="A84" s="3" t="s">
        <v>2364</v>
      </c>
      <c r="B84" s="4">
        <v>83.0</v>
      </c>
      <c r="C84" s="3" t="s">
        <v>2365</v>
      </c>
      <c r="D84" s="3" t="s">
        <v>1925</v>
      </c>
      <c r="E84" s="3" t="s">
        <v>1926</v>
      </c>
      <c r="F84" s="3" t="s">
        <v>1927</v>
      </c>
      <c r="G84" s="3" t="s">
        <v>1928</v>
      </c>
      <c r="H84" s="3" t="s">
        <v>1926</v>
      </c>
      <c r="I84" s="3" t="s">
        <v>1929</v>
      </c>
      <c r="J84" s="2"/>
      <c r="K84" s="2"/>
      <c r="L84" s="3" t="s">
        <v>2364</v>
      </c>
      <c r="M84" s="4">
        <v>83.0</v>
      </c>
      <c r="N84" s="5" t="str">
        <f>IFERROR(__xludf.DUMMYFUNCTION("GOOGLETRANSLATE(C84,""en"",""zh-CN"")"),"板子两侧的两个木碗是做什么用的？")</f>
        <v>板子两侧的两个木碗是做什么用的？</v>
      </c>
      <c r="O84" s="5" t="str">
        <f>IFERROR(__xludf.DUMMYFUNCTION("GOOGLETRANSLATE(D84,""en"",""zh-CN"")"),"用于储存捕获的石头。")</f>
        <v>用于储存捕获的石头。</v>
      </c>
      <c r="P84" s="5" t="str">
        <f>IFERROR(__xludf.DUMMYFUNCTION("GOOGLETRANSLATE(E84,""en"",""zh-CN"")"),"用来存放玩家自己的棋子。")</f>
        <v>用来存放玩家自己的棋子。</v>
      </c>
      <c r="Q84" s="5" t="str">
        <f>IFERROR(__xludf.DUMMYFUNCTION("GOOGLETRANSLATE(F84,""en"",""zh-CN"")"),"用来存放玩家多余的棋子。")</f>
        <v>用来存放玩家多余的棋子。</v>
      </c>
      <c r="R84" s="5" t="str">
        <f>IFERROR(__xludf.DUMMYFUNCTION("GOOGLETRANSLATE(G84,""en"",""zh-CN"")"),"可用作计时器。")</f>
        <v>可用作计时器。</v>
      </c>
      <c r="S84" s="5" t="s">
        <v>1930</v>
      </c>
      <c r="T84" s="5" t="str">
        <f>IFERROR(__xludf.DUMMYFUNCTION("GOOGLETRANSLATE(H84,""en"",""zh-CN"")"),"用来存放玩家自己的棋子。")</f>
        <v>用来存放玩家自己的棋子。</v>
      </c>
      <c r="U84" s="5" t="str">
        <f>IFERROR(__xludf.DUMMYFUNCTION("GOOGLETRANSLATE(I84,""en"",""zh-CN"")"),"这些碗，称为围棋碗或棋盘碗，是用来存放每位玩家在比赛期间放置在棋盘上的黑白棋子的。")</f>
        <v>这些碗，称为围棋碗或棋盘碗，是用来存放每位玩家在比赛期间放置在棋盘上的黑白棋子的。</v>
      </c>
      <c r="V84" s="2"/>
      <c r="W84" s="2"/>
      <c r="X84" s="2"/>
      <c r="Y84" s="2"/>
      <c r="Z84" s="2"/>
      <c r="AA84" s="2"/>
      <c r="AB84" s="2"/>
      <c r="AC84" s="2"/>
      <c r="AD84" s="2"/>
      <c r="AE84" s="2"/>
      <c r="AF84" s="2"/>
      <c r="AG84" s="2"/>
      <c r="AH84" s="2"/>
      <c r="AI84" s="2"/>
      <c r="AJ84" s="2"/>
      <c r="AK84" s="2"/>
      <c r="AL84" s="2"/>
    </row>
    <row r="85" ht="22.5" customHeight="1">
      <c r="A85" s="3" t="s">
        <v>2364</v>
      </c>
      <c r="B85" s="4">
        <v>84.0</v>
      </c>
      <c r="C85" s="3" t="s">
        <v>2366</v>
      </c>
      <c r="D85" s="3" t="s">
        <v>2244</v>
      </c>
      <c r="E85" s="3" t="s">
        <v>1947</v>
      </c>
      <c r="F85" s="3" t="s">
        <v>2243</v>
      </c>
      <c r="G85" s="3" t="s">
        <v>1948</v>
      </c>
      <c r="H85" s="3" t="s">
        <v>1947</v>
      </c>
      <c r="I85" s="3" t="s">
        <v>2367</v>
      </c>
      <c r="J85" s="2"/>
      <c r="K85" s="2"/>
      <c r="L85" s="3" t="s">
        <v>2364</v>
      </c>
      <c r="M85" s="4">
        <v>84.0</v>
      </c>
      <c r="N85" s="5" t="str">
        <f>IFERROR(__xludf.DUMMYFUNCTION("GOOGLETRANSLATE(C85,""en"",""zh-CN"")"),"棋盘上大量的石子说明了什么？")</f>
        <v>棋盘上大量的石子说明了什么？</v>
      </c>
      <c r="O85" s="5" t="str">
        <f>IFERROR(__xludf.DUMMYFUNCTION("GOOGLETRANSLATE(D85,""en"",""zh-CN"")"),"比赛即将开始。")</f>
        <v>比赛即将开始。</v>
      </c>
      <c r="P85" s="5" t="str">
        <f>IFERROR(__xludf.DUMMYFUNCTION("GOOGLETRANSLATE(E85,""en"",""zh-CN"")"),"游戏正处于一个复杂的阶段。")</f>
        <v>游戏正处于一个复杂的阶段。</v>
      </c>
      <c r="Q85" s="5" t="str">
        <f>IFERROR(__xludf.DUMMYFUNCTION("GOOGLETRANSLATE(F85,""en"",""zh-CN"")"),"游戏结束了。")</f>
        <v>游戏结束了。</v>
      </c>
      <c r="R85" s="5" t="str">
        <f>IFERROR(__xludf.DUMMYFUNCTION("GOOGLETRANSLATE(G85,""en"",""zh-CN"")"),"这个游戏很简单。")</f>
        <v>这个游戏很简单。</v>
      </c>
      <c r="S85" s="5" t="s">
        <v>2368</v>
      </c>
      <c r="T85" s="5" t="str">
        <f>IFERROR(__xludf.DUMMYFUNCTION("GOOGLETRANSLATE(H85,""en"",""zh-CN"")"),"游戏正处于一个复杂的阶段。")</f>
        <v>游戏正处于一个复杂的阶段。</v>
      </c>
      <c r="U85" s="5" t="str">
        <f>IFERROR(__xludf.DUMMYFUNCTION("GOOGLETRANSLATE(I85,""en"",""zh-CN"")"),"棋盘上几乎完全摆满了棋子，这表明游戏已经进入中后期阶段，争夺领土的战略战斗正在如火如荼地进行。")</f>
        <v>棋盘上几乎完全摆满了棋子，这表明游戏已经进入中后期阶段，争夺领土的战略战斗正在如火如荼地进行。</v>
      </c>
      <c r="V85" s="2"/>
      <c r="W85" s="2"/>
      <c r="X85" s="2"/>
      <c r="Y85" s="2"/>
      <c r="Z85" s="2"/>
      <c r="AA85" s="2"/>
      <c r="AB85" s="2"/>
      <c r="AC85" s="2"/>
      <c r="AD85" s="2"/>
      <c r="AE85" s="2"/>
      <c r="AF85" s="2"/>
      <c r="AG85" s="2"/>
      <c r="AH85" s="2"/>
      <c r="AI85" s="2"/>
      <c r="AJ85" s="2"/>
      <c r="AK85" s="2"/>
      <c r="AL85" s="2"/>
    </row>
    <row r="86" ht="22.5" customHeight="1">
      <c r="A86" s="3" t="s">
        <v>2364</v>
      </c>
      <c r="B86" s="4">
        <v>85.0</v>
      </c>
      <c r="C86" s="3" t="s">
        <v>1910</v>
      </c>
      <c r="D86" s="3" t="s">
        <v>1911</v>
      </c>
      <c r="E86" s="3" t="s">
        <v>1912</v>
      </c>
      <c r="F86" s="3" t="s">
        <v>1913</v>
      </c>
      <c r="G86" s="3" t="s">
        <v>1914</v>
      </c>
      <c r="H86" s="3" t="s">
        <v>1912</v>
      </c>
      <c r="I86" s="3" t="s">
        <v>1915</v>
      </c>
      <c r="J86" s="2"/>
      <c r="K86" s="2"/>
      <c r="L86" s="3" t="s">
        <v>2364</v>
      </c>
      <c r="M86" s="4">
        <v>85.0</v>
      </c>
      <c r="N86" s="5" t="str">
        <f>IFERROR(__xludf.DUMMYFUNCTION("GOOGLETRANSLATE(C86,""en"",""zh-CN"")"),"这个游戏的主要目标是什么？")</f>
        <v>这个游戏的主要目标是什么？</v>
      </c>
      <c r="O86" s="5" t="str">
        <f>IFERROR(__xludf.DUMMYFUNCTION("GOOGLETRANSLATE(D86,""en"",""zh-CN"")"),"吃掉对方所有棋子。")</f>
        <v>吃掉对方所有棋子。</v>
      </c>
      <c r="P86" s="5" t="str">
        <f>IFERROR(__xludf.DUMMYFUNCTION("GOOGLETRANSLATE(E86,""en"",""zh-CN"")"),"占据棋盘上最多的领土。")</f>
        <v>占据棋盘上最多的领土。</v>
      </c>
      <c r="Q86" s="5" t="str">
        <f>IFERROR(__xludf.DUMMYFUNCTION("GOOGLETRANSLATE(F86,""en"",""zh-CN"")"),"到达棋盘的另一边。")</f>
        <v>到达棋盘的另一边。</v>
      </c>
      <c r="R86" s="5" t="str">
        <f>IFERROR(__xludf.DUMMYFUNCTION("GOOGLETRANSLATE(G86,""en"",""zh-CN"")"),"形成特定图案。")</f>
        <v>形成特定图案。</v>
      </c>
      <c r="S86" s="5" t="s">
        <v>1916</v>
      </c>
      <c r="T86" s="5" t="str">
        <f>IFERROR(__xludf.DUMMYFUNCTION("GOOGLETRANSLATE(H86,""en"",""zh-CN"")"),"占据棋盘上最多的领土。")</f>
        <v>占据棋盘上最多的领土。</v>
      </c>
      <c r="U86" s="5" t="str">
        <f>IFERROR(__xludf.DUMMYFUNCTION("GOOGLETRANSLATE(I86,""en"",""zh-CN"")"),"围棋的主要目标是包围并控制比对手更大的棋盘区域，这以“领土”来衡量。")</f>
        <v>围棋的主要目标是包围并控制比对手更大的棋盘区域，这以“领土”来衡量。</v>
      </c>
      <c r="V86" s="2"/>
      <c r="W86" s="2"/>
      <c r="X86" s="2"/>
      <c r="Y86" s="2"/>
      <c r="Z86" s="2"/>
      <c r="AA86" s="2"/>
      <c r="AB86" s="2"/>
      <c r="AC86" s="2"/>
      <c r="AD86" s="2"/>
      <c r="AE86" s="2"/>
      <c r="AF86" s="2"/>
      <c r="AG86" s="2"/>
      <c r="AH86" s="2"/>
      <c r="AI86" s="2"/>
      <c r="AJ86" s="2"/>
      <c r="AK86" s="2"/>
      <c r="AL86" s="2"/>
    </row>
    <row r="87" ht="22.5" customHeight="1">
      <c r="A87" s="3" t="s">
        <v>2369</v>
      </c>
      <c r="B87" s="4">
        <v>86.0</v>
      </c>
      <c r="C87" s="3" t="s">
        <v>1335</v>
      </c>
      <c r="D87" s="3" t="s">
        <v>2370</v>
      </c>
      <c r="E87" s="3" t="s">
        <v>2371</v>
      </c>
      <c r="F87" s="3" t="s">
        <v>2372</v>
      </c>
      <c r="G87" s="3" t="s">
        <v>2373</v>
      </c>
      <c r="H87" s="3" t="s">
        <v>2371</v>
      </c>
      <c r="I87" s="3" t="s">
        <v>2374</v>
      </c>
      <c r="J87" s="2"/>
      <c r="K87" s="2"/>
      <c r="L87" s="3" t="s">
        <v>2369</v>
      </c>
      <c r="M87" s="4">
        <v>86.0</v>
      </c>
      <c r="N87" s="5" t="str">
        <f>IFERROR(__xludf.DUMMYFUNCTION("GOOGLETRANSLATE(C87,""en"",""zh-CN"")"),"图中所示的中心活动是什么？")</f>
        <v>图中所示的中心活动是什么？</v>
      </c>
      <c r="O87" s="5" t="str">
        <f>IFERROR(__xludf.DUMMYFUNCTION("GOOGLETRANSLATE(D87,""en"",""zh-CN"")"),"一个孩子正在玩玩具。")</f>
        <v>一个孩子正在玩玩具。</v>
      </c>
      <c r="P87" s="5" t="str">
        <f>IFERROR(__xludf.DUMMYFUNCTION("GOOGLETRANSLATE(E87,""en"",""zh-CN"")"),"一个孩子正在玩棋盘游戏。")</f>
        <v>一个孩子正在玩棋盘游戏。</v>
      </c>
      <c r="Q87" s="5" t="str">
        <f>IFERROR(__xludf.DUMMYFUNCTION("GOOGLETRANSLATE(F87,""en"",""zh-CN"")"),"一个孩子正在学习。")</f>
        <v>一个孩子正在学习。</v>
      </c>
      <c r="R87" s="5" t="str">
        <f>IFERROR(__xludf.DUMMYFUNCTION("GOOGLETRANSLATE(G87,""en"",""zh-CN"")"),"一个孩子正在拼拼图。")</f>
        <v>一个孩子正在拼拼图。</v>
      </c>
      <c r="S87" s="5" t="s">
        <v>2375</v>
      </c>
      <c r="T87" s="5" t="str">
        <f>IFERROR(__xludf.DUMMYFUNCTION("GOOGLETRANSLATE(H87,""en"",""zh-CN"")"),"一个孩子正在玩棋盘游戏。")</f>
        <v>一个孩子正在玩棋盘游戏。</v>
      </c>
      <c r="U87" s="5" t="str">
        <f>IFERROR(__xludf.DUMMYFUNCTION("GOOGLETRANSLATE(I87,""en"",""zh-CN"")"),"图片显示一名幼童坐在地板上，摆弄着围棋棋盘和棋子，表明他正在下围棋。")</f>
        <v>图片显示一名幼童坐在地板上，摆弄着围棋棋盘和棋子，表明他正在下围棋。</v>
      </c>
      <c r="V87" s="2"/>
      <c r="W87" s="2"/>
      <c r="X87" s="2"/>
      <c r="Y87" s="2"/>
      <c r="Z87" s="2"/>
      <c r="AA87" s="2"/>
      <c r="AB87" s="2"/>
      <c r="AC87" s="2"/>
      <c r="AD87" s="2"/>
      <c r="AE87" s="2"/>
      <c r="AF87" s="2"/>
      <c r="AG87" s="2"/>
      <c r="AH87" s="2"/>
      <c r="AI87" s="2"/>
      <c r="AJ87" s="2"/>
      <c r="AK87" s="2"/>
      <c r="AL87" s="2"/>
    </row>
    <row r="88" ht="22.5" customHeight="1">
      <c r="A88" s="3" t="s">
        <v>2369</v>
      </c>
      <c r="B88" s="4">
        <v>87.0</v>
      </c>
      <c r="C88" s="3" t="s">
        <v>2376</v>
      </c>
      <c r="D88" s="3" t="s">
        <v>2377</v>
      </c>
      <c r="E88" s="3" t="s">
        <v>2330</v>
      </c>
      <c r="F88" s="3" t="s">
        <v>2378</v>
      </c>
      <c r="G88" s="3" t="s">
        <v>2379</v>
      </c>
      <c r="H88" s="3" t="s">
        <v>2378</v>
      </c>
      <c r="I88" s="3" t="s">
        <v>2380</v>
      </c>
      <c r="J88" s="2"/>
      <c r="K88" s="2"/>
      <c r="L88" s="3" t="s">
        <v>2369</v>
      </c>
      <c r="M88" s="4">
        <v>87.0</v>
      </c>
      <c r="N88" s="5" t="str">
        <f>IFERROR(__xludf.DUMMYFUNCTION("GOOGLETRANSLATE(C88,""en"",""zh-CN"")"),"游戏环境的一个关键特征是什么？")</f>
        <v>游戏环境的一个关键特征是什么？</v>
      </c>
      <c r="O88" s="5" t="str">
        <f>IFERROR(__xludf.DUMMYFUNCTION("GOOGLETRANSLATE(D88,""en"",""zh-CN"")"),"这是一个正式的专业场合。")</f>
        <v>这是一个正式的专业场合。</v>
      </c>
      <c r="P88" s="5" t="str">
        <f>IFERROR(__xludf.DUMMYFUNCTION("GOOGLETRANSLATE(E88,""en"",""zh-CN"")"),"这是一个户外环境。")</f>
        <v>这是一个户外环境。</v>
      </c>
      <c r="Q88" s="5" t="str">
        <f>IFERROR(__xludf.DUMMYFUNCTION("GOOGLETRANSLATE(F88,""en"",""zh-CN"")"),"这是一个休闲、室内、舒适的环境。")</f>
        <v>这是一个休闲、室内、舒适的环境。</v>
      </c>
      <c r="R88" s="5" t="str">
        <f>IFERROR(__xludf.DUMMYFUNCTION("GOOGLETRANSLATE(G88,""en"",""zh-CN"")"),"这是课堂环境。")</f>
        <v>这是课堂环境。</v>
      </c>
      <c r="S88" s="5" t="s">
        <v>2381</v>
      </c>
      <c r="T88" s="5" t="str">
        <f>IFERROR(__xludf.DUMMYFUNCTION("GOOGLETRANSLATE(H88,""en"",""zh-CN"")"),"这是一个休闲、室内、舒适的环境。")</f>
        <v>这是一个休闲、室内、舒适的环境。</v>
      </c>
      <c r="U88" s="5" t="str">
        <f>IFERROR(__xludf.DUMMYFUNCTION("GOOGLETRANSLATE(I88,""en"",""zh-CN"")"),"孩子坐在地板上，看起来像是在客厅或游戏室里，这表明游戏环境轻松随意。")</f>
        <v>孩子坐在地板上，看起来像是在客厅或游戏室里，这表明游戏环境轻松随意。</v>
      </c>
      <c r="V88" s="2"/>
      <c r="W88" s="2"/>
      <c r="X88" s="2"/>
      <c r="Y88" s="2"/>
      <c r="Z88" s="2"/>
      <c r="AA88" s="2"/>
      <c r="AB88" s="2"/>
      <c r="AC88" s="2"/>
      <c r="AD88" s="2"/>
      <c r="AE88" s="2"/>
      <c r="AF88" s="2"/>
      <c r="AG88" s="2"/>
      <c r="AH88" s="2"/>
      <c r="AI88" s="2"/>
      <c r="AJ88" s="2"/>
      <c r="AK88" s="2"/>
      <c r="AL88" s="2"/>
    </row>
    <row r="89" ht="22.5" customHeight="1">
      <c r="A89" s="3" t="s">
        <v>2369</v>
      </c>
      <c r="B89" s="4">
        <v>88.0</v>
      </c>
      <c r="C89" s="3" t="s">
        <v>2382</v>
      </c>
      <c r="D89" s="3" t="s">
        <v>2383</v>
      </c>
      <c r="E89" s="3" t="s">
        <v>2384</v>
      </c>
      <c r="F89" s="3" t="s">
        <v>2385</v>
      </c>
      <c r="G89" s="3" t="s">
        <v>2386</v>
      </c>
      <c r="H89" s="3" t="s">
        <v>2384</v>
      </c>
      <c r="I89" s="3" t="s">
        <v>2387</v>
      </c>
      <c r="J89" s="2"/>
      <c r="K89" s="2"/>
      <c r="L89" s="3" t="s">
        <v>2369</v>
      </c>
      <c r="M89" s="4">
        <v>88.0</v>
      </c>
      <c r="N89" s="5" t="str">
        <f>IFERROR(__xludf.DUMMYFUNCTION("GOOGLETRANSLATE(C89,""en"",""zh-CN"")"),"孩子脸上的笑容和专注的姿态说明了什么？")</f>
        <v>孩子脸上的笑容和专注的姿态说明了什么？</v>
      </c>
      <c r="O89" s="5" t="str">
        <f>IFERROR(__xludf.DUMMYFUNCTION("GOOGLETRANSLATE(D89,""en"",""zh-CN"")"),"他对比赛感到沮丧。")</f>
        <v>他对比赛感到沮丧。</v>
      </c>
      <c r="P89" s="5" t="str">
        <f>IFERROR(__xludf.DUMMYFUNCTION("GOOGLETRANSLATE(E89,""en"",""zh-CN"")"),"他很享受这场比赛。")</f>
        <v>他很享受这场比赛。</v>
      </c>
      <c r="Q89" s="5" t="str">
        <f>IFERROR(__xludf.DUMMYFUNCTION("GOOGLETRANSLATE(F89,""en"",""zh-CN"")"),"他对这个游戏感到厌倦了。")</f>
        <v>他对这个游戏感到厌倦了。</v>
      </c>
      <c r="R89" s="5" t="str">
        <f>IFERROR(__xludf.DUMMYFUNCTION("GOOGLETRANSLATE(G89,""en"",""zh-CN"")"),"他被游戏搞糊涂了。")</f>
        <v>他被游戏搞糊涂了。</v>
      </c>
      <c r="S89" s="5" t="s">
        <v>2388</v>
      </c>
      <c r="T89" s="5" t="str">
        <f>IFERROR(__xludf.DUMMYFUNCTION("GOOGLETRANSLATE(H89,""en"",""zh-CN"")"),"他很享受这场比赛。")</f>
        <v>他很享受这场比赛。</v>
      </c>
      <c r="U89" s="5" t="str">
        <f>IFERROR(__xludf.DUMMYFUNCTION("GOOGLETRANSLATE(I89,""en"",""zh-CN"")"),"孩子脸上带着笑容，神情专注，表明他玩得很开心，并且积极投入到游戏中。")</f>
        <v>孩子脸上带着笑容，神情专注，表明他玩得很开心，并且积极投入到游戏中。</v>
      </c>
      <c r="V89" s="2"/>
      <c r="W89" s="2"/>
      <c r="X89" s="2"/>
      <c r="Y89" s="2"/>
      <c r="Z89" s="2"/>
      <c r="AA89" s="2"/>
      <c r="AB89" s="2"/>
      <c r="AC89" s="2"/>
      <c r="AD89" s="2"/>
      <c r="AE89" s="2"/>
      <c r="AF89" s="2"/>
      <c r="AG89" s="2"/>
      <c r="AH89" s="2"/>
      <c r="AI89" s="2"/>
      <c r="AJ89" s="2"/>
      <c r="AK89" s="2"/>
      <c r="AL89" s="2"/>
    </row>
    <row r="90" ht="22.5" customHeight="1">
      <c r="A90" s="3" t="s">
        <v>2369</v>
      </c>
      <c r="B90" s="4">
        <v>89.0</v>
      </c>
      <c r="C90" s="3" t="s">
        <v>2389</v>
      </c>
      <c r="D90" s="3" t="s">
        <v>2390</v>
      </c>
      <c r="E90" s="3" t="s">
        <v>2391</v>
      </c>
      <c r="F90" s="3" t="s">
        <v>2392</v>
      </c>
      <c r="G90" s="3" t="s">
        <v>2393</v>
      </c>
      <c r="H90" s="3" t="s">
        <v>2391</v>
      </c>
      <c r="I90" s="3" t="s">
        <v>2394</v>
      </c>
      <c r="J90" s="2"/>
      <c r="K90" s="2"/>
      <c r="L90" s="3" t="s">
        <v>2369</v>
      </c>
      <c r="M90" s="4">
        <v>89.0</v>
      </c>
      <c r="N90" s="5" t="str">
        <f>IFERROR(__xludf.DUMMYFUNCTION("GOOGLETRANSLATE(C90,""en"",""zh-CN"")"),"这张图片暗示了围棋游戏中的哪些内容？")</f>
        <v>这张图片暗示了围棋游戏中的哪些内容？</v>
      </c>
      <c r="O90" s="5" t="str">
        <f>IFERROR(__xludf.DUMMYFUNCTION("GOOGLETRANSLATE(D90,""en"",""zh-CN"")"),"这是一款仅限成人玩的游戏。")</f>
        <v>这是一款仅限成人玩的游戏。</v>
      </c>
      <c r="P90" s="5" t="str">
        <f>IFERROR(__xludf.DUMMYFUNCTION("GOOGLETRANSLATE(E90,""en"",""zh-CN"")"),"这是一款适合幼儿学习和玩耍的游戏。")</f>
        <v>这是一款适合幼儿学习和玩耍的游戏。</v>
      </c>
      <c r="Q90" s="5" t="str">
        <f>IFERROR(__xludf.DUMMYFUNCTION("GOOGLETRANSLATE(F90,""en"",""zh-CN"")"),"这款游戏对孩子来说太难了。")</f>
        <v>这款游戏对孩子来说太难了。</v>
      </c>
      <c r="R90" s="5" t="str">
        <f>IFERROR(__xludf.DUMMYFUNCTION("GOOGLETRANSLATE(G90,""en"",""zh-CN"")"),"这游戏一点都不好玩。")</f>
        <v>这游戏一点都不好玩。</v>
      </c>
      <c r="S90" s="5" t="s">
        <v>2395</v>
      </c>
      <c r="T90" s="5" t="str">
        <f>IFERROR(__xludf.DUMMYFUNCTION("GOOGLETRANSLATE(H90,""en"",""zh-CN"")"),"这是一款适合幼儿学习和玩耍的游戏。")</f>
        <v>这是一款适合幼儿学习和玩耍的游戏。</v>
      </c>
      <c r="U90" s="5" t="str">
        <f>IFERROR(__xludf.DUMMYFUNCTION("GOOGLETRANSLATE(I90,""en"",""zh-CN"")"),"一张小孩下围棋的图片表明，围棋规则简单，但策略复杂，因此对儿童来说既容易上手又充满乐趣。")</f>
        <v>一张小孩下围棋的图片表明，围棋规则简单，但策略复杂，因此对儿童来说既容易上手又充满乐趣。</v>
      </c>
      <c r="V90" s="2"/>
      <c r="W90" s="2"/>
      <c r="X90" s="2"/>
      <c r="Y90" s="2"/>
      <c r="Z90" s="2"/>
      <c r="AA90" s="2"/>
      <c r="AB90" s="2"/>
      <c r="AC90" s="2"/>
      <c r="AD90" s="2"/>
      <c r="AE90" s="2"/>
      <c r="AF90" s="2"/>
      <c r="AG90" s="2"/>
      <c r="AH90" s="2"/>
      <c r="AI90" s="2"/>
      <c r="AJ90" s="2"/>
      <c r="AK90" s="2"/>
      <c r="AL90" s="2"/>
    </row>
    <row r="91" ht="22.5" customHeight="1">
      <c r="A91" s="3" t="s">
        <v>2369</v>
      </c>
      <c r="B91" s="4">
        <v>90.0</v>
      </c>
      <c r="C91" s="3" t="s">
        <v>1903</v>
      </c>
      <c r="D91" s="3" t="s">
        <v>1904</v>
      </c>
      <c r="E91" s="3" t="s">
        <v>1905</v>
      </c>
      <c r="F91" s="3" t="s">
        <v>1906</v>
      </c>
      <c r="G91" s="3" t="s">
        <v>1907</v>
      </c>
      <c r="H91" s="3" t="s">
        <v>1906</v>
      </c>
      <c r="I91" s="3" t="s">
        <v>1908</v>
      </c>
      <c r="J91" s="2"/>
      <c r="K91" s="2"/>
      <c r="L91" s="3" t="s">
        <v>2369</v>
      </c>
      <c r="M91" s="4">
        <v>90.0</v>
      </c>
      <c r="N91" s="5" t="str">
        <f>IFERROR(__xludf.DUMMYFUNCTION("GOOGLETRANSLATE(C91,""en"",""zh-CN"")"),"这些黑白圆盘叫什么？")</f>
        <v>这些黑白圆盘叫什么？</v>
      </c>
      <c r="O91" s="5" t="str">
        <f>IFERROR(__xludf.DUMMYFUNCTION("GOOGLETRANSLATE(D91,""en"",""zh-CN"")"),"兵")</f>
        <v>兵</v>
      </c>
      <c r="P91" s="5" t="str">
        <f>IFERROR(__xludf.DUMMYFUNCTION("GOOGLETRANSLATE(E91,""en"",""zh-CN"")"),"薯片")</f>
        <v>薯片</v>
      </c>
      <c r="Q91" s="5" t="str">
        <f>IFERROR(__xludf.DUMMYFUNCTION("GOOGLETRANSLATE(F91,""en"",""zh-CN"")"),"石头")</f>
        <v>石头</v>
      </c>
      <c r="R91" s="5" t="str">
        <f>IFERROR(__xludf.DUMMYFUNCTION("GOOGLETRANSLATE(G91,""en"",""zh-CN"")"),"光盘")</f>
        <v>光盘</v>
      </c>
      <c r="S91" s="5" t="s">
        <v>1909</v>
      </c>
      <c r="T91" s="5" t="str">
        <f>IFERROR(__xludf.DUMMYFUNCTION("GOOGLETRANSLATE(H91,""en"",""zh-CN"")"),"石头")</f>
        <v>石头</v>
      </c>
      <c r="U91" s="5" t="str">
        <f>IFERROR(__xludf.DUMMYFUNCTION("GOOGLETRANSLATE(I91,""en"",""zh-CN"")"),"围棋中的棋子称为棋子，放置在棋盘线条的交叉点上。")</f>
        <v>围棋中的棋子称为棋子，放置在棋盘线条的交叉点上。</v>
      </c>
      <c r="V91" s="2"/>
      <c r="W91" s="2"/>
      <c r="X91" s="2"/>
      <c r="Y91" s="2"/>
      <c r="Z91" s="2"/>
      <c r="AA91" s="2"/>
      <c r="AB91" s="2"/>
      <c r="AC91" s="2"/>
      <c r="AD91" s="2"/>
      <c r="AE91" s="2"/>
      <c r="AF91" s="2"/>
      <c r="AG91" s="2"/>
      <c r="AH91" s="2"/>
      <c r="AI91" s="2"/>
      <c r="AJ91" s="2"/>
      <c r="AK91" s="2"/>
      <c r="AL91" s="2"/>
    </row>
    <row r="92" ht="22.5" customHeight="1">
      <c r="A92" s="3" t="s">
        <v>2396</v>
      </c>
      <c r="B92" s="4">
        <v>91.0</v>
      </c>
      <c r="C92" s="3" t="s">
        <v>1897</v>
      </c>
      <c r="D92" s="3" t="s">
        <v>1898</v>
      </c>
      <c r="E92" s="3" t="s">
        <v>1899</v>
      </c>
      <c r="F92" s="3" t="s">
        <v>1900</v>
      </c>
      <c r="G92" s="3" t="s">
        <v>1901</v>
      </c>
      <c r="H92" s="3" t="s">
        <v>1899</v>
      </c>
      <c r="I92" s="3" t="s">
        <v>2237</v>
      </c>
      <c r="J92" s="2"/>
      <c r="K92" s="2"/>
      <c r="L92" s="3" t="s">
        <v>2396</v>
      </c>
      <c r="M92" s="4">
        <v>91.0</v>
      </c>
      <c r="N92" s="5" t="str">
        <f>IFERROR(__xludf.DUMMYFUNCTION("GOOGLETRANSLATE(C92,""en"",""zh-CN"")"),"图片中展示的是什么游戏？")</f>
        <v>图片中展示的是什么游戏？</v>
      </c>
      <c r="O92" s="5" t="str">
        <f>IFERROR(__xludf.DUMMYFUNCTION("GOOGLETRANSLATE(D92,""en"",""zh-CN"")"),"棋")</f>
        <v>棋</v>
      </c>
      <c r="P92" s="5" t="str">
        <f>IFERROR(__xludf.DUMMYFUNCTION("GOOGLETRANSLATE(E92,""en"",""zh-CN"")"),"围棋")</f>
        <v>围棋</v>
      </c>
      <c r="Q92" s="5" t="str">
        <f>IFERROR(__xludf.DUMMYFUNCTION("GOOGLETRANSLATE(F92,""en"",""zh-CN"")"),"跳棋")</f>
        <v>跳棋</v>
      </c>
      <c r="R92" s="5" t="str">
        <f>IFERROR(__xludf.DUMMYFUNCTION("GOOGLETRANSLATE(G92,""en"",""zh-CN"")"),"双陆棋")</f>
        <v>双陆棋</v>
      </c>
      <c r="S92" s="5" t="s">
        <v>2238</v>
      </c>
      <c r="T92" s="5" t="str">
        <f>IFERROR(__xludf.DUMMYFUNCTION("GOOGLETRANSLATE(H92,""en"",""zh-CN"")"),"围棋")</f>
        <v>围棋</v>
      </c>
      <c r="U92" s="5" t="str">
        <f>IFERROR(__xludf.DUMMYFUNCTION("GOOGLETRANSLATE(I92,""en"",""zh-CN"")"),"图中显示了一个方形棋盘，棋盘上有网格，棋子有两枚，一白一黑，以及它们各自的棋碗，这些都是围棋（又称围棋）的标志性特征。")</f>
        <v>图中显示了一个方形棋盘，棋盘上有网格，棋子有两枚，一白一黑，以及它们各自的棋碗，这些都是围棋（又称围棋）的标志性特征。</v>
      </c>
      <c r="V92" s="2"/>
      <c r="W92" s="2"/>
      <c r="X92" s="2"/>
      <c r="Y92" s="2"/>
      <c r="Z92" s="2"/>
      <c r="AA92" s="2"/>
      <c r="AB92" s="2"/>
      <c r="AC92" s="2"/>
      <c r="AD92" s="2"/>
      <c r="AE92" s="2"/>
      <c r="AF92" s="2"/>
      <c r="AG92" s="2"/>
      <c r="AH92" s="2"/>
      <c r="AI92" s="2"/>
      <c r="AJ92" s="2"/>
      <c r="AK92" s="2"/>
      <c r="AL92" s="2"/>
    </row>
    <row r="93" ht="22.5" customHeight="1">
      <c r="A93" s="3" t="s">
        <v>2396</v>
      </c>
      <c r="B93" s="4">
        <v>92.0</v>
      </c>
      <c r="C93" s="3" t="s">
        <v>2239</v>
      </c>
      <c r="D93" s="3" t="s">
        <v>2240</v>
      </c>
      <c r="E93" s="3" t="s">
        <v>1919</v>
      </c>
      <c r="F93" s="3" t="s">
        <v>1920</v>
      </c>
      <c r="G93" s="3" t="s">
        <v>1921</v>
      </c>
      <c r="H93" s="3" t="s">
        <v>1919</v>
      </c>
      <c r="I93" s="3" t="s">
        <v>1922</v>
      </c>
      <c r="J93" s="2"/>
      <c r="K93" s="2"/>
      <c r="L93" s="3" t="s">
        <v>2396</v>
      </c>
      <c r="M93" s="4">
        <v>92.0</v>
      </c>
      <c r="N93" s="5" t="str">
        <f>IFERROR(__xludf.DUMMYFUNCTION("GOOGLETRANSLATE(C93,""en"",""zh-CN"")"),"图中围棋棋盘最显著的特点是什么？")</f>
        <v>图中围棋棋盘最显著的特点是什么？</v>
      </c>
      <c r="O93" s="5" t="str">
        <f>IFERROR(__xludf.DUMMYFUNCTION("GOOGLETRANSLATE(D93,""en"",""zh-CN"")"),"它是棋盘格图案。")</f>
        <v>它是棋盘格图案。</v>
      </c>
      <c r="P93" s="5" t="str">
        <f>IFERROR(__xludf.DUMMYFUNCTION("GOOGLETRANSLATE(E93,""en"",""zh-CN"")"),"这是一个有交叉点的正方形网格。")</f>
        <v>这是一个有交叉点的正方形网格。</v>
      </c>
      <c r="Q93" s="5" t="str">
        <f>IFERROR(__xludf.DUMMYFUNCTION("GOOGLETRANSLATE(F93,""en"",""zh-CN"")"),"它呈圆形图案。")</f>
        <v>它呈圆形图案。</v>
      </c>
      <c r="R93" s="5" t="str">
        <f>IFERROR(__xludf.DUMMYFUNCTION("GOOGLETRANSLATE(G93,""en"",""zh-CN"")"),"这是一块很大的纯色木板。")</f>
        <v>这是一块很大的纯色木板。</v>
      </c>
      <c r="S93" s="5" t="s">
        <v>2241</v>
      </c>
      <c r="T93" s="5" t="str">
        <f>IFERROR(__xludf.DUMMYFUNCTION("GOOGLETRANSLATE(H93,""en"",""zh-CN"")"),"这是一个有交叉点的正方形网格。")</f>
        <v>这是一个有交叉点的正方形网格。</v>
      </c>
      <c r="U93" s="5" t="str">
        <f>IFERROR(__xludf.DUMMYFUNCTION("GOOGLETRANSLATE(I93,""en"",""zh-CN"")"),"围棋棋盘是由线条组成的网格，棋子（棋子）放置在这些线条的交点上，而不是放置在方格内。")</f>
        <v>围棋棋盘是由线条组成的网格，棋子（棋子）放置在这些线条的交点上，而不是放置在方格内。</v>
      </c>
      <c r="V93" s="2"/>
      <c r="W93" s="2"/>
      <c r="X93" s="2"/>
      <c r="Y93" s="2"/>
      <c r="Z93" s="2"/>
      <c r="AA93" s="2"/>
      <c r="AB93" s="2"/>
      <c r="AC93" s="2"/>
      <c r="AD93" s="2"/>
      <c r="AE93" s="2"/>
      <c r="AF93" s="2"/>
      <c r="AG93" s="2"/>
      <c r="AH93" s="2"/>
      <c r="AI93" s="2"/>
      <c r="AJ93" s="2"/>
      <c r="AK93" s="2"/>
      <c r="AL93" s="2"/>
    </row>
    <row r="94" ht="22.5" customHeight="1">
      <c r="A94" s="3" t="s">
        <v>2396</v>
      </c>
      <c r="B94" s="4">
        <v>93.0</v>
      </c>
      <c r="C94" s="3" t="s">
        <v>1924</v>
      </c>
      <c r="D94" s="3" t="s">
        <v>1925</v>
      </c>
      <c r="E94" s="3" t="s">
        <v>1926</v>
      </c>
      <c r="F94" s="3" t="s">
        <v>1927</v>
      </c>
      <c r="G94" s="3" t="s">
        <v>1928</v>
      </c>
      <c r="H94" s="3" t="s">
        <v>1926</v>
      </c>
      <c r="I94" s="3" t="s">
        <v>1929</v>
      </c>
      <c r="J94" s="2"/>
      <c r="K94" s="2"/>
      <c r="L94" s="3" t="s">
        <v>2396</v>
      </c>
      <c r="M94" s="4">
        <v>93.0</v>
      </c>
      <c r="N94" s="5" t="str">
        <f>IFERROR(__xludf.DUMMYFUNCTION("GOOGLETRANSLATE(C94,""en"",""zh-CN"")"),"这两个木碗是做什么用的？")</f>
        <v>这两个木碗是做什么用的？</v>
      </c>
      <c r="O94" s="5" t="str">
        <f>IFERROR(__xludf.DUMMYFUNCTION("GOOGLETRANSLATE(D94,""en"",""zh-CN"")"),"用于储存捕获的石头。")</f>
        <v>用于储存捕获的石头。</v>
      </c>
      <c r="P94" s="5" t="str">
        <f>IFERROR(__xludf.DUMMYFUNCTION("GOOGLETRANSLATE(E94,""en"",""zh-CN"")"),"用来存放玩家自己的棋子。")</f>
        <v>用来存放玩家自己的棋子。</v>
      </c>
      <c r="Q94" s="5" t="str">
        <f>IFERROR(__xludf.DUMMYFUNCTION("GOOGLETRANSLATE(F94,""en"",""zh-CN"")"),"用来存放玩家多余的棋子。")</f>
        <v>用来存放玩家多余的棋子。</v>
      </c>
      <c r="R94" s="5" t="str">
        <f>IFERROR(__xludf.DUMMYFUNCTION("GOOGLETRANSLATE(G94,""en"",""zh-CN"")"),"可用作计时器。")</f>
        <v>可用作计时器。</v>
      </c>
      <c r="S94" s="5" t="s">
        <v>1930</v>
      </c>
      <c r="T94" s="5" t="str">
        <f>IFERROR(__xludf.DUMMYFUNCTION("GOOGLETRANSLATE(H94,""en"",""zh-CN"")"),"用来存放玩家自己的棋子。")</f>
        <v>用来存放玩家自己的棋子。</v>
      </c>
      <c r="U94" s="5" t="str">
        <f>IFERROR(__xludf.DUMMYFUNCTION("GOOGLETRANSLATE(I94,""en"",""zh-CN"")"),"这些碗，称为围棋碗或棋盘碗，是用来存放每位玩家在比赛期间放置在棋盘上的黑白棋子的。")</f>
        <v>这些碗，称为围棋碗或棋盘碗，是用来存放每位玩家在比赛期间放置在棋盘上的黑白棋子的。</v>
      </c>
      <c r="V94" s="2"/>
      <c r="W94" s="2"/>
      <c r="X94" s="2"/>
      <c r="Y94" s="2"/>
      <c r="Z94" s="2"/>
      <c r="AA94" s="2"/>
      <c r="AB94" s="2"/>
      <c r="AC94" s="2"/>
      <c r="AD94" s="2"/>
      <c r="AE94" s="2"/>
      <c r="AF94" s="2"/>
      <c r="AG94" s="2"/>
      <c r="AH94" s="2"/>
      <c r="AI94" s="2"/>
      <c r="AJ94" s="2"/>
      <c r="AK94" s="2"/>
      <c r="AL94" s="2"/>
    </row>
    <row r="95" ht="22.5" customHeight="1">
      <c r="A95" s="3" t="s">
        <v>2396</v>
      </c>
      <c r="B95" s="4">
        <v>94.0</v>
      </c>
      <c r="C95" s="3" t="s">
        <v>2242</v>
      </c>
      <c r="D95" s="3" t="s">
        <v>2243</v>
      </c>
      <c r="E95" s="3" t="s">
        <v>2244</v>
      </c>
      <c r="F95" s="3" t="s">
        <v>2245</v>
      </c>
      <c r="G95" s="3" t="s">
        <v>1947</v>
      </c>
      <c r="H95" s="3" t="s">
        <v>2244</v>
      </c>
      <c r="I95" s="3" t="s">
        <v>2397</v>
      </c>
      <c r="J95" s="2"/>
      <c r="K95" s="2"/>
      <c r="L95" s="3" t="s">
        <v>2396</v>
      </c>
      <c r="M95" s="4">
        <v>94.0</v>
      </c>
      <c r="N95" s="5" t="str">
        <f>IFERROR(__xludf.DUMMYFUNCTION("GOOGLETRANSLATE(C95,""en"",""zh-CN"")"),"棋盘上的大量空白区域说明了什么？")</f>
        <v>棋盘上的大量空白区域说明了什么？</v>
      </c>
      <c r="O95" s="5" t="str">
        <f>IFERROR(__xludf.DUMMYFUNCTION("GOOGLETRANSLATE(D95,""en"",""zh-CN"")"),"游戏结束了。")</f>
        <v>游戏结束了。</v>
      </c>
      <c r="P95" s="5" t="str">
        <f>IFERROR(__xludf.DUMMYFUNCTION("GOOGLETRANSLATE(E95,""en"",""zh-CN"")"),"比赛即将开始。")</f>
        <v>比赛即将开始。</v>
      </c>
      <c r="Q95" s="5" t="str">
        <f>IFERROR(__xludf.DUMMYFUNCTION("GOOGLETRANSLATE(F95,""en"",""zh-CN"")"),"游戏结束了。")</f>
        <v>游戏结束了。</v>
      </c>
      <c r="R95" s="5" t="str">
        <f>IFERROR(__xludf.DUMMYFUNCTION("GOOGLETRANSLATE(G95,""en"",""zh-CN"")"),"游戏正处于一个复杂的阶段。")</f>
        <v>游戏正处于一个复杂的阶段。</v>
      </c>
      <c r="S95" s="5" t="s">
        <v>2247</v>
      </c>
      <c r="T95" s="5" t="str">
        <f>IFERROR(__xludf.DUMMYFUNCTION("GOOGLETRANSLATE(H95,""en"",""zh-CN"")"),"比赛即将开始。")</f>
        <v>比赛即将开始。</v>
      </c>
      <c r="U95" s="5" t="str">
        <f>IFERROR(__xludf.DUMMYFUNCTION("GOOGLETRANSLATE(I95,""en"",""zh-CN"")"),"棋盘上几乎空无一物，每位玩家只有几颗棋子，这表明游戏还处于非常早期的阶段。")</f>
        <v>棋盘上几乎空无一物，每位玩家只有几颗棋子，这表明游戏还处于非常早期的阶段。</v>
      </c>
      <c r="V95" s="2"/>
      <c r="W95" s="2"/>
      <c r="X95" s="2"/>
      <c r="Y95" s="2"/>
      <c r="Z95" s="2"/>
      <c r="AA95" s="2"/>
      <c r="AB95" s="2"/>
      <c r="AC95" s="2"/>
      <c r="AD95" s="2"/>
      <c r="AE95" s="2"/>
      <c r="AF95" s="2"/>
      <c r="AG95" s="2"/>
      <c r="AH95" s="2"/>
      <c r="AI95" s="2"/>
      <c r="AJ95" s="2"/>
      <c r="AK95" s="2"/>
      <c r="AL95" s="2"/>
    </row>
    <row r="96" ht="22.5" customHeight="1">
      <c r="A96" s="3" t="s">
        <v>2396</v>
      </c>
      <c r="B96" s="4">
        <v>95.0</v>
      </c>
      <c r="C96" s="3" t="s">
        <v>1910</v>
      </c>
      <c r="D96" s="3" t="s">
        <v>1911</v>
      </c>
      <c r="E96" s="3" t="s">
        <v>1912</v>
      </c>
      <c r="F96" s="3" t="s">
        <v>1913</v>
      </c>
      <c r="G96" s="3" t="s">
        <v>1914</v>
      </c>
      <c r="H96" s="3" t="s">
        <v>1912</v>
      </c>
      <c r="I96" s="3" t="s">
        <v>1915</v>
      </c>
      <c r="J96" s="2"/>
      <c r="K96" s="2"/>
      <c r="L96" s="3" t="s">
        <v>2396</v>
      </c>
      <c r="M96" s="4">
        <v>95.0</v>
      </c>
      <c r="N96" s="5" t="str">
        <f>IFERROR(__xludf.DUMMYFUNCTION("GOOGLETRANSLATE(C96,""en"",""zh-CN"")"),"这个游戏的主要目标是什么？")</f>
        <v>这个游戏的主要目标是什么？</v>
      </c>
      <c r="O96" s="5" t="str">
        <f>IFERROR(__xludf.DUMMYFUNCTION("GOOGLETRANSLATE(D96,""en"",""zh-CN"")"),"吃掉对方所有棋子。")</f>
        <v>吃掉对方所有棋子。</v>
      </c>
      <c r="P96" s="5" t="str">
        <f>IFERROR(__xludf.DUMMYFUNCTION("GOOGLETRANSLATE(E96,""en"",""zh-CN"")"),"占据棋盘上最多的领土。")</f>
        <v>占据棋盘上最多的领土。</v>
      </c>
      <c r="Q96" s="5" t="str">
        <f>IFERROR(__xludf.DUMMYFUNCTION("GOOGLETRANSLATE(F96,""en"",""zh-CN"")"),"到达棋盘的另一边。")</f>
        <v>到达棋盘的另一边。</v>
      </c>
      <c r="R96" s="5" t="str">
        <f>IFERROR(__xludf.DUMMYFUNCTION("GOOGLETRANSLATE(G96,""en"",""zh-CN"")"),"形成特定图案。")</f>
        <v>形成特定图案。</v>
      </c>
      <c r="S96" s="5" t="s">
        <v>1916</v>
      </c>
      <c r="T96" s="5" t="str">
        <f>IFERROR(__xludf.DUMMYFUNCTION("GOOGLETRANSLATE(H96,""en"",""zh-CN"")"),"占据棋盘上最多的领土。")</f>
        <v>占据棋盘上最多的领土。</v>
      </c>
      <c r="U96" s="5" t="str">
        <f>IFERROR(__xludf.DUMMYFUNCTION("GOOGLETRANSLATE(I96,""en"",""zh-CN"")"),"围棋的主要目标是包围并控制比对手更大的棋盘区域，这以“领土”来衡量。")</f>
        <v>围棋的主要目标是包围并控制比对手更大的棋盘区域，这以“领土”来衡量。</v>
      </c>
      <c r="V96" s="2"/>
      <c r="W96" s="2"/>
      <c r="X96" s="2"/>
      <c r="Y96" s="2"/>
      <c r="Z96" s="2"/>
      <c r="AA96" s="2"/>
      <c r="AB96" s="2"/>
      <c r="AC96" s="2"/>
      <c r="AD96" s="2"/>
      <c r="AE96" s="2"/>
      <c r="AF96" s="2"/>
      <c r="AG96" s="2"/>
      <c r="AH96" s="2"/>
      <c r="AI96" s="2"/>
      <c r="AJ96" s="2"/>
      <c r="AK96" s="2"/>
      <c r="AL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2.88"/>
    <col customWidth="1" min="3" max="6" width="37.63"/>
    <col customWidth="1" min="7" max="7" width="33.88"/>
    <col customWidth="1" min="8" max="9" width="37.63"/>
    <col customWidth="1" min="12" max="12" width="15.0"/>
    <col customWidth="1" min="13" max="13" width="12.88"/>
    <col customWidth="1" min="14" max="14" width="37.63"/>
    <col customWidth="1" min="19" max="19" width="17.0"/>
    <col customWidth="1" min="20" max="20" width="13.88"/>
  </cols>
  <sheetData>
    <row r="1" ht="22.5" customHeight="1">
      <c r="A1" s="1" t="s">
        <v>0</v>
      </c>
      <c r="B1" s="1" t="s">
        <v>1</v>
      </c>
      <c r="C1" s="1" t="s">
        <v>2</v>
      </c>
      <c r="D1" s="1" t="s">
        <v>3</v>
      </c>
      <c r="E1" s="1" t="s">
        <v>4</v>
      </c>
      <c r="F1" s="1" t="s">
        <v>5</v>
      </c>
      <c r="G1" s="1" t="s">
        <v>6</v>
      </c>
      <c r="H1" s="1" t="s">
        <v>7</v>
      </c>
      <c r="I1" s="1" t="s">
        <v>8</v>
      </c>
      <c r="L1" s="1" t="s">
        <v>9</v>
      </c>
      <c r="M1" s="1" t="s">
        <v>10</v>
      </c>
      <c r="N1" s="1" t="s">
        <v>11</v>
      </c>
      <c r="O1" s="1" t="s">
        <v>12</v>
      </c>
      <c r="P1" s="1" t="s">
        <v>13</v>
      </c>
      <c r="Q1" s="1" t="s">
        <v>14</v>
      </c>
      <c r="R1" s="1" t="s">
        <v>15</v>
      </c>
      <c r="S1" s="1" t="s">
        <v>16</v>
      </c>
      <c r="T1" s="1" t="s">
        <v>17</v>
      </c>
      <c r="U1" s="1" t="s">
        <v>18</v>
      </c>
    </row>
    <row r="2" ht="22.5" customHeight="1">
      <c r="A2" s="3" t="s">
        <v>2398</v>
      </c>
      <c r="B2" s="4">
        <v>1.0</v>
      </c>
      <c r="C2" s="3" t="s">
        <v>715</v>
      </c>
      <c r="D2" s="3" t="s">
        <v>2399</v>
      </c>
      <c r="E2" s="3" t="s">
        <v>2400</v>
      </c>
      <c r="F2" s="3" t="s">
        <v>2401</v>
      </c>
      <c r="G2" s="3" t="s">
        <v>2402</v>
      </c>
      <c r="H2" s="3" t="s">
        <v>2399</v>
      </c>
      <c r="I2" s="3" t="s">
        <v>2403</v>
      </c>
      <c r="L2" s="3" t="s">
        <v>2398</v>
      </c>
      <c r="M2" s="4">
        <v>1.0</v>
      </c>
      <c r="N2" s="5" t="str">
        <f>IFERROR(__xludf.DUMMYFUNCTION("GOOGLETRANSLATE(C2,""en"",""zh-CN"")"),"这张图中描绘的是什么游戏？")</f>
        <v>这张图中描绘的是什么游戏？</v>
      </c>
      <c r="O2" s="5" t="str">
        <f>IFERROR(__xludf.DUMMYFUNCTION("GOOGLETRANSLATE(D2,""en"",""zh-CN"")"),"毽子")</f>
        <v>毽子</v>
      </c>
      <c r="P2" s="5" t="str">
        <f>IFERROR(__xludf.DUMMYFUNCTION("GOOGLETRANSLATE(E2,""en"",""zh-CN"")"),"羽毛球")</f>
        <v>羽毛球</v>
      </c>
      <c r="Q2" s="5" t="str">
        <f>IFERROR(__xludf.DUMMYFUNCTION("GOOGLETRANSLATE(F2,""en"",""zh-CN"")"),"毽子")</f>
        <v>毽子</v>
      </c>
      <c r="R2" s="5" t="str">
        <f>IFERROR(__xludf.DUMMYFUNCTION("GOOGLETRANSLATE(G2,""en"",""zh-CN"")"),"排球")</f>
        <v>排球</v>
      </c>
      <c r="S2" s="5" t="str">
        <f t="array" ref="S2:S96">TRIM(" (A) " &amp; O2:O96 &amp; " (B) " &amp; P2:P96 &amp; " (C) " &amp; Q2:Q96 &amp; " (D) " &amp; R2:R96)</f>
        <v>(A) 毽子 (B) 羽毛球 (C) 毽子 (D) 排球</v>
      </c>
      <c r="T2" s="5" t="str">
        <f>IFERROR(__xludf.DUMMYFUNCTION("GOOGLETRANSLATE(H2,""en"",""zh-CN"")"),"毽子")</f>
        <v>毽子</v>
      </c>
      <c r="U2" s="5" t="str">
        <f>IFERROR(__xludf.DUMMYFUNCTION("GOOGLETRANSLATE(I2,""en"",""zh-CN"")"),"图片显示一名女子用脚踢一个带羽毛的类似羽毛球的物体，这是中国毽子游戏的主要动作。")</f>
        <v>图片显示一名女子用脚踢一个带羽毛的类似羽毛球的物体，这是中国毽子游戏的主要动作。</v>
      </c>
    </row>
    <row r="3" ht="22.5" customHeight="1">
      <c r="A3" s="3" t="s">
        <v>2398</v>
      </c>
      <c r="B3" s="4">
        <v>2.0</v>
      </c>
      <c r="C3" s="3" t="s">
        <v>2404</v>
      </c>
      <c r="D3" s="3" t="s">
        <v>2405</v>
      </c>
      <c r="E3" s="3" t="s">
        <v>2406</v>
      </c>
      <c r="F3" s="3" t="s">
        <v>2407</v>
      </c>
      <c r="G3" s="3" t="s">
        <v>2408</v>
      </c>
      <c r="H3" s="3" t="s">
        <v>2406</v>
      </c>
      <c r="I3" s="3" t="s">
        <v>2409</v>
      </c>
      <c r="L3" s="3" t="s">
        <v>2398</v>
      </c>
      <c r="M3" s="4">
        <v>2.0</v>
      </c>
      <c r="N3" s="5" t="str">
        <f>IFERROR(__xludf.DUMMYFUNCTION("GOOGLETRANSLATE(C3,""en"",""zh-CN"")"),"在这种休闲游戏环境下，游戏的主要目标是什么？")</f>
        <v>在这种休闲游戏环境下，游戏的主要目标是什么？</v>
      </c>
      <c r="O3" s="5" t="str">
        <f>IFERROR(__xludf.DUMMYFUNCTION("GOOGLETRANSLATE(D3,""en"",""zh-CN"")"),"进球。")</f>
        <v>进球。</v>
      </c>
      <c r="P3" s="5" t="str">
        <f>IFERROR(__xludf.DUMMYFUNCTION("GOOGLETRANSLATE(E3,""en"",""zh-CN"")"),"只用脚让羽毛球保持在空中。")</f>
        <v>只用脚让羽毛球保持在空中。</v>
      </c>
      <c r="Q3" s="5" t="str">
        <f>IFERROR(__xludf.DUMMYFUNCTION("GOOGLETRANSLATE(F3,""en"",""zh-CN"")"),"把羽毛球踢给队友。")</f>
        <v>把羽毛球踢给队友。</v>
      </c>
      <c r="R3" s="5" t="str">
        <f>IFERROR(__xludf.DUMMYFUNCTION("GOOGLETRANSLATE(G3,""en"",""zh-CN"")"),"将羽毛球击过球网。")</f>
        <v>将羽毛球击过球网。</v>
      </c>
      <c r="S3" s="5" t="s">
        <v>2410</v>
      </c>
      <c r="T3" s="5" t="str">
        <f>IFERROR(__xludf.DUMMYFUNCTION("GOOGLETRANSLATE(H3,""en"",""zh-CN"")"),"只用脚让羽毛球保持在空中。")</f>
        <v>只用脚让羽毛球保持在空中。</v>
      </c>
      <c r="U3" s="5" t="str">
        <f>IFERROR(__xludf.DUMMYFUNCTION("GOOGLETRANSLATE(I3,""en"",""zh-CN"")"),"在非正式场合，毽子比赛的目标通常是看一群球员不用手能让毽子在空中停留多久。")</f>
        <v>在非正式场合，毽子比赛的目标通常是看一群球员不用手能让毽子在空中停留多久。</v>
      </c>
    </row>
    <row r="4" ht="22.5" customHeight="1">
      <c r="A4" s="3" t="s">
        <v>2398</v>
      </c>
      <c r="B4" s="4">
        <v>3.0</v>
      </c>
      <c r="C4" s="3" t="s">
        <v>2411</v>
      </c>
      <c r="D4" s="3" t="s">
        <v>2134</v>
      </c>
      <c r="E4" s="3" t="s">
        <v>2412</v>
      </c>
      <c r="F4" s="3" t="s">
        <v>2413</v>
      </c>
      <c r="G4" s="3" t="s">
        <v>2414</v>
      </c>
      <c r="H4" s="3" t="s">
        <v>2412</v>
      </c>
      <c r="I4" s="3" t="s">
        <v>2415</v>
      </c>
      <c r="L4" s="3" t="s">
        <v>2398</v>
      </c>
      <c r="M4" s="4">
        <v>3.0</v>
      </c>
      <c r="N4" s="5" t="str">
        <f>IFERROR(__xludf.DUMMYFUNCTION("GOOGLETRANSLATE(C4,""en"",""zh-CN"")"),"羽毛球的一个显著特点是什么？")</f>
        <v>羽毛球的一个显著特点是什么？</v>
      </c>
      <c r="O4" s="5" t="str">
        <f>IFERROR(__xludf.DUMMYFUNCTION("GOOGLETRANSLATE(D4,""en"",""zh-CN"")"),"它是由塑料制成的。")</f>
        <v>它是由塑料制成的。</v>
      </c>
      <c r="P4" s="5" t="str">
        <f>IFERROR(__xludf.DUMMYFUNCTION("GOOGLETRANSLATE(E4,""en"",""zh-CN"")"),"它的顶部有羽毛装饰。")</f>
        <v>它的顶部有羽毛装饰。</v>
      </c>
      <c r="Q4" s="5" t="str">
        <f>IFERROR(__xludf.DUMMYFUNCTION("GOOGLETRANSLATE(F4,""en"",""zh-CN"")"),"它很重。")</f>
        <v>它很重。</v>
      </c>
      <c r="R4" s="5" t="str">
        <f>IFERROR(__xludf.DUMMYFUNCTION("GOOGLETRANSLATE(G4,""en"",""zh-CN"")"),"这是一个现代足球。")</f>
        <v>这是一个现代足球。</v>
      </c>
      <c r="S4" s="5" t="s">
        <v>2416</v>
      </c>
      <c r="T4" s="5" t="str">
        <f>IFERROR(__xludf.DUMMYFUNCTION("GOOGLETRANSLATE(H4,""en"",""zh-CN"")"),"它的顶部有羽毛装饰。")</f>
        <v>它的顶部有羽毛装饰。</v>
      </c>
      <c r="U4" s="5" t="str">
        <f>IFERROR(__xludf.DUMMYFUNCTION("GOOGLETRANSLATE(I4,""en"",""zh-CN"")"),"毽子，又称毽子，其特点是底部加重，顶部有羽毛，使其能够飞行，并能用脚轻松控制。")</f>
        <v>毽子，又称毽子，其特点是底部加重，顶部有羽毛，使其能够飞行，并能用脚轻松控制。</v>
      </c>
    </row>
    <row r="5" ht="22.5" customHeight="1">
      <c r="A5" s="3" t="s">
        <v>2398</v>
      </c>
      <c r="B5" s="4">
        <v>4.0</v>
      </c>
      <c r="C5" s="3" t="s">
        <v>2417</v>
      </c>
      <c r="D5" s="3" t="s">
        <v>2418</v>
      </c>
      <c r="E5" s="3" t="s">
        <v>2419</v>
      </c>
      <c r="F5" s="3" t="s">
        <v>2420</v>
      </c>
      <c r="G5" s="3" t="s">
        <v>2421</v>
      </c>
      <c r="H5" s="3" t="s">
        <v>2419</v>
      </c>
      <c r="I5" s="3" t="s">
        <v>2422</v>
      </c>
      <c r="L5" s="3" t="s">
        <v>2398</v>
      </c>
      <c r="M5" s="4">
        <v>4.0</v>
      </c>
      <c r="N5" s="5" t="str">
        <f>IFERROR(__xludf.DUMMYFUNCTION("GOOGLETRANSLATE(C5,""en"",""zh-CN"")"),"人们是在什么样的环境下进行游戏的？")</f>
        <v>人们是在什么样的环境下进行游戏的？</v>
      </c>
      <c r="O5" s="5" t="str">
        <f>IFERROR(__xludf.DUMMYFUNCTION("GOOGLETRANSLATE(D5,""en"",""zh-CN"")"),"正式法庭")</f>
        <v>正式法庭</v>
      </c>
      <c r="P5" s="5" t="str">
        <f>IFERROR(__xludf.DUMMYFUNCTION("GOOGLETRANSLATE(E5,""en"",""zh-CN"")"),"公共公园或庭院")</f>
        <v>公共公园或庭院</v>
      </c>
      <c r="Q5" s="5" t="str">
        <f>IFERROR(__xludf.DUMMYFUNCTION("GOOGLETRANSLATE(F5,""en"",""zh-CN"")"),"室内体育馆")</f>
        <v>室内体育馆</v>
      </c>
      <c r="R5" s="5" t="str">
        <f>IFERROR(__xludf.DUMMYFUNCTION("GOOGLETRANSLATE(G5,""en"",""zh-CN"")"),"学校操场")</f>
        <v>学校操场</v>
      </c>
      <c r="S5" s="5" t="s">
        <v>2423</v>
      </c>
      <c r="T5" s="5" t="str">
        <f>IFERROR(__xludf.DUMMYFUNCTION("GOOGLETRANSLATE(H5,""en"",""zh-CN"")"),"公共公园或庭院")</f>
        <v>公共公园或庭院</v>
      </c>
      <c r="U5" s="5" t="str">
        <f>IFERROR(__xludf.DUMMYFUNCTION("GOOGLETRANSLATE(I5,""en"",""zh-CN"")"),"图片显示一个人在铺砌的户外区域玩耍，背景中有一座建筑物，暗示这是一个公共公园或庭院。")</f>
        <v>图片显示一个人在铺砌的户外区域玩耍，背景中有一座建筑物，暗示这是一个公共公园或庭院。</v>
      </c>
    </row>
    <row r="6" ht="22.5" customHeight="1">
      <c r="A6" s="3" t="s">
        <v>2398</v>
      </c>
      <c r="B6" s="4">
        <v>5.0</v>
      </c>
      <c r="C6" s="3" t="s">
        <v>2424</v>
      </c>
      <c r="D6" s="3" t="s">
        <v>2425</v>
      </c>
      <c r="E6" s="3" t="s">
        <v>2426</v>
      </c>
      <c r="F6" s="3" t="s">
        <v>2427</v>
      </c>
      <c r="G6" s="3" t="s">
        <v>2428</v>
      </c>
      <c r="H6" s="3" t="s">
        <v>2427</v>
      </c>
      <c r="I6" s="3" t="s">
        <v>2429</v>
      </c>
      <c r="L6" s="3" t="s">
        <v>2398</v>
      </c>
      <c r="M6" s="4">
        <v>5.0</v>
      </c>
      <c r="N6" s="5" t="str">
        <f>IFERROR(__xludf.DUMMYFUNCTION("GOOGLETRANSLATE(C6,""en"",""zh-CN"")"),"这张图片暗示了这款游戏的受欢迎程度如何？")</f>
        <v>这张图片暗示了这款游戏的受欢迎程度如何？</v>
      </c>
      <c r="O6" s="5" t="str">
        <f>IFERROR(__xludf.DUMMYFUNCTION("GOOGLETRANSLATE(D6,""en"",""zh-CN"")"),"这是一项冷门运动。")</f>
        <v>这是一项冷门运动。</v>
      </c>
      <c r="P6" s="5" t="str">
        <f>IFERROR(__xludf.DUMMYFUNCTION("GOOGLETRANSLATE(E6,""en"",""zh-CN"")"),"这只是一项竞技体育项目。")</f>
        <v>这只是一项竞技体育项目。</v>
      </c>
      <c r="Q6" s="5" t="str">
        <f>IFERROR(__xludf.DUMMYFUNCTION("GOOGLETRANSLATE(F6,""en"",""zh-CN"")"),"这是一项老少皆宜的热门休闲活动。")</f>
        <v>这是一项老少皆宜的热门休闲活动。</v>
      </c>
      <c r="R6" s="5" t="str">
        <f>IFERROR(__xludf.DUMMYFUNCTION("GOOGLETRANSLATE(G6,""en"",""zh-CN"")"),"这是一项职业体育运动。")</f>
        <v>这是一项职业体育运动。</v>
      </c>
      <c r="S6" s="5" t="s">
        <v>2430</v>
      </c>
      <c r="T6" s="5" t="str">
        <f>IFERROR(__xludf.DUMMYFUNCTION("GOOGLETRANSLATE(H6,""en"",""zh-CN"")"),"这是一项老少皆宜的热门休闲活动。")</f>
        <v>这是一项老少皆宜的热门休闲活动。</v>
      </c>
      <c r="U6" s="5" t="str">
        <f>IFERROR(__xludf.DUMMYFUNCTION("GOOGLETRANSLATE(I6,""en"",""zh-CN"")"),"一位老年人在轻松的环境中玩琴的画面表明，琴子是一种老少皆宜、广受欢迎的消遣方式。")</f>
        <v>一位老年人在轻松的环境中玩琴的画面表明，琴子是一种老少皆宜、广受欢迎的消遣方式。</v>
      </c>
    </row>
    <row r="7" ht="22.5" customHeight="1">
      <c r="A7" s="3" t="s">
        <v>2431</v>
      </c>
      <c r="B7" s="4">
        <v>6.0</v>
      </c>
      <c r="C7" s="3" t="s">
        <v>1239</v>
      </c>
      <c r="D7" s="3" t="s">
        <v>2432</v>
      </c>
      <c r="E7" s="3" t="s">
        <v>1269</v>
      </c>
      <c r="F7" s="3" t="s">
        <v>2433</v>
      </c>
      <c r="G7" s="3" t="s">
        <v>2434</v>
      </c>
      <c r="H7" s="3" t="s">
        <v>2433</v>
      </c>
      <c r="I7" s="3" t="s">
        <v>2435</v>
      </c>
      <c r="L7" s="3" t="s">
        <v>2431</v>
      </c>
      <c r="M7" s="4">
        <v>6.0</v>
      </c>
      <c r="N7" s="5" t="str">
        <f>IFERROR(__xludf.DUMMYFUNCTION("GOOGLETRANSLATE(C7,""en"",""zh-CN"")"),"图片中展示的主要活动是什么？")</f>
        <v>图片中展示的主要活动是什么？</v>
      </c>
      <c r="O7" s="5" t="str">
        <f>IFERROR(__xludf.DUMMYFUNCTION("GOOGLETRANSLATE(D7,""en"",""zh-CN"")"),"一套体操动作。")</f>
        <v>一套体操动作。</v>
      </c>
      <c r="P7" s="5" t="str">
        <f>IFERROR(__xludf.DUMMYFUNCTION("GOOGLETRANSLATE(E7,""en"",""zh-CN"")"),"蹴鞠比赛。")</f>
        <v>蹴鞠比赛。</v>
      </c>
      <c r="Q7" s="5" t="str">
        <f>IFERROR(__xludf.DUMMYFUNCTION("GOOGLETRANSLATE(F7,""en"",""zh-CN"")"),"一种剪子游戏。")</f>
        <v>一种剪子游戏。</v>
      </c>
      <c r="R7" s="5" t="str">
        <f>IFERROR(__xludf.DUMMYFUNCTION("GOOGLETRANSLATE(G7,""en"",""zh-CN"")"),"一场踢球比赛。")</f>
        <v>一场踢球比赛。</v>
      </c>
      <c r="S7" s="5" t="s">
        <v>2436</v>
      </c>
      <c r="T7" s="5" t="str">
        <f>IFERROR(__xludf.DUMMYFUNCTION("GOOGLETRANSLATE(H7,""en"",""zh-CN"")"),"一种剪子游戏。")</f>
        <v>一种剪子游戏。</v>
      </c>
      <c r="U7" s="5" t="str">
        <f>IFERROR(__xludf.DUMMYFUNCTION("GOOGLETRANSLATE(I7,""en"",""zh-CN"")"),"图片显示人们在广场上踢着一个类似毽子的物体，这清楚地表明他们正在玩传统的毽子游戏。")</f>
        <v>图片显示人们在广场上踢着一个类似毽子的物体，这清楚地表明他们正在玩传统的毽子游戏。</v>
      </c>
    </row>
    <row r="8" ht="22.5" customHeight="1">
      <c r="A8" s="3" t="s">
        <v>2431</v>
      </c>
      <c r="B8" s="4">
        <v>7.0</v>
      </c>
      <c r="C8" s="3" t="s">
        <v>2437</v>
      </c>
      <c r="D8" s="3" t="s">
        <v>2438</v>
      </c>
      <c r="E8" s="3" t="s">
        <v>1100</v>
      </c>
      <c r="F8" s="3" t="s">
        <v>2439</v>
      </c>
      <c r="G8" s="3" t="s">
        <v>2440</v>
      </c>
      <c r="H8" s="3" t="s">
        <v>2439</v>
      </c>
      <c r="I8" s="3" t="s">
        <v>2441</v>
      </c>
      <c r="L8" s="3" t="s">
        <v>2431</v>
      </c>
      <c r="M8" s="4">
        <v>7.0</v>
      </c>
      <c r="N8" s="5" t="str">
        <f>IFERROR(__xludf.DUMMYFUNCTION("GOOGLETRANSLATE(C8,""en"",""zh-CN"")"),"前景中的男子以某种特定的方式抬起一条腿。这个动作有什么作用？")</f>
        <v>前景中的男子以某种特定的方式抬起一条腿。这个动作有什么作用？</v>
      </c>
      <c r="O8" s="5" t="str">
        <f>IFERROR(__xludf.DUMMYFUNCTION("GOOGLETRANSLATE(D8,""en"",""zh-CN"")"),"伸展一下腿。")</f>
        <v>伸展一下腿。</v>
      </c>
      <c r="P8" s="5" t="str">
        <f>IFERROR(__xludf.DUMMYFUNCTION("GOOGLETRANSLATE(E8,""en"",""zh-CN"")"),"进行防守性阻挡。")</f>
        <v>进行防守性阻挡。</v>
      </c>
      <c r="Q8" s="5" t="str">
        <f>IFERROR(__xludf.DUMMYFUNCTION("GOOGLETRANSLATE(F8,""en"",""zh-CN"")"),"踢或准备踢羽毛球。")</f>
        <v>踢或准备踢羽毛球。</v>
      </c>
      <c r="R8" s="5" t="str">
        <f>IFERROR(__xludf.DUMMYFUNCTION("GOOGLETRANSLATE(G8,""en"",""zh-CN"")"),"帮他系鞋带。")</f>
        <v>帮他系鞋带。</v>
      </c>
      <c r="S8" s="5" t="s">
        <v>2442</v>
      </c>
      <c r="T8" s="5" t="str">
        <f>IFERROR(__xludf.DUMMYFUNCTION("GOOGLETRANSLATE(H8,""en"",""zh-CN"")"),"踢或准备踢羽毛球。")</f>
        <v>踢或准备踢羽毛球。</v>
      </c>
      <c r="U8" s="5" t="str">
        <f>IFERROR(__xludf.DUMMYFUNCTION("GOOGLETRANSLATE(I8,""en"",""zh-CN"")"),"男子抬起腿，这是毽子中常用的姿势，可以用来击打毽子或以控制的动作接球。")</f>
        <v>男子抬起腿，这是毽子中常用的姿势，可以用来击打毽子或以控制的动作接球。</v>
      </c>
    </row>
    <row r="9" ht="22.5" customHeight="1">
      <c r="A9" s="3" t="s">
        <v>2431</v>
      </c>
      <c r="B9" s="4">
        <v>8.0</v>
      </c>
      <c r="C9" s="3" t="s">
        <v>2443</v>
      </c>
      <c r="D9" s="3" t="s">
        <v>1198</v>
      </c>
      <c r="E9" s="3" t="s">
        <v>2444</v>
      </c>
      <c r="F9" s="3" t="s">
        <v>2445</v>
      </c>
      <c r="G9" s="3" t="s">
        <v>2446</v>
      </c>
      <c r="H9" s="3" t="s">
        <v>2444</v>
      </c>
      <c r="I9" s="3" t="s">
        <v>2447</v>
      </c>
      <c r="L9" s="3" t="s">
        <v>2431</v>
      </c>
      <c r="M9" s="4">
        <v>8.0</v>
      </c>
      <c r="N9" s="5" t="str">
        <f>IFERROR(__xludf.DUMMYFUNCTION("GOOGLETRANSLATE(C9,""en"",""zh-CN"")"),"这个游戏的背景设定是什么？")</f>
        <v>这个游戏的背景设定是什么？</v>
      </c>
      <c r="O9" s="5" t="str">
        <f>IFERROR(__xludf.DUMMYFUNCTION("GOOGLETRANSLATE(D9,""en"",""zh-CN"")"),"一座现代化的体育场馆。")</f>
        <v>一座现代化的体育场馆。</v>
      </c>
      <c r="P9" s="5" t="str">
        <f>IFERROR(__xludf.DUMMYFUNCTION("GOOGLETRANSLATE(E9,""en"",""zh-CN"")"),"中国传统广场。")</f>
        <v>中国传统广场。</v>
      </c>
      <c r="Q9" s="5" t="str">
        <f>IFERROR(__xludf.DUMMYFUNCTION("GOOGLETRANSLATE(F9,""en"",""zh-CN"")"),"一座山地公园。")</f>
        <v>一座山地公园。</v>
      </c>
      <c r="R9" s="5" t="str">
        <f>IFERROR(__xludf.DUMMYFUNCTION("GOOGLETRANSLATE(G9,""en"",""zh-CN"")"),"室内体育馆。")</f>
        <v>室内体育馆。</v>
      </c>
      <c r="S9" s="5" t="s">
        <v>2448</v>
      </c>
      <c r="T9" s="5" t="str">
        <f>IFERROR(__xludf.DUMMYFUNCTION("GOOGLETRANSLATE(H9,""en"",""zh-CN"")"),"中国传统广场。")</f>
        <v>中国传统广场。</v>
      </c>
      <c r="U9" s="5" t="str">
        <f>IFERROR(__xludf.DUMMYFUNCTION("GOOGLETRANSLATE(I9,""en"",""zh-CN"")"),"背景中是一栋传统中式建筑前的一大片铺砌空地，这是中国典型的公共休闲场所。")</f>
        <v>背景中是一栋传统中式建筑前的一大片铺砌空地，这是中国典型的公共休闲场所。</v>
      </c>
    </row>
    <row r="10" ht="22.5" customHeight="1">
      <c r="A10" s="3" t="s">
        <v>2431</v>
      </c>
      <c r="B10" s="4">
        <v>9.0</v>
      </c>
      <c r="C10" s="3" t="s">
        <v>2449</v>
      </c>
      <c r="D10" s="3" t="s">
        <v>2450</v>
      </c>
      <c r="E10" s="3" t="s">
        <v>2451</v>
      </c>
      <c r="F10" s="3" t="s">
        <v>2452</v>
      </c>
      <c r="G10" s="3" t="s">
        <v>2453</v>
      </c>
      <c r="H10" s="3" t="s">
        <v>2451</v>
      </c>
      <c r="I10" s="3" t="s">
        <v>2454</v>
      </c>
      <c r="L10" s="3" t="s">
        <v>2431</v>
      </c>
      <c r="M10" s="4">
        <v>9.0</v>
      </c>
      <c r="N10" s="5" t="str">
        <f>IFERROR(__xludf.DUMMYFUNCTION("GOOGLETRANSLATE(C10,""en"",""zh-CN"")"),"背景中的人群似乎在暗示着什么？")</f>
        <v>背景中的人群似乎在暗示着什么？</v>
      </c>
      <c r="O10" s="5" t="str">
        <f>IFERROR(__xludf.DUMMYFUNCTION("GOOGLETRANSLATE(D10,""en"",""zh-CN"")"),"这是一场正式比赛。")</f>
        <v>这是一场正式比赛。</v>
      </c>
      <c r="P10" s="5" t="str">
        <f>IFERROR(__xludf.DUMMYFUNCTION("GOOGLETRANSLATE(E10,""en"",""zh-CN"")"),"这是一个公共聚会，人们在这里随意玩耍。")</f>
        <v>这是一个公共聚会，人们在这里随意玩耍。</v>
      </c>
      <c r="Q10" s="5" t="str">
        <f>IFERROR(__xludf.DUMMYFUNCTION("GOOGLETRANSLATE(F10,""en"",""zh-CN"")"),"这是一场抗议活动。")</f>
        <v>这是一场抗议活动。</v>
      </c>
      <c r="R10" s="5" t="str">
        <f>IFERROR(__xludf.DUMMYFUNCTION("GOOGLETRANSLATE(G10,""en"",""zh-CN"")"),"这是一个节日。")</f>
        <v>这是一个节日。</v>
      </c>
      <c r="S10" s="5" t="s">
        <v>2455</v>
      </c>
      <c r="T10" s="5" t="str">
        <f>IFERROR(__xludf.DUMMYFUNCTION("GOOGLETRANSLATE(H10,""en"",""zh-CN"")"),"这是一个公共聚会，人们在这里随意玩耍。")</f>
        <v>这是一个公共聚会，人们在这里随意玩耍。</v>
      </c>
      <c r="U10" s="5" t="str">
        <f>IFERROR(__xludf.DUMMYFUNCTION("GOOGLETRANSLATE(I10,""en"",""zh-CN"")"),"图片显示许多人穿着便服，有的在行走，有的在观看，这表明这是一场以煎子为主题的公共聚会，煎子是一种休闲活动。")</f>
        <v>图片显示许多人穿着便服，有的在行走，有的在观看，这表明这是一场以煎子为主题的公共聚会，煎子是一种休闲活动。</v>
      </c>
    </row>
    <row r="11" ht="22.5" customHeight="1">
      <c r="A11" s="3" t="s">
        <v>2431</v>
      </c>
      <c r="B11" s="4">
        <v>10.0</v>
      </c>
      <c r="C11" s="3" t="s">
        <v>2456</v>
      </c>
      <c r="D11" s="3" t="s">
        <v>2457</v>
      </c>
      <c r="E11" s="3" t="s">
        <v>2458</v>
      </c>
      <c r="F11" s="3" t="s">
        <v>2459</v>
      </c>
      <c r="G11" s="3" t="s">
        <v>2460</v>
      </c>
      <c r="H11" s="3" t="s">
        <v>2459</v>
      </c>
      <c r="I11" s="3" t="s">
        <v>2461</v>
      </c>
      <c r="L11" s="3" t="s">
        <v>2431</v>
      </c>
      <c r="M11" s="4">
        <v>10.0</v>
      </c>
      <c r="N11" s="5" t="str">
        <f>IFERROR(__xludf.DUMMYFUNCTION("GOOGLETRANSLATE(C11,""en"",""zh-CN"")"),"要想有效演奏戌子，需要掌握哪些关键技能？")</f>
        <v>要想有效演奏戌子，需要掌握哪些关键技能？</v>
      </c>
      <c r="O11" s="5" t="str">
        <f>IFERROR(__xludf.DUMMYFUNCTION("GOOGLETRANSLATE(D11,""en"",""zh-CN"")"),"手眼协调能力。")</f>
        <v>手眼协调能力。</v>
      </c>
      <c r="P11" s="5" t="str">
        <f>IFERROR(__xludf.DUMMYFUNCTION("GOOGLETRANSLATE(E11,""en"",""zh-CN"")"),"上肢力量。")</f>
        <v>上肢力量。</v>
      </c>
      <c r="Q11" s="5" t="str">
        <f>IFERROR(__xludf.DUMMYFUNCTION("GOOGLETRANSLATE(F11,""en"",""zh-CN"")"),"腿部力量和敏捷性。")</f>
        <v>腿部力量和敏捷性。</v>
      </c>
      <c r="R11" s="5" t="str">
        <f>IFERROR(__xludf.DUMMYFUNCTION("GOOGLETRANSLATE(G11,""en"",""zh-CN"")"),"跑步速度。")</f>
        <v>跑步速度。</v>
      </c>
      <c r="S11" s="5" t="s">
        <v>2462</v>
      </c>
      <c r="T11" s="5" t="str">
        <f>IFERROR(__xludf.DUMMYFUNCTION("GOOGLETRANSLATE(H11,""en"",""zh-CN"")"),"腿部力量和敏捷性。")</f>
        <v>腿部力量和敏捷性。</v>
      </c>
      <c r="U11" s="5" t="str">
        <f>IFERROR(__xludf.DUMMYFUNCTION("GOOGLETRANSLATE(I11,""en"",""zh-CN"")"),"这项运动依赖于用脚控制和保持羽毛球在空中的能力，这需要极佳的腿部力量和敏捷性。")</f>
        <v>这项运动依赖于用脚控制和保持羽毛球在空中的能力，这需要极佳的腿部力量和敏捷性。</v>
      </c>
    </row>
    <row r="12" ht="22.5" customHeight="1">
      <c r="A12" s="3" t="s">
        <v>2463</v>
      </c>
      <c r="B12" s="4">
        <v>11.0</v>
      </c>
      <c r="C12" s="3" t="s">
        <v>886</v>
      </c>
      <c r="D12" s="3" t="s">
        <v>2464</v>
      </c>
      <c r="E12" s="3" t="s">
        <v>2465</v>
      </c>
      <c r="F12" s="3" t="s">
        <v>2466</v>
      </c>
      <c r="G12" s="3" t="s">
        <v>2467</v>
      </c>
      <c r="H12" s="3" t="s">
        <v>2466</v>
      </c>
      <c r="I12" s="3" t="s">
        <v>2468</v>
      </c>
      <c r="L12" s="3" t="s">
        <v>2463</v>
      </c>
      <c r="M12" s="4">
        <v>11.0</v>
      </c>
      <c r="N12" s="5" t="str">
        <f>IFERROR(__xludf.DUMMYFUNCTION("GOOGLETRANSLATE(C12,""en"",""zh-CN"")"),"图中所示的主要活动是什么？")</f>
        <v>图中所示的主要活动是什么？</v>
      </c>
      <c r="O12" s="5" t="str">
        <f>IFERROR(__xludf.DUMMYFUNCTION("GOOGLETRANSLATE(D12,""en"",""zh-CN"")"),"一场羽毛球比赛。")</f>
        <v>一场羽毛球比赛。</v>
      </c>
      <c r="P12" s="5" t="str">
        <f>IFERROR(__xludf.DUMMYFUNCTION("GOOGLETRANSLATE(E12,""en"",""zh-CN"")"),"一场排球比赛。")</f>
        <v>一场排球比赛。</v>
      </c>
      <c r="Q12" s="5" t="str">
        <f>IFERROR(__xludf.DUMMYFUNCTION("GOOGLETRANSLATE(F12,""en"",""zh-CN"")"),"一场激烈的溏子比赛。")</f>
        <v>一场激烈的溏子比赛。</v>
      </c>
      <c r="R12" s="5" t="str">
        <f>IFERROR(__xludf.DUMMYFUNCTION("GOOGLETRANSLATE(G12,""en"",""zh-CN"")"),"一场足球比赛。")</f>
        <v>一场足球比赛。</v>
      </c>
      <c r="S12" s="5" t="s">
        <v>2469</v>
      </c>
      <c r="T12" s="5" t="str">
        <f>IFERROR(__xludf.DUMMYFUNCTION("GOOGLETRANSLATE(H12,""en"",""zh-CN"")"),"一场激烈的溏子比赛。")</f>
        <v>一场激烈的溏子比赛。</v>
      </c>
      <c r="U12" s="5" t="str">
        <f>IFERROR(__xludf.DUMMYFUNCTION("GOOGLETRANSLATE(I12,""en"",""zh-CN"")"),"图片显示一名身穿制服的球员正在将毽子踢过球网，这是毽子比赛的场景。")</f>
        <v>图片显示一名身穿制服的球员正在将毽子踢过球网，这是毽子比赛的场景。</v>
      </c>
    </row>
    <row r="13" ht="22.5" customHeight="1">
      <c r="A13" s="3" t="s">
        <v>2463</v>
      </c>
      <c r="B13" s="4">
        <v>12.0</v>
      </c>
      <c r="C13" s="3" t="s">
        <v>2470</v>
      </c>
      <c r="D13" s="3" t="s">
        <v>2471</v>
      </c>
      <c r="E13" s="3" t="s">
        <v>2472</v>
      </c>
      <c r="F13" s="3" t="s">
        <v>2473</v>
      </c>
      <c r="G13" s="3" t="s">
        <v>2474</v>
      </c>
      <c r="H13" s="3" t="s">
        <v>2472</v>
      </c>
      <c r="I13" s="3" t="s">
        <v>2475</v>
      </c>
      <c r="L13" s="3" t="s">
        <v>2463</v>
      </c>
      <c r="M13" s="4">
        <v>12.0</v>
      </c>
      <c r="N13" s="5" t="str">
        <f>IFERROR(__xludf.DUMMYFUNCTION("GOOGLETRANSLATE(C13,""en"",""zh-CN"")"),"球员的球衣上印有“CHINA”字样和数字“3”。这暗示了什么？")</f>
        <v>球员的球衣上印有“CHINA”字样和数字“3”。这暗示了什么？</v>
      </c>
      <c r="O13" s="5" t="str">
        <f>IFERROR(__xludf.DUMMYFUNCTION("GOOGLETRANSLATE(D13,""en"",""zh-CN"")"),"她是个休闲玩家。")</f>
        <v>她是个休闲玩家。</v>
      </c>
      <c r="P13" s="5" t="str">
        <f>IFERROR(__xludf.DUMMYFUNCTION("GOOGLETRANSLATE(E13,""en"",""zh-CN"")"),"她是国家队队员。")</f>
        <v>她是国家队队员。</v>
      </c>
      <c r="Q13" s="5" t="str">
        <f>IFERROR(__xludf.DUMMYFUNCTION("GOOGLETRANSLATE(F13,""en"",""zh-CN"")"),"她是一名旁观者。")</f>
        <v>她是一名旁观者。</v>
      </c>
      <c r="R13" s="5" t="str">
        <f>IFERROR(__xludf.DUMMYFUNCTION("GOOGLETRANSLATE(G13,""en"",""zh-CN"")"),"她是业余选手。")</f>
        <v>她是业余选手。</v>
      </c>
      <c r="S13" s="5" t="s">
        <v>2476</v>
      </c>
      <c r="T13" s="5" t="str">
        <f>IFERROR(__xludf.DUMMYFUNCTION("GOOGLETRANSLATE(H13,""en"",""zh-CN"")"),"她是国家队队员。")</f>
        <v>她是国家队队员。</v>
      </c>
      <c r="U13" s="5" t="str">
        <f>IFERROR(__xludf.DUMMYFUNCTION("GOOGLETRANSLATE(I13,""en"",""zh-CN"")"),"身穿印有国家名称和球员号码的球衣表明此人是代表中国国家队的职业运动员。")</f>
        <v>身穿印有国家名称和球员号码的球衣表明此人是代表中国国家队的职业运动员。</v>
      </c>
    </row>
    <row r="14" ht="22.5" customHeight="1">
      <c r="A14" s="3" t="s">
        <v>2463</v>
      </c>
      <c r="B14" s="4">
        <v>13.0</v>
      </c>
      <c r="C14" s="3" t="s">
        <v>2477</v>
      </c>
      <c r="D14" s="3" t="s">
        <v>2478</v>
      </c>
      <c r="E14" s="3" t="s">
        <v>2479</v>
      </c>
      <c r="F14" s="3" t="s">
        <v>2480</v>
      </c>
      <c r="G14" s="3" t="s">
        <v>2481</v>
      </c>
      <c r="H14" s="3" t="s">
        <v>2478</v>
      </c>
      <c r="I14" s="3" t="s">
        <v>2482</v>
      </c>
      <c r="L14" s="3" t="s">
        <v>2463</v>
      </c>
      <c r="M14" s="4">
        <v>13.0</v>
      </c>
      <c r="N14" s="5" t="str">
        <f>IFERROR(__xludf.DUMMYFUNCTION("GOOGLETRANSLATE(C14,""en"",""zh-CN"")"),"比赛是在有球网的球场上进行的。这与休闲比赛有何不同？")</f>
        <v>比赛是在有球网的球场上进行的。这与休闲比赛有何不同？</v>
      </c>
      <c r="O14" s="5" t="str">
        <f>IFERROR(__xludf.DUMMYFUNCTION("GOOGLETRANSLATE(D14,""en"",""zh-CN"")"),"游戏的目标是战胜对手得分。")</f>
        <v>游戏的目标是战胜对手得分。</v>
      </c>
      <c r="P14" s="5" t="str">
        <f>IFERROR(__xludf.DUMMYFUNCTION("GOOGLETRANSLATE(E14,""en"",""zh-CN"")"),"这是一款合作游戏。")</f>
        <v>这是一款合作游戏。</v>
      </c>
      <c r="Q14" s="5" t="str">
        <f>IFERROR(__xludf.DUMMYFUNCTION("GOOGLETRANSLATE(F14,""en"",""zh-CN"")"),"这款游戏不具备竞技性。")</f>
        <v>这款游戏不具备竞技性。</v>
      </c>
      <c r="R14" s="5" t="str">
        <f>IFERROR(__xludf.DUMMYFUNCTION("GOOGLETRANSLATE(G14,""en"",""zh-CN"")"),"这项运动是一项团队运动。")</f>
        <v>这项运动是一项团队运动。</v>
      </c>
      <c r="S14" s="5" t="s">
        <v>2483</v>
      </c>
      <c r="T14" s="5" t="str">
        <f>IFERROR(__xludf.DUMMYFUNCTION("GOOGLETRANSLATE(H14,""en"",""zh-CN"")"),"游戏的目标是战胜对手得分。")</f>
        <v>游戏的目标是战胜对手得分。</v>
      </c>
      <c r="U14" s="5" t="str">
        <f>IFERROR(__xludf.DUMMYFUNCTION("GOOGLETRANSLATE(I14,""en"",""zh-CN"")"),"在竞技毽子比赛中，比赛是在球网上方进行的，目标是使毽子落在对方场地的地面上得分。")</f>
        <v>在竞技毽子比赛中，比赛是在球网上方进行的，目标是使毽子落在对方场地的地面上得分。</v>
      </c>
    </row>
    <row r="15" ht="22.5" customHeight="1">
      <c r="A15" s="3" t="s">
        <v>2463</v>
      </c>
      <c r="B15" s="4">
        <v>14.0</v>
      </c>
      <c r="C15" s="3" t="s">
        <v>2484</v>
      </c>
      <c r="D15" s="3" t="s">
        <v>2485</v>
      </c>
      <c r="E15" s="3" t="s">
        <v>2486</v>
      </c>
      <c r="F15" s="3" t="s">
        <v>2487</v>
      </c>
      <c r="G15" s="3" t="s">
        <v>2488</v>
      </c>
      <c r="H15" s="3" t="s">
        <v>2486</v>
      </c>
      <c r="I15" s="3" t="s">
        <v>2489</v>
      </c>
      <c r="L15" s="3" t="s">
        <v>2463</v>
      </c>
      <c r="M15" s="4">
        <v>14.0</v>
      </c>
      <c r="N15" s="5" t="str">
        <f>IFERROR(__xludf.DUMMYFUNCTION("GOOGLETRANSLATE(C15,""en"",""zh-CN"")"),"球场上的球网有什么作用？")</f>
        <v>球场上的球网有什么作用？</v>
      </c>
      <c r="O15" s="5" t="str">
        <f>IFERROR(__xludf.DUMMYFUNCTION("GOOGLETRANSLATE(D15,""en"",""zh-CN"")"),"用作分隔物。")</f>
        <v>用作分隔物。</v>
      </c>
      <c r="P15" s="5" t="str">
        <f>IFERROR(__xludf.DUMMYFUNCTION("GOOGLETRANSLATE(E15,""en"",""zh-CN"")"),"分隔各队并划定比赛区域。")</f>
        <v>分隔各队并划定比赛区域。</v>
      </c>
      <c r="Q15" s="5" t="str">
        <f>IFERROR(__xludf.DUMMYFUNCTION("GOOGLETRANSLATE(F15,""en"",""zh-CN"")"),"添加装饰元素。")</f>
        <v>添加装饰元素。</v>
      </c>
      <c r="R15" s="5" t="str">
        <f>IFERROR(__xludf.DUMMYFUNCTION("GOOGLETRANSLATE(G15,""en"",""zh-CN"")"),"挡住羽毛球。")</f>
        <v>挡住羽毛球。</v>
      </c>
      <c r="S15" s="5" t="s">
        <v>2490</v>
      </c>
      <c r="T15" s="5" t="str">
        <f>IFERROR(__xludf.DUMMYFUNCTION("GOOGLETRANSLATE(H15,""en"",""zh-CN"")"),"分隔各队并划定比赛区域。")</f>
        <v>分隔各队并划定比赛区域。</v>
      </c>
      <c r="U15" s="5" t="str">
        <f>IFERROR(__xludf.DUMMYFUNCTION("GOOGLETRANSLATE(I15,""en"",""zh-CN"")"),"球网是比赛中至关重要的一部分，它用来分隔场地，并划定一个清晰的障碍，羽毛球必须踢过这个障碍。")</f>
        <v>球网是比赛中至关重要的一部分，它用来分隔场地，并划定一个清晰的障碍，羽毛球必须踢过这个障碍。</v>
      </c>
    </row>
    <row r="16" ht="22.5" customHeight="1">
      <c r="A16" s="3" t="s">
        <v>2463</v>
      </c>
      <c r="B16" s="4">
        <v>15.0</v>
      </c>
      <c r="C16" s="3" t="s">
        <v>2491</v>
      </c>
      <c r="D16" s="3" t="s">
        <v>2425</v>
      </c>
      <c r="E16" s="3" t="s">
        <v>2492</v>
      </c>
      <c r="F16" s="3" t="s">
        <v>2493</v>
      </c>
      <c r="G16" s="3" t="s">
        <v>2494</v>
      </c>
      <c r="H16" s="3" t="s">
        <v>2492</v>
      </c>
      <c r="I16" s="3" t="s">
        <v>2495</v>
      </c>
      <c r="L16" s="3" t="s">
        <v>2463</v>
      </c>
      <c r="M16" s="4">
        <v>15.0</v>
      </c>
      <c r="N16" s="5" t="str">
        <f>IFERROR(__xludf.DUMMYFUNCTION("GOOGLETRANSLATE(C16,""en"",""zh-CN"")"),"从这张图片中可以推断出游戏的现状如何？")</f>
        <v>从这张图片中可以推断出游戏的现状如何？</v>
      </c>
      <c r="O16" s="5" t="str">
        <f>IFERROR(__xludf.DUMMYFUNCTION("GOOGLETRANSLATE(D16,""en"",""zh-CN"")"),"这是一项冷门运动。")</f>
        <v>这是一项冷门运动。</v>
      </c>
      <c r="P16" s="5" t="str">
        <f>IFERROR(__xludf.DUMMYFUNCTION("GOOGLETRANSLATE(E16,""en"",""zh-CN"")"),"这是一项有组织比赛的职业体育运动。")</f>
        <v>这是一项有组织比赛的职业体育运动。</v>
      </c>
      <c r="Q16" s="5" t="str">
        <f>IFERROR(__xludf.DUMMYFUNCTION("GOOGLETRANSLATE(F16,""en"",""zh-CN"")"),"这是一种休闲消遣。")</f>
        <v>这是一种休闲消遣。</v>
      </c>
      <c r="R16" s="5" t="str">
        <f>IFERROR(__xludf.DUMMYFUNCTION("GOOGLETRANSLATE(G16,""en"",""zh-CN"")"),"这是一款儿童游戏。")</f>
        <v>这是一款儿童游戏。</v>
      </c>
      <c r="S16" s="5" t="s">
        <v>2496</v>
      </c>
      <c r="T16" s="5" t="str">
        <f>IFERROR(__xludf.DUMMYFUNCTION("GOOGLETRANSLATE(H16,""en"",""zh-CN"")"),"这是一项有组织比赛的职业体育运动。")</f>
        <v>这是一项有组织比赛的职业体育运动。</v>
      </c>
      <c r="U16" s="5" t="str">
        <f>IFERROR(__xludf.DUMMYFUNCTION("GOOGLETRANSLATE(I16,""en"",""zh-CN"")"),"制服、球场和球网的存在都表明，毽子已经从一项休闲活动发展成为一项有组织的职业运动。")</f>
        <v>制服、球场和球网的存在都表明，毽子已经从一项休闲活动发展成为一项有组织的职业运动。</v>
      </c>
    </row>
    <row r="17" ht="22.5" customHeight="1">
      <c r="A17" s="3" t="s">
        <v>2497</v>
      </c>
      <c r="B17" s="4">
        <v>16.0</v>
      </c>
      <c r="C17" s="3" t="s">
        <v>339</v>
      </c>
      <c r="D17" s="3" t="s">
        <v>2498</v>
      </c>
      <c r="E17" s="3" t="s">
        <v>2499</v>
      </c>
      <c r="F17" s="3" t="s">
        <v>2500</v>
      </c>
      <c r="G17" s="3" t="s">
        <v>2501</v>
      </c>
      <c r="H17" s="3" t="s">
        <v>2499</v>
      </c>
      <c r="I17" s="3" t="s">
        <v>2502</v>
      </c>
      <c r="L17" s="3" t="s">
        <v>2497</v>
      </c>
      <c r="M17" s="4">
        <v>16.0</v>
      </c>
      <c r="N17" s="5" t="str">
        <f>IFERROR(__xludf.DUMMYFUNCTION("GOOGLETRANSLATE(C17,""en"",""zh-CN"")"),"这张图片的主要内容是什么？")</f>
        <v>这张图片的主要内容是什么？</v>
      </c>
      <c r="O17" s="5" t="str">
        <f>IFERROR(__xludf.DUMMYFUNCTION("GOOGLETRANSLATE(D17,""en"",""zh-CN"")"),"一套羽毛球。")</f>
        <v>一套羽毛球。</v>
      </c>
      <c r="P17" s="5" t="str">
        <f>IFERROR(__xludf.DUMMYFUNCTION("GOOGLETRANSLATE(E17,""en"",""zh-CN"")"),"一套色彩鲜艳的溏子。")</f>
        <v>一套色彩鲜艳的溏子。</v>
      </c>
      <c r="Q17" s="5" t="str">
        <f>IFERROR(__xludf.DUMMYFUNCTION("GOOGLETRANSLATE(F17,""en"",""zh-CN"")"),"一套塑料玩具。")</f>
        <v>一套塑料玩具。</v>
      </c>
      <c r="R17" s="5" t="str">
        <f>IFERROR(__xludf.DUMMYFUNCTION("GOOGLETRANSLATE(G17,""en"",""zh-CN"")"),"一群鸟。")</f>
        <v>一群鸟。</v>
      </c>
      <c r="S17" s="5" t="s">
        <v>2503</v>
      </c>
      <c r="T17" s="5" t="str">
        <f>IFERROR(__xludf.DUMMYFUNCTION("GOOGLETRANSLATE(H17,""en"",""zh-CN"")"),"一套色彩鲜艳的溏子。")</f>
        <v>一套色彩鲜艳的溏子。</v>
      </c>
      <c r="U17" s="5" t="str">
        <f>IFERROR(__xludf.DUMMYFUNCTION("GOOGLETRANSLATE(I17,""en"",""zh-CN"")"),"图片显示了一组底部带配重的羽毛状物体，可以清楚地辨认出这是一套毽子。")</f>
        <v>图片显示了一组底部带配重的羽毛状物体，可以清楚地辨认出这是一套毽子。</v>
      </c>
    </row>
    <row r="18" ht="22.5" customHeight="1">
      <c r="A18" s="3" t="s">
        <v>2497</v>
      </c>
      <c r="B18" s="4">
        <v>17.0</v>
      </c>
      <c r="C18" s="3" t="s">
        <v>2504</v>
      </c>
      <c r="D18" s="3" t="s">
        <v>2505</v>
      </c>
      <c r="E18" s="3" t="s">
        <v>2506</v>
      </c>
      <c r="F18" s="3" t="s">
        <v>2507</v>
      </c>
      <c r="G18" s="3" t="s">
        <v>2508</v>
      </c>
      <c r="H18" s="3" t="s">
        <v>2508</v>
      </c>
      <c r="I18" s="3" t="s">
        <v>2509</v>
      </c>
      <c r="L18" s="3" t="s">
        <v>2497</v>
      </c>
      <c r="M18" s="4">
        <v>17.0</v>
      </c>
      <c r="N18" s="5" t="str">
        <f>IFERROR(__xludf.DUMMYFUNCTION("GOOGLETRANSLATE(C18,""en"",""zh-CN"")"),"这些羽毛球是用什么材料制成的？")</f>
        <v>这些羽毛球是用什么材料制成的？</v>
      </c>
      <c r="O18" s="5" t="str">
        <f>IFERROR(__xludf.DUMMYFUNCTION("GOOGLETRANSLATE(D18,""en"",""zh-CN"")"),"塑料和金属。")</f>
        <v>塑料和金属。</v>
      </c>
      <c r="P18" s="5" t="str">
        <f>IFERROR(__xludf.DUMMYFUNCTION("GOOGLETRANSLATE(E18,""en"",""zh-CN"")"),"木质和人造羽毛。")</f>
        <v>木质和人造羽毛。</v>
      </c>
      <c r="Q18" s="5" t="str">
        <f>IFERROR(__xludf.DUMMYFUNCTION("GOOGLETRANSLATE(F18,""en"",""zh-CN"")"),"橡胶和塑料。")</f>
        <v>橡胶和塑料。</v>
      </c>
      <c r="R18" s="5" t="str">
        <f>IFERROR(__xludf.DUMMYFUNCTION("GOOGLETRANSLATE(G18,""en"",""zh-CN"")"),"橡胶底座和彩色羽毛。")</f>
        <v>橡胶底座和彩色羽毛。</v>
      </c>
      <c r="S18" s="5" t="s">
        <v>2510</v>
      </c>
      <c r="T18" s="5" t="str">
        <f>IFERROR(__xludf.DUMMYFUNCTION("GOOGLETRANSLATE(H18,""en"",""zh-CN"")"),"橡胶底座和彩色羽毛。")</f>
        <v>橡胶底座和彩色羽毛。</v>
      </c>
      <c r="U18" s="5" t="str">
        <f>IFERROR(__xludf.DUMMYFUNCTION("GOOGLETRANSLATE(I18,""en"",""zh-CN"")"),"图片显示，底座似乎由类似橡胶的材料制成，上面插有彩色羽毛，这是戬子的常见构造。")</f>
        <v>图片显示，底座似乎由类似橡胶的材料制成，上面插有彩色羽毛，这是戬子的常见构造。</v>
      </c>
    </row>
    <row r="19" ht="22.5" customHeight="1">
      <c r="A19" s="3" t="s">
        <v>2497</v>
      </c>
      <c r="B19" s="4">
        <v>18.0</v>
      </c>
      <c r="C19" s="3" t="s">
        <v>2511</v>
      </c>
      <c r="D19" s="3" t="s">
        <v>2512</v>
      </c>
      <c r="E19" s="3" t="s">
        <v>2513</v>
      </c>
      <c r="F19" s="3" t="s">
        <v>2514</v>
      </c>
      <c r="G19" s="3" t="s">
        <v>2515</v>
      </c>
      <c r="H19" s="3" t="s">
        <v>2513</v>
      </c>
      <c r="I19" s="3" t="s">
        <v>2516</v>
      </c>
      <c r="L19" s="3" t="s">
        <v>2497</v>
      </c>
      <c r="M19" s="4">
        <v>18.0</v>
      </c>
      <c r="N19" s="5" t="str">
        <f>IFERROR(__xludf.DUMMYFUNCTION("GOOGLETRANSLATE(C19,""en"",""zh-CN"")"),"羽毛有什么用途？")</f>
        <v>羽毛有什么用途？</v>
      </c>
      <c r="O19" s="5" t="str">
        <f>IFERROR(__xludf.DUMMYFUNCTION("GOOGLETRANSLATE(D19,""en"",""zh-CN"")"),"增加羽毛球的重量。")</f>
        <v>增加羽毛球的重量。</v>
      </c>
      <c r="P19" s="5" t="str">
        <f>IFERROR(__xludf.DUMMYFUNCTION("GOOGLETRANSLATE(E19,""en"",""zh-CN"")"),"产生阻力并稳定其飞行。")</f>
        <v>产生阻力并稳定其飞行。</v>
      </c>
      <c r="Q19" s="5" t="str">
        <f>IFERROR(__xludf.DUMMYFUNCTION("GOOGLETRANSLATE(F19,""en"",""zh-CN"")"),"为了使其更具装饰性。")</f>
        <v>为了使其更具装饰性。</v>
      </c>
      <c r="R19" s="5" t="str">
        <f>IFERROR(__xludf.DUMMYFUNCTION("GOOGLETRANSLATE(G19,""en"",""zh-CN"")"),"为了方便握持。")</f>
        <v>为了方便握持。</v>
      </c>
      <c r="S19" s="5" t="s">
        <v>2517</v>
      </c>
      <c r="T19" s="5" t="str">
        <f>IFERROR(__xludf.DUMMYFUNCTION("GOOGLETRANSLATE(H19,""en"",""zh-CN"")"),"产生阻力并稳定其飞行。")</f>
        <v>产生阻力并稳定其飞行。</v>
      </c>
      <c r="U19" s="5" t="str">
        <f>IFERROR(__xludf.DUMMYFUNCTION("GOOGLETRANSLATE(I19,""en"",""zh-CN"")"),"羽毛就像飞镖上的鳍一样，产生阻力，稳定羽毛球的飞行，使其底部先着地，从而更容易踢到它。")</f>
        <v>羽毛就像飞镖上的鳍一样，产生阻力，稳定羽毛球的飞行，使其底部先着地，从而更容易踢到它。</v>
      </c>
    </row>
    <row r="20" ht="22.5" customHeight="1">
      <c r="A20" s="3" t="s">
        <v>2497</v>
      </c>
      <c r="B20" s="4">
        <v>19.0</v>
      </c>
      <c r="C20" s="3" t="s">
        <v>2518</v>
      </c>
      <c r="D20" s="3" t="s">
        <v>2519</v>
      </c>
      <c r="E20" s="3" t="s">
        <v>2520</v>
      </c>
      <c r="F20" s="3" t="s">
        <v>2521</v>
      </c>
      <c r="G20" s="3" t="s">
        <v>2522</v>
      </c>
      <c r="H20" s="3" t="s">
        <v>2521</v>
      </c>
      <c r="I20" s="3" t="s">
        <v>2523</v>
      </c>
      <c r="L20" s="3" t="s">
        <v>2497</v>
      </c>
      <c r="M20" s="4">
        <v>19.0</v>
      </c>
      <c r="N20" s="5" t="str">
        <f>IFERROR(__xludf.DUMMYFUNCTION("GOOGLETRANSLATE(C20,""en"",""zh-CN"")"),"羽毛鲜艳的颜色暗示着什么？")</f>
        <v>羽毛鲜艳的颜色暗示着什么？</v>
      </c>
      <c r="O20" s="5" t="str">
        <f>IFERROR(__xludf.DUMMYFUNCTION("GOOGLETRANSLATE(D20,""en"",""zh-CN"")"),"它们用于职业比赛。")</f>
        <v>它们用于职业比赛。</v>
      </c>
      <c r="P20" s="5" t="str">
        <f>IFERROR(__xludf.DUMMYFUNCTION("GOOGLETRANSLATE(E20,""en"",""zh-CN"")"),"它们是给儿童玩具用的。")</f>
        <v>它们是给儿童玩具用的。</v>
      </c>
      <c r="Q20" s="5" t="str">
        <f>IFERROR(__xludf.DUMMYFUNCTION("GOOGLETRANSLATE(F20,""en"",""zh-CN"")"),"它们的作用是使羽毛球在空中更加显眼。")</f>
        <v>它们的作用是使羽毛球在空中更加显眼。</v>
      </c>
      <c r="R20" s="5" t="str">
        <f>IFERROR(__xludf.DUMMYFUNCTION("GOOGLETRANSLATE(G20,""en"",""zh-CN"")"),"它们是羽毛球质量的标志。")</f>
        <v>它们是羽毛球质量的标志。</v>
      </c>
      <c r="S20" s="5" t="s">
        <v>2524</v>
      </c>
      <c r="T20" s="5" t="str">
        <f>IFERROR(__xludf.DUMMYFUNCTION("GOOGLETRANSLATE(H20,""en"",""zh-CN"")"),"它们的作用是使羽毛球在空中更加显眼。")</f>
        <v>它们的作用是使羽毛球在空中更加显眼。</v>
      </c>
      <c r="U20" s="5" t="str">
        <f>IFERROR(__xludf.DUMMYFUNCTION("GOOGLETRANSLATE(I20,""en"",""zh-CN"")"),"鲜艳的颜色使羽毛球在比赛中更容易在天空或对比鲜明的背景下被追踪。")</f>
        <v>鲜艳的颜色使羽毛球在比赛中更容易在天空或对比鲜明的背景下被追踪。</v>
      </c>
    </row>
    <row r="21" ht="22.5" customHeight="1">
      <c r="A21" s="3" t="s">
        <v>2497</v>
      </c>
      <c r="B21" s="4">
        <v>20.0</v>
      </c>
      <c r="C21" s="3" t="s">
        <v>2525</v>
      </c>
      <c r="D21" s="3" t="s">
        <v>2526</v>
      </c>
      <c r="E21" s="3" t="s">
        <v>2527</v>
      </c>
      <c r="F21" s="3" t="s">
        <v>2528</v>
      </c>
      <c r="G21" s="3" t="s">
        <v>2529</v>
      </c>
      <c r="H21" s="3" t="s">
        <v>2528</v>
      </c>
      <c r="I21" s="3" t="s">
        <v>2530</v>
      </c>
      <c r="L21" s="3" t="s">
        <v>2497</v>
      </c>
      <c r="M21" s="4">
        <v>20.0</v>
      </c>
      <c r="N21" s="5" t="str">
        <f>IFERROR(__xludf.DUMMYFUNCTION("GOOGLETRANSLATE(C21,""en"",""zh-CN"")"),"栀子和羽毛球有什么显著区别？")</f>
        <v>栀子和羽毛球有什么显著区别？</v>
      </c>
      <c r="O21" s="5" t="str">
        <f>IFERROR(__xludf.DUMMYFUNCTION("GOOGLETRANSLATE(D21,""en"",""zh-CN"")"),"栀子小得多。")</f>
        <v>栀子小得多。</v>
      </c>
      <c r="P21" s="5" t="str">
        <f>IFERROR(__xludf.DUMMYFUNCTION("GOOGLETRANSLATE(E21,""en"",""zh-CN"")"),"栀子是用羽毛做的。")</f>
        <v>栀子是用羽毛做的。</v>
      </c>
      <c r="Q21" s="5" t="str">
        <f>IFERROR(__xludf.DUMMYFUNCTION("GOOGLETRANSLATE(F21,""en"",""zh-CN"")"),"毽子较重，设计用来踢，而不是用球拍击打。")</f>
        <v>毽子较重，设计用来踢，而不是用球拍击打。</v>
      </c>
      <c r="R21" s="5" t="str">
        <f>IFERROR(__xludf.DUMMYFUNCTION("GOOGLETRANSLATE(G21,""en"",""zh-CN"")"),"琴子底座是塑料的。")</f>
        <v>琴子底座是塑料的。</v>
      </c>
      <c r="S21" s="5" t="s">
        <v>2531</v>
      </c>
      <c r="T21" s="5" t="str">
        <f>IFERROR(__xludf.DUMMYFUNCTION("GOOGLETRANSLATE(H21,""en"",""zh-CN"")"),"毽子较重，设计用来踢，而不是用球拍击打。")</f>
        <v>毽子较重，设计用来踢，而不是用球拍击打。</v>
      </c>
      <c r="U21" s="5" t="str">
        <f>IFERROR(__xludf.DUMMYFUNCTION("GOOGLETRANSLATE(I21,""en"",""zh-CN"")"),"虽然两者都有羽毛状的顶部，但毽子底部较重，设计用于踢击和保持平衡，而羽毛球则设计轻巧，用球拍击打。")</f>
        <v>虽然两者都有羽毛状的顶部，但毽子底部较重，设计用于踢击和保持平衡，而羽毛球则设计轻巧，用球拍击打。</v>
      </c>
    </row>
    <row r="22" ht="22.5" customHeight="1">
      <c r="A22" s="3" t="s">
        <v>2532</v>
      </c>
      <c r="B22" s="4">
        <v>21.0</v>
      </c>
      <c r="C22" s="3" t="s">
        <v>1335</v>
      </c>
      <c r="D22" s="3" t="s">
        <v>2533</v>
      </c>
      <c r="E22" s="3" t="s">
        <v>2534</v>
      </c>
      <c r="F22" s="3" t="s">
        <v>2535</v>
      </c>
      <c r="G22" s="3" t="s">
        <v>2536</v>
      </c>
      <c r="H22" s="3" t="s">
        <v>2534</v>
      </c>
      <c r="I22" s="3" t="s">
        <v>2537</v>
      </c>
      <c r="L22" s="3" t="s">
        <v>2532</v>
      </c>
      <c r="M22" s="4">
        <v>21.0</v>
      </c>
      <c r="N22" s="5" t="str">
        <f>IFERROR(__xludf.DUMMYFUNCTION("GOOGLETRANSLATE(C22,""en"",""zh-CN"")"),"图中所示的中心活动是什么？")</f>
        <v>图中所示的中心活动是什么？</v>
      </c>
      <c r="O22" s="5" t="str">
        <f>IFERROR(__xludf.DUMMYFUNCTION("GOOGLETRANSLATE(D22,""en"",""zh-CN"")"),"一名男子正在跳舞。")</f>
        <v>一名男子正在跳舞。</v>
      </c>
      <c r="P22" s="5" t="str">
        <f>IFERROR(__xludf.DUMMYFUNCTION("GOOGLETRANSLATE(E22,""en"",""zh-CN"")"),"一名男子正在玩毽子。")</f>
        <v>一名男子正在玩毽子。</v>
      </c>
      <c r="Q22" s="5" t="str">
        <f>IFERROR(__xludf.DUMMYFUNCTION("GOOGLETRANSLATE(F22,""en"",""zh-CN"")"),"一名男子正在公园里散步。")</f>
        <v>一名男子正在公园里散步。</v>
      </c>
      <c r="R22" s="5" t="str">
        <f>IFERROR(__xludf.DUMMYFUNCTION("GOOGLETRANSLATE(G22,""en"",""zh-CN"")"),"一名男子正在表演武术动作。")</f>
        <v>一名男子正在表演武术动作。</v>
      </c>
      <c r="S22" s="5" t="s">
        <v>2538</v>
      </c>
      <c r="T22" s="5" t="str">
        <f>IFERROR(__xludf.DUMMYFUNCTION("GOOGLETRANSLATE(H22,""en"",""zh-CN"")"),"一名男子正在玩毽子。")</f>
        <v>一名男子正在玩毽子。</v>
      </c>
      <c r="U22" s="5" t="str">
        <f>IFERROR(__xludf.DUMMYFUNCTION("GOOGLETRANSLATE(I22,""en"",""zh-CN"")"),"男子正做出踢毽子的动作，表明他正在玩这个传统游戏。")</f>
        <v>男子正做出踢毽子的动作，表明他正在玩这个传统游戏。</v>
      </c>
    </row>
    <row r="23" ht="22.5" customHeight="1">
      <c r="A23" s="3" t="s">
        <v>2532</v>
      </c>
      <c r="B23" s="4">
        <v>22.0</v>
      </c>
      <c r="C23" s="3" t="s">
        <v>2539</v>
      </c>
      <c r="D23" s="3" t="s">
        <v>2540</v>
      </c>
      <c r="E23" s="3" t="s">
        <v>2541</v>
      </c>
      <c r="F23" s="3" t="s">
        <v>2446</v>
      </c>
      <c r="G23" s="3" t="s">
        <v>2542</v>
      </c>
      <c r="H23" s="3" t="s">
        <v>2541</v>
      </c>
      <c r="I23" s="3" t="s">
        <v>2543</v>
      </c>
      <c r="L23" s="3" t="s">
        <v>2532</v>
      </c>
      <c r="M23" s="4">
        <v>22.0</v>
      </c>
      <c r="N23" s="5" t="str">
        <f>IFERROR(__xludf.DUMMYFUNCTION("GOOGLETRANSLATE(C23,""en"",""zh-CN"")"),"这个人是在什么样的环境下演奏？")</f>
        <v>这个人是在什么样的环境下演奏？</v>
      </c>
      <c r="O23" s="5" t="str">
        <f>IFERROR(__xludf.DUMMYFUNCTION("GOOGLETRANSLATE(D23,""en"",""zh-CN"")"),"一个安静僻静的公园。")</f>
        <v>一个安静僻静的公园。</v>
      </c>
      <c r="P23" s="5" t="str">
        <f>IFERROR(__xludf.DUMMYFUNCTION("GOOGLETRANSLATE(E23,""en"",""zh-CN"")"),"人流密集的公共场所。")</f>
        <v>人流密集的公共场所。</v>
      </c>
      <c r="Q23" s="5" t="str">
        <f>IFERROR(__xludf.DUMMYFUNCTION("GOOGLETRANSLATE(F23,""en"",""zh-CN"")"),"室内体育馆。")</f>
        <v>室内体育馆。</v>
      </c>
      <c r="R23" s="5" t="str">
        <f>IFERROR(__xludf.DUMMYFUNCTION("GOOGLETRANSLATE(G23,""en"",""zh-CN"")"),"学校操场。")</f>
        <v>学校操场。</v>
      </c>
      <c r="S23" s="5" t="s">
        <v>2544</v>
      </c>
      <c r="T23" s="5" t="str">
        <f>IFERROR(__xludf.DUMMYFUNCTION("GOOGLETRANSLATE(H23,""en"",""zh-CN"")"),"人流密集的公共场所。")</f>
        <v>人流密集的公共场所。</v>
      </c>
      <c r="U23" s="5" t="str">
        <f>IFERROR(__xludf.DUMMYFUNCTION("GOOGLETRANSLATE(I23,""en"",""zh-CN"")"),"图片显示的是一片铺砌的区域，周围有很多人走动，背景也显示出这是一个繁忙的公共区域。")</f>
        <v>图片显示的是一片铺砌的区域，周围有很多人走动，背景也显示出这是一个繁忙的公共区域。</v>
      </c>
    </row>
    <row r="24" ht="22.5" customHeight="1">
      <c r="A24" s="3" t="s">
        <v>2532</v>
      </c>
      <c r="B24" s="4">
        <v>23.0</v>
      </c>
      <c r="C24" s="3" t="s">
        <v>2545</v>
      </c>
      <c r="D24" s="3" t="s">
        <v>2134</v>
      </c>
      <c r="E24" s="3" t="s">
        <v>2546</v>
      </c>
      <c r="F24" s="3" t="s">
        <v>2414</v>
      </c>
      <c r="G24" s="3" t="s">
        <v>2547</v>
      </c>
      <c r="H24" s="3" t="s">
        <v>2546</v>
      </c>
      <c r="I24" s="3" t="s">
        <v>2548</v>
      </c>
      <c r="L24" s="3" t="s">
        <v>2532</v>
      </c>
      <c r="M24" s="4">
        <v>23.0</v>
      </c>
      <c r="N24" s="5" t="str">
        <f>IFERROR(__xludf.DUMMYFUNCTION("GOOGLETRANSLATE(C24,""en"",""zh-CN"")"),"图片中羽毛球的显著特征是什么？")</f>
        <v>图片中羽毛球的显著特征是什么？</v>
      </c>
      <c r="O24" s="5" t="str">
        <f>IFERROR(__xludf.DUMMYFUNCTION("GOOGLETRANSLATE(D24,""en"",""zh-CN"")"),"它是由塑料制成的。")</f>
        <v>它是由塑料制成的。</v>
      </c>
      <c r="P24" s="5" t="str">
        <f>IFERROR(__xludf.DUMMYFUNCTION("GOOGLETRANSLATE(E24,""en"",""zh-CN"")"),"这是一个传统的羽毛装饰的钩子，羽毛色彩鲜艳。")</f>
        <v>这是一个传统的羽毛装饰的钩子，羽毛色彩鲜艳。</v>
      </c>
      <c r="Q24" s="5" t="str">
        <f>IFERROR(__xludf.DUMMYFUNCTION("GOOGLETRANSLATE(F24,""en"",""zh-CN"")"),"这是一个现代足球。")</f>
        <v>这是一个现代足球。</v>
      </c>
      <c r="R24" s="5" t="str">
        <f>IFERROR(__xludf.DUMMYFUNCTION("GOOGLETRANSLATE(G24,""en"",""zh-CN"")"),"这是一个羽毛球。")</f>
        <v>这是一个羽毛球。</v>
      </c>
      <c r="S24" s="5" t="s">
        <v>2549</v>
      </c>
      <c r="T24" s="5" t="str">
        <f>IFERROR(__xludf.DUMMYFUNCTION("GOOGLETRANSLATE(H24,""en"",""zh-CN"")"),"这是一个传统的羽毛装饰的钩子，羽毛色彩鲜艳。")</f>
        <v>这是一个传统的羽毛装饰的钩子，羽毛色彩鲜艳。</v>
      </c>
      <c r="U24" s="5" t="str">
        <f>IFERROR(__xludf.DUMMYFUNCTION("GOOGLETRANSLATE(I24,""en"",""zh-CN"")"),"毽子由底座和一系列色彩鲜艳的羽毛状流苏组成，这是毽子的经典设计。")</f>
        <v>毽子由底座和一系列色彩鲜艳的羽毛状流苏组成，这是毽子的经典设计。</v>
      </c>
    </row>
    <row r="25" ht="22.5" customHeight="1">
      <c r="A25" s="3" t="s">
        <v>2532</v>
      </c>
      <c r="B25" s="4">
        <v>24.0</v>
      </c>
      <c r="C25" s="3" t="s">
        <v>2550</v>
      </c>
      <c r="D25" s="3" t="s">
        <v>2551</v>
      </c>
      <c r="E25" s="3" t="s">
        <v>2552</v>
      </c>
      <c r="F25" s="3" t="s">
        <v>2553</v>
      </c>
      <c r="G25" s="3" t="s">
        <v>2554</v>
      </c>
      <c r="H25" s="3" t="s">
        <v>2553</v>
      </c>
      <c r="I25" s="3" t="s">
        <v>2555</v>
      </c>
      <c r="L25" s="3" t="s">
        <v>2532</v>
      </c>
      <c r="M25" s="4">
        <v>24.0</v>
      </c>
      <c r="N25" s="5" t="str">
        <f>IFERROR(__xludf.DUMMYFUNCTION("GOOGLETRANSLATE(C25,""en"",""zh-CN"")"),"这名男子穿着休闲装。这暗示着他在玩什么游戏？")</f>
        <v>这名男子穿着休闲装。这暗示着他在玩什么游戏？</v>
      </c>
      <c r="O25" s="5" t="str">
        <f>IFERROR(__xludf.DUMMYFUNCTION("GOOGLETRANSLATE(D25,""en"",""zh-CN"")"),"这是一项非常正式的运动。")</f>
        <v>这是一项非常正式的运动。</v>
      </c>
      <c r="P25" s="5" t="str">
        <f>IFERROR(__xludf.DUMMYFUNCTION("GOOGLETRANSLATE(E25,""en"",""zh-CN"")"),"它需要特定的运动服。")</f>
        <v>它需要特定的运动服。</v>
      </c>
      <c r="Q25" s="5" t="str">
        <f>IFERROR(__xludf.DUMMYFUNCTION("GOOGLETRANSLATE(F25,""en"",""zh-CN"")"),"这是一种休闲娱乐活动，穿着日常服装就可以进行。")</f>
        <v>这是一种休闲娱乐活动，穿着日常服装就可以进行。</v>
      </c>
      <c r="R25" s="5" t="str">
        <f>IFERROR(__xludf.DUMMYFUNCTION("GOOGLETRANSLATE(G25,""en"",""zh-CN"")"),"这是一项竞技性运动。")</f>
        <v>这是一项竞技性运动。</v>
      </c>
      <c r="S25" s="5" t="s">
        <v>2556</v>
      </c>
      <c r="T25" s="5" t="str">
        <f>IFERROR(__xludf.DUMMYFUNCTION("GOOGLETRANSLATE(H25,""en"",""zh-CN"")"),"这是一种休闲娱乐活动，穿着日常服装就可以进行。")</f>
        <v>这是一种休闲娱乐活动，穿着日常服装就可以进行。</v>
      </c>
      <c r="U25" s="5" t="str">
        <f>IFERROR(__xludf.DUMMYFUNCTION("GOOGLETRANSLATE(I25,""en"",""zh-CN"")"),"这名男子穿着polo衫和工装裤，这表明毽子是一种低调、休闲的消遣活动，无需特殊装备即可进行。")</f>
        <v>这名男子穿着polo衫和工装裤，这表明毽子是一种低调、休闲的消遣活动，无需特殊装备即可进行。</v>
      </c>
    </row>
    <row r="26" ht="22.5" customHeight="1">
      <c r="A26" s="3" t="s">
        <v>2532</v>
      </c>
      <c r="B26" s="4">
        <v>25.0</v>
      </c>
      <c r="C26" s="3" t="s">
        <v>2456</v>
      </c>
      <c r="D26" s="3" t="s">
        <v>2457</v>
      </c>
      <c r="E26" s="3" t="s">
        <v>2459</v>
      </c>
      <c r="F26" s="3" t="s">
        <v>2460</v>
      </c>
      <c r="G26" s="3" t="s">
        <v>2458</v>
      </c>
      <c r="H26" s="3" t="s">
        <v>2459</v>
      </c>
      <c r="I26" s="3" t="s">
        <v>2461</v>
      </c>
      <c r="L26" s="3" t="s">
        <v>2532</v>
      </c>
      <c r="M26" s="4">
        <v>25.0</v>
      </c>
      <c r="N26" s="5" t="str">
        <f>IFERROR(__xludf.DUMMYFUNCTION("GOOGLETRANSLATE(C26,""en"",""zh-CN"")"),"要想有效演奏戌子，需要掌握哪些关键技能？")</f>
        <v>要想有效演奏戌子，需要掌握哪些关键技能？</v>
      </c>
      <c r="O26" s="5" t="str">
        <f>IFERROR(__xludf.DUMMYFUNCTION("GOOGLETRANSLATE(D26,""en"",""zh-CN"")"),"手眼协调能力。")</f>
        <v>手眼协调能力。</v>
      </c>
      <c r="P26" s="5" t="str">
        <f>IFERROR(__xludf.DUMMYFUNCTION("GOOGLETRANSLATE(E26,""en"",""zh-CN"")"),"腿部力量和敏捷性。")</f>
        <v>腿部力量和敏捷性。</v>
      </c>
      <c r="Q26" s="5" t="str">
        <f>IFERROR(__xludf.DUMMYFUNCTION("GOOGLETRANSLATE(F26,""en"",""zh-CN"")"),"跑步速度。")</f>
        <v>跑步速度。</v>
      </c>
      <c r="R26" s="5" t="str">
        <f>IFERROR(__xludf.DUMMYFUNCTION("GOOGLETRANSLATE(G26,""en"",""zh-CN"")"),"上肢力量。")</f>
        <v>上肢力量。</v>
      </c>
      <c r="S26" s="5" t="s">
        <v>2557</v>
      </c>
      <c r="T26" s="5" t="str">
        <f>IFERROR(__xludf.DUMMYFUNCTION("GOOGLETRANSLATE(H26,""en"",""zh-CN"")"),"腿部力量和敏捷性。")</f>
        <v>腿部力量和敏捷性。</v>
      </c>
      <c r="U26" s="5" t="str">
        <f>IFERROR(__xludf.DUMMYFUNCTION("GOOGLETRANSLATE(I26,""en"",""zh-CN"")"),"这项运动依赖于用脚控制和保持羽毛球在空中的能力，这需要极佳的腿部力量和敏捷性。")</f>
        <v>这项运动依赖于用脚控制和保持羽毛球在空中的能力，这需要极佳的腿部力量和敏捷性。</v>
      </c>
    </row>
    <row r="27" ht="22.5" customHeight="1">
      <c r="A27" s="3" t="s">
        <v>2558</v>
      </c>
      <c r="B27" s="4">
        <v>26.0</v>
      </c>
      <c r="C27" s="3" t="s">
        <v>1239</v>
      </c>
      <c r="D27" s="3" t="s">
        <v>2464</v>
      </c>
      <c r="E27" s="3" t="s">
        <v>2465</v>
      </c>
      <c r="F27" s="3" t="s">
        <v>2466</v>
      </c>
      <c r="G27" s="3" t="s">
        <v>2467</v>
      </c>
      <c r="H27" s="3" t="s">
        <v>2466</v>
      </c>
      <c r="I27" s="3" t="s">
        <v>2559</v>
      </c>
      <c r="L27" s="3" t="s">
        <v>2558</v>
      </c>
      <c r="M27" s="4">
        <v>26.0</v>
      </c>
      <c r="N27" s="5" t="str">
        <f>IFERROR(__xludf.DUMMYFUNCTION("GOOGLETRANSLATE(C27,""en"",""zh-CN"")"),"图片中展示的主要活动是什么？")</f>
        <v>图片中展示的主要活动是什么？</v>
      </c>
      <c r="O27" s="5" t="str">
        <f>IFERROR(__xludf.DUMMYFUNCTION("GOOGLETRANSLATE(D27,""en"",""zh-CN"")"),"一场羽毛球比赛。")</f>
        <v>一场羽毛球比赛。</v>
      </c>
      <c r="P27" s="5" t="str">
        <f>IFERROR(__xludf.DUMMYFUNCTION("GOOGLETRANSLATE(E27,""en"",""zh-CN"")"),"一场排球比赛。")</f>
        <v>一场排球比赛。</v>
      </c>
      <c r="Q27" s="5" t="str">
        <f>IFERROR(__xludf.DUMMYFUNCTION("GOOGLETRANSLATE(F27,""en"",""zh-CN"")"),"一场激烈的溏子比赛。")</f>
        <v>一场激烈的溏子比赛。</v>
      </c>
      <c r="R27" s="5" t="str">
        <f>IFERROR(__xludf.DUMMYFUNCTION("GOOGLETRANSLATE(G27,""en"",""zh-CN"")"),"一场足球比赛。")</f>
        <v>一场足球比赛。</v>
      </c>
      <c r="S27" s="5" t="s">
        <v>2469</v>
      </c>
      <c r="T27" s="5" t="str">
        <f>IFERROR(__xludf.DUMMYFUNCTION("GOOGLETRANSLATE(H27,""en"",""zh-CN"")"),"一场激烈的溏子比赛。")</f>
        <v>一场激烈的溏子比赛。</v>
      </c>
      <c r="U27" s="5" t="str">
        <f>IFERROR(__xludf.DUMMYFUNCTION("GOOGLETRANSLATE(I27,""en"",""zh-CN"")"),"图片显示两名身穿制服的球员正在踢毽子过网，这是毽子比赛的场景。")</f>
        <v>图片显示两名身穿制服的球员正在踢毽子过网，这是毽子比赛的场景。</v>
      </c>
    </row>
    <row r="28" ht="22.5" customHeight="1">
      <c r="A28" s="3" t="s">
        <v>2558</v>
      </c>
      <c r="B28" s="4">
        <v>27.0</v>
      </c>
      <c r="C28" s="3" t="s">
        <v>2560</v>
      </c>
      <c r="D28" s="3" t="s">
        <v>2474</v>
      </c>
      <c r="E28" s="3" t="s">
        <v>2561</v>
      </c>
      <c r="F28" s="3" t="s">
        <v>2473</v>
      </c>
      <c r="G28" s="3" t="s">
        <v>2471</v>
      </c>
      <c r="H28" s="3" t="s">
        <v>2561</v>
      </c>
      <c r="I28" s="3" t="s">
        <v>2562</v>
      </c>
      <c r="L28" s="3" t="s">
        <v>2558</v>
      </c>
      <c r="M28" s="4">
        <v>27.0</v>
      </c>
      <c r="N28" s="5" t="str">
        <f>IFERROR(__xludf.DUMMYFUNCTION("GOOGLETRANSLATE(C28,""en"",""zh-CN"")"),"球员的球衣上印有“上海”字样和数字“2”。这暗示了什么？")</f>
        <v>球员的球衣上印有“上海”字样和数字“2”。这暗示了什么？</v>
      </c>
      <c r="O28" s="5" t="str">
        <f>IFERROR(__xludf.DUMMYFUNCTION("GOOGLETRANSLATE(D28,""en"",""zh-CN"")"),"她是业余选手。")</f>
        <v>她是业余选手。</v>
      </c>
      <c r="P28" s="5" t="str">
        <f>IFERROR(__xludf.DUMMYFUNCTION("GOOGLETRANSLATE(E28,""en"",""zh-CN"")"),"她是市级或地区级球队的成员。")</f>
        <v>她是市级或地区级球队的成员。</v>
      </c>
      <c r="Q28" s="5" t="str">
        <f>IFERROR(__xludf.DUMMYFUNCTION("GOOGLETRANSLATE(F28,""en"",""zh-CN"")"),"她是一名旁观者。")</f>
        <v>她是一名旁观者。</v>
      </c>
      <c r="R28" s="5" t="str">
        <f>IFERROR(__xludf.DUMMYFUNCTION("GOOGLETRANSLATE(G28,""en"",""zh-CN"")"),"她是个休闲玩家。")</f>
        <v>她是个休闲玩家。</v>
      </c>
      <c r="S28" s="5" t="s">
        <v>2563</v>
      </c>
      <c r="T28" s="5" t="str">
        <f>IFERROR(__xludf.DUMMYFUNCTION("GOOGLETRANSLATE(H28,""en"",""zh-CN"")"),"她是市级或地区级球队的成员。")</f>
        <v>她是市级或地区级球队的成员。</v>
      </c>
      <c r="U28" s="5" t="str">
        <f>IFERROR(__xludf.DUMMYFUNCTION("GOOGLETRANSLATE(I28,""en"",""zh-CN"")"),"身穿印有城市名称和球员号码的球衣表明该人是代表城市或地区球队的运动员，很可能参加职业比赛。")</f>
        <v>身穿印有城市名称和球员号码的球衣表明该人是代表城市或地区球队的运动员，很可能参加职业比赛。</v>
      </c>
    </row>
    <row r="29" ht="22.5" customHeight="1">
      <c r="A29" s="3" t="s">
        <v>2558</v>
      </c>
      <c r="B29" s="4">
        <v>28.0</v>
      </c>
      <c r="C29" s="3" t="s">
        <v>2477</v>
      </c>
      <c r="D29" s="3" t="s">
        <v>2478</v>
      </c>
      <c r="E29" s="3" t="s">
        <v>2479</v>
      </c>
      <c r="F29" s="3" t="s">
        <v>2480</v>
      </c>
      <c r="G29" s="3" t="s">
        <v>2481</v>
      </c>
      <c r="H29" s="3" t="s">
        <v>2478</v>
      </c>
      <c r="I29" s="3" t="s">
        <v>2482</v>
      </c>
      <c r="L29" s="3" t="s">
        <v>2558</v>
      </c>
      <c r="M29" s="4">
        <v>28.0</v>
      </c>
      <c r="N29" s="5" t="str">
        <f>IFERROR(__xludf.DUMMYFUNCTION("GOOGLETRANSLATE(C29,""en"",""zh-CN"")"),"比赛是在有球网的球场上进行的。这与休闲比赛有何不同？")</f>
        <v>比赛是在有球网的球场上进行的。这与休闲比赛有何不同？</v>
      </c>
      <c r="O29" s="5" t="str">
        <f>IFERROR(__xludf.DUMMYFUNCTION("GOOGLETRANSLATE(D29,""en"",""zh-CN"")"),"游戏的目标是战胜对手得分。")</f>
        <v>游戏的目标是战胜对手得分。</v>
      </c>
      <c r="P29" s="5" t="str">
        <f>IFERROR(__xludf.DUMMYFUNCTION("GOOGLETRANSLATE(E29,""en"",""zh-CN"")"),"这是一款合作游戏。")</f>
        <v>这是一款合作游戏。</v>
      </c>
      <c r="Q29" s="5" t="str">
        <f>IFERROR(__xludf.DUMMYFUNCTION("GOOGLETRANSLATE(F29,""en"",""zh-CN"")"),"这款游戏不具备竞技性。")</f>
        <v>这款游戏不具备竞技性。</v>
      </c>
      <c r="R29" s="5" t="str">
        <f>IFERROR(__xludf.DUMMYFUNCTION("GOOGLETRANSLATE(G29,""en"",""zh-CN"")"),"这项运动是一项团队运动。")</f>
        <v>这项运动是一项团队运动。</v>
      </c>
      <c r="S29" s="5" t="s">
        <v>2483</v>
      </c>
      <c r="T29" s="5" t="str">
        <f>IFERROR(__xludf.DUMMYFUNCTION("GOOGLETRANSLATE(H29,""en"",""zh-CN"")"),"游戏的目标是战胜对手得分。")</f>
        <v>游戏的目标是战胜对手得分。</v>
      </c>
      <c r="U29" s="5" t="str">
        <f>IFERROR(__xludf.DUMMYFUNCTION("GOOGLETRANSLATE(I29,""en"",""zh-CN"")"),"在竞技毽子比赛中，比赛是在球网上方进行的，目标是使毽子落在对方场地的地面上得分。")</f>
        <v>在竞技毽子比赛中，比赛是在球网上方进行的，目标是使毽子落在对方场地的地面上得分。</v>
      </c>
    </row>
    <row r="30" ht="22.5" customHeight="1">
      <c r="A30" s="3" t="s">
        <v>2558</v>
      </c>
      <c r="B30" s="4">
        <v>29.0</v>
      </c>
      <c r="C30" s="3" t="s">
        <v>2564</v>
      </c>
      <c r="D30" s="3" t="s">
        <v>2565</v>
      </c>
      <c r="E30" s="3" t="s">
        <v>2566</v>
      </c>
      <c r="F30" s="3" t="s">
        <v>2567</v>
      </c>
      <c r="G30" s="3" t="s">
        <v>2568</v>
      </c>
      <c r="H30" s="3" t="s">
        <v>2567</v>
      </c>
      <c r="I30" s="3" t="s">
        <v>2569</v>
      </c>
      <c r="L30" s="3" t="s">
        <v>2558</v>
      </c>
      <c r="M30" s="4">
        <v>29.0</v>
      </c>
      <c r="N30" s="5" t="str">
        <f>IFERROR(__xludf.DUMMYFUNCTION("GOOGLETRANSLATE(C30,""en"",""zh-CN"")"),"运动员正在进行高踢腿动作。这个动作的目的是什么？")</f>
        <v>运动员正在进行高踢腿动作。这个动作的目的是什么？</v>
      </c>
      <c r="O30" s="5" t="str">
        <f>IFERROR(__xludf.DUMMYFUNCTION("GOOGLETRANSLATE(D30,""en"",""zh-CN"")"),"伸展一下腿。")</f>
        <v>伸展一下腿。</v>
      </c>
      <c r="P30" s="5" t="str">
        <f>IFERROR(__xludf.DUMMYFUNCTION("GOOGLETRANSLATE(E30,""en"",""zh-CN"")"),"为了增加游戏难度。")</f>
        <v>为了增加游戏难度。</v>
      </c>
      <c r="Q30" s="5" t="str">
        <f>IFERROR(__xludf.DUMMYFUNCTION("GOOGLETRANSLATE(F30,""en"",""zh-CN"")"),"把羽毛球打过球网。")</f>
        <v>把羽毛球打过球网。</v>
      </c>
      <c r="R30" s="5" t="str">
        <f>IFERROR(__xludf.DUMMYFUNCTION("GOOGLETRANSLATE(G30,""en"",""zh-CN"")"),"为了炫耀她的技能。")</f>
        <v>为了炫耀她的技能。</v>
      </c>
      <c r="S30" s="5" t="s">
        <v>2570</v>
      </c>
      <c r="T30" s="5" t="str">
        <f>IFERROR(__xludf.DUMMYFUNCTION("GOOGLETRANSLATE(H30,""en"",""zh-CN"")"),"把羽毛球打过球网。")</f>
        <v>把羽毛球打过球网。</v>
      </c>
      <c r="U30" s="5" t="str">
        <f>IFERROR(__xludf.DUMMYFUNCTION("GOOGLETRANSLATE(I30,""en"",""zh-CN"")"),"高踢是竞技毽子中常用的技巧，目的是将毽子高高快速地踢过球网，使对手难以回击。")</f>
        <v>高踢是竞技毽子中常用的技巧，目的是将毽子高高快速地踢过球网，使对手难以回击。</v>
      </c>
    </row>
    <row r="31" ht="22.5" customHeight="1">
      <c r="A31" s="3" t="s">
        <v>2558</v>
      </c>
      <c r="B31" s="4">
        <v>30.0</v>
      </c>
      <c r="C31" s="3" t="s">
        <v>2491</v>
      </c>
      <c r="D31" s="3" t="s">
        <v>2425</v>
      </c>
      <c r="E31" s="3" t="s">
        <v>2492</v>
      </c>
      <c r="F31" s="3" t="s">
        <v>2493</v>
      </c>
      <c r="G31" s="3" t="s">
        <v>2494</v>
      </c>
      <c r="H31" s="3" t="s">
        <v>2492</v>
      </c>
      <c r="I31" s="3" t="s">
        <v>2495</v>
      </c>
      <c r="L31" s="3" t="s">
        <v>2558</v>
      </c>
      <c r="M31" s="4">
        <v>30.0</v>
      </c>
      <c r="N31" s="5" t="str">
        <f>IFERROR(__xludf.DUMMYFUNCTION("GOOGLETRANSLATE(C31,""en"",""zh-CN"")"),"从这张图片中可以推断出游戏的现状如何？")</f>
        <v>从这张图片中可以推断出游戏的现状如何？</v>
      </c>
      <c r="O31" s="5" t="str">
        <f>IFERROR(__xludf.DUMMYFUNCTION("GOOGLETRANSLATE(D31,""en"",""zh-CN"")"),"这是一项冷门运动。")</f>
        <v>这是一项冷门运动。</v>
      </c>
      <c r="P31" s="5" t="str">
        <f>IFERROR(__xludf.DUMMYFUNCTION("GOOGLETRANSLATE(E31,""en"",""zh-CN"")"),"这是一项有组织比赛的职业体育运动。")</f>
        <v>这是一项有组织比赛的职业体育运动。</v>
      </c>
      <c r="Q31" s="5" t="str">
        <f>IFERROR(__xludf.DUMMYFUNCTION("GOOGLETRANSLATE(F31,""en"",""zh-CN"")"),"这是一种休闲消遣。")</f>
        <v>这是一种休闲消遣。</v>
      </c>
      <c r="R31" s="5" t="str">
        <f>IFERROR(__xludf.DUMMYFUNCTION("GOOGLETRANSLATE(G31,""en"",""zh-CN"")"),"这是一款儿童游戏。")</f>
        <v>这是一款儿童游戏。</v>
      </c>
      <c r="S31" s="5" t="s">
        <v>2496</v>
      </c>
      <c r="T31" s="5" t="str">
        <f>IFERROR(__xludf.DUMMYFUNCTION("GOOGLETRANSLATE(H31,""en"",""zh-CN"")"),"这是一项有组织比赛的职业体育运动。")</f>
        <v>这是一项有组织比赛的职业体育运动。</v>
      </c>
      <c r="U31" s="5" t="str">
        <f>IFERROR(__xludf.DUMMYFUNCTION("GOOGLETRANSLATE(I31,""en"",""zh-CN"")"),"制服、球场和球网的存在都表明，毽子已经从一项休闲活动发展成为一项有组织的职业运动。")</f>
        <v>制服、球场和球网的存在都表明，毽子已经从一项休闲活动发展成为一项有组织的职业运动。</v>
      </c>
    </row>
    <row r="32" ht="22.5" customHeight="1">
      <c r="A32" s="3" t="s">
        <v>2571</v>
      </c>
      <c r="B32" s="4">
        <v>31.0</v>
      </c>
      <c r="C32" s="3" t="s">
        <v>1239</v>
      </c>
      <c r="D32" s="3" t="s">
        <v>2572</v>
      </c>
      <c r="E32" s="3" t="s">
        <v>2573</v>
      </c>
      <c r="F32" s="3" t="s">
        <v>2574</v>
      </c>
      <c r="G32" s="3" t="s">
        <v>2575</v>
      </c>
      <c r="H32" s="3" t="s">
        <v>2572</v>
      </c>
      <c r="I32" s="3" t="s">
        <v>2576</v>
      </c>
      <c r="L32" s="3" t="s">
        <v>2571</v>
      </c>
      <c r="M32" s="4">
        <v>31.0</v>
      </c>
      <c r="N32" s="5" t="str">
        <f>IFERROR(__xludf.DUMMYFUNCTION("GOOGLETRANSLATE(C32,""en"",""zh-CN"")"),"图片中展示的主要活动是什么？")</f>
        <v>图片中展示的主要活动是什么？</v>
      </c>
      <c r="O32" s="5" t="str">
        <f>IFERROR(__xludf.DUMMYFUNCTION("GOOGLETRANSLATE(D32,""en"",""zh-CN"")"),"一个人正在做热身运动。")</f>
        <v>一个人正在做热身运动。</v>
      </c>
      <c r="P32" s="5" t="str">
        <f>IFERROR(__xludf.DUMMYFUNCTION("GOOGLETRANSLATE(E32,""en"",""zh-CN"")"),"一个人正在玩毽子。")</f>
        <v>一个人正在玩毽子。</v>
      </c>
      <c r="Q32" s="5" t="str">
        <f>IFERROR(__xludf.DUMMYFUNCTION("GOOGLETRANSLATE(F32,""en"",""zh-CN"")"),"一个人正在跳舞。")</f>
        <v>一个人正在跳舞。</v>
      </c>
      <c r="R32" s="5" t="str">
        <f>IFERROR(__xludf.DUMMYFUNCTION("GOOGLETRANSLATE(G32,""en"",""zh-CN"")"),"一个人正在练习武术动作。")</f>
        <v>一个人正在练习武术动作。</v>
      </c>
      <c r="S32" s="5" t="s">
        <v>2577</v>
      </c>
      <c r="T32" s="5" t="str">
        <f>IFERROR(__xludf.DUMMYFUNCTION("GOOGLETRANSLATE(H32,""en"",""zh-CN"")"),"一个人正在做热身运动。")</f>
        <v>一个人正在做热身运动。</v>
      </c>
      <c r="U32" s="5" t="str">
        <f>IFERROR(__xludf.DUMMYFUNCTION("GOOGLETRANSLATE(I32,""en"",""zh-CN"")"),"这位女士抬起一条腿，摆出一个常见的伸展姿势，她身处类似公园的公共环境中，周围还有其他人，这表明她正在进行热身运动。")</f>
        <v>这位女士抬起一条腿，摆出一个常见的伸展姿势，她身处类似公园的公共环境中，周围还有其他人，这表明她正在进行热身运动。</v>
      </c>
    </row>
    <row r="33" ht="22.5" customHeight="1">
      <c r="A33" s="3" t="s">
        <v>2571</v>
      </c>
      <c r="B33" s="4">
        <v>32.0</v>
      </c>
      <c r="C33" s="3" t="s">
        <v>2578</v>
      </c>
      <c r="D33" s="3" t="s">
        <v>2568</v>
      </c>
      <c r="E33" s="3" t="s">
        <v>2579</v>
      </c>
      <c r="F33" s="3" t="s">
        <v>2580</v>
      </c>
      <c r="G33" s="3" t="s">
        <v>2581</v>
      </c>
      <c r="H33" s="3" t="s">
        <v>2579</v>
      </c>
      <c r="I33" s="3" t="s">
        <v>2582</v>
      </c>
      <c r="L33" s="3" t="s">
        <v>2571</v>
      </c>
      <c r="M33" s="4">
        <v>32.0</v>
      </c>
      <c r="N33" s="5" t="str">
        <f>IFERROR(__xludf.DUMMYFUNCTION("GOOGLETRANSLATE(C33,""en"",""zh-CN"")"),"图中所示练习的目的是什么？")</f>
        <v>图中所示练习的目的是什么？</v>
      </c>
      <c r="O33" s="5" t="str">
        <f>IFERROR(__xludf.DUMMYFUNCTION("GOOGLETRANSLATE(D33,""en"",""zh-CN"")"),"为了炫耀她的技能。")</f>
        <v>为了炫耀她的技能。</v>
      </c>
      <c r="P33" s="5" t="str">
        <f>IFERROR(__xludf.DUMMYFUNCTION("GOOGLETRANSLATE(E33,""en"",""zh-CN"")"),"为进行体育活动做好身体准备。")</f>
        <v>为进行体育活动做好身体准备。</v>
      </c>
      <c r="Q33" s="5" t="str">
        <f>IFERROR(__xludf.DUMMYFUNCTION("GOOGLETRANSLATE(F33,""en"",""zh-CN"")"),"舒展一下肌肉。")</f>
        <v>舒展一下肌肉。</v>
      </c>
      <c r="R33" s="5" t="str">
        <f>IFERROR(__xludf.DUMMYFUNCTION("GOOGLETRANSLATE(G33,""en"",""zh-CN"")"),"为了保持身体平衡。")</f>
        <v>为了保持身体平衡。</v>
      </c>
      <c r="S33" s="5" t="s">
        <v>2583</v>
      </c>
      <c r="T33" s="5" t="str">
        <f>IFERROR(__xludf.DUMMYFUNCTION("GOOGLETRANSLATE(H33,""en"",""zh-CN"")"),"为进行体育活动做好身体准备。")</f>
        <v>为进行体育活动做好身体准备。</v>
      </c>
      <c r="U33" s="5" t="str">
        <f>IFERROR(__xludf.DUMMYFUNCTION("GOOGLETRANSLATE(I33,""en"",""zh-CN"")"),"这位女士正在伸展双腿，这是为进行诸如踢毽子或其他体育运动等体育活动做准备的常见运动。")</f>
        <v>这位女士正在伸展双腿，这是为进行诸如踢毽子或其他体育运动等体育活动做准备的常见运动。</v>
      </c>
    </row>
    <row r="34" ht="22.5" customHeight="1">
      <c r="A34" s="3" t="s">
        <v>2571</v>
      </c>
      <c r="B34" s="4">
        <v>33.0</v>
      </c>
      <c r="C34" s="3" t="s">
        <v>2584</v>
      </c>
      <c r="D34" s="3" t="s">
        <v>2585</v>
      </c>
      <c r="E34" s="3" t="s">
        <v>2586</v>
      </c>
      <c r="F34" s="3" t="s">
        <v>2587</v>
      </c>
      <c r="G34" s="3" t="s">
        <v>2588</v>
      </c>
      <c r="H34" s="3" t="s">
        <v>2586</v>
      </c>
      <c r="I34" s="3" t="s">
        <v>2589</v>
      </c>
      <c r="L34" s="3" t="s">
        <v>2571</v>
      </c>
      <c r="M34" s="4">
        <v>33.0</v>
      </c>
      <c r="N34" s="5" t="str">
        <f>IFERROR(__xludf.DUMMYFUNCTION("GOOGLETRANSLATE(C34,""en"",""zh-CN"")"),"背景中的人们穿着什么类型的衣服？")</f>
        <v>背景中的人们穿着什么类型的衣服？</v>
      </c>
      <c r="O34" s="5" t="str">
        <f>IFERROR(__xludf.DUMMYFUNCTION("GOOGLETRANSLATE(D34,""en"",""zh-CN"")"),"正式制服。")</f>
        <v>正式制服。</v>
      </c>
      <c r="P34" s="5" t="str">
        <f>IFERROR(__xludf.DUMMYFUNCTION("GOOGLETRANSLATE(E34,""en"",""zh-CN"")"),"休闲日常服装。")</f>
        <v>休闲日常服装。</v>
      </c>
      <c r="Q34" s="5" t="str">
        <f>IFERROR(__xludf.DUMMYFUNCTION("GOOGLETRANSLATE(F34,""en"",""zh-CN"")"),"运动装备。")</f>
        <v>运动装备。</v>
      </c>
      <c r="R34" s="5" t="str">
        <f>IFERROR(__xludf.DUMMYFUNCTION("GOOGLETRANSLATE(G34,""en"",""zh-CN"")"),"传统服饰。")</f>
        <v>传统服饰。</v>
      </c>
      <c r="S34" s="5" t="s">
        <v>2590</v>
      </c>
      <c r="T34" s="5" t="str">
        <f>IFERROR(__xludf.DUMMYFUNCTION("GOOGLETRANSLATE(H34,""en"",""zh-CN"")"),"休闲日常服装。")</f>
        <v>休闲日常服装。</v>
      </c>
      <c r="U34" s="5" t="str">
        <f>IFERROR(__xludf.DUMMYFUNCTION("GOOGLETRANSLATE(I34,""en"",""zh-CN"")"),"背景中的人们穿着各种休闲日常服装，这在公园等公共场所很常见。")</f>
        <v>背景中的人们穿着各种休闲日常服装，这在公园等公共场所很常见。</v>
      </c>
    </row>
    <row r="35" ht="22.5" customHeight="1">
      <c r="A35" s="3" t="s">
        <v>2571</v>
      </c>
      <c r="B35" s="4">
        <v>34.0</v>
      </c>
      <c r="C35" s="3" t="s">
        <v>1744</v>
      </c>
      <c r="D35" s="3" t="s">
        <v>2065</v>
      </c>
      <c r="E35" s="3" t="s">
        <v>2591</v>
      </c>
      <c r="F35" s="3" t="s">
        <v>2592</v>
      </c>
      <c r="G35" s="3" t="s">
        <v>2593</v>
      </c>
      <c r="H35" s="3" t="s">
        <v>2592</v>
      </c>
      <c r="I35" s="3" t="s">
        <v>2594</v>
      </c>
      <c r="L35" s="3" t="s">
        <v>2571</v>
      </c>
      <c r="M35" s="4">
        <v>34.0</v>
      </c>
      <c r="N35" s="5" t="str">
        <f>IFERROR(__xludf.DUMMYFUNCTION("GOOGLETRANSLATE(C35,""en"",""zh-CN"")"),"这张图片传达了怎样的整体氛围？")</f>
        <v>这张图片传达了怎样的整体氛围？</v>
      </c>
      <c r="O35" s="5" t="str">
        <f>IFERROR(__xludf.DUMMYFUNCTION("GOOGLETRANSLATE(D35,""en"",""zh-CN"")"),"气氛紧张，竞争激烈。")</f>
        <v>气氛紧张，竞争激烈。</v>
      </c>
      <c r="P35" s="5" t="str">
        <f>IFERROR(__xludf.DUMMYFUNCTION("GOOGLETRANSLATE(E35,""en"",""zh-CN"")"),"安静专注的氛围。")</f>
        <v>安静专注的氛围。</v>
      </c>
      <c r="Q35" s="5" t="str">
        <f>IFERROR(__xludf.DUMMYFUNCTION("GOOGLETRANSLATE(F35,""en"",""zh-CN"")"),"轻松、休闲、社交氛围浓厚。")</f>
        <v>轻松、休闲、社交氛围浓厚。</v>
      </c>
      <c r="R35" s="5" t="str">
        <f>IFERROR(__xludf.DUMMYFUNCTION("GOOGLETRANSLATE(G35,""en"",""zh-CN"")"),"正式、庄重的氛围。")</f>
        <v>正式、庄重的氛围。</v>
      </c>
      <c r="S35" s="5" t="s">
        <v>2595</v>
      </c>
      <c r="T35" s="5" t="str">
        <f>IFERROR(__xludf.DUMMYFUNCTION("GOOGLETRANSLATE(H35,""en"",""zh-CN"")"),"轻松、休闲、社交氛围浓厚。")</f>
        <v>轻松、休闲、社交氛围浓厚。</v>
      </c>
      <c r="U35" s="5" t="str">
        <f>IFERROR(__xludf.DUMMYFUNCTION("GOOGLETRANSLATE(I35,""en"",""zh-CN"")"),"人们身处轻松的公共场所，这表明气氛是随意、轻松和社交性的。")</f>
        <v>人们身处轻松的公共场所，这表明气氛是随意、轻松和社交性的。</v>
      </c>
    </row>
    <row r="36" ht="22.5" customHeight="1">
      <c r="A36" s="3" t="s">
        <v>2571</v>
      </c>
      <c r="B36" s="4">
        <v>35.0</v>
      </c>
      <c r="C36" s="3" t="s">
        <v>2596</v>
      </c>
      <c r="D36" s="3" t="s">
        <v>2597</v>
      </c>
      <c r="E36" s="3" t="s">
        <v>2598</v>
      </c>
      <c r="F36" s="3" t="s">
        <v>2599</v>
      </c>
      <c r="G36" s="3" t="s">
        <v>2600</v>
      </c>
      <c r="H36" s="3" t="s">
        <v>2597</v>
      </c>
      <c r="I36" s="3" t="s">
        <v>2601</v>
      </c>
      <c r="L36" s="3" t="s">
        <v>2571</v>
      </c>
      <c r="M36" s="4">
        <v>35.0</v>
      </c>
      <c r="N36" s="5" t="str">
        <f>IFERROR(__xludf.DUMMYFUNCTION("GOOGLETRANSLATE(C36,""en"",""zh-CN"")"),"比赛环境的一个显著特点是什么？")</f>
        <v>比赛环境的一个显著特点是什么？</v>
      </c>
      <c r="O36" s="5" t="str">
        <f>IFERROR(__xludf.DUMMYFUNCTION("GOOGLETRANSLATE(D36,""en"",""zh-CN"")"),"这是一个绿树成荫的公共公园。")</f>
        <v>这是一个绿树成荫的公共公园。</v>
      </c>
      <c r="P36" s="5" t="str">
        <f>IFERROR(__xludf.DUMMYFUNCTION("GOOGLETRANSLATE(E36,""en"",""zh-CN"")"),"这是一个现代化的室内体育馆。")</f>
        <v>这是一个现代化的室内体育馆。</v>
      </c>
      <c r="Q36" s="5" t="str">
        <f>IFERROR(__xludf.DUMMYFUNCTION("GOOGLETRANSLATE(F36,""en"",""zh-CN"")"),"这是一个传统的中国式四合院。")</f>
        <v>这是一个传统的中国式四合院。</v>
      </c>
      <c r="R36" s="5" t="str">
        <f>IFERROR(__xludf.DUMMYFUNCTION("GOOGLETRANSLATE(G36,""en"",""zh-CN"")"),"这是一个学校操场。")</f>
        <v>这是一个学校操场。</v>
      </c>
      <c r="S36" s="5" t="s">
        <v>2602</v>
      </c>
      <c r="T36" s="5" t="str">
        <f>IFERROR(__xludf.DUMMYFUNCTION("GOOGLETRANSLATE(H36,""en"",""zh-CN"")"),"这是一个绿树成荫的公共公园。")</f>
        <v>这是一个绿树成荫的公共公园。</v>
      </c>
      <c r="U36" s="5" t="str">
        <f>IFERROR(__xludf.DUMMYFUNCTION("GOOGLETRANSLATE(I36,""en"",""zh-CN"")"),"图片显示的是一片被树木和绿植环绕的铺砌区域，这是公园的典型特征。")</f>
        <v>图片显示的是一片被树木和绿植环绕的铺砌区域，这是公园的典型特征。</v>
      </c>
    </row>
    <row r="37" ht="22.5" customHeight="1">
      <c r="A37" s="3" t="s">
        <v>2603</v>
      </c>
      <c r="B37" s="4">
        <v>36.0</v>
      </c>
      <c r="C37" s="3" t="s">
        <v>1239</v>
      </c>
      <c r="D37" s="3" t="s">
        <v>2604</v>
      </c>
      <c r="E37" s="3" t="s">
        <v>2534</v>
      </c>
      <c r="F37" s="3" t="s">
        <v>2536</v>
      </c>
      <c r="G37" s="3" t="s">
        <v>2605</v>
      </c>
      <c r="H37" s="3" t="s">
        <v>2534</v>
      </c>
      <c r="I37" s="3" t="s">
        <v>2537</v>
      </c>
      <c r="L37" s="3" t="s">
        <v>2603</v>
      </c>
      <c r="M37" s="4">
        <v>36.0</v>
      </c>
      <c r="N37" s="5" t="str">
        <f>IFERROR(__xludf.DUMMYFUNCTION("GOOGLETRANSLATE(C37,""en"",""zh-CN"")"),"图片中展示的主要活动是什么？")</f>
        <v>图片中展示的主要活动是什么？</v>
      </c>
      <c r="O37" s="5" t="str">
        <f>IFERROR(__xludf.DUMMYFUNCTION("GOOGLETRANSLATE(D37,""en"",""zh-CN"")"),"一名男子正在跳舞。")</f>
        <v>一名男子正在跳舞。</v>
      </c>
      <c r="P37" s="5" t="str">
        <f>IFERROR(__xludf.DUMMYFUNCTION("GOOGLETRANSLATE(E37,""en"",""zh-CN"")"),"一名男子正在玩毽子。")</f>
        <v>一名男子正在玩毽子。</v>
      </c>
      <c r="Q37" s="5" t="str">
        <f>IFERROR(__xludf.DUMMYFUNCTION("GOOGLETRANSLATE(F37,""en"",""zh-CN"")"),"一名男子正在表演武术动作。")</f>
        <v>一名男子正在表演武术动作。</v>
      </c>
      <c r="R37" s="5" t="str">
        <f>IFERROR(__xludf.DUMMYFUNCTION("GOOGLETRANSLATE(G37,""en"",""zh-CN"")"),"一名男子正在伸展身体。")</f>
        <v>一名男子正在伸展身体。</v>
      </c>
      <c r="S37" s="5" t="s">
        <v>2606</v>
      </c>
      <c r="T37" s="5" t="str">
        <f>IFERROR(__xludf.DUMMYFUNCTION("GOOGLETRANSLATE(H37,""en"",""zh-CN"")"),"一名男子正在玩毽子。")</f>
        <v>一名男子正在玩毽子。</v>
      </c>
      <c r="U37" s="5" t="str">
        <f>IFERROR(__xludf.DUMMYFUNCTION("GOOGLETRANSLATE(I37,""en"",""zh-CN"")"),"男子正做出踢毽子的动作，表明他正在玩这个传统游戏。")</f>
        <v>男子正做出踢毽子的动作，表明他正在玩这个传统游戏。</v>
      </c>
    </row>
    <row r="38" ht="22.5" customHeight="1">
      <c r="A38" s="3" t="s">
        <v>2603</v>
      </c>
      <c r="B38" s="4">
        <v>37.0</v>
      </c>
      <c r="C38" s="3" t="s">
        <v>2607</v>
      </c>
      <c r="D38" s="3" t="s">
        <v>2608</v>
      </c>
      <c r="E38" s="3" t="s">
        <v>2609</v>
      </c>
      <c r="F38" s="3" t="s">
        <v>2610</v>
      </c>
      <c r="G38" s="3" t="s">
        <v>2587</v>
      </c>
      <c r="H38" s="3" t="s">
        <v>2610</v>
      </c>
      <c r="I38" s="3" t="s">
        <v>2611</v>
      </c>
      <c r="L38" s="3" t="s">
        <v>2603</v>
      </c>
      <c r="M38" s="4">
        <v>37.0</v>
      </c>
      <c r="N38" s="5" t="str">
        <f>IFERROR(__xludf.DUMMYFUNCTION("GOOGLETRANSLATE(C38,""en"",""zh-CN"")"),"这个男人穿的是什么类型的衣服？")</f>
        <v>这个男人穿的是什么类型的衣服？</v>
      </c>
      <c r="O38" s="5" t="str">
        <f>IFERROR(__xludf.DUMMYFUNCTION("GOOGLETRANSLATE(D38,""en"",""zh-CN"")"),"一套正式西装。")</f>
        <v>一套正式西装。</v>
      </c>
      <c r="P38" s="5" t="str">
        <f>IFERROR(__xludf.DUMMYFUNCTION("GOOGLETRANSLATE(E38,""en"",""zh-CN"")"),"制服。")</f>
        <v>制服。</v>
      </c>
      <c r="Q38" s="5" t="str">
        <f>IFERROR(__xludf.DUMMYFUNCTION("GOOGLETRANSLATE(F38,""en"",""zh-CN"")"),"休闲宽松的服装。")</f>
        <v>休闲宽松的服装。</v>
      </c>
      <c r="R38" s="5" t="str">
        <f>IFERROR(__xludf.DUMMYFUNCTION("GOOGLETRANSLATE(G38,""en"",""zh-CN"")"),"运动装备。")</f>
        <v>运动装备。</v>
      </c>
      <c r="S38" s="5" t="s">
        <v>2612</v>
      </c>
      <c r="T38" s="5" t="str">
        <f>IFERROR(__xludf.DUMMYFUNCTION("GOOGLETRANSLATE(H38,""en"",""zh-CN"")"),"休闲宽松的服装。")</f>
        <v>休闲宽松的服装。</v>
      </c>
      <c r="U38" s="5" t="str">
        <f>IFERROR(__xludf.DUMMYFUNCTION("GOOGLETRANSLATE(I38,""en"",""zh-CN"")"),"这名男子身穿T恤和宽松长裤，这是休闲活动中常见的着装。")</f>
        <v>这名男子身穿T恤和宽松长裤，这是休闲活动中常见的着装。</v>
      </c>
    </row>
    <row r="39" ht="22.5" customHeight="1">
      <c r="A39" s="3" t="s">
        <v>2603</v>
      </c>
      <c r="B39" s="4">
        <v>38.0</v>
      </c>
      <c r="C39" s="3" t="s">
        <v>2443</v>
      </c>
      <c r="D39" s="3" t="s">
        <v>1198</v>
      </c>
      <c r="E39" s="3" t="s">
        <v>2613</v>
      </c>
      <c r="F39" s="3" t="s">
        <v>2446</v>
      </c>
      <c r="G39" s="3" t="s">
        <v>2614</v>
      </c>
      <c r="H39" s="3" t="s">
        <v>2613</v>
      </c>
      <c r="I39" s="3" t="s">
        <v>2615</v>
      </c>
      <c r="L39" s="3" t="s">
        <v>2603</v>
      </c>
      <c r="M39" s="4">
        <v>38.0</v>
      </c>
      <c r="N39" s="5" t="str">
        <f>IFERROR(__xludf.DUMMYFUNCTION("GOOGLETRANSLATE(C39,""en"",""zh-CN"")"),"这个游戏的背景设定是什么？")</f>
        <v>这个游戏的背景设定是什么？</v>
      </c>
      <c r="O39" s="5" t="str">
        <f>IFERROR(__xludf.DUMMYFUNCTION("GOOGLETRANSLATE(D39,""en"",""zh-CN"")"),"一座现代化的体育场馆。")</f>
        <v>一座现代化的体育场馆。</v>
      </c>
      <c r="P39" s="5" t="str">
        <f>IFERROR(__xludf.DUMMYFUNCTION("GOOGLETRANSLATE(E39,""en"",""zh-CN"")"),"一座传统的中国式公园。")</f>
        <v>一座传统的中国式公园。</v>
      </c>
      <c r="Q39" s="5" t="str">
        <f>IFERROR(__xludf.DUMMYFUNCTION("GOOGLETRANSLATE(F39,""en"",""zh-CN"")"),"室内体育馆。")</f>
        <v>室内体育馆。</v>
      </c>
      <c r="R39" s="5" t="str">
        <f>IFERROR(__xludf.DUMMYFUNCTION("GOOGLETRANSLATE(G39,""en"",""zh-CN"")"),"学校操场。")</f>
        <v>学校操场。</v>
      </c>
      <c r="S39" s="5" t="s">
        <v>2616</v>
      </c>
      <c r="T39" s="5" t="str">
        <f>IFERROR(__xludf.DUMMYFUNCTION("GOOGLETRANSLATE(H39,""en"",""zh-CN"")"),"一座传统的中国式公园。")</f>
        <v>一座传统的中国式公园。</v>
      </c>
      <c r="U39" s="5" t="str">
        <f>IFERROR(__xludf.DUMMYFUNCTION("GOOGLETRANSLATE(I39,""en"",""zh-CN"")"),"图片显示的是一片被树木和传统围墙环绕的铺砌区域，这表明这里是一个公共公园。")</f>
        <v>图片显示的是一片被树木和传统围墙环绕的铺砌区域，这表明这里是一个公共公园。</v>
      </c>
    </row>
    <row r="40" ht="22.5" customHeight="1">
      <c r="A40" s="3" t="s">
        <v>2603</v>
      </c>
      <c r="B40" s="4">
        <v>39.0</v>
      </c>
      <c r="C40" s="3" t="s">
        <v>2617</v>
      </c>
      <c r="D40" s="3" t="s">
        <v>907</v>
      </c>
      <c r="E40" s="3" t="s">
        <v>1012</v>
      </c>
      <c r="F40" s="3" t="s">
        <v>1013</v>
      </c>
      <c r="G40" s="3" t="s">
        <v>1014</v>
      </c>
      <c r="H40" s="3" t="s">
        <v>1012</v>
      </c>
      <c r="I40" s="3" t="s">
        <v>2618</v>
      </c>
      <c r="L40" s="3" t="s">
        <v>2603</v>
      </c>
      <c r="M40" s="4">
        <v>39.0</v>
      </c>
      <c r="N40" s="5" t="str">
        <f>IFERROR(__xludf.DUMMYFUNCTION("GOOGLETRANSLATE(C40,""en"",""zh-CN"")"),"背景中那些人是做什么用的？")</f>
        <v>背景中那些人是做什么用的？</v>
      </c>
      <c r="O40" s="5" t="str">
        <f>IFERROR(__xludf.DUMMYFUNCTION("GOOGLETRANSLATE(D40,""en"",""zh-CN"")"),"他们是旁观者。")</f>
        <v>他们是旁观者。</v>
      </c>
      <c r="P40" s="5" t="str">
        <f>IFERROR(__xludf.DUMMYFUNCTION("GOOGLETRANSLATE(E40,""en"",""zh-CN"")"),"他们是其他玩家。")</f>
        <v>他们是其他玩家。</v>
      </c>
      <c r="Q40" s="5" t="str">
        <f>IFERROR(__xludf.DUMMYFUNCTION("GOOGLETRANSLATE(F40,""en"",""zh-CN"")"),"他们是法官。")</f>
        <v>他们是法官。</v>
      </c>
      <c r="R40" s="5" t="str">
        <f>IFERROR(__xludf.DUMMYFUNCTION("GOOGLETRANSLATE(G40,""en"",""zh-CN"")"),"他们都在等待轮到自己。")</f>
        <v>他们都在等待轮到自己。</v>
      </c>
      <c r="S40" s="5" t="s">
        <v>1016</v>
      </c>
      <c r="T40" s="5" t="str">
        <f>IFERROR(__xludf.DUMMYFUNCTION("GOOGLETRANSLATE(H40,""en"",""zh-CN"")"),"他们是其他玩家。")</f>
        <v>他们是其他玩家。</v>
      </c>
      <c r="U40" s="5" t="str">
        <f>IFERROR(__xludf.DUMMYFUNCTION("GOOGLETRANSLATE(I40,""en"",""zh-CN"")"),"背景中的人们也摆出放松的姿势，穿着类似的服装，这表明他们是其他正在等待轮到自己上场的玩家。")</f>
        <v>背景中的人们也摆出放松的姿势，穿着类似的服装，这表明他们是其他正在等待轮到自己上场的玩家。</v>
      </c>
    </row>
    <row r="41" ht="22.5" customHeight="1">
      <c r="A41" s="3" t="s">
        <v>2603</v>
      </c>
      <c r="B41" s="4">
        <v>40.0</v>
      </c>
      <c r="C41" s="3" t="s">
        <v>2456</v>
      </c>
      <c r="D41" s="3" t="s">
        <v>2457</v>
      </c>
      <c r="E41" s="3" t="s">
        <v>2459</v>
      </c>
      <c r="F41" s="3" t="s">
        <v>2460</v>
      </c>
      <c r="G41" s="3" t="s">
        <v>2458</v>
      </c>
      <c r="H41" s="3" t="s">
        <v>2459</v>
      </c>
      <c r="I41" s="3" t="s">
        <v>2461</v>
      </c>
      <c r="L41" s="3" t="s">
        <v>2603</v>
      </c>
      <c r="M41" s="4">
        <v>40.0</v>
      </c>
      <c r="N41" s="5" t="str">
        <f>IFERROR(__xludf.DUMMYFUNCTION("GOOGLETRANSLATE(C41,""en"",""zh-CN"")"),"要想有效演奏戌子，需要掌握哪些关键技能？")</f>
        <v>要想有效演奏戌子，需要掌握哪些关键技能？</v>
      </c>
      <c r="O41" s="5" t="str">
        <f>IFERROR(__xludf.DUMMYFUNCTION("GOOGLETRANSLATE(D41,""en"",""zh-CN"")"),"手眼协调能力。")</f>
        <v>手眼协调能力。</v>
      </c>
      <c r="P41" s="5" t="str">
        <f>IFERROR(__xludf.DUMMYFUNCTION("GOOGLETRANSLATE(E41,""en"",""zh-CN"")"),"腿部力量和敏捷性。")</f>
        <v>腿部力量和敏捷性。</v>
      </c>
      <c r="Q41" s="5" t="str">
        <f>IFERROR(__xludf.DUMMYFUNCTION("GOOGLETRANSLATE(F41,""en"",""zh-CN"")"),"跑步速度。")</f>
        <v>跑步速度。</v>
      </c>
      <c r="R41" s="5" t="str">
        <f>IFERROR(__xludf.DUMMYFUNCTION("GOOGLETRANSLATE(G41,""en"",""zh-CN"")"),"上肢力量。")</f>
        <v>上肢力量。</v>
      </c>
      <c r="S41" s="5" t="s">
        <v>2557</v>
      </c>
      <c r="T41" s="5" t="str">
        <f>IFERROR(__xludf.DUMMYFUNCTION("GOOGLETRANSLATE(H41,""en"",""zh-CN"")"),"腿部力量和敏捷性。")</f>
        <v>腿部力量和敏捷性。</v>
      </c>
      <c r="U41" s="5" t="str">
        <f>IFERROR(__xludf.DUMMYFUNCTION("GOOGLETRANSLATE(I41,""en"",""zh-CN"")"),"这项运动依赖于用脚控制和保持羽毛球在空中的能力，这需要极佳的腿部力量和敏捷性。")</f>
        <v>这项运动依赖于用脚控制和保持羽毛球在空中的能力，这需要极佳的腿部力量和敏捷性。</v>
      </c>
    </row>
    <row r="42" ht="22.5" customHeight="1">
      <c r="A42" s="3" t="s">
        <v>2619</v>
      </c>
      <c r="B42" s="4">
        <v>41.0</v>
      </c>
      <c r="C42" s="3" t="s">
        <v>1335</v>
      </c>
      <c r="D42" s="3" t="s">
        <v>2620</v>
      </c>
      <c r="E42" s="3" t="s">
        <v>2621</v>
      </c>
      <c r="F42" s="3" t="s">
        <v>2622</v>
      </c>
      <c r="G42" s="3" t="s">
        <v>2623</v>
      </c>
      <c r="H42" s="3" t="s">
        <v>2621</v>
      </c>
      <c r="I42" s="3" t="s">
        <v>2624</v>
      </c>
      <c r="L42" s="3" t="s">
        <v>2619</v>
      </c>
      <c r="M42" s="4">
        <v>41.0</v>
      </c>
      <c r="N42" s="5" t="str">
        <f>IFERROR(__xludf.DUMMYFUNCTION("GOOGLETRANSLATE(C42,""en"",""zh-CN"")"),"图中所示的中心活动是什么？")</f>
        <v>图中所示的中心活动是什么？</v>
      </c>
      <c r="O42" s="5" t="str">
        <f>IFERROR(__xludf.DUMMYFUNCTION("GOOGLETRANSLATE(D42,""en"",""zh-CN"")"),"一位母亲正在给玩耍的孩子拍照。")</f>
        <v>一位母亲正在给玩耍的孩子拍照。</v>
      </c>
      <c r="P42" s="5" t="str">
        <f>IFERROR(__xludf.DUMMYFUNCTION("GOOGLETRANSLATE(E42,""en"",""zh-CN"")"),"一个孩子正在玩毽子游戏。")</f>
        <v>一个孩子正在玩毽子游戏。</v>
      </c>
      <c r="Q42" s="5" t="str">
        <f>IFERROR(__xludf.DUMMYFUNCTION("GOOGLETRANSLATE(F42,""en"",""zh-CN"")"),"一个孩子正在练习武术动作。")</f>
        <v>一个孩子正在练习武术动作。</v>
      </c>
      <c r="R42" s="5" t="str">
        <f>IFERROR(__xludf.DUMMYFUNCTION("GOOGLETRANSLATE(G42,""en"",""zh-CN"")"),"一个孩子在奔跑。")</f>
        <v>一个孩子在奔跑。</v>
      </c>
      <c r="S42" s="5" t="s">
        <v>2625</v>
      </c>
      <c r="T42" s="5" t="str">
        <f>IFERROR(__xludf.DUMMYFUNCTION("GOOGLETRANSLATE(H42,""en"",""zh-CN"")"),"一个孩子正在玩毽子游戏。")</f>
        <v>一个孩子正在玩毽子游戏。</v>
      </c>
      <c r="U42" s="5" t="str">
        <f>IFERROR(__xludf.DUMMYFUNCTION("GOOGLETRANSLATE(I42,""en"",""zh-CN"")"),"图片显示一个孩子正在踢叉子，她的母亲正在拍照，这表明孩子正在玩这个游戏。")</f>
        <v>图片显示一个孩子正在踢叉子，她的母亲正在拍照，这表明孩子正在玩这个游戏。</v>
      </c>
    </row>
    <row r="43" ht="22.5" customHeight="1">
      <c r="A43" s="3" t="s">
        <v>2619</v>
      </c>
      <c r="B43" s="4">
        <v>42.0</v>
      </c>
      <c r="C43" s="3" t="s">
        <v>2626</v>
      </c>
      <c r="D43" s="3" t="s">
        <v>2390</v>
      </c>
      <c r="E43" s="3" t="s">
        <v>2627</v>
      </c>
      <c r="F43" s="3" t="s">
        <v>2392</v>
      </c>
      <c r="G43" s="3" t="s">
        <v>2393</v>
      </c>
      <c r="H43" s="3" t="s">
        <v>2627</v>
      </c>
      <c r="I43" s="3" t="s">
        <v>2628</v>
      </c>
      <c r="L43" s="3" t="s">
        <v>2619</v>
      </c>
      <c r="M43" s="4">
        <v>42.0</v>
      </c>
      <c r="N43" s="5" t="str">
        <f>IFERROR(__xludf.DUMMYFUNCTION("GOOGLETRANSLATE(C43,""en"",""zh-CN"")"),"这张图片暗示了溏子游戏的什么特点？")</f>
        <v>这张图片暗示了溏子游戏的什么特点？</v>
      </c>
      <c r="O43" s="5" t="str">
        <f>IFERROR(__xludf.DUMMYFUNCTION("GOOGLETRANSLATE(D43,""en"",""zh-CN"")"),"这是一款仅限成人玩的游戏。")</f>
        <v>这是一款仅限成人玩的游戏。</v>
      </c>
      <c r="P43" s="5" t="str">
        <f>IFERROR(__xludf.DUMMYFUNCTION("GOOGLETRANSLATE(E43,""en"",""zh-CN"")"),"这是一款孩子们可以学习并乐在其中的游戏。")</f>
        <v>这是一款孩子们可以学习并乐在其中的游戏。</v>
      </c>
      <c r="Q43" s="5" t="str">
        <f>IFERROR(__xludf.DUMMYFUNCTION("GOOGLETRANSLATE(F43,""en"",""zh-CN"")"),"这款游戏对孩子来说太难了。")</f>
        <v>这款游戏对孩子来说太难了。</v>
      </c>
      <c r="R43" s="5" t="str">
        <f>IFERROR(__xludf.DUMMYFUNCTION("GOOGLETRANSLATE(G43,""en"",""zh-CN"")"),"这游戏一点都不好玩。")</f>
        <v>这游戏一点都不好玩。</v>
      </c>
      <c r="S43" s="5" t="s">
        <v>2629</v>
      </c>
      <c r="T43" s="5" t="str">
        <f>IFERROR(__xludf.DUMMYFUNCTION("GOOGLETRANSLATE(H43,""en"",""zh-CN"")"),"这是一款孩子们可以学习并乐在其中的游戏。")</f>
        <v>这是一款孩子们可以学习并乐在其中的游戏。</v>
      </c>
      <c r="U43" s="5" t="str">
        <f>IFERROR(__xludf.DUMMYFUNCTION("GOOGLETRANSLATE(I43,""en"",""zh-CN"")"),"一张小孩玩毽子的图片表明，毽子游戏规则简单，孩子们很容易上手，玩得也很开心。")</f>
        <v>一张小孩玩毽子的图片表明，毽子游戏规则简单，孩子们很容易上手，玩得也很开心。</v>
      </c>
    </row>
    <row r="44" ht="22.5" customHeight="1">
      <c r="A44" s="3" t="s">
        <v>2619</v>
      </c>
      <c r="B44" s="4">
        <v>43.0</v>
      </c>
      <c r="C44" s="3" t="s">
        <v>2630</v>
      </c>
      <c r="D44" s="3" t="s">
        <v>2631</v>
      </c>
      <c r="E44" s="3" t="s">
        <v>2632</v>
      </c>
      <c r="F44" s="3" t="s">
        <v>2633</v>
      </c>
      <c r="G44" s="3" t="s">
        <v>2634</v>
      </c>
      <c r="H44" s="3" t="s">
        <v>2633</v>
      </c>
      <c r="I44" s="3" t="s">
        <v>2635</v>
      </c>
      <c r="L44" s="3" t="s">
        <v>2619</v>
      </c>
      <c r="M44" s="4">
        <v>43.0</v>
      </c>
      <c r="N44" s="5" t="str">
        <f>IFERROR(__xludf.DUMMYFUNCTION("GOOGLETRANSLATE(C44,""en"",""zh-CN"")"),"比赛是在什么样的场地上进行的？")</f>
        <v>比赛是在什么样的场地上进行的？</v>
      </c>
      <c r="O44" s="5" t="str">
        <f>IFERROR(__xludf.DUMMYFUNCTION("GOOGLETRANSLATE(D44,""en"",""zh-CN"")"),"铺砌的庭院。")</f>
        <v>铺砌的庭院。</v>
      </c>
      <c r="P44" s="5" t="str">
        <f>IFERROR(__xludf.DUMMYFUNCTION("GOOGLETRANSLATE(E44,""en"",""zh-CN"")"),"一片泥地。")</f>
        <v>一片泥地。</v>
      </c>
      <c r="Q44" s="5" t="str">
        <f>IFERROR(__xludf.DUMMYFUNCTION("GOOGLETRANSLATE(F44,""en"",""zh-CN"")"),"人造草坪。")</f>
        <v>人造草坪。</v>
      </c>
      <c r="R44" s="5" t="str">
        <f>IFERROR(__xludf.DUMMYFUNCTION("GOOGLETRANSLATE(G44,""en"",""zh-CN"")"),"木地板。")</f>
        <v>木地板。</v>
      </c>
      <c r="S44" s="5" t="s">
        <v>2636</v>
      </c>
      <c r="T44" s="5" t="str">
        <f>IFERROR(__xludf.DUMMYFUNCTION("GOOGLETRANSLATE(H44,""en"",""zh-CN"")"),"人造草坪。")</f>
        <v>人造草坪。</v>
      </c>
      <c r="U44" s="5" t="str">
        <f>IFERROR(__xludf.DUMMYFUNCTION("GOOGLETRANSLATE(I44,""en"",""zh-CN"")"),"图片显示球员们在一片鲜绿色的表面上比赛，这片表面看起来像是人造草坪。")</f>
        <v>图片显示球员们在一片鲜绿色的表面上比赛，这片表面看起来像是人造草坪。</v>
      </c>
    </row>
    <row r="45" ht="22.5" customHeight="1">
      <c r="A45" s="3" t="s">
        <v>2619</v>
      </c>
      <c r="B45" s="4">
        <v>44.0</v>
      </c>
      <c r="C45" s="3" t="s">
        <v>2637</v>
      </c>
      <c r="D45" s="3" t="s">
        <v>2638</v>
      </c>
      <c r="E45" s="3" t="s">
        <v>2639</v>
      </c>
      <c r="F45" s="3" t="s">
        <v>2640</v>
      </c>
      <c r="G45" s="3" t="s">
        <v>2641</v>
      </c>
      <c r="H45" s="3" t="s">
        <v>2639</v>
      </c>
      <c r="I45" s="3" t="s">
        <v>2642</v>
      </c>
      <c r="L45" s="3" t="s">
        <v>2619</v>
      </c>
      <c r="M45" s="4">
        <v>44.0</v>
      </c>
      <c r="N45" s="5" t="str">
        <f>IFERROR(__xludf.DUMMYFUNCTION("GOOGLETRANSLATE(C45,""en"",""zh-CN"")"),"母亲给孩子拍照的目的是什么？")</f>
        <v>母亲给孩子拍照的目的是什么？</v>
      </c>
      <c r="O45" s="5" t="str">
        <f>IFERROR(__xludf.DUMMYFUNCTION("GOOGLETRANSLATE(D45,""en"",""zh-CN"")"),"发布到社交媒体上。")</f>
        <v>发布到社交媒体上。</v>
      </c>
      <c r="P45" s="5" t="str">
        <f>IFERROR(__xludf.DUMMYFUNCTION("GOOGLETRANSLATE(E45,""en"",""zh-CN"")"),"记录下温馨的家庭时光。")</f>
        <v>记录下温馨的家庭时光。</v>
      </c>
      <c r="Q45" s="5" t="str">
        <f>IFERROR(__xludf.DUMMYFUNCTION("GOOGLETRANSLATE(F45,""en"",""zh-CN"")"),"记录比赛过程。")</f>
        <v>记录比赛过程。</v>
      </c>
      <c r="R45" s="5" t="str">
        <f>IFERROR(__xludf.DUMMYFUNCTION("GOOGLETRANSLATE(G45,""en"",""zh-CN"")"),"为了炫耀她孩子的技能。")</f>
        <v>为了炫耀她孩子的技能。</v>
      </c>
      <c r="S45" s="5" t="s">
        <v>2643</v>
      </c>
      <c r="T45" s="5" t="str">
        <f>IFERROR(__xludf.DUMMYFUNCTION("GOOGLETRANSLATE(H45,""en"",""zh-CN"")"),"记录下温馨的家庭时光。")</f>
        <v>记录下温馨的家庭时光。</v>
      </c>
      <c r="U45" s="5" t="str">
        <f>IFERROR(__xludf.DUMMYFUNCTION("GOOGLETRANSLATE(I45,""en"",""zh-CN"")"),"母亲正在给孩子拍照，这是捕捉和记住幸福家庭时刻的常见方式。")</f>
        <v>母亲正在给孩子拍照，这是捕捉和记住幸福家庭时刻的常见方式。</v>
      </c>
    </row>
    <row r="46" ht="22.5" customHeight="1">
      <c r="A46" s="3" t="s">
        <v>2619</v>
      </c>
      <c r="B46" s="4">
        <v>45.0</v>
      </c>
      <c r="C46" s="3" t="s">
        <v>2411</v>
      </c>
      <c r="D46" s="3" t="s">
        <v>2134</v>
      </c>
      <c r="E46" s="3" t="s">
        <v>2644</v>
      </c>
      <c r="F46" s="3" t="s">
        <v>2414</v>
      </c>
      <c r="G46" s="3" t="s">
        <v>2547</v>
      </c>
      <c r="H46" s="3" t="s">
        <v>2644</v>
      </c>
      <c r="I46" s="3" t="s">
        <v>2645</v>
      </c>
      <c r="L46" s="3" t="s">
        <v>2619</v>
      </c>
      <c r="M46" s="4">
        <v>45.0</v>
      </c>
      <c r="N46" s="5" t="str">
        <f>IFERROR(__xludf.DUMMYFUNCTION("GOOGLETRANSLATE(C46,""en"",""zh-CN"")"),"羽毛球的一个显著特点是什么？")</f>
        <v>羽毛球的一个显著特点是什么？</v>
      </c>
      <c r="O46" s="5" t="str">
        <f>IFERROR(__xludf.DUMMYFUNCTION("GOOGLETRANSLATE(D46,""en"",""zh-CN"")"),"它是由塑料制成的。")</f>
        <v>它是由塑料制成的。</v>
      </c>
      <c r="P46" s="5" t="str">
        <f>IFERROR(__xludf.DUMMYFUNCTION("GOOGLETRANSLATE(E46,""en"",""zh-CN"")"),"这是一个传统的红羽尖子。")</f>
        <v>这是一个传统的红羽尖子。</v>
      </c>
      <c r="Q46" s="5" t="str">
        <f>IFERROR(__xludf.DUMMYFUNCTION("GOOGLETRANSLATE(F46,""en"",""zh-CN"")"),"这是一个现代足球。")</f>
        <v>这是一个现代足球。</v>
      </c>
      <c r="R46" s="5" t="str">
        <f>IFERROR(__xludf.DUMMYFUNCTION("GOOGLETRANSLATE(G46,""en"",""zh-CN"")"),"这是一个羽毛球。")</f>
        <v>这是一个羽毛球。</v>
      </c>
      <c r="S46" s="5" t="s">
        <v>2646</v>
      </c>
      <c r="T46" s="5" t="str">
        <f>IFERROR(__xludf.DUMMYFUNCTION("GOOGLETRANSLATE(H46,""en"",""zh-CN"")"),"这是一个传统的红羽尖子。")</f>
        <v>这是一个传统的红羽尖子。</v>
      </c>
      <c r="U46" s="5" t="str">
        <f>IFERROR(__xludf.DUMMYFUNCTION("GOOGLETRANSLATE(I46,""en"",""zh-CN"")"),"毽子由底座和一系列红色羽毛组成，这是毽子的经典设计。")</f>
        <v>毽子由底座和一系列红色羽毛组成，这是毽子的经典设计。</v>
      </c>
    </row>
    <row r="47" ht="22.5" customHeight="1">
      <c r="A47" s="3" t="s">
        <v>2647</v>
      </c>
      <c r="B47" s="4">
        <v>46.0</v>
      </c>
      <c r="C47" s="3" t="s">
        <v>1239</v>
      </c>
      <c r="D47" s="3" t="s">
        <v>2464</v>
      </c>
      <c r="E47" s="3" t="s">
        <v>2465</v>
      </c>
      <c r="F47" s="3" t="s">
        <v>2466</v>
      </c>
      <c r="G47" s="3" t="s">
        <v>2467</v>
      </c>
      <c r="H47" s="3" t="s">
        <v>2466</v>
      </c>
      <c r="I47" s="3" t="s">
        <v>2468</v>
      </c>
      <c r="J47" s="2"/>
      <c r="K47" s="2"/>
      <c r="L47" s="3" t="s">
        <v>2647</v>
      </c>
      <c r="M47" s="4">
        <v>46.0</v>
      </c>
      <c r="N47" s="5" t="str">
        <f>IFERROR(__xludf.DUMMYFUNCTION("GOOGLETRANSLATE(C47,""en"",""zh-CN"")"),"图片中展示的主要活动是什么？")</f>
        <v>图片中展示的主要活动是什么？</v>
      </c>
      <c r="O47" s="5" t="str">
        <f>IFERROR(__xludf.DUMMYFUNCTION("GOOGLETRANSLATE(D47,""en"",""zh-CN"")"),"一场羽毛球比赛。")</f>
        <v>一场羽毛球比赛。</v>
      </c>
      <c r="P47" s="5" t="str">
        <f>IFERROR(__xludf.DUMMYFUNCTION("GOOGLETRANSLATE(E47,""en"",""zh-CN"")"),"一场排球比赛。")</f>
        <v>一场排球比赛。</v>
      </c>
      <c r="Q47" s="5" t="str">
        <f>IFERROR(__xludf.DUMMYFUNCTION("GOOGLETRANSLATE(F47,""en"",""zh-CN"")"),"一场激烈的溏子比赛。")</f>
        <v>一场激烈的溏子比赛。</v>
      </c>
      <c r="R47" s="5" t="str">
        <f>IFERROR(__xludf.DUMMYFUNCTION("GOOGLETRANSLATE(G47,""en"",""zh-CN"")"),"一场足球比赛。")</f>
        <v>一场足球比赛。</v>
      </c>
      <c r="S47" s="5" t="s">
        <v>2469</v>
      </c>
      <c r="T47" s="5" t="str">
        <f>IFERROR(__xludf.DUMMYFUNCTION("GOOGLETRANSLATE(H47,""en"",""zh-CN"")"),"一场激烈的溏子比赛。")</f>
        <v>一场激烈的溏子比赛。</v>
      </c>
      <c r="U47" s="5" t="str">
        <f>IFERROR(__xludf.DUMMYFUNCTION("GOOGLETRANSLATE(I47,""en"",""zh-CN"")"),"图片显示一名身穿制服的球员正在将毽子踢过球网，这是毽子比赛的场景。")</f>
        <v>图片显示一名身穿制服的球员正在将毽子踢过球网，这是毽子比赛的场景。</v>
      </c>
      <c r="V47" s="2"/>
      <c r="W47" s="2"/>
      <c r="X47" s="2"/>
      <c r="Y47" s="2"/>
      <c r="Z47" s="2"/>
      <c r="AA47" s="2"/>
      <c r="AB47" s="2"/>
      <c r="AC47" s="2"/>
      <c r="AD47" s="2"/>
      <c r="AE47" s="2"/>
      <c r="AF47" s="2"/>
      <c r="AG47" s="2"/>
      <c r="AH47" s="2"/>
      <c r="AI47" s="2"/>
      <c r="AJ47" s="2"/>
      <c r="AK47" s="2"/>
      <c r="AL47" s="2"/>
    </row>
    <row r="48" ht="22.5" customHeight="1">
      <c r="A48" s="3" t="s">
        <v>2647</v>
      </c>
      <c r="B48" s="4">
        <v>47.0</v>
      </c>
      <c r="C48" s="3" t="s">
        <v>2648</v>
      </c>
      <c r="D48" s="3" t="s">
        <v>2425</v>
      </c>
      <c r="E48" s="3" t="s">
        <v>2649</v>
      </c>
      <c r="F48" s="3" t="s">
        <v>2650</v>
      </c>
      <c r="G48" s="3" t="s">
        <v>2493</v>
      </c>
      <c r="H48" s="3" t="s">
        <v>2650</v>
      </c>
      <c r="I48" s="3" t="s">
        <v>2651</v>
      </c>
      <c r="J48" s="2"/>
      <c r="K48" s="2"/>
      <c r="L48" s="3" t="s">
        <v>2647</v>
      </c>
      <c r="M48" s="4">
        <v>47.0</v>
      </c>
      <c r="N48" s="5" t="str">
        <f>IFERROR(__xludf.DUMMYFUNCTION("GOOGLETRANSLATE(C48,""en"",""zh-CN"")"),"球员身穿带有匈牙利国徽的球衣。这暗示着比赛中会发生什么？")</f>
        <v>球员身穿带有匈牙利国徽的球衣。这暗示着比赛中会发生什么？</v>
      </c>
      <c r="O48" s="5" t="str">
        <f>IFERROR(__xludf.DUMMYFUNCTION("GOOGLETRANSLATE(D48,""en"",""zh-CN"")"),"这是一项冷门运动。")</f>
        <v>这是一项冷门运动。</v>
      </c>
      <c r="P48" s="5" t="str">
        <f>IFERROR(__xludf.DUMMYFUNCTION("GOOGLETRANSLATE(E48,""en"",""zh-CN"")"),"这是一项只在中国流行的运动。")</f>
        <v>这是一项只在中国流行的运动。</v>
      </c>
      <c r="Q48" s="5" t="str">
        <f>IFERROR(__xludf.DUMMYFUNCTION("GOOGLETRANSLATE(F48,""en"",""zh-CN"")"),"这是一项拥有国际影响力的职业体育运动。")</f>
        <v>这是一项拥有国际影响力的职业体育运动。</v>
      </c>
      <c r="R48" s="5" t="str">
        <f>IFERROR(__xludf.DUMMYFUNCTION("GOOGLETRANSLATE(G48,""en"",""zh-CN"")"),"这是一种休闲消遣。")</f>
        <v>这是一种休闲消遣。</v>
      </c>
      <c r="S48" s="5" t="s">
        <v>2652</v>
      </c>
      <c r="T48" s="5" t="str">
        <f>IFERROR(__xludf.DUMMYFUNCTION("GOOGLETRANSLATE(H48,""en"",""zh-CN"")"),"这是一项拥有国际影响力的职业体育运动。")</f>
        <v>这是一项拥有国际影响力的职业体育运动。</v>
      </c>
      <c r="U48" s="5" t="str">
        <f>IFERROR(__xludf.DUMMYFUNCTION("GOOGLETRANSLATE(I48,""en"",""zh-CN"")"),"带有匈牙利徽章的制服表明，剑子已成为一项全球公认的国际性运动，并有组织化的比赛。")</f>
        <v>带有匈牙利徽章的制服表明，剑子已成为一项全球公认的国际性运动，并有组织化的比赛。</v>
      </c>
      <c r="V48" s="2"/>
      <c r="W48" s="2"/>
      <c r="X48" s="2"/>
      <c r="Y48" s="2"/>
      <c r="Z48" s="2"/>
      <c r="AA48" s="2"/>
      <c r="AB48" s="2"/>
      <c r="AC48" s="2"/>
      <c r="AD48" s="2"/>
      <c r="AE48" s="2"/>
      <c r="AF48" s="2"/>
      <c r="AG48" s="2"/>
      <c r="AH48" s="2"/>
      <c r="AI48" s="2"/>
      <c r="AJ48" s="2"/>
      <c r="AK48" s="2"/>
      <c r="AL48" s="2"/>
    </row>
    <row r="49" ht="22.5" customHeight="1">
      <c r="A49" s="3" t="s">
        <v>2647</v>
      </c>
      <c r="B49" s="4">
        <v>48.0</v>
      </c>
      <c r="C49" s="3" t="s">
        <v>2653</v>
      </c>
      <c r="D49" s="3" t="s">
        <v>1595</v>
      </c>
      <c r="E49" s="3" t="s">
        <v>2654</v>
      </c>
      <c r="F49" s="3" t="s">
        <v>2655</v>
      </c>
      <c r="G49" s="3" t="s">
        <v>2656</v>
      </c>
      <c r="H49" s="3" t="s">
        <v>2654</v>
      </c>
      <c r="I49" s="3" t="s">
        <v>2657</v>
      </c>
      <c r="J49" s="2"/>
      <c r="K49" s="2"/>
      <c r="L49" s="3" t="s">
        <v>2647</v>
      </c>
      <c r="M49" s="4">
        <v>48.0</v>
      </c>
      <c r="N49" s="5" t="str">
        <f>IFERROR(__xludf.DUMMYFUNCTION("GOOGLETRANSLATE(C49,""en"",""zh-CN"")"),"比赛是在室内体育馆进行的。这说明这项运动的发展历程是怎样的？")</f>
        <v>比赛是在室内体育馆进行的。这说明这项运动的发展历程是怎样的？</v>
      </c>
      <c r="O49" s="5" t="str">
        <f>IFERROR(__xludf.DUMMYFUNCTION("GOOGLETRANSLATE(D49,""en"",""zh-CN"")"),"这是一项新兴运动。")</f>
        <v>这是一项新兴运动。</v>
      </c>
      <c r="P49" s="5" t="str">
        <f>IFERROR(__xludf.DUMMYFUNCTION("GOOGLETRANSLATE(E49,""en"",""zh-CN"")"),"它已经从随意的户外游戏发展成为有组织的室内比赛。")</f>
        <v>它已经从随意的户外游戏发展成为有组织的室内比赛。</v>
      </c>
      <c r="Q49" s="5" t="str">
        <f>IFERROR(__xludf.DUMMYFUNCTION("GOOGLETRANSLATE(F49,""en"",""zh-CN"")"),"它只能在室内进行。")</f>
        <v>它只能在室内进行。</v>
      </c>
      <c r="R49" s="5" t="str">
        <f>IFERROR(__xludf.DUMMYFUNCTION("GOOGLETRANSLATE(G49,""en"",""zh-CN"")"),"这是一项非常简单的运动。")</f>
        <v>这是一项非常简单的运动。</v>
      </c>
      <c r="S49" s="5" t="s">
        <v>2658</v>
      </c>
      <c r="T49" s="5" t="str">
        <f>IFERROR(__xludf.DUMMYFUNCTION("GOOGLETRANSLATE(H49,""en"",""zh-CN"")"),"它已经从随意的户外游戏发展成为有组织的室内比赛。")</f>
        <v>它已经从随意的户外游戏发展成为有组织的室内比赛。</v>
      </c>
      <c r="U49" s="5" t="str">
        <f>IFERROR(__xludf.DUMMYFUNCTION("GOOGLETRANSLATE(I49,""en"",""zh-CN"")"),"室内场地设有观众和记分牌，这表明毽子已经从简单的户外游戏演变为正式的室内比赛。")</f>
        <v>室内场地设有观众和记分牌，这表明毽子已经从简单的户外游戏演变为正式的室内比赛。</v>
      </c>
      <c r="V49" s="2"/>
      <c r="W49" s="2"/>
      <c r="X49" s="2"/>
      <c r="Y49" s="2"/>
      <c r="Z49" s="2"/>
      <c r="AA49" s="2"/>
      <c r="AB49" s="2"/>
      <c r="AC49" s="2"/>
      <c r="AD49" s="2"/>
      <c r="AE49" s="2"/>
      <c r="AF49" s="2"/>
      <c r="AG49" s="2"/>
      <c r="AH49" s="2"/>
      <c r="AI49" s="2"/>
      <c r="AJ49" s="2"/>
      <c r="AK49" s="2"/>
      <c r="AL49" s="2"/>
    </row>
    <row r="50" ht="22.5" customHeight="1">
      <c r="A50" s="3" t="s">
        <v>2647</v>
      </c>
      <c r="B50" s="4">
        <v>49.0</v>
      </c>
      <c r="C50" s="3" t="s">
        <v>2659</v>
      </c>
      <c r="D50" s="3" t="s">
        <v>2565</v>
      </c>
      <c r="E50" s="3" t="s">
        <v>2566</v>
      </c>
      <c r="F50" s="3" t="s">
        <v>2567</v>
      </c>
      <c r="G50" s="3" t="s">
        <v>2568</v>
      </c>
      <c r="H50" s="3" t="s">
        <v>2567</v>
      </c>
      <c r="I50" s="3" t="s">
        <v>2660</v>
      </c>
      <c r="J50" s="2"/>
      <c r="K50" s="2"/>
      <c r="L50" s="3" t="s">
        <v>2647</v>
      </c>
      <c r="M50" s="4">
        <v>49.0</v>
      </c>
      <c r="N50" s="5" t="str">
        <f>IFERROR(__xludf.DUMMYFUNCTION("GOOGLETRANSLATE(C50,""en"",""zh-CN"")"),"运动员在空中踢腿。这个动作的目的是什么？")</f>
        <v>运动员在空中踢腿。这个动作的目的是什么？</v>
      </c>
      <c r="O50" s="5" t="str">
        <f>IFERROR(__xludf.DUMMYFUNCTION("GOOGLETRANSLATE(D50,""en"",""zh-CN"")"),"伸展一下腿。")</f>
        <v>伸展一下腿。</v>
      </c>
      <c r="P50" s="5" t="str">
        <f>IFERROR(__xludf.DUMMYFUNCTION("GOOGLETRANSLATE(E50,""en"",""zh-CN"")"),"为了增加游戏难度。")</f>
        <v>为了增加游戏难度。</v>
      </c>
      <c r="Q50" s="5" t="str">
        <f>IFERROR(__xludf.DUMMYFUNCTION("GOOGLETRANSLATE(F50,""en"",""zh-CN"")"),"把羽毛球打过球网。")</f>
        <v>把羽毛球打过球网。</v>
      </c>
      <c r="R50" s="5" t="str">
        <f>IFERROR(__xludf.DUMMYFUNCTION("GOOGLETRANSLATE(G50,""en"",""zh-CN"")"),"为了炫耀她的技能。")</f>
        <v>为了炫耀她的技能。</v>
      </c>
      <c r="S50" s="5" t="s">
        <v>2570</v>
      </c>
      <c r="T50" s="5" t="str">
        <f>IFERROR(__xludf.DUMMYFUNCTION("GOOGLETRANSLATE(H50,""en"",""zh-CN"")"),"把羽毛球打过球网。")</f>
        <v>把羽毛球打过球网。</v>
      </c>
      <c r="U50" s="5" t="str">
        <f>IFERROR(__xludf.DUMMYFUNCTION("GOOGLETRANSLATE(I50,""en"",""zh-CN"")"),"球员使出强劲的高踢腿，将羽毛球踢过球网，这是竞技比赛中常见的技术。")</f>
        <v>球员使出强劲的高踢腿，将羽毛球踢过球网，这是竞技比赛中常见的技术。</v>
      </c>
      <c r="V50" s="2"/>
      <c r="W50" s="2"/>
      <c r="X50" s="2"/>
      <c r="Y50" s="2"/>
      <c r="Z50" s="2"/>
      <c r="AA50" s="2"/>
      <c r="AB50" s="2"/>
      <c r="AC50" s="2"/>
      <c r="AD50" s="2"/>
      <c r="AE50" s="2"/>
      <c r="AF50" s="2"/>
      <c r="AG50" s="2"/>
      <c r="AH50" s="2"/>
      <c r="AI50" s="2"/>
      <c r="AJ50" s="2"/>
      <c r="AK50" s="2"/>
      <c r="AL50" s="2"/>
    </row>
    <row r="51" ht="22.5" customHeight="1">
      <c r="A51" s="3" t="s">
        <v>2647</v>
      </c>
      <c r="B51" s="4">
        <v>50.0</v>
      </c>
      <c r="C51" s="3" t="s">
        <v>2661</v>
      </c>
      <c r="D51" s="3" t="s">
        <v>2662</v>
      </c>
      <c r="E51" s="3" t="s">
        <v>2663</v>
      </c>
      <c r="F51" s="3" t="s">
        <v>2664</v>
      </c>
      <c r="G51" s="3" t="s">
        <v>2665</v>
      </c>
      <c r="H51" s="3" t="s">
        <v>2665</v>
      </c>
      <c r="I51" s="3" t="s">
        <v>2666</v>
      </c>
      <c r="J51" s="2"/>
      <c r="K51" s="2"/>
      <c r="L51" s="3" t="s">
        <v>2647</v>
      </c>
      <c r="M51" s="4">
        <v>50.0</v>
      </c>
      <c r="N51" s="5" t="str">
        <f>IFERROR(__xludf.DUMMYFUNCTION("GOOGLETRANSLATE(C51,""en"",""zh-CN"")"),"球员身后墙上的数字“3”有什么含义？")</f>
        <v>球员身后墙上的数字“3”有什么含义？</v>
      </c>
      <c r="O51" s="5" t="str">
        <f>IFERROR(__xludf.DUMMYFUNCTION("GOOGLETRANSLATE(D51,""en"",""zh-CN"")"),"游戏中的人数。")</f>
        <v>游戏中的人数。</v>
      </c>
      <c r="P51" s="5" t="str">
        <f>IFERROR(__xludf.DUMMYFUNCTION("GOOGLETRANSLATE(E51,""en"",""zh-CN"")"),"比赛比分。")</f>
        <v>比赛比分。</v>
      </c>
      <c r="Q51" s="5" t="str">
        <f>IFERROR(__xludf.DUMMYFUNCTION("GOOGLETRANSLATE(F51,""en"",""zh-CN"")"),"球队编号。")</f>
        <v>球队编号。</v>
      </c>
      <c r="R51" s="5" t="str">
        <f>IFERROR(__xludf.DUMMYFUNCTION("GOOGLETRANSLATE(G51,""en"",""zh-CN"")"),"球场的球道编号。")</f>
        <v>球场的球道编号。</v>
      </c>
      <c r="S51" s="5" t="s">
        <v>2667</v>
      </c>
      <c r="T51" s="5" t="str">
        <f>IFERROR(__xludf.DUMMYFUNCTION("GOOGLETRANSLATE(H51,""en"",""zh-CN"")"),"球场的球道编号。")</f>
        <v>球场的球道编号。</v>
      </c>
      <c r="U51" s="5" t="str">
        <f>IFERROR(__xludf.DUMMYFUNCTION("GOOGLETRANSLATE(I51,""en"",""zh-CN"")"),"墙上的大数字（常见于专业体育场馆）表示球场的球道编号。")</f>
        <v>墙上的大数字（常见于专业体育场馆）表示球场的球道编号。</v>
      </c>
      <c r="V51" s="2"/>
      <c r="W51" s="2"/>
      <c r="X51" s="2"/>
      <c r="Y51" s="2"/>
      <c r="Z51" s="2"/>
      <c r="AA51" s="2"/>
      <c r="AB51" s="2"/>
      <c r="AC51" s="2"/>
      <c r="AD51" s="2"/>
      <c r="AE51" s="2"/>
      <c r="AF51" s="2"/>
      <c r="AG51" s="2"/>
      <c r="AH51" s="2"/>
      <c r="AI51" s="2"/>
      <c r="AJ51" s="2"/>
      <c r="AK51" s="2"/>
      <c r="AL51" s="2"/>
    </row>
    <row r="52" ht="22.5" customHeight="1">
      <c r="A52" s="3" t="s">
        <v>2668</v>
      </c>
      <c r="B52" s="4">
        <v>51.0</v>
      </c>
      <c r="C52" s="3" t="s">
        <v>1239</v>
      </c>
      <c r="D52" s="3" t="s">
        <v>2467</v>
      </c>
      <c r="E52" s="3" t="s">
        <v>2669</v>
      </c>
      <c r="F52" s="3" t="s">
        <v>2670</v>
      </c>
      <c r="G52" s="3" t="s">
        <v>2671</v>
      </c>
      <c r="H52" s="3" t="s">
        <v>2671</v>
      </c>
      <c r="I52" s="3" t="s">
        <v>2672</v>
      </c>
      <c r="J52" s="2"/>
      <c r="K52" s="2"/>
      <c r="L52" s="3" t="s">
        <v>2668</v>
      </c>
      <c r="M52" s="4">
        <v>51.0</v>
      </c>
      <c r="N52" s="5" t="str">
        <f>IFERROR(__xludf.DUMMYFUNCTION("GOOGLETRANSLATE(C52,""en"",""zh-CN"")"),"图片中展示的主要活动是什么？")</f>
        <v>图片中展示的主要活动是什么？</v>
      </c>
      <c r="O52" s="5" t="str">
        <f>IFERROR(__xludf.DUMMYFUNCTION("GOOGLETRANSLATE(D52,""en"",""zh-CN"")"),"一场足球比赛。")</f>
        <v>一场足球比赛。</v>
      </c>
      <c r="P52" s="5" t="str">
        <f>IFERROR(__xludf.DUMMYFUNCTION("GOOGLETRANSLATE(E52,""en"",""zh-CN"")"),"一项使用球网和球的团队运动。")</f>
        <v>一项使用球网和球的团队运动。</v>
      </c>
      <c r="Q52" s="5" t="str">
        <f>IFERROR(__xludf.DUMMYFUNCTION("GOOGLETRANSLATE(F52,""en"",""zh-CN"")"),"一场轻松的踢毽子游戏。")</f>
        <v>一场轻松的踢毽子游戏。</v>
      </c>
      <c r="R52" s="5" t="str">
        <f>IFERROR(__xludf.DUMMYFUNCTION("GOOGLETRANSLATE(G52,""en"",""zh-CN"")"),"一场名为“Kickit”的竞技游戏，它是现代版的踢子游戏。")</f>
        <v>一场名为“Kickit”的竞技游戏，它是现代版的踢子游戏。</v>
      </c>
      <c r="S52" s="5" t="s">
        <v>2673</v>
      </c>
      <c r="T52" s="5" t="str">
        <f>IFERROR(__xludf.DUMMYFUNCTION("GOOGLETRANSLATE(H52,""en"",""zh-CN"")"),"一场名为“Kickit”的竞技游戏，它是现代版的踢子游戏。")</f>
        <v>一场名为“Kickit”的竞技游戏，它是现代版的踢子游戏。</v>
      </c>
      <c r="U52" s="5" t="str">
        <f>IFERROR(__xludf.DUMMYFUNCTION("GOOGLETRANSLATE(I52,""en"",""zh-CN"")"),"图片显示一支现代球队正在玩一种使用小网和类似羽毛球的物体的游戏，这是毽子的现代变体，被称为“踢球”。")</f>
        <v>图片显示一支现代球队正在玩一种使用小网和类似羽毛球的物体的游戏，这是毽子的现代变体，被称为“踢球”。</v>
      </c>
      <c r="V52" s="2"/>
      <c r="W52" s="2"/>
      <c r="X52" s="2"/>
      <c r="Y52" s="2"/>
      <c r="Z52" s="2"/>
      <c r="AA52" s="2"/>
      <c r="AB52" s="2"/>
      <c r="AC52" s="2"/>
      <c r="AD52" s="2"/>
      <c r="AE52" s="2"/>
      <c r="AF52" s="2"/>
      <c r="AG52" s="2"/>
      <c r="AH52" s="2"/>
      <c r="AI52" s="2"/>
      <c r="AJ52" s="2"/>
      <c r="AK52" s="2"/>
      <c r="AL52" s="2"/>
    </row>
    <row r="53" ht="22.5" customHeight="1">
      <c r="A53" s="3" t="s">
        <v>2668</v>
      </c>
      <c r="B53" s="4">
        <v>52.0</v>
      </c>
      <c r="C53" s="3" t="s">
        <v>2674</v>
      </c>
      <c r="D53" s="3" t="s">
        <v>2675</v>
      </c>
      <c r="E53" s="3" t="s">
        <v>2676</v>
      </c>
      <c r="F53" s="3" t="s">
        <v>2677</v>
      </c>
      <c r="G53" s="3" t="s">
        <v>2678</v>
      </c>
      <c r="H53" s="3" t="s">
        <v>2676</v>
      </c>
      <c r="I53" s="3" t="s">
        <v>2679</v>
      </c>
      <c r="J53" s="2"/>
      <c r="K53" s="2"/>
      <c r="L53" s="3" t="s">
        <v>2668</v>
      </c>
      <c r="M53" s="4">
        <v>52.0</v>
      </c>
      <c r="N53" s="5" t="str">
        <f>IFERROR(__xludf.DUMMYFUNCTION("GOOGLETRANSLATE(C53,""en"",""zh-CN"")"),"球员们都戴着口罩。这暗示着怎样的时代背景？")</f>
        <v>球员们都戴着口罩。这暗示着怎样的时代背景？</v>
      </c>
      <c r="O53" s="5" t="str">
        <f>IFERROR(__xludf.DUMMYFUNCTION("GOOGLETRANSLATE(D53,""en"",""zh-CN"")"),"这是一件历史性事件。")</f>
        <v>这是一件历史性事件。</v>
      </c>
      <c r="P53" s="5" t="str">
        <f>IFERROR(__xludf.DUMMYFUNCTION("GOOGLETRANSLATE(E53,""en"",""zh-CN"")"),"这是一件近期发生的事件，很可能是在新冠肺炎疫情期间发生的。")</f>
        <v>这是一件近期发生的事件，很可能是在新冠肺炎疫情期间发生的。</v>
      </c>
      <c r="Q53" s="5" t="str">
        <f>IFERROR(__xludf.DUMMYFUNCTION("GOOGLETRANSLATE(F53,""en"",""zh-CN"")"),"这是一项仪式性活动。")</f>
        <v>这是一项仪式性活动。</v>
      </c>
      <c r="R53" s="5" t="str">
        <f>IFERROR(__xludf.DUMMYFUNCTION("GOOGLETRANSLATE(G53,""en"",""zh-CN"")"),"这是一个传统活动。")</f>
        <v>这是一个传统活动。</v>
      </c>
      <c r="S53" s="5" t="s">
        <v>2680</v>
      </c>
      <c r="T53" s="5" t="str">
        <f>IFERROR(__xludf.DUMMYFUNCTION("GOOGLETRANSLATE(H53,""en"",""zh-CN"")"),"这是一件近期发生的事件，很可能是在新冠肺炎疫情期间发生的。")</f>
        <v>这是一件近期发生的事件，很可能是在新冠肺炎疫情期间发生的。</v>
      </c>
      <c r="U53" s="5" t="str">
        <f>IFERROR(__xludf.DUMMYFUNCTION("GOOGLETRANSLATE(I53,""en"",""zh-CN"")"),"口罩清楚地表明这张照片是在当代环境下拍摄的，很可能是在全球疫情大流行期间，当时戴口罩是一种安全预防措施。")</f>
        <v>口罩清楚地表明这张照片是在当代环境下拍摄的，很可能是在全球疫情大流行期间，当时戴口罩是一种安全预防措施。</v>
      </c>
      <c r="V53" s="2"/>
      <c r="W53" s="2"/>
      <c r="X53" s="2"/>
      <c r="Y53" s="2"/>
      <c r="Z53" s="2"/>
      <c r="AA53" s="2"/>
      <c r="AB53" s="2"/>
      <c r="AC53" s="2"/>
      <c r="AD53" s="2"/>
      <c r="AE53" s="2"/>
      <c r="AF53" s="2"/>
      <c r="AG53" s="2"/>
      <c r="AH53" s="2"/>
      <c r="AI53" s="2"/>
      <c r="AJ53" s="2"/>
      <c r="AK53" s="2"/>
      <c r="AL53" s="2"/>
    </row>
    <row r="54" ht="22.5" customHeight="1">
      <c r="A54" s="3" t="s">
        <v>2668</v>
      </c>
      <c r="B54" s="4">
        <v>53.0</v>
      </c>
      <c r="C54" s="3" t="s">
        <v>2681</v>
      </c>
      <c r="D54" s="3" t="s">
        <v>2682</v>
      </c>
      <c r="E54" s="3" t="s">
        <v>2683</v>
      </c>
      <c r="F54" s="3" t="s">
        <v>2684</v>
      </c>
      <c r="G54" s="3" t="s">
        <v>2685</v>
      </c>
      <c r="H54" s="3" t="s">
        <v>2682</v>
      </c>
      <c r="I54" s="3" t="s">
        <v>2686</v>
      </c>
      <c r="J54" s="2"/>
      <c r="K54" s="2"/>
      <c r="L54" s="3" t="s">
        <v>2668</v>
      </c>
      <c r="M54" s="4">
        <v>53.0</v>
      </c>
      <c r="N54" s="5" t="str">
        <f>IFERROR(__xludf.DUMMYFUNCTION("GOOGLETRANSLATE(C54,""en"",""zh-CN"")"),"这种游戏与传统毽子有什么显著区别？")</f>
        <v>这种游戏与传统毽子有什么显著区别？</v>
      </c>
      <c r="O54" s="5" t="str">
        <f>IFERROR(__xludf.DUMMYFUNCTION("GOOGLETRANSLATE(D54,""en"",""zh-CN"")"),"使用小网。")</f>
        <v>使用小网。</v>
      </c>
      <c r="P54" s="5" t="str">
        <f>IFERROR(__xludf.DUMMYFUNCTION("GOOGLETRANSLATE(E54,""en"",""zh-CN"")"),"使用羽毛球。")</f>
        <v>使用羽毛球。</v>
      </c>
      <c r="Q54" s="5" t="str">
        <f>IFERROR(__xludf.DUMMYFUNCTION("GOOGLETRANSLATE(F54,""en"",""zh-CN"")"),"玩家人数。")</f>
        <v>玩家人数。</v>
      </c>
      <c r="R54" s="5" t="str">
        <f>IFERROR(__xludf.DUMMYFUNCTION("GOOGLETRANSLATE(G54,""en"",""zh-CN"")"),"使用脚。")</f>
        <v>使用脚。</v>
      </c>
      <c r="S54" s="5" t="s">
        <v>2687</v>
      </c>
      <c r="T54" s="5" t="str">
        <f>IFERROR(__xludf.DUMMYFUNCTION("GOOGLETRANSLATE(H54,""en"",""zh-CN"")"),"使用小网。")</f>
        <v>使用小网。</v>
      </c>
      <c r="U54" s="5" t="str">
        <f>IFERROR(__xludf.DUMMYFUNCTION("GOOGLETRANSLATE(I54,""en"",""zh-CN"")"),"与休闲版的毽子不同，现代毽子使用小型便携式球网，创造了更具竞争性和结构性的比赛。")</f>
        <v>与休闲版的毽子不同，现代毽子使用小型便携式球网，创造了更具竞争性和结构性的比赛。</v>
      </c>
      <c r="V54" s="2"/>
      <c r="W54" s="2"/>
      <c r="X54" s="2"/>
      <c r="Y54" s="2"/>
      <c r="Z54" s="2"/>
      <c r="AA54" s="2"/>
      <c r="AB54" s="2"/>
      <c r="AC54" s="2"/>
      <c r="AD54" s="2"/>
      <c r="AE54" s="2"/>
      <c r="AF54" s="2"/>
      <c r="AG54" s="2"/>
      <c r="AH54" s="2"/>
      <c r="AI54" s="2"/>
      <c r="AJ54" s="2"/>
      <c r="AK54" s="2"/>
      <c r="AL54" s="2"/>
    </row>
    <row r="55" ht="22.5" customHeight="1">
      <c r="A55" s="3" t="s">
        <v>2668</v>
      </c>
      <c r="B55" s="4">
        <v>54.0</v>
      </c>
      <c r="C55" s="3" t="s">
        <v>2688</v>
      </c>
      <c r="D55" s="3" t="s">
        <v>2493</v>
      </c>
      <c r="E55" s="3" t="s">
        <v>2689</v>
      </c>
      <c r="F55" s="3" t="s">
        <v>2690</v>
      </c>
      <c r="G55" s="3" t="s">
        <v>2691</v>
      </c>
      <c r="H55" s="3" t="s">
        <v>2689</v>
      </c>
      <c r="I55" s="3" t="s">
        <v>2692</v>
      </c>
      <c r="J55" s="2"/>
      <c r="K55" s="2"/>
      <c r="L55" s="3" t="s">
        <v>2668</v>
      </c>
      <c r="M55" s="4">
        <v>54.0</v>
      </c>
      <c r="N55" s="5" t="str">
        <f>IFERROR(__xludf.DUMMYFUNCTION("GOOGLETRANSLATE(C55,""en"",""zh-CN"")"),"球员们身处一座现代化的室内体育馆。这说明了什么？")</f>
        <v>球员们身处一座现代化的室内体育馆。这说明了什么？</v>
      </c>
      <c r="O55" s="5" t="str">
        <f>IFERROR(__xludf.DUMMYFUNCTION("GOOGLETRANSLATE(D55,""en"",""zh-CN"")"),"这是一种休闲消遣。")</f>
        <v>这是一种休闲消遣。</v>
      </c>
      <c r="P55" s="5" t="str">
        <f>IFERROR(__xludf.DUMMYFUNCTION("GOOGLETRANSLATE(E55,""en"",""zh-CN"")"),"这是一项有组织严密的职业体育运动。")</f>
        <v>这是一项有组织严密的职业体育运动。</v>
      </c>
      <c r="Q55" s="5" t="str">
        <f>IFERROR(__xludf.DUMMYFUNCTION("GOOGLETRANSLATE(F55,""en"",""zh-CN"")"),"这是一款适合儿童的简单游戏。")</f>
        <v>这是一款适合儿童的简单游戏。</v>
      </c>
      <c r="R55" s="5" t="str">
        <f>IFERROR(__xludf.DUMMYFUNCTION("GOOGLETRANSLATE(G55,""en"",""zh-CN"")"),"这是一项传统运动。")</f>
        <v>这是一项传统运动。</v>
      </c>
      <c r="S55" s="5" t="s">
        <v>2693</v>
      </c>
      <c r="T55" s="5" t="str">
        <f>IFERROR(__xludf.DUMMYFUNCTION("GOOGLETRANSLATE(H55,""en"",""zh-CN"")"),"这是一项有组织严密的职业体育运动。")</f>
        <v>这是一项有组织严密的职业体育运动。</v>
      </c>
      <c r="U55" s="5" t="str">
        <f>IFERROR(__xludf.DUMMYFUNCTION("GOOGLETRANSLATE(I55,""en"",""zh-CN"")"),"室内运动设施、统一的制服和专业的器材表明，这场比赛是一项有组织的职业体育运动。")</f>
        <v>室内运动设施、统一的制服和专业的器材表明，这场比赛是一项有组织的职业体育运动。</v>
      </c>
      <c r="V55" s="2"/>
      <c r="W55" s="2"/>
      <c r="X55" s="2"/>
      <c r="Y55" s="2"/>
      <c r="Z55" s="2"/>
      <c r="AA55" s="2"/>
      <c r="AB55" s="2"/>
      <c r="AC55" s="2"/>
      <c r="AD55" s="2"/>
      <c r="AE55" s="2"/>
      <c r="AF55" s="2"/>
      <c r="AG55" s="2"/>
      <c r="AH55" s="2"/>
      <c r="AI55" s="2"/>
      <c r="AJ55" s="2"/>
      <c r="AK55" s="2"/>
      <c r="AL55" s="2"/>
    </row>
    <row r="56" ht="22.5" customHeight="1">
      <c r="A56" s="3" t="s">
        <v>2668</v>
      </c>
      <c r="B56" s="4">
        <v>55.0</v>
      </c>
      <c r="C56" s="3" t="s">
        <v>2694</v>
      </c>
      <c r="D56" s="3" t="s">
        <v>762</v>
      </c>
      <c r="E56" s="3" t="s">
        <v>2695</v>
      </c>
      <c r="F56" s="3" t="s">
        <v>2696</v>
      </c>
      <c r="G56" s="3" t="s">
        <v>2697</v>
      </c>
      <c r="H56" s="3" t="s">
        <v>2695</v>
      </c>
      <c r="I56" s="3" t="s">
        <v>2698</v>
      </c>
      <c r="J56" s="2"/>
      <c r="K56" s="2"/>
      <c r="L56" s="3" t="s">
        <v>2668</v>
      </c>
      <c r="M56" s="4">
        <v>55.0</v>
      </c>
      <c r="N56" s="5" t="str">
        <f>IFERROR(__xludf.DUMMYFUNCTION("GOOGLETRANSLATE(C56,""en"",""zh-CN"")"),"背景中的横幅和标志有什么用途？")</f>
        <v>背景中的横幅和标志有什么用途？</v>
      </c>
      <c r="O56" s="5" t="str">
        <f>IFERROR(__xludf.DUMMYFUNCTION("GOOGLETRANSLATE(D56,""en"",""zh-CN"")"),"它们是简单的装饰品。")</f>
        <v>它们是简单的装饰品。</v>
      </c>
      <c r="P56" s="5" t="str">
        <f>IFERROR(__xludf.DUMMYFUNCTION("GOOGLETRANSLATE(E56,""en"",""zh-CN"")"),"它们是球队标志和赞助商标志。")</f>
        <v>它们是球队标志和赞助商标志。</v>
      </c>
      <c r="Q56" s="5" t="str">
        <f>IFERROR(__xludf.DUMMYFUNCTION("GOOGLETRANSLATE(F56,""en"",""zh-CN"")"),"它们用来显示球队的排名。")</f>
        <v>它们用来显示球队的排名。</v>
      </c>
      <c r="R56" s="5" t="str">
        <f>IFERROR(__xludf.DUMMYFUNCTION("GOOGLETRANSLATE(G56,""en"",""zh-CN"")"),"它们是传统活动的标志。")</f>
        <v>它们是传统活动的标志。</v>
      </c>
      <c r="S56" s="5" t="s">
        <v>2699</v>
      </c>
      <c r="T56" s="5" t="str">
        <f>IFERROR(__xludf.DUMMYFUNCTION("GOOGLETRANSLATE(H56,""en"",""zh-CN"")"),"它们是球队标志和赞助商标志。")</f>
        <v>它们是球队标志和赞助商标志。</v>
      </c>
      <c r="U56" s="5" t="str">
        <f>IFERROR(__xludf.DUMMYFUNCTION("GOOGLETRANSLATE(I56,""en"",""zh-CN"")"),"背景中的标志和横幅是现代体育运动的典型特征，表明该比赛有商业赞助，并且是职业比赛。")</f>
        <v>背景中的标志和横幅是现代体育运动的典型特征，表明该比赛有商业赞助，并且是职业比赛。</v>
      </c>
      <c r="V56" s="2"/>
      <c r="W56" s="2"/>
      <c r="X56" s="2"/>
      <c r="Y56" s="2"/>
      <c r="Z56" s="2"/>
      <c r="AA56" s="2"/>
      <c r="AB56" s="2"/>
      <c r="AC56" s="2"/>
      <c r="AD56" s="2"/>
      <c r="AE56" s="2"/>
      <c r="AF56" s="2"/>
      <c r="AG56" s="2"/>
      <c r="AH56" s="2"/>
      <c r="AI56" s="2"/>
      <c r="AJ56" s="2"/>
      <c r="AK56" s="2"/>
      <c r="AL56" s="2"/>
    </row>
    <row r="57" ht="22.5" customHeight="1">
      <c r="A57" s="3" t="s">
        <v>2700</v>
      </c>
      <c r="B57" s="4">
        <v>56.0</v>
      </c>
      <c r="C57" s="3" t="s">
        <v>1335</v>
      </c>
      <c r="D57" s="3" t="s">
        <v>2623</v>
      </c>
      <c r="E57" s="3" t="s">
        <v>2621</v>
      </c>
      <c r="F57" s="3" t="s">
        <v>2622</v>
      </c>
      <c r="G57" s="3" t="s">
        <v>2701</v>
      </c>
      <c r="H57" s="3" t="s">
        <v>2621</v>
      </c>
      <c r="I57" s="3" t="s">
        <v>2702</v>
      </c>
      <c r="J57" s="2"/>
      <c r="K57" s="2"/>
      <c r="L57" s="3" t="s">
        <v>2700</v>
      </c>
      <c r="M57" s="4">
        <v>56.0</v>
      </c>
      <c r="N57" s="5" t="str">
        <f>IFERROR(__xludf.DUMMYFUNCTION("GOOGLETRANSLATE(C57,""en"",""zh-CN"")"),"图中所示的中心活动是什么？")</f>
        <v>图中所示的中心活动是什么？</v>
      </c>
      <c r="O57" s="5" t="str">
        <f>IFERROR(__xludf.DUMMYFUNCTION("GOOGLETRANSLATE(D57,""en"",""zh-CN"")"),"一个孩子在奔跑。")</f>
        <v>一个孩子在奔跑。</v>
      </c>
      <c r="P57" s="5" t="str">
        <f>IFERROR(__xludf.DUMMYFUNCTION("GOOGLETRANSLATE(E57,""en"",""zh-CN"")"),"一个孩子正在玩毽子游戏。")</f>
        <v>一个孩子正在玩毽子游戏。</v>
      </c>
      <c r="Q57" s="5" t="str">
        <f>IFERROR(__xludf.DUMMYFUNCTION("GOOGLETRANSLATE(F57,""en"",""zh-CN"")"),"一个孩子正在练习武术动作。")</f>
        <v>一个孩子正在练习武术动作。</v>
      </c>
      <c r="R57" s="5" t="str">
        <f>IFERROR(__xludf.DUMMYFUNCTION("GOOGLETRANSLATE(G57,""en"",""zh-CN"")"),"一个孩子正在跳舞。")</f>
        <v>一个孩子正在跳舞。</v>
      </c>
      <c r="S57" s="5" t="s">
        <v>2703</v>
      </c>
      <c r="T57" s="5" t="str">
        <f>IFERROR(__xludf.DUMMYFUNCTION("GOOGLETRANSLATE(H57,""en"",""zh-CN"")"),"一个孩子正在玩毽子游戏。")</f>
        <v>一个孩子正在玩毽子游戏。</v>
      </c>
      <c r="U57" s="5" t="str">
        <f>IFERROR(__xludf.DUMMYFUNCTION("GOOGLETRANSLATE(I57,""en"",""zh-CN"")"),"图片显示一个小男孩在草地上奔跑，他面前悬着一个毽子，表明他正在玩毽子游戏。")</f>
        <v>图片显示一个小男孩在草地上奔跑，他面前悬着一个毽子，表明他正在玩毽子游戏。</v>
      </c>
      <c r="V57" s="2"/>
      <c r="W57" s="2"/>
      <c r="X57" s="2"/>
      <c r="Y57" s="2"/>
      <c r="Z57" s="2"/>
      <c r="AA57" s="2"/>
      <c r="AB57" s="2"/>
      <c r="AC57" s="2"/>
      <c r="AD57" s="2"/>
      <c r="AE57" s="2"/>
      <c r="AF57" s="2"/>
      <c r="AG57" s="2"/>
      <c r="AH57" s="2"/>
      <c r="AI57" s="2"/>
      <c r="AJ57" s="2"/>
      <c r="AK57" s="2"/>
      <c r="AL57" s="2"/>
    </row>
    <row r="58" ht="22.5" customHeight="1">
      <c r="A58" s="3" t="s">
        <v>2700</v>
      </c>
      <c r="B58" s="4">
        <v>57.0</v>
      </c>
      <c r="C58" s="3" t="s">
        <v>2626</v>
      </c>
      <c r="D58" s="3" t="s">
        <v>2390</v>
      </c>
      <c r="E58" s="3" t="s">
        <v>2627</v>
      </c>
      <c r="F58" s="3" t="s">
        <v>2392</v>
      </c>
      <c r="G58" s="3" t="s">
        <v>2393</v>
      </c>
      <c r="H58" s="3" t="s">
        <v>2627</v>
      </c>
      <c r="I58" s="3" t="s">
        <v>2628</v>
      </c>
      <c r="J58" s="2"/>
      <c r="K58" s="2"/>
      <c r="L58" s="3" t="s">
        <v>2700</v>
      </c>
      <c r="M58" s="4">
        <v>57.0</v>
      </c>
      <c r="N58" s="5" t="str">
        <f>IFERROR(__xludf.DUMMYFUNCTION("GOOGLETRANSLATE(C58,""en"",""zh-CN"")"),"这张图片暗示了溏子游戏的什么特点？")</f>
        <v>这张图片暗示了溏子游戏的什么特点？</v>
      </c>
      <c r="O58" s="5" t="str">
        <f>IFERROR(__xludf.DUMMYFUNCTION("GOOGLETRANSLATE(D58,""en"",""zh-CN"")"),"这是一款仅限成人玩的游戏。")</f>
        <v>这是一款仅限成人玩的游戏。</v>
      </c>
      <c r="P58" s="5" t="str">
        <f>IFERROR(__xludf.DUMMYFUNCTION("GOOGLETRANSLATE(E58,""en"",""zh-CN"")"),"这是一款孩子们可以学习并乐在其中的游戏。")</f>
        <v>这是一款孩子们可以学习并乐在其中的游戏。</v>
      </c>
      <c r="Q58" s="5" t="str">
        <f>IFERROR(__xludf.DUMMYFUNCTION("GOOGLETRANSLATE(F58,""en"",""zh-CN"")"),"这款游戏对孩子来说太难了。")</f>
        <v>这款游戏对孩子来说太难了。</v>
      </c>
      <c r="R58" s="5" t="str">
        <f>IFERROR(__xludf.DUMMYFUNCTION("GOOGLETRANSLATE(G58,""en"",""zh-CN"")"),"这游戏一点都不好玩。")</f>
        <v>这游戏一点都不好玩。</v>
      </c>
      <c r="S58" s="5" t="s">
        <v>2629</v>
      </c>
      <c r="T58" s="5" t="str">
        <f>IFERROR(__xludf.DUMMYFUNCTION("GOOGLETRANSLATE(H58,""en"",""zh-CN"")"),"这是一款孩子们可以学习并乐在其中的游戏。")</f>
        <v>这是一款孩子们可以学习并乐在其中的游戏。</v>
      </c>
      <c r="U58" s="5" t="str">
        <f>IFERROR(__xludf.DUMMYFUNCTION("GOOGLETRANSLATE(I58,""en"",""zh-CN"")"),"一张小孩玩毽子的图片表明，毽子游戏规则简单，孩子们很容易上手，玩得也很开心。")</f>
        <v>一张小孩玩毽子的图片表明，毽子游戏规则简单，孩子们很容易上手，玩得也很开心。</v>
      </c>
      <c r="V58" s="2"/>
      <c r="W58" s="2"/>
      <c r="X58" s="2"/>
      <c r="Y58" s="2"/>
      <c r="Z58" s="2"/>
      <c r="AA58" s="2"/>
      <c r="AB58" s="2"/>
      <c r="AC58" s="2"/>
      <c r="AD58" s="2"/>
      <c r="AE58" s="2"/>
      <c r="AF58" s="2"/>
      <c r="AG58" s="2"/>
      <c r="AH58" s="2"/>
      <c r="AI58" s="2"/>
      <c r="AJ58" s="2"/>
      <c r="AK58" s="2"/>
      <c r="AL58" s="2"/>
    </row>
    <row r="59" ht="22.5" customHeight="1">
      <c r="A59" s="3" t="s">
        <v>2700</v>
      </c>
      <c r="B59" s="4">
        <v>58.0</v>
      </c>
      <c r="C59" s="3" t="s">
        <v>2630</v>
      </c>
      <c r="D59" s="3" t="s">
        <v>2631</v>
      </c>
      <c r="E59" s="3" t="s">
        <v>2632</v>
      </c>
      <c r="F59" s="3" t="s">
        <v>2704</v>
      </c>
      <c r="G59" s="3" t="s">
        <v>2634</v>
      </c>
      <c r="H59" s="3" t="s">
        <v>2704</v>
      </c>
      <c r="I59" s="3" t="s">
        <v>2705</v>
      </c>
      <c r="J59" s="2"/>
      <c r="K59" s="2"/>
      <c r="L59" s="3" t="s">
        <v>2700</v>
      </c>
      <c r="M59" s="4">
        <v>58.0</v>
      </c>
      <c r="N59" s="5" t="str">
        <f>IFERROR(__xludf.DUMMYFUNCTION("GOOGLETRANSLATE(C59,""en"",""zh-CN"")"),"比赛是在什么样的场地上进行的？")</f>
        <v>比赛是在什么样的场地上进行的？</v>
      </c>
      <c r="O59" s="5" t="str">
        <f>IFERROR(__xludf.DUMMYFUNCTION("GOOGLETRANSLATE(D59,""en"",""zh-CN"")"),"铺砌的庭院。")</f>
        <v>铺砌的庭院。</v>
      </c>
      <c r="P59" s="5" t="str">
        <f>IFERROR(__xludf.DUMMYFUNCTION("GOOGLETRANSLATE(E59,""en"",""zh-CN"")"),"一片泥地。")</f>
        <v>一片泥地。</v>
      </c>
      <c r="Q59" s="5" t="str">
        <f>IFERROR(__xludf.DUMMYFUNCTION("GOOGLETRANSLATE(F59,""en"",""zh-CN"")"),"一片草地。")</f>
        <v>一片草地。</v>
      </c>
      <c r="R59" s="5" t="str">
        <f>IFERROR(__xludf.DUMMYFUNCTION("GOOGLETRANSLATE(G59,""en"",""zh-CN"")"),"木地板。")</f>
        <v>木地板。</v>
      </c>
      <c r="S59" s="5" t="s">
        <v>2706</v>
      </c>
      <c r="T59" s="5" t="str">
        <f>IFERROR(__xludf.DUMMYFUNCTION("GOOGLETRANSLATE(H59,""en"",""zh-CN"")"),"一片草地。")</f>
        <v>一片草地。</v>
      </c>
      <c r="U59" s="5" t="str">
        <f>IFERROR(__xludf.DUMMYFUNCTION("GOOGLETRANSLATE(I59,""en"",""zh-CN"")"),"图片显示球员们在一片鲜绿色的表面上比赛，看起来像是一片草地。")</f>
        <v>图片显示球员们在一片鲜绿色的表面上比赛，看起来像是一片草地。</v>
      </c>
      <c r="V59" s="2"/>
      <c r="W59" s="2"/>
      <c r="X59" s="2"/>
      <c r="Y59" s="2"/>
      <c r="Z59" s="2"/>
      <c r="AA59" s="2"/>
      <c r="AB59" s="2"/>
      <c r="AC59" s="2"/>
      <c r="AD59" s="2"/>
      <c r="AE59" s="2"/>
      <c r="AF59" s="2"/>
      <c r="AG59" s="2"/>
      <c r="AH59" s="2"/>
      <c r="AI59" s="2"/>
      <c r="AJ59" s="2"/>
      <c r="AK59" s="2"/>
      <c r="AL59" s="2"/>
    </row>
    <row r="60" ht="22.5" customHeight="1">
      <c r="A60" s="3" t="s">
        <v>2700</v>
      </c>
      <c r="B60" s="4">
        <v>59.0</v>
      </c>
      <c r="C60" s="3" t="s">
        <v>2411</v>
      </c>
      <c r="D60" s="3" t="s">
        <v>2134</v>
      </c>
      <c r="E60" s="3" t="s">
        <v>2707</v>
      </c>
      <c r="F60" s="3" t="s">
        <v>2414</v>
      </c>
      <c r="G60" s="3" t="s">
        <v>2547</v>
      </c>
      <c r="H60" s="3" t="s">
        <v>2707</v>
      </c>
      <c r="I60" s="3" t="s">
        <v>2708</v>
      </c>
      <c r="J60" s="2"/>
      <c r="K60" s="2"/>
      <c r="L60" s="3" t="s">
        <v>2700</v>
      </c>
      <c r="M60" s="4">
        <v>59.0</v>
      </c>
      <c r="N60" s="5" t="str">
        <f>IFERROR(__xludf.DUMMYFUNCTION("GOOGLETRANSLATE(C60,""en"",""zh-CN"")"),"羽毛球的一个显著特点是什么？")</f>
        <v>羽毛球的一个显著特点是什么？</v>
      </c>
      <c r="O60" s="5" t="str">
        <f>IFERROR(__xludf.DUMMYFUNCTION("GOOGLETRANSLATE(D60,""en"",""zh-CN"")"),"它是由塑料制成的。")</f>
        <v>它是由塑料制成的。</v>
      </c>
      <c r="P60" s="5" t="str">
        <f>IFERROR(__xludf.DUMMYFUNCTION("GOOGLETRANSLATE(E60,""en"",""zh-CN"")"),"这是一只传统的尖子鸟，羽毛呈红色和黄色相间。")</f>
        <v>这是一只传统的尖子鸟，羽毛呈红色和黄色相间。</v>
      </c>
      <c r="Q60" s="5" t="str">
        <f>IFERROR(__xludf.DUMMYFUNCTION("GOOGLETRANSLATE(F60,""en"",""zh-CN"")"),"这是一个现代足球。")</f>
        <v>这是一个现代足球。</v>
      </c>
      <c r="R60" s="5" t="str">
        <f>IFERROR(__xludf.DUMMYFUNCTION("GOOGLETRANSLATE(G60,""en"",""zh-CN"")"),"这是一个羽毛球。")</f>
        <v>这是一个羽毛球。</v>
      </c>
      <c r="S60" s="5" t="s">
        <v>2709</v>
      </c>
      <c r="T60" s="5" t="str">
        <f>IFERROR(__xludf.DUMMYFUNCTION("GOOGLETRANSLATE(H60,""en"",""zh-CN"")"),"这是一只传统的尖子鸟，羽毛呈红色和黄色相间。")</f>
        <v>这是一只传统的尖子鸟，羽毛呈红色和黄色相间。</v>
      </c>
      <c r="U60" s="5" t="str">
        <f>IFERROR(__xludf.DUMMYFUNCTION("GOOGLETRANSLATE(I60,""en"",""zh-CN"")"),"毽子由底座和一系列红色和黄色羽毛组成，这是毽子的经典设计。")</f>
        <v>毽子由底座和一系列红色和黄色羽毛组成，这是毽子的经典设计。</v>
      </c>
      <c r="V60" s="2"/>
      <c r="W60" s="2"/>
      <c r="X60" s="2"/>
      <c r="Y60" s="2"/>
      <c r="Z60" s="2"/>
      <c r="AA60" s="2"/>
      <c r="AB60" s="2"/>
      <c r="AC60" s="2"/>
      <c r="AD60" s="2"/>
      <c r="AE60" s="2"/>
      <c r="AF60" s="2"/>
      <c r="AG60" s="2"/>
      <c r="AH60" s="2"/>
      <c r="AI60" s="2"/>
      <c r="AJ60" s="2"/>
      <c r="AK60" s="2"/>
      <c r="AL60" s="2"/>
    </row>
    <row r="61" ht="22.5" customHeight="1">
      <c r="A61" s="3" t="s">
        <v>2700</v>
      </c>
      <c r="B61" s="4">
        <v>60.0</v>
      </c>
      <c r="C61" s="3" t="s">
        <v>2710</v>
      </c>
      <c r="D61" s="3" t="s">
        <v>2457</v>
      </c>
      <c r="E61" s="3" t="s">
        <v>2459</v>
      </c>
      <c r="F61" s="3" t="s">
        <v>2460</v>
      </c>
      <c r="G61" s="3" t="s">
        <v>2458</v>
      </c>
      <c r="H61" s="3" t="s">
        <v>2459</v>
      </c>
      <c r="I61" s="3" t="s">
        <v>2461</v>
      </c>
      <c r="J61" s="2"/>
      <c r="K61" s="2"/>
      <c r="L61" s="3" t="s">
        <v>2700</v>
      </c>
      <c r="M61" s="4">
        <v>60.0</v>
      </c>
      <c r="N61" s="5" t="str">
        <f>IFERROR(__xludf.DUMMYFUNCTION("GOOGLETRANSLATE(C61,""en"",""zh-CN"")"),"在这个游戏中，玩家最重要的技能是什么？")</f>
        <v>在这个游戏中，玩家最重要的技能是什么？</v>
      </c>
      <c r="O61" s="5" t="str">
        <f>IFERROR(__xludf.DUMMYFUNCTION("GOOGLETRANSLATE(D61,""en"",""zh-CN"")"),"手眼协调能力。")</f>
        <v>手眼协调能力。</v>
      </c>
      <c r="P61" s="5" t="str">
        <f>IFERROR(__xludf.DUMMYFUNCTION("GOOGLETRANSLATE(E61,""en"",""zh-CN"")"),"腿部力量和敏捷性。")</f>
        <v>腿部力量和敏捷性。</v>
      </c>
      <c r="Q61" s="5" t="str">
        <f>IFERROR(__xludf.DUMMYFUNCTION("GOOGLETRANSLATE(F61,""en"",""zh-CN"")"),"跑步速度。")</f>
        <v>跑步速度。</v>
      </c>
      <c r="R61" s="5" t="str">
        <f>IFERROR(__xludf.DUMMYFUNCTION("GOOGLETRANSLATE(G61,""en"",""zh-CN"")"),"上肢力量。")</f>
        <v>上肢力量。</v>
      </c>
      <c r="S61" s="5" t="s">
        <v>2557</v>
      </c>
      <c r="T61" s="5" t="str">
        <f>IFERROR(__xludf.DUMMYFUNCTION("GOOGLETRANSLATE(H61,""en"",""zh-CN"")"),"腿部力量和敏捷性。")</f>
        <v>腿部力量和敏捷性。</v>
      </c>
      <c r="U61" s="5" t="str">
        <f>IFERROR(__xludf.DUMMYFUNCTION("GOOGLETRANSLATE(I61,""en"",""zh-CN"")"),"这项运动依赖于用脚控制和保持羽毛球在空中的能力，这需要极佳的腿部力量和敏捷性。")</f>
        <v>这项运动依赖于用脚控制和保持羽毛球在空中的能力，这需要极佳的腿部力量和敏捷性。</v>
      </c>
      <c r="V61" s="2"/>
      <c r="W61" s="2"/>
      <c r="X61" s="2"/>
      <c r="Y61" s="2"/>
      <c r="Z61" s="2"/>
      <c r="AA61" s="2"/>
      <c r="AB61" s="2"/>
      <c r="AC61" s="2"/>
      <c r="AD61" s="2"/>
      <c r="AE61" s="2"/>
      <c r="AF61" s="2"/>
      <c r="AG61" s="2"/>
      <c r="AH61" s="2"/>
      <c r="AI61" s="2"/>
      <c r="AJ61" s="2"/>
      <c r="AK61" s="2"/>
      <c r="AL61" s="2"/>
    </row>
    <row r="62" ht="22.5" customHeight="1">
      <c r="A62" s="3" t="s">
        <v>2711</v>
      </c>
      <c r="B62" s="4">
        <v>61.0</v>
      </c>
      <c r="C62" s="3" t="s">
        <v>1239</v>
      </c>
      <c r="D62" s="3" t="s">
        <v>2604</v>
      </c>
      <c r="E62" s="3" t="s">
        <v>2534</v>
      </c>
      <c r="F62" s="3" t="s">
        <v>2536</v>
      </c>
      <c r="G62" s="3" t="s">
        <v>2605</v>
      </c>
      <c r="H62" s="3" t="s">
        <v>2534</v>
      </c>
      <c r="I62" s="3" t="s">
        <v>2537</v>
      </c>
      <c r="J62" s="2"/>
      <c r="K62" s="2"/>
      <c r="L62" s="3" t="s">
        <v>2711</v>
      </c>
      <c r="M62" s="4">
        <v>61.0</v>
      </c>
      <c r="N62" s="5" t="str">
        <f>IFERROR(__xludf.DUMMYFUNCTION("GOOGLETRANSLATE(C62,""en"",""zh-CN"")"),"图片中展示的主要活动是什么？")</f>
        <v>图片中展示的主要活动是什么？</v>
      </c>
      <c r="O62" s="5" t="str">
        <f>IFERROR(__xludf.DUMMYFUNCTION("GOOGLETRANSLATE(D62,""en"",""zh-CN"")"),"一名男子正在跳舞。")</f>
        <v>一名男子正在跳舞。</v>
      </c>
      <c r="P62" s="5" t="str">
        <f>IFERROR(__xludf.DUMMYFUNCTION("GOOGLETRANSLATE(E62,""en"",""zh-CN"")"),"一名男子正在玩毽子。")</f>
        <v>一名男子正在玩毽子。</v>
      </c>
      <c r="Q62" s="5" t="str">
        <f>IFERROR(__xludf.DUMMYFUNCTION("GOOGLETRANSLATE(F62,""en"",""zh-CN"")"),"一名男子正在表演武术动作。")</f>
        <v>一名男子正在表演武术动作。</v>
      </c>
      <c r="R62" s="5" t="str">
        <f>IFERROR(__xludf.DUMMYFUNCTION("GOOGLETRANSLATE(G62,""en"",""zh-CN"")"),"一名男子正在伸展身体。")</f>
        <v>一名男子正在伸展身体。</v>
      </c>
      <c r="S62" s="5" t="s">
        <v>2606</v>
      </c>
      <c r="T62" s="5" t="str">
        <f>IFERROR(__xludf.DUMMYFUNCTION("GOOGLETRANSLATE(H62,""en"",""zh-CN"")"),"一名男子正在玩毽子。")</f>
        <v>一名男子正在玩毽子。</v>
      </c>
      <c r="U62" s="5" t="str">
        <f>IFERROR(__xludf.DUMMYFUNCTION("GOOGLETRANSLATE(I62,""en"",""zh-CN"")"),"男子正做出踢毽子的动作，表明他正在玩这个传统游戏。")</f>
        <v>男子正做出踢毽子的动作，表明他正在玩这个传统游戏。</v>
      </c>
      <c r="V62" s="2"/>
      <c r="W62" s="2"/>
      <c r="X62" s="2"/>
      <c r="Y62" s="2"/>
      <c r="Z62" s="2"/>
      <c r="AA62" s="2"/>
      <c r="AB62" s="2"/>
      <c r="AC62" s="2"/>
      <c r="AD62" s="2"/>
      <c r="AE62" s="2"/>
      <c r="AF62" s="2"/>
      <c r="AG62" s="2"/>
      <c r="AH62" s="2"/>
      <c r="AI62" s="2"/>
      <c r="AJ62" s="2"/>
      <c r="AK62" s="2"/>
      <c r="AL62" s="2"/>
    </row>
    <row r="63" ht="22.5" customHeight="1">
      <c r="A63" s="3" t="s">
        <v>2711</v>
      </c>
      <c r="B63" s="4">
        <v>62.0</v>
      </c>
      <c r="C63" s="3" t="s">
        <v>2607</v>
      </c>
      <c r="D63" s="3" t="s">
        <v>2608</v>
      </c>
      <c r="E63" s="3" t="s">
        <v>2609</v>
      </c>
      <c r="F63" s="3" t="s">
        <v>2610</v>
      </c>
      <c r="G63" s="3" t="s">
        <v>2587</v>
      </c>
      <c r="H63" s="3" t="s">
        <v>2610</v>
      </c>
      <c r="I63" s="3" t="s">
        <v>2712</v>
      </c>
      <c r="J63" s="2"/>
      <c r="K63" s="2"/>
      <c r="L63" s="3" t="s">
        <v>2711</v>
      </c>
      <c r="M63" s="4">
        <v>62.0</v>
      </c>
      <c r="N63" s="5" t="str">
        <f>IFERROR(__xludf.DUMMYFUNCTION("GOOGLETRANSLATE(C63,""en"",""zh-CN"")"),"这个男人穿的是什么类型的衣服？")</f>
        <v>这个男人穿的是什么类型的衣服？</v>
      </c>
      <c r="O63" s="5" t="str">
        <f>IFERROR(__xludf.DUMMYFUNCTION("GOOGLETRANSLATE(D63,""en"",""zh-CN"")"),"一套正式西装。")</f>
        <v>一套正式西装。</v>
      </c>
      <c r="P63" s="5" t="str">
        <f>IFERROR(__xludf.DUMMYFUNCTION("GOOGLETRANSLATE(E63,""en"",""zh-CN"")"),"制服。")</f>
        <v>制服。</v>
      </c>
      <c r="Q63" s="5" t="str">
        <f>IFERROR(__xludf.DUMMYFUNCTION("GOOGLETRANSLATE(F63,""en"",""zh-CN"")"),"休闲宽松的服装。")</f>
        <v>休闲宽松的服装。</v>
      </c>
      <c r="R63" s="5" t="str">
        <f>IFERROR(__xludf.DUMMYFUNCTION("GOOGLETRANSLATE(G63,""en"",""zh-CN"")"),"运动装备。")</f>
        <v>运动装备。</v>
      </c>
      <c r="S63" s="5" t="s">
        <v>2612</v>
      </c>
      <c r="T63" s="5" t="str">
        <f>IFERROR(__xludf.DUMMYFUNCTION("GOOGLETRANSLATE(H63,""en"",""zh-CN"")"),"休闲宽松的服装。")</f>
        <v>休闲宽松的服装。</v>
      </c>
      <c r="U63" s="5" t="str">
        <f>IFERROR(__xludf.DUMMYFUNCTION("GOOGLETRANSLATE(I63,""en"",""zh-CN"")"),"这名男子身穿T恤和短裤，这是休闲娱乐时常见的装束。")</f>
        <v>这名男子身穿T恤和短裤，这是休闲娱乐时常见的装束。</v>
      </c>
      <c r="V63" s="2"/>
      <c r="W63" s="2"/>
      <c r="X63" s="2"/>
      <c r="Y63" s="2"/>
      <c r="Z63" s="2"/>
      <c r="AA63" s="2"/>
      <c r="AB63" s="2"/>
      <c r="AC63" s="2"/>
      <c r="AD63" s="2"/>
      <c r="AE63" s="2"/>
      <c r="AF63" s="2"/>
      <c r="AG63" s="2"/>
      <c r="AH63" s="2"/>
      <c r="AI63" s="2"/>
      <c r="AJ63" s="2"/>
      <c r="AK63" s="2"/>
      <c r="AL63" s="2"/>
    </row>
    <row r="64" ht="22.5" customHeight="1">
      <c r="A64" s="3" t="s">
        <v>2711</v>
      </c>
      <c r="B64" s="4">
        <v>63.0</v>
      </c>
      <c r="C64" s="3" t="s">
        <v>2443</v>
      </c>
      <c r="D64" s="3" t="s">
        <v>1198</v>
      </c>
      <c r="E64" s="3" t="s">
        <v>2613</v>
      </c>
      <c r="F64" s="3" t="s">
        <v>2446</v>
      </c>
      <c r="G64" s="3" t="s">
        <v>2713</v>
      </c>
      <c r="H64" s="3" t="s">
        <v>2713</v>
      </c>
      <c r="I64" s="3" t="s">
        <v>2714</v>
      </c>
      <c r="J64" s="2"/>
      <c r="K64" s="2"/>
      <c r="L64" s="3" t="s">
        <v>2711</v>
      </c>
      <c r="M64" s="4">
        <v>63.0</v>
      </c>
      <c r="N64" s="5" t="str">
        <f>IFERROR(__xludf.DUMMYFUNCTION("GOOGLETRANSLATE(C64,""en"",""zh-CN"")"),"这个游戏的背景设定是什么？")</f>
        <v>这个游戏的背景设定是什么？</v>
      </c>
      <c r="O64" s="5" t="str">
        <f>IFERROR(__xludf.DUMMYFUNCTION("GOOGLETRANSLATE(D64,""en"",""zh-CN"")"),"一座现代化的体育场馆。")</f>
        <v>一座现代化的体育场馆。</v>
      </c>
      <c r="P64" s="5" t="str">
        <f>IFERROR(__xludf.DUMMYFUNCTION("GOOGLETRANSLATE(E64,""en"",""zh-CN"")"),"一座传统的中国式公园。")</f>
        <v>一座传统的中国式公园。</v>
      </c>
      <c r="Q64" s="5" t="str">
        <f>IFERROR(__xludf.DUMMYFUNCTION("GOOGLETRANSLATE(F64,""en"",""zh-CN"")"),"室内体育馆。")</f>
        <v>室内体育馆。</v>
      </c>
      <c r="R64" s="5" t="str">
        <f>IFERROR(__xludf.DUMMYFUNCTION("GOOGLETRANSLATE(G64,""en"",""zh-CN"")"),"铺有石板的庭院，四周环绕着砖墙。")</f>
        <v>铺有石板的庭院，四周环绕着砖墙。</v>
      </c>
      <c r="S64" s="5" t="s">
        <v>2715</v>
      </c>
      <c r="T64" s="5" t="str">
        <f>IFERROR(__xludf.DUMMYFUNCTION("GOOGLETRANSLATE(H64,""en"",""zh-CN"")"),"铺有石板的庭院，四周环绕着砖墙。")</f>
        <v>铺有石板的庭院，四周环绕着砖墙。</v>
      </c>
      <c r="U64" s="5" t="str">
        <f>IFERROR(__xludf.DUMMYFUNCTION("GOOGLETRANSLATE(I64,""en"",""zh-CN"")"),"图片显示的是蓝色砖墙前的铺砌区域，暗示着户外的城市环境。")</f>
        <v>图片显示的是蓝色砖墙前的铺砌区域，暗示着户外的城市环境。</v>
      </c>
      <c r="V64" s="2"/>
      <c r="W64" s="2"/>
      <c r="X64" s="2"/>
      <c r="Y64" s="2"/>
      <c r="Z64" s="2"/>
      <c r="AA64" s="2"/>
      <c r="AB64" s="2"/>
      <c r="AC64" s="2"/>
      <c r="AD64" s="2"/>
      <c r="AE64" s="2"/>
      <c r="AF64" s="2"/>
      <c r="AG64" s="2"/>
      <c r="AH64" s="2"/>
      <c r="AI64" s="2"/>
      <c r="AJ64" s="2"/>
      <c r="AK64" s="2"/>
      <c r="AL64" s="2"/>
    </row>
    <row r="65" ht="22.5" customHeight="1">
      <c r="A65" s="3" t="s">
        <v>2711</v>
      </c>
      <c r="B65" s="4">
        <v>64.0</v>
      </c>
      <c r="C65" s="3" t="s">
        <v>2716</v>
      </c>
      <c r="D65" s="3" t="s">
        <v>2717</v>
      </c>
      <c r="E65" s="3" t="s">
        <v>2718</v>
      </c>
      <c r="F65" s="3" t="s">
        <v>2719</v>
      </c>
      <c r="G65" s="3" t="s">
        <v>2720</v>
      </c>
      <c r="H65" s="3" t="s">
        <v>2718</v>
      </c>
      <c r="I65" s="3" t="s">
        <v>2721</v>
      </c>
      <c r="J65" s="2"/>
      <c r="K65" s="2"/>
      <c r="L65" s="3" t="s">
        <v>2711</v>
      </c>
      <c r="M65" s="4">
        <v>64.0</v>
      </c>
      <c r="N65" s="5" t="str">
        <f>IFERROR(__xludf.DUMMYFUNCTION("GOOGLETRANSLATE(C65,""en"",""zh-CN"")"),"这个带羽毛的物体有什么用途？")</f>
        <v>这个带羽毛的物体有什么用途？</v>
      </c>
      <c r="O65" s="5" t="str">
        <f>IFERROR(__xludf.DUMMYFUNCTION("GOOGLETRANSLATE(D65,""en"",""zh-CN"")"),"这是一个玩具。")</f>
        <v>这是一个玩具。</v>
      </c>
      <c r="P65" s="5" t="str">
        <f>IFERROR(__xludf.DUMMYFUNCTION("GOOGLETRANSLATE(E65,""en"",""zh-CN"")"),"这是正在被踢的羽毛球。")</f>
        <v>这是正在被踢的羽毛球。</v>
      </c>
      <c r="Q65" s="5" t="str">
        <f>IFERROR(__xludf.DUMMYFUNCTION("GOOGLETRANSLATE(F65,""en"",""zh-CN"")"),"它是一件装饰品。")</f>
        <v>它是一件装饰品。</v>
      </c>
      <c r="R65" s="5" t="str">
        <f>IFERROR(__xludf.DUMMYFUNCTION("GOOGLETRANSLATE(G65,""en"",""zh-CN"")"),"它是一种拉伸工具。")</f>
        <v>它是一种拉伸工具。</v>
      </c>
      <c r="S65" s="5" t="s">
        <v>2722</v>
      </c>
      <c r="T65" s="5" t="str">
        <f>IFERROR(__xludf.DUMMYFUNCTION("GOOGLETRANSLATE(H65,""en"",""zh-CN"")"),"这是正在被踢的羽毛球。")</f>
        <v>这是正在被踢的羽毛球。</v>
      </c>
      <c r="U65" s="5" t="str">
        <f>IFERROR(__xludf.DUMMYFUNCTION("GOOGLETRANSLATE(I65,""en"",""zh-CN"")"),"羽毛状物体是毽子，男子的姿势表明他正在踢毽子。")</f>
        <v>羽毛状物体是毽子，男子的姿势表明他正在踢毽子。</v>
      </c>
      <c r="V65" s="2"/>
      <c r="W65" s="2"/>
      <c r="X65" s="2"/>
      <c r="Y65" s="2"/>
      <c r="Z65" s="2"/>
      <c r="AA65" s="2"/>
      <c r="AB65" s="2"/>
      <c r="AC65" s="2"/>
      <c r="AD65" s="2"/>
      <c r="AE65" s="2"/>
      <c r="AF65" s="2"/>
      <c r="AG65" s="2"/>
      <c r="AH65" s="2"/>
      <c r="AI65" s="2"/>
      <c r="AJ65" s="2"/>
      <c r="AK65" s="2"/>
      <c r="AL65" s="2"/>
    </row>
    <row r="66" ht="22.5" customHeight="1">
      <c r="A66" s="3" t="s">
        <v>2711</v>
      </c>
      <c r="B66" s="4">
        <v>65.0</v>
      </c>
      <c r="C66" s="3" t="s">
        <v>2456</v>
      </c>
      <c r="D66" s="3" t="s">
        <v>2457</v>
      </c>
      <c r="E66" s="3" t="s">
        <v>2459</v>
      </c>
      <c r="F66" s="3" t="s">
        <v>2460</v>
      </c>
      <c r="G66" s="3" t="s">
        <v>2458</v>
      </c>
      <c r="H66" s="3" t="s">
        <v>2459</v>
      </c>
      <c r="I66" s="3" t="s">
        <v>2461</v>
      </c>
      <c r="J66" s="2"/>
      <c r="K66" s="2"/>
      <c r="L66" s="3" t="s">
        <v>2711</v>
      </c>
      <c r="M66" s="4">
        <v>65.0</v>
      </c>
      <c r="N66" s="5" t="str">
        <f>IFERROR(__xludf.DUMMYFUNCTION("GOOGLETRANSLATE(C66,""en"",""zh-CN"")"),"要想有效演奏戌子，需要掌握哪些关键技能？")</f>
        <v>要想有效演奏戌子，需要掌握哪些关键技能？</v>
      </c>
      <c r="O66" s="5" t="str">
        <f>IFERROR(__xludf.DUMMYFUNCTION("GOOGLETRANSLATE(D66,""en"",""zh-CN"")"),"手眼协调能力。")</f>
        <v>手眼协调能力。</v>
      </c>
      <c r="P66" s="5" t="str">
        <f>IFERROR(__xludf.DUMMYFUNCTION("GOOGLETRANSLATE(E66,""en"",""zh-CN"")"),"腿部力量和敏捷性。")</f>
        <v>腿部力量和敏捷性。</v>
      </c>
      <c r="Q66" s="5" t="str">
        <f>IFERROR(__xludf.DUMMYFUNCTION("GOOGLETRANSLATE(F66,""en"",""zh-CN"")"),"跑步速度。")</f>
        <v>跑步速度。</v>
      </c>
      <c r="R66" s="5" t="str">
        <f>IFERROR(__xludf.DUMMYFUNCTION("GOOGLETRANSLATE(G66,""en"",""zh-CN"")"),"上肢力量。")</f>
        <v>上肢力量。</v>
      </c>
      <c r="S66" s="5" t="s">
        <v>2557</v>
      </c>
      <c r="T66" s="5" t="str">
        <f>IFERROR(__xludf.DUMMYFUNCTION("GOOGLETRANSLATE(H66,""en"",""zh-CN"")"),"腿部力量和敏捷性。")</f>
        <v>腿部力量和敏捷性。</v>
      </c>
      <c r="U66" s="5" t="str">
        <f>IFERROR(__xludf.DUMMYFUNCTION("GOOGLETRANSLATE(I66,""en"",""zh-CN"")"),"这项运动依赖于用脚控制和保持羽毛球在空中的能力，这需要极佳的腿部力量和敏捷性。")</f>
        <v>这项运动依赖于用脚控制和保持羽毛球在空中的能力，这需要极佳的腿部力量和敏捷性。</v>
      </c>
      <c r="V66" s="2"/>
      <c r="W66" s="2"/>
      <c r="X66" s="2"/>
      <c r="Y66" s="2"/>
      <c r="Z66" s="2"/>
      <c r="AA66" s="2"/>
      <c r="AB66" s="2"/>
      <c r="AC66" s="2"/>
      <c r="AD66" s="2"/>
      <c r="AE66" s="2"/>
      <c r="AF66" s="2"/>
      <c r="AG66" s="2"/>
      <c r="AH66" s="2"/>
      <c r="AI66" s="2"/>
      <c r="AJ66" s="2"/>
      <c r="AK66" s="2"/>
      <c r="AL66" s="2"/>
    </row>
    <row r="67" ht="22.5" customHeight="1">
      <c r="A67" s="3" t="s">
        <v>2723</v>
      </c>
      <c r="B67" s="4">
        <v>66.0</v>
      </c>
      <c r="C67" s="3" t="s">
        <v>1239</v>
      </c>
      <c r="D67" s="3" t="s">
        <v>2724</v>
      </c>
      <c r="E67" s="3" t="s">
        <v>2725</v>
      </c>
      <c r="F67" s="3" t="s">
        <v>2726</v>
      </c>
      <c r="G67" s="3" t="s">
        <v>2727</v>
      </c>
      <c r="H67" s="3" t="s">
        <v>2724</v>
      </c>
      <c r="I67" s="3" t="s">
        <v>2728</v>
      </c>
      <c r="J67" s="2"/>
      <c r="K67" s="2"/>
      <c r="L67" s="3" t="s">
        <v>2723</v>
      </c>
      <c r="M67" s="4">
        <v>66.0</v>
      </c>
      <c r="N67" s="5" t="str">
        <f>IFERROR(__xludf.DUMMYFUNCTION("GOOGLETRANSLATE(C67,""en"",""zh-CN"")"),"图片中展示的主要活动是什么？")</f>
        <v>图片中展示的主要活动是什么？</v>
      </c>
      <c r="O67" s="5" t="str">
        <f>IFERROR(__xludf.DUMMYFUNCTION("GOOGLETRANSLATE(D67,""en"",""zh-CN"")"),"一男一女正在玩毽子。")</f>
        <v>一男一女正在玩毽子。</v>
      </c>
      <c r="P67" s="5" t="str">
        <f>IFERROR(__xludf.DUMMYFUNCTION("GOOGLETRANSLATE(E67,""en"",""zh-CN"")"),"一男一女正在打羽毛球。")</f>
        <v>一男一女正在打羽毛球。</v>
      </c>
      <c r="Q67" s="5" t="str">
        <f>IFERROR(__xludf.DUMMYFUNCTION("GOOGLETRANSLATE(F67,""en"",""zh-CN"")"),"一男一女正在打乒乓球。")</f>
        <v>一男一女正在打乒乓球。</v>
      </c>
      <c r="R67" s="5" t="str">
        <f>IFERROR(__xludf.DUMMYFUNCTION("GOOGLETRANSLATE(G67,""en"",""zh-CN"")"),"一男一女正在玩抛接球游戏。")</f>
        <v>一男一女正在玩抛接球游戏。</v>
      </c>
      <c r="S67" s="5" t="s">
        <v>2729</v>
      </c>
      <c r="T67" s="5" t="str">
        <f>IFERROR(__xludf.DUMMYFUNCTION("GOOGLETRANSLATE(H67,""en"",""zh-CN"")"),"一男一女正在玩毽子。")</f>
        <v>一男一女正在玩毽子。</v>
      </c>
      <c r="U67" s="5" t="str">
        <f>IFERROR(__xludf.DUMMYFUNCTION("GOOGLETRANSLATE(I67,""en"",""zh-CN"")"),"男女手中拿着小球拍和一个球状物体，这是拍子的变体，也称为“球拍拍子”。")</f>
        <v>男女手中拿着小球拍和一个球状物体，这是拍子的变体，也称为“球拍拍子”。</v>
      </c>
      <c r="V67" s="2"/>
      <c r="W67" s="2"/>
      <c r="X67" s="2"/>
      <c r="Y67" s="2"/>
      <c r="Z67" s="2"/>
      <c r="AA67" s="2"/>
      <c r="AB67" s="2"/>
      <c r="AC67" s="2"/>
      <c r="AD67" s="2"/>
      <c r="AE67" s="2"/>
      <c r="AF67" s="2"/>
      <c r="AG67" s="2"/>
      <c r="AH67" s="2"/>
      <c r="AI67" s="2"/>
      <c r="AJ67" s="2"/>
      <c r="AK67" s="2"/>
      <c r="AL67" s="2"/>
    </row>
    <row r="68" ht="22.5" customHeight="1">
      <c r="A68" s="3" t="s">
        <v>2723</v>
      </c>
      <c r="B68" s="4">
        <v>67.0</v>
      </c>
      <c r="C68" s="3" t="s">
        <v>2681</v>
      </c>
      <c r="D68" s="3" t="s">
        <v>2730</v>
      </c>
      <c r="E68" s="3" t="s">
        <v>2731</v>
      </c>
      <c r="F68" s="3" t="s">
        <v>2684</v>
      </c>
      <c r="G68" s="3" t="s">
        <v>2685</v>
      </c>
      <c r="H68" s="3" t="s">
        <v>2730</v>
      </c>
      <c r="I68" s="3" t="s">
        <v>2732</v>
      </c>
      <c r="J68" s="2"/>
      <c r="K68" s="2"/>
      <c r="L68" s="3" t="s">
        <v>2723</v>
      </c>
      <c r="M68" s="4">
        <v>67.0</v>
      </c>
      <c r="N68" s="5" t="str">
        <f>IFERROR(__xludf.DUMMYFUNCTION("GOOGLETRANSLATE(C68,""en"",""zh-CN"")"),"这种游戏与传统毽子有什么显著区别？")</f>
        <v>这种游戏与传统毽子有什么显著区别？</v>
      </c>
      <c r="O68" s="5" t="str">
        <f>IFERROR(__xludf.DUMMYFUNCTION("GOOGLETRANSLATE(D68,""en"",""zh-CN"")"),"使用小型球拍。")</f>
        <v>使用小型球拍。</v>
      </c>
      <c r="P68" s="5" t="str">
        <f>IFERROR(__xludf.DUMMYFUNCTION("GOOGLETRANSLATE(E68,""en"",""zh-CN"")"),"用球代替羽毛球。")</f>
        <v>用球代替羽毛球。</v>
      </c>
      <c r="Q68" s="5" t="str">
        <f>IFERROR(__xludf.DUMMYFUNCTION("GOOGLETRANSLATE(F68,""en"",""zh-CN"")"),"玩家人数。")</f>
        <v>玩家人数。</v>
      </c>
      <c r="R68" s="5" t="str">
        <f>IFERROR(__xludf.DUMMYFUNCTION("GOOGLETRANSLATE(G68,""en"",""zh-CN"")"),"使用脚。")</f>
        <v>使用脚。</v>
      </c>
      <c r="S68" s="5" t="s">
        <v>2733</v>
      </c>
      <c r="T68" s="5" t="str">
        <f>IFERROR(__xludf.DUMMYFUNCTION("GOOGLETRANSLATE(H68,""en"",""zh-CN"")"),"使用小型球拍。")</f>
        <v>使用小型球拍。</v>
      </c>
      <c r="U68" s="5" t="str">
        <f>IFERROR(__xludf.DUMMYFUNCTION("GOOGLETRANSLATE(I68,""en"",""zh-CN"")"),"这种剑式变体使用小型桨状球拍击球，而传统剑式则是用脚击球。")</f>
        <v>这种剑式变体使用小型桨状球拍击球，而传统剑式则是用脚击球。</v>
      </c>
      <c r="V68" s="2"/>
      <c r="W68" s="2"/>
      <c r="X68" s="2"/>
      <c r="Y68" s="2"/>
      <c r="Z68" s="2"/>
      <c r="AA68" s="2"/>
      <c r="AB68" s="2"/>
      <c r="AC68" s="2"/>
      <c r="AD68" s="2"/>
      <c r="AE68" s="2"/>
      <c r="AF68" s="2"/>
      <c r="AG68" s="2"/>
      <c r="AH68" s="2"/>
      <c r="AI68" s="2"/>
      <c r="AJ68" s="2"/>
      <c r="AK68" s="2"/>
      <c r="AL68" s="2"/>
    </row>
    <row r="69" ht="22.5" customHeight="1">
      <c r="A69" s="3" t="s">
        <v>2723</v>
      </c>
      <c r="B69" s="4">
        <v>68.0</v>
      </c>
      <c r="C69" s="3" t="s">
        <v>2734</v>
      </c>
      <c r="D69" s="3" t="s">
        <v>2551</v>
      </c>
      <c r="E69" s="3" t="s">
        <v>2554</v>
      </c>
      <c r="F69" s="3" t="s">
        <v>2735</v>
      </c>
      <c r="G69" s="3" t="s">
        <v>2428</v>
      </c>
      <c r="H69" s="3" t="s">
        <v>2735</v>
      </c>
      <c r="I69" s="3" t="s">
        <v>2736</v>
      </c>
      <c r="J69" s="2"/>
      <c r="K69" s="2"/>
      <c r="L69" s="3" t="s">
        <v>2723</v>
      </c>
      <c r="M69" s="4">
        <v>68.0</v>
      </c>
      <c r="N69" s="5" t="str">
        <f>IFERROR(__xludf.DUMMYFUNCTION("GOOGLETRANSLATE(C69,""en"",""zh-CN"")"),"玩家们身处类似公园的公共环境中。这暗示着比赛的什么特点？")</f>
        <v>玩家们身处类似公园的公共环境中。这暗示着比赛的什么特点？</v>
      </c>
      <c r="O69" s="5" t="str">
        <f>IFERROR(__xludf.DUMMYFUNCTION("GOOGLETRANSLATE(D69,""en"",""zh-CN"")"),"这是一项非常正式的运动。")</f>
        <v>这是一项非常正式的运动。</v>
      </c>
      <c r="P69" s="5" t="str">
        <f>IFERROR(__xludf.DUMMYFUNCTION("GOOGLETRANSLATE(E69,""en"",""zh-CN"")"),"这是一项竞技性运动。")</f>
        <v>这是一项竞技性运动。</v>
      </c>
      <c r="Q69" s="5" t="str">
        <f>IFERROR(__xludf.DUMMYFUNCTION("GOOGLETRANSLATE(F69,""en"",""zh-CN"")"),"这是一种在公共场所很受欢迎的休闲消遣活动。")</f>
        <v>这是一种在公共场所很受欢迎的休闲消遣活动。</v>
      </c>
      <c r="R69" s="5" t="str">
        <f>IFERROR(__xludf.DUMMYFUNCTION("GOOGLETRANSLATE(G69,""en"",""zh-CN"")"),"这是一项职业体育运动。")</f>
        <v>这是一项职业体育运动。</v>
      </c>
      <c r="S69" s="5" t="s">
        <v>2737</v>
      </c>
      <c r="T69" s="5" t="str">
        <f>IFERROR(__xludf.DUMMYFUNCTION("GOOGLETRANSLATE(H69,""en"",""zh-CN"")"),"这是一种在公共场所很受欢迎的休闲消遣活动。")</f>
        <v>这是一种在公共场所很受欢迎的休闲消遣活动。</v>
      </c>
      <c r="U69" s="5" t="str">
        <f>IFERROR(__xludf.DUMMYFUNCTION("GOOGLETRANSLATE(I69,""en"",""zh-CN"")"),"球员们身处公园，穿着日常服装，这表明这场比赛是一种轻松的社交消遣。")</f>
        <v>球员们身处公园，穿着日常服装，这表明这场比赛是一种轻松的社交消遣。</v>
      </c>
      <c r="V69" s="2"/>
      <c r="W69" s="2"/>
      <c r="X69" s="2"/>
      <c r="Y69" s="2"/>
      <c r="Z69" s="2"/>
      <c r="AA69" s="2"/>
      <c r="AB69" s="2"/>
      <c r="AC69" s="2"/>
      <c r="AD69" s="2"/>
      <c r="AE69" s="2"/>
      <c r="AF69" s="2"/>
      <c r="AG69" s="2"/>
      <c r="AH69" s="2"/>
      <c r="AI69" s="2"/>
      <c r="AJ69" s="2"/>
      <c r="AK69" s="2"/>
      <c r="AL69" s="2"/>
    </row>
    <row r="70" ht="22.5" customHeight="1">
      <c r="A70" s="3" t="s">
        <v>2723</v>
      </c>
      <c r="B70" s="4">
        <v>69.0</v>
      </c>
      <c r="C70" s="3" t="s">
        <v>878</v>
      </c>
      <c r="D70" s="3" t="s">
        <v>2738</v>
      </c>
      <c r="E70" s="3" t="s">
        <v>2053</v>
      </c>
      <c r="F70" s="3" t="s">
        <v>2739</v>
      </c>
      <c r="G70" s="3" t="s">
        <v>2740</v>
      </c>
      <c r="H70" s="3" t="s">
        <v>2739</v>
      </c>
      <c r="I70" s="3" t="s">
        <v>2741</v>
      </c>
      <c r="J70" s="2"/>
      <c r="K70" s="2"/>
      <c r="L70" s="3" t="s">
        <v>2723</v>
      </c>
      <c r="M70" s="4">
        <v>69.0</v>
      </c>
      <c r="N70" s="5" t="str">
        <f>IFERROR(__xludf.DUMMYFUNCTION("GOOGLETRANSLATE(C70,""en"",""zh-CN"")"),"由此可以推断出这些球员的社会地位如何？")</f>
        <v>由此可以推断出这些球员的社会地位如何？</v>
      </c>
      <c r="O70" s="5" t="str">
        <f>IFERROR(__xludf.DUMMYFUNCTION("GOOGLETRANSLATE(D70,""en"",""zh-CN"")"),"他们都是专业人士。")</f>
        <v>他们都是专业人士。</v>
      </c>
      <c r="P70" s="5" t="str">
        <f>IFERROR(__xludf.DUMMYFUNCTION("GOOGLETRANSLATE(E70,""en"",""zh-CN"")"),"他们家境富裕，社会地位显赫。")</f>
        <v>他们家境富裕，社会地位显赫。</v>
      </c>
      <c r="Q70" s="5" t="str">
        <f>IFERROR(__xludf.DUMMYFUNCTION("GOOGLETRANSLATE(F70,""en"",""zh-CN"")"),"他们年纪较大。")</f>
        <v>他们年纪较大。</v>
      </c>
      <c r="R70" s="5" t="str">
        <f>IFERROR(__xludf.DUMMYFUNCTION("GOOGLETRANSLATE(G70,""en"",""zh-CN"")"),"他们年轻且体格健壮。")</f>
        <v>他们年轻且体格健壮。</v>
      </c>
      <c r="S70" s="5" t="s">
        <v>2742</v>
      </c>
      <c r="T70" s="5" t="str">
        <f>IFERROR(__xludf.DUMMYFUNCTION("GOOGLETRANSLATE(H70,""en"",""zh-CN"")"),"他们年纪较大。")</f>
        <v>他们年纪较大。</v>
      </c>
      <c r="U70" s="5" t="str">
        <f>IFERROR(__xludf.DUMMYFUNCTION("GOOGLETRANSLATE(I70,""en"",""zh-CN"")"),"这两个主要人物看起来都比较年长，这表明这款游戏在老年人中很受欢迎，而且老年人也能轻松上手。")</f>
        <v>这两个主要人物看起来都比较年长，这表明这款游戏在老年人中很受欢迎，而且老年人也能轻松上手。</v>
      </c>
      <c r="V70" s="2"/>
      <c r="W70" s="2"/>
      <c r="X70" s="2"/>
      <c r="Y70" s="2"/>
      <c r="Z70" s="2"/>
      <c r="AA70" s="2"/>
      <c r="AB70" s="2"/>
      <c r="AC70" s="2"/>
      <c r="AD70" s="2"/>
      <c r="AE70" s="2"/>
      <c r="AF70" s="2"/>
      <c r="AG70" s="2"/>
      <c r="AH70" s="2"/>
      <c r="AI70" s="2"/>
      <c r="AJ70" s="2"/>
      <c r="AK70" s="2"/>
      <c r="AL70" s="2"/>
    </row>
    <row r="71" ht="22.5" customHeight="1">
      <c r="A71" s="3" t="s">
        <v>2723</v>
      </c>
      <c r="B71" s="4">
        <v>70.0</v>
      </c>
      <c r="C71" s="3" t="s">
        <v>2743</v>
      </c>
      <c r="D71" s="3" t="s">
        <v>2744</v>
      </c>
      <c r="E71" s="3" t="s">
        <v>2745</v>
      </c>
      <c r="F71" s="3" t="s">
        <v>2746</v>
      </c>
      <c r="G71" s="3" t="s">
        <v>2747</v>
      </c>
      <c r="H71" s="3" t="s">
        <v>2744</v>
      </c>
      <c r="I71" s="3" t="s">
        <v>2748</v>
      </c>
      <c r="J71" s="2"/>
      <c r="K71" s="2"/>
      <c r="L71" s="3" t="s">
        <v>2723</v>
      </c>
      <c r="M71" s="4">
        <v>70.0</v>
      </c>
      <c r="N71" s="5" t="str">
        <f>IFERROR(__xludf.DUMMYFUNCTION("GOOGLETRANSLATE(C71,""en"",""zh-CN"")"),"这名男子握球拍的姿势很奇怪。这可能是什么原因造成的？")</f>
        <v>这名男子握球拍的姿势很奇怪。这可能是什么原因造成的？</v>
      </c>
      <c r="O71" s="5" t="str">
        <f>IFERROR(__xludf.DUMMYFUNCTION("GOOGLETRANSLATE(D71,""en"",""zh-CN"")"),"他是个新手。")</f>
        <v>他是个新手。</v>
      </c>
      <c r="P71" s="5" t="str">
        <f>IFERROR(__xludf.DUMMYFUNCTION("GOOGLETRANSLATE(E71,""en"",""zh-CN"")"),"他是一名职业球员。")</f>
        <v>他是一名职业球员。</v>
      </c>
      <c r="Q71" s="5" t="str">
        <f>IFERROR(__xludf.DUMMYFUNCTION("GOOGLETRANSLATE(F71,""en"",""zh-CN"")"),"他展示的是球拍的背面。")</f>
        <v>他展示的是球拍的背面。</v>
      </c>
      <c r="R71" s="5" t="str">
        <f>IFERROR(__xludf.DUMMYFUNCTION("GOOGLETRANSLATE(G71,""en"",""zh-CN"")"),"他即将击球。")</f>
        <v>他即将击球。</v>
      </c>
      <c r="S71" s="5" t="s">
        <v>2749</v>
      </c>
      <c r="T71" s="5" t="str">
        <f>IFERROR(__xludf.DUMMYFUNCTION("GOOGLETRANSLATE(H71,""en"",""zh-CN"")"),"他是个新手。")</f>
        <v>他是个新手。</v>
      </c>
      <c r="U71" s="5" t="str">
        <f>IFERROR(__xludf.DUMMYFUNCTION("GOOGLETRANSLATE(I71,""en"",""zh-CN"")"),"从男子的姿势和握拍方式来看，他应该是业余选手或初学者，而不是职业选手。")</f>
        <v>从男子的姿势和握拍方式来看，他应该是业余选手或初学者，而不是职业选手。</v>
      </c>
      <c r="V71" s="2"/>
      <c r="W71" s="2"/>
      <c r="X71" s="2"/>
      <c r="Y71" s="2"/>
      <c r="Z71" s="2"/>
      <c r="AA71" s="2"/>
      <c r="AB71" s="2"/>
      <c r="AC71" s="2"/>
      <c r="AD71" s="2"/>
      <c r="AE71" s="2"/>
      <c r="AF71" s="2"/>
      <c r="AG71" s="2"/>
      <c r="AH71" s="2"/>
      <c r="AI71" s="2"/>
      <c r="AJ71" s="2"/>
      <c r="AK71" s="2"/>
      <c r="AL71" s="2"/>
    </row>
    <row r="72" ht="22.5" customHeight="1">
      <c r="A72" s="3" t="s">
        <v>2750</v>
      </c>
      <c r="B72" s="4">
        <v>71.0</v>
      </c>
      <c r="C72" s="3" t="s">
        <v>1239</v>
      </c>
      <c r="D72" s="3" t="s">
        <v>2751</v>
      </c>
      <c r="E72" s="3" t="s">
        <v>2752</v>
      </c>
      <c r="F72" s="3" t="s">
        <v>2753</v>
      </c>
      <c r="G72" s="3" t="s">
        <v>2754</v>
      </c>
      <c r="H72" s="3" t="s">
        <v>2752</v>
      </c>
      <c r="I72" s="3" t="s">
        <v>2755</v>
      </c>
      <c r="J72" s="2"/>
      <c r="K72" s="2"/>
      <c r="L72" s="3" t="s">
        <v>2750</v>
      </c>
      <c r="M72" s="4">
        <v>71.0</v>
      </c>
      <c r="N72" s="5" t="str">
        <f>IFERROR(__xludf.DUMMYFUNCTION("GOOGLETRANSLATE(C72,""en"",""zh-CN"")"),"图片中展示的主要活动是什么？")</f>
        <v>图片中展示的主要活动是什么？</v>
      </c>
      <c r="O72" s="5" t="str">
        <f>IFERROR(__xludf.DUMMYFUNCTION("GOOGLETRANSLATE(D72,""en"",""zh-CN"")"),"一群人在伸展身体。")</f>
        <v>一群人在伸展身体。</v>
      </c>
      <c r="P72" s="5" t="str">
        <f>IFERROR(__xludf.DUMMYFUNCTION("GOOGLETRANSLATE(E72,""en"",""zh-CN"")"),"一群人正在玩毽子。")</f>
        <v>一群人正在玩毽子。</v>
      </c>
      <c r="Q72" s="5" t="str">
        <f>IFERROR(__xludf.DUMMYFUNCTION("GOOGLETRANSLATE(F72,""en"",""zh-CN"")"),"一群人在交谈。")</f>
        <v>一群人在交谈。</v>
      </c>
      <c r="R72" s="5" t="str">
        <f>IFERROR(__xludf.DUMMYFUNCTION("GOOGLETRANSLATE(G72,""en"",""zh-CN"")"),"一群人正在行走。")</f>
        <v>一群人正在行走。</v>
      </c>
      <c r="S72" s="5" t="s">
        <v>2756</v>
      </c>
      <c r="T72" s="5" t="str">
        <f>IFERROR(__xludf.DUMMYFUNCTION("GOOGLETRANSLATE(H72,""en"",""zh-CN"")"),"一群人正在玩毽子。")</f>
        <v>一群人正在玩毽子。</v>
      </c>
      <c r="U72" s="5" t="str">
        <f>IFERROR(__xludf.DUMMYFUNCTION("GOOGLETRANSLATE(I72,""en"",""zh-CN"")"),"图片显示一群人，其中一名女子正在踢毽子，另外两人正在观看，表明他们正在玩毽子游戏。")</f>
        <v>图片显示一群人，其中一名女子正在踢毽子，另外两人正在观看，表明他们正在玩毽子游戏。</v>
      </c>
      <c r="V72" s="2"/>
      <c r="W72" s="2"/>
      <c r="X72" s="2"/>
      <c r="Y72" s="2"/>
      <c r="Z72" s="2"/>
      <c r="AA72" s="2"/>
      <c r="AB72" s="2"/>
      <c r="AC72" s="2"/>
      <c r="AD72" s="2"/>
      <c r="AE72" s="2"/>
      <c r="AF72" s="2"/>
      <c r="AG72" s="2"/>
      <c r="AH72" s="2"/>
      <c r="AI72" s="2"/>
      <c r="AJ72" s="2"/>
      <c r="AK72" s="2"/>
      <c r="AL72" s="2"/>
    </row>
    <row r="73" ht="22.5" customHeight="1">
      <c r="A73" s="3" t="s">
        <v>2750</v>
      </c>
      <c r="B73" s="4">
        <v>72.0</v>
      </c>
      <c r="C73" s="3" t="s">
        <v>2411</v>
      </c>
      <c r="D73" s="3" t="s">
        <v>2414</v>
      </c>
      <c r="E73" s="3" t="s">
        <v>2757</v>
      </c>
      <c r="F73" s="3" t="s">
        <v>2547</v>
      </c>
      <c r="G73" s="3" t="s">
        <v>2758</v>
      </c>
      <c r="H73" s="3" t="s">
        <v>2757</v>
      </c>
      <c r="I73" s="3" t="s">
        <v>2759</v>
      </c>
      <c r="J73" s="2"/>
      <c r="K73" s="2"/>
      <c r="L73" s="3" t="s">
        <v>2750</v>
      </c>
      <c r="M73" s="4">
        <v>72.0</v>
      </c>
      <c r="N73" s="5" t="str">
        <f>IFERROR(__xludf.DUMMYFUNCTION("GOOGLETRANSLATE(C73,""en"",""zh-CN"")"),"羽毛球的一个显著特点是什么？")</f>
        <v>羽毛球的一个显著特点是什么？</v>
      </c>
      <c r="O73" s="5" t="str">
        <f>IFERROR(__xludf.DUMMYFUNCTION("GOOGLETRANSLATE(D73,""en"",""zh-CN"")"),"这是一个现代足球。")</f>
        <v>这是一个现代足球。</v>
      </c>
      <c r="P73" s="5" t="str">
        <f>IFERROR(__xludf.DUMMYFUNCTION("GOOGLETRANSLATE(E73,""en"",""zh-CN"")"),"这是一只传统的蛰子，羽毛有黄色和粉色两种颜色。")</f>
        <v>这是一只传统的蛰子，羽毛有黄色和粉色两种颜色。</v>
      </c>
      <c r="Q73" s="5" t="str">
        <f>IFERROR(__xludf.DUMMYFUNCTION("GOOGLETRANSLATE(F73,""en"",""zh-CN"")"),"这是一个羽毛球。")</f>
        <v>这是一个羽毛球。</v>
      </c>
      <c r="R73" s="5" t="str">
        <f>IFERROR(__xludf.DUMMYFUNCTION("GOOGLETRANSLATE(G73,""en"",""zh-CN"")"),"这是一个塑料玩具。")</f>
        <v>这是一个塑料玩具。</v>
      </c>
      <c r="S73" s="5" t="s">
        <v>2760</v>
      </c>
      <c r="T73" s="5" t="str">
        <f>IFERROR(__xludf.DUMMYFUNCTION("GOOGLETRANSLATE(H73,""en"",""zh-CN"")"),"这是一只传统的蛰子，羽毛有黄色和粉色两种颜色。")</f>
        <v>这是一只传统的蛰子，羽毛有黄色和粉色两种颜色。</v>
      </c>
      <c r="U73" s="5" t="str">
        <f>IFERROR(__xludf.DUMMYFUNCTION("GOOGLETRANSLATE(I73,""en"",""zh-CN"")"),"毽子由底座和一系列黄色和粉色的羽毛组成，这是毽子的经典设计。")</f>
        <v>毽子由底座和一系列黄色和粉色的羽毛组成，这是毽子的经典设计。</v>
      </c>
      <c r="V73" s="2"/>
      <c r="W73" s="2"/>
      <c r="X73" s="2"/>
      <c r="Y73" s="2"/>
      <c r="Z73" s="2"/>
      <c r="AA73" s="2"/>
      <c r="AB73" s="2"/>
      <c r="AC73" s="2"/>
      <c r="AD73" s="2"/>
      <c r="AE73" s="2"/>
      <c r="AF73" s="2"/>
      <c r="AG73" s="2"/>
      <c r="AH73" s="2"/>
      <c r="AI73" s="2"/>
      <c r="AJ73" s="2"/>
      <c r="AK73" s="2"/>
      <c r="AL73" s="2"/>
    </row>
    <row r="74" ht="22.5" customHeight="1">
      <c r="A74" s="3" t="s">
        <v>2750</v>
      </c>
      <c r="B74" s="4">
        <v>73.0</v>
      </c>
      <c r="C74" s="3" t="s">
        <v>2443</v>
      </c>
      <c r="D74" s="3" t="s">
        <v>1198</v>
      </c>
      <c r="E74" s="3" t="s">
        <v>2613</v>
      </c>
      <c r="F74" s="3" t="s">
        <v>2446</v>
      </c>
      <c r="G74" s="3" t="s">
        <v>2614</v>
      </c>
      <c r="H74" s="3" t="s">
        <v>2613</v>
      </c>
      <c r="I74" s="3" t="s">
        <v>2615</v>
      </c>
      <c r="J74" s="2"/>
      <c r="K74" s="2"/>
      <c r="L74" s="3" t="s">
        <v>2750</v>
      </c>
      <c r="M74" s="4">
        <v>73.0</v>
      </c>
      <c r="N74" s="5" t="str">
        <f>IFERROR(__xludf.DUMMYFUNCTION("GOOGLETRANSLATE(C74,""en"",""zh-CN"")"),"这个游戏的背景设定是什么？")</f>
        <v>这个游戏的背景设定是什么？</v>
      </c>
      <c r="O74" s="5" t="str">
        <f>IFERROR(__xludf.DUMMYFUNCTION("GOOGLETRANSLATE(D74,""en"",""zh-CN"")"),"一座现代化的体育场馆。")</f>
        <v>一座现代化的体育场馆。</v>
      </c>
      <c r="P74" s="5" t="str">
        <f>IFERROR(__xludf.DUMMYFUNCTION("GOOGLETRANSLATE(E74,""en"",""zh-CN"")"),"一座传统的中国式公园。")</f>
        <v>一座传统的中国式公园。</v>
      </c>
      <c r="Q74" s="5" t="str">
        <f>IFERROR(__xludf.DUMMYFUNCTION("GOOGLETRANSLATE(F74,""en"",""zh-CN"")"),"室内体育馆。")</f>
        <v>室内体育馆。</v>
      </c>
      <c r="R74" s="5" t="str">
        <f>IFERROR(__xludf.DUMMYFUNCTION("GOOGLETRANSLATE(G74,""en"",""zh-CN"")"),"学校操场。")</f>
        <v>学校操场。</v>
      </c>
      <c r="S74" s="5" t="s">
        <v>2616</v>
      </c>
      <c r="T74" s="5" t="str">
        <f>IFERROR(__xludf.DUMMYFUNCTION("GOOGLETRANSLATE(H74,""en"",""zh-CN"")"),"一座传统的中国式公园。")</f>
        <v>一座传统的中国式公园。</v>
      </c>
      <c r="U74" s="5" t="str">
        <f>IFERROR(__xludf.DUMMYFUNCTION("GOOGLETRANSLATE(I74,""en"",""zh-CN"")"),"图片显示的是一片被树木和传统围墙环绕的铺砌区域，这表明这里是一个公共公园。")</f>
        <v>图片显示的是一片被树木和传统围墙环绕的铺砌区域，这表明这里是一个公共公园。</v>
      </c>
      <c r="V74" s="2"/>
      <c r="W74" s="2"/>
      <c r="X74" s="2"/>
      <c r="Y74" s="2"/>
      <c r="Z74" s="2"/>
      <c r="AA74" s="2"/>
      <c r="AB74" s="2"/>
      <c r="AC74" s="2"/>
      <c r="AD74" s="2"/>
      <c r="AE74" s="2"/>
      <c r="AF74" s="2"/>
      <c r="AG74" s="2"/>
      <c r="AH74" s="2"/>
      <c r="AI74" s="2"/>
      <c r="AJ74" s="2"/>
      <c r="AK74" s="2"/>
      <c r="AL74" s="2"/>
    </row>
    <row r="75" ht="22.5" customHeight="1">
      <c r="A75" s="3" t="s">
        <v>2750</v>
      </c>
      <c r="B75" s="4">
        <v>74.0</v>
      </c>
      <c r="C75" s="3" t="s">
        <v>2761</v>
      </c>
      <c r="D75" s="3" t="s">
        <v>2608</v>
      </c>
      <c r="E75" s="3" t="s">
        <v>2609</v>
      </c>
      <c r="F75" s="3" t="s">
        <v>2586</v>
      </c>
      <c r="G75" s="3" t="s">
        <v>2587</v>
      </c>
      <c r="H75" s="3" t="s">
        <v>2586</v>
      </c>
      <c r="I75" s="3" t="s">
        <v>2762</v>
      </c>
      <c r="J75" s="2"/>
      <c r="K75" s="2"/>
      <c r="L75" s="3" t="s">
        <v>2750</v>
      </c>
      <c r="M75" s="4">
        <v>74.0</v>
      </c>
      <c r="N75" s="5" t="str">
        <f>IFERROR(__xludf.DUMMYFUNCTION("GOOGLETRANSLATE(C75,""en"",""zh-CN"")"),"人们穿着什么样的衣服？")</f>
        <v>人们穿着什么样的衣服？</v>
      </c>
      <c r="O75" s="5" t="str">
        <f>IFERROR(__xludf.DUMMYFUNCTION("GOOGLETRANSLATE(D75,""en"",""zh-CN"")"),"一套正式西装。")</f>
        <v>一套正式西装。</v>
      </c>
      <c r="P75" s="5" t="str">
        <f>IFERROR(__xludf.DUMMYFUNCTION("GOOGLETRANSLATE(E75,""en"",""zh-CN"")"),"制服。")</f>
        <v>制服。</v>
      </c>
      <c r="Q75" s="5" t="str">
        <f>IFERROR(__xludf.DUMMYFUNCTION("GOOGLETRANSLATE(F75,""en"",""zh-CN"")"),"休闲日常服装。")</f>
        <v>休闲日常服装。</v>
      </c>
      <c r="R75" s="5" t="str">
        <f>IFERROR(__xludf.DUMMYFUNCTION("GOOGLETRANSLATE(G75,""en"",""zh-CN"")"),"运动装备。")</f>
        <v>运动装备。</v>
      </c>
      <c r="S75" s="5" t="s">
        <v>2763</v>
      </c>
      <c r="T75" s="5" t="str">
        <f>IFERROR(__xludf.DUMMYFUNCTION("GOOGLETRANSLATE(H75,""en"",""zh-CN"")"),"休闲日常服装。")</f>
        <v>休闲日常服装。</v>
      </c>
      <c r="U75" s="5" t="str">
        <f>IFERROR(__xludf.DUMMYFUNCTION("GOOGLETRANSLATE(I75,""en"",""zh-CN"")"),"人们穿着T恤和短裤或长裤，这是休闲娱乐时常见的着装。")</f>
        <v>人们穿着T恤和短裤或长裤，这是休闲娱乐时常见的着装。</v>
      </c>
      <c r="V75" s="2"/>
      <c r="W75" s="2"/>
      <c r="X75" s="2"/>
      <c r="Y75" s="2"/>
      <c r="Z75" s="2"/>
      <c r="AA75" s="2"/>
      <c r="AB75" s="2"/>
      <c r="AC75" s="2"/>
      <c r="AD75" s="2"/>
      <c r="AE75" s="2"/>
      <c r="AF75" s="2"/>
      <c r="AG75" s="2"/>
      <c r="AH75" s="2"/>
      <c r="AI75" s="2"/>
      <c r="AJ75" s="2"/>
      <c r="AK75" s="2"/>
      <c r="AL75" s="2"/>
    </row>
    <row r="76" ht="22.5" customHeight="1">
      <c r="A76" s="3" t="s">
        <v>2750</v>
      </c>
      <c r="B76" s="4">
        <v>75.0</v>
      </c>
      <c r="C76" s="3" t="s">
        <v>2424</v>
      </c>
      <c r="D76" s="3" t="s">
        <v>2425</v>
      </c>
      <c r="E76" s="3" t="s">
        <v>2426</v>
      </c>
      <c r="F76" s="3" t="s">
        <v>2427</v>
      </c>
      <c r="G76" s="3" t="s">
        <v>2428</v>
      </c>
      <c r="H76" s="3" t="s">
        <v>2427</v>
      </c>
      <c r="I76" s="3" t="s">
        <v>2429</v>
      </c>
      <c r="J76" s="2"/>
      <c r="K76" s="2"/>
      <c r="L76" s="3" t="s">
        <v>2750</v>
      </c>
      <c r="M76" s="4">
        <v>75.0</v>
      </c>
      <c r="N76" s="5" t="str">
        <f>IFERROR(__xludf.DUMMYFUNCTION("GOOGLETRANSLATE(C76,""en"",""zh-CN"")"),"这张图片暗示了这款游戏的受欢迎程度如何？")</f>
        <v>这张图片暗示了这款游戏的受欢迎程度如何？</v>
      </c>
      <c r="O76" s="5" t="str">
        <f>IFERROR(__xludf.DUMMYFUNCTION("GOOGLETRANSLATE(D76,""en"",""zh-CN"")"),"这是一项冷门运动。")</f>
        <v>这是一项冷门运动。</v>
      </c>
      <c r="P76" s="5" t="str">
        <f>IFERROR(__xludf.DUMMYFUNCTION("GOOGLETRANSLATE(E76,""en"",""zh-CN"")"),"这只是一项竞技体育项目。")</f>
        <v>这只是一项竞技体育项目。</v>
      </c>
      <c r="Q76" s="5" t="str">
        <f>IFERROR(__xludf.DUMMYFUNCTION("GOOGLETRANSLATE(F76,""en"",""zh-CN"")"),"这是一项老少皆宜的热门休闲活动。")</f>
        <v>这是一项老少皆宜的热门休闲活动。</v>
      </c>
      <c r="R76" s="5" t="str">
        <f>IFERROR(__xludf.DUMMYFUNCTION("GOOGLETRANSLATE(G76,""en"",""zh-CN"")"),"这是一项职业体育运动。")</f>
        <v>这是一项职业体育运动。</v>
      </c>
      <c r="S76" s="5" t="s">
        <v>2430</v>
      </c>
      <c r="T76" s="5" t="str">
        <f>IFERROR(__xludf.DUMMYFUNCTION("GOOGLETRANSLATE(H76,""en"",""zh-CN"")"),"这是一项老少皆宜的热门休闲活动。")</f>
        <v>这是一项老少皆宜的热门休闲活动。</v>
      </c>
      <c r="U76" s="5" t="str">
        <f>IFERROR(__xludf.DUMMYFUNCTION("GOOGLETRANSLATE(I76,""en"",""zh-CN"")"),"一位老年人在轻松的环境中玩琴的画面表明，琴子是一种老少皆宜、广受欢迎的消遣方式。")</f>
        <v>一位老年人在轻松的环境中玩琴的画面表明，琴子是一种老少皆宜、广受欢迎的消遣方式。</v>
      </c>
      <c r="V76" s="2"/>
      <c r="W76" s="2"/>
      <c r="X76" s="2"/>
      <c r="Y76" s="2"/>
      <c r="Z76" s="2"/>
      <c r="AA76" s="2"/>
      <c r="AB76" s="2"/>
      <c r="AC76" s="2"/>
      <c r="AD76" s="2"/>
      <c r="AE76" s="2"/>
      <c r="AF76" s="2"/>
      <c r="AG76" s="2"/>
      <c r="AH76" s="2"/>
      <c r="AI76" s="2"/>
      <c r="AJ76" s="2"/>
      <c r="AK76" s="2"/>
      <c r="AL76" s="2"/>
    </row>
    <row r="77" ht="22.5" customHeight="1">
      <c r="A77" s="3" t="s">
        <v>2764</v>
      </c>
      <c r="B77" s="4">
        <v>76.0</v>
      </c>
      <c r="C77" s="3" t="s">
        <v>1239</v>
      </c>
      <c r="D77" s="3" t="s">
        <v>2751</v>
      </c>
      <c r="E77" s="3" t="s">
        <v>2752</v>
      </c>
      <c r="F77" s="3" t="s">
        <v>2753</v>
      </c>
      <c r="G77" s="3" t="s">
        <v>2754</v>
      </c>
      <c r="H77" s="3" t="s">
        <v>2752</v>
      </c>
      <c r="I77" s="3" t="s">
        <v>2755</v>
      </c>
      <c r="J77" s="2"/>
      <c r="K77" s="2"/>
      <c r="L77" s="3" t="s">
        <v>2764</v>
      </c>
      <c r="M77" s="4">
        <v>76.0</v>
      </c>
      <c r="N77" s="5" t="str">
        <f>IFERROR(__xludf.DUMMYFUNCTION("GOOGLETRANSLATE(C77,""en"",""zh-CN"")"),"图片中展示的主要活动是什么？")</f>
        <v>图片中展示的主要活动是什么？</v>
      </c>
      <c r="O77" s="5" t="str">
        <f>IFERROR(__xludf.DUMMYFUNCTION("GOOGLETRANSLATE(D77,""en"",""zh-CN"")"),"一群人在伸展身体。")</f>
        <v>一群人在伸展身体。</v>
      </c>
      <c r="P77" s="5" t="str">
        <f>IFERROR(__xludf.DUMMYFUNCTION("GOOGLETRANSLATE(E77,""en"",""zh-CN"")"),"一群人正在玩毽子。")</f>
        <v>一群人正在玩毽子。</v>
      </c>
      <c r="Q77" s="5" t="str">
        <f>IFERROR(__xludf.DUMMYFUNCTION("GOOGLETRANSLATE(F77,""en"",""zh-CN"")"),"一群人在交谈。")</f>
        <v>一群人在交谈。</v>
      </c>
      <c r="R77" s="5" t="str">
        <f>IFERROR(__xludf.DUMMYFUNCTION("GOOGLETRANSLATE(G77,""en"",""zh-CN"")"),"一群人正在行走。")</f>
        <v>一群人正在行走。</v>
      </c>
      <c r="S77" s="5" t="s">
        <v>2756</v>
      </c>
      <c r="T77" s="5" t="str">
        <f>IFERROR(__xludf.DUMMYFUNCTION("GOOGLETRANSLATE(H77,""en"",""zh-CN"")"),"一群人正在玩毽子。")</f>
        <v>一群人正在玩毽子。</v>
      </c>
      <c r="U77" s="5" t="str">
        <f>IFERROR(__xludf.DUMMYFUNCTION("GOOGLETRANSLATE(I77,""en"",""zh-CN"")"),"图片显示一群人，其中一名女子正在踢毽子，另外两人正在观看，表明他们正在玩毽子游戏。")</f>
        <v>图片显示一群人，其中一名女子正在踢毽子，另外两人正在观看，表明他们正在玩毽子游戏。</v>
      </c>
      <c r="V77" s="2"/>
      <c r="W77" s="2"/>
      <c r="X77" s="2"/>
      <c r="Y77" s="2"/>
      <c r="Z77" s="2"/>
      <c r="AA77" s="2"/>
      <c r="AB77" s="2"/>
      <c r="AC77" s="2"/>
      <c r="AD77" s="2"/>
      <c r="AE77" s="2"/>
      <c r="AF77" s="2"/>
      <c r="AG77" s="2"/>
      <c r="AH77" s="2"/>
      <c r="AI77" s="2"/>
      <c r="AJ77" s="2"/>
      <c r="AK77" s="2"/>
      <c r="AL77" s="2"/>
    </row>
    <row r="78" ht="22.5" customHeight="1">
      <c r="A78" s="3" t="s">
        <v>2764</v>
      </c>
      <c r="B78" s="4">
        <v>77.0</v>
      </c>
      <c r="C78" s="3" t="s">
        <v>2411</v>
      </c>
      <c r="D78" s="3" t="s">
        <v>2414</v>
      </c>
      <c r="E78" s="3" t="s">
        <v>2546</v>
      </c>
      <c r="F78" s="3" t="s">
        <v>2547</v>
      </c>
      <c r="G78" s="3" t="s">
        <v>2758</v>
      </c>
      <c r="H78" s="3" t="s">
        <v>2546</v>
      </c>
      <c r="I78" s="3" t="s">
        <v>2548</v>
      </c>
      <c r="J78" s="2"/>
      <c r="K78" s="2"/>
      <c r="L78" s="3" t="s">
        <v>2764</v>
      </c>
      <c r="M78" s="4">
        <v>77.0</v>
      </c>
      <c r="N78" s="5" t="str">
        <f>IFERROR(__xludf.DUMMYFUNCTION("GOOGLETRANSLATE(C78,""en"",""zh-CN"")"),"羽毛球的一个显著特点是什么？")</f>
        <v>羽毛球的一个显著特点是什么？</v>
      </c>
      <c r="O78" s="5" t="str">
        <f>IFERROR(__xludf.DUMMYFUNCTION("GOOGLETRANSLATE(D78,""en"",""zh-CN"")"),"这是一个现代足球。")</f>
        <v>这是一个现代足球。</v>
      </c>
      <c r="P78" s="5" t="str">
        <f>IFERROR(__xludf.DUMMYFUNCTION("GOOGLETRANSLATE(E78,""en"",""zh-CN"")"),"这是一个传统的羽毛装饰的钩子，羽毛色彩鲜艳。")</f>
        <v>这是一个传统的羽毛装饰的钩子，羽毛色彩鲜艳。</v>
      </c>
      <c r="Q78" s="5" t="str">
        <f>IFERROR(__xludf.DUMMYFUNCTION("GOOGLETRANSLATE(F78,""en"",""zh-CN"")"),"这是一个羽毛球。")</f>
        <v>这是一个羽毛球。</v>
      </c>
      <c r="R78" s="5" t="str">
        <f>IFERROR(__xludf.DUMMYFUNCTION("GOOGLETRANSLATE(G78,""en"",""zh-CN"")"),"这是一个塑料玩具。")</f>
        <v>这是一个塑料玩具。</v>
      </c>
      <c r="S78" s="5" t="s">
        <v>2765</v>
      </c>
      <c r="T78" s="5" t="str">
        <f>IFERROR(__xludf.DUMMYFUNCTION("GOOGLETRANSLATE(H78,""en"",""zh-CN"")"),"这是一个传统的羽毛装饰的钩子，羽毛色彩鲜艳。")</f>
        <v>这是一个传统的羽毛装饰的钩子，羽毛色彩鲜艳。</v>
      </c>
      <c r="U78" s="5" t="str">
        <f>IFERROR(__xludf.DUMMYFUNCTION("GOOGLETRANSLATE(I78,""en"",""zh-CN"")"),"毽子由底座和一系列色彩鲜艳的羽毛状流苏组成，这是毽子的经典设计。")</f>
        <v>毽子由底座和一系列色彩鲜艳的羽毛状流苏组成，这是毽子的经典设计。</v>
      </c>
      <c r="V78" s="2"/>
      <c r="W78" s="2"/>
      <c r="X78" s="2"/>
      <c r="Y78" s="2"/>
      <c r="Z78" s="2"/>
      <c r="AA78" s="2"/>
      <c r="AB78" s="2"/>
      <c r="AC78" s="2"/>
      <c r="AD78" s="2"/>
      <c r="AE78" s="2"/>
      <c r="AF78" s="2"/>
      <c r="AG78" s="2"/>
      <c r="AH78" s="2"/>
      <c r="AI78" s="2"/>
      <c r="AJ78" s="2"/>
      <c r="AK78" s="2"/>
      <c r="AL78" s="2"/>
    </row>
    <row r="79" ht="22.5" customHeight="1">
      <c r="A79" s="3" t="s">
        <v>2764</v>
      </c>
      <c r="B79" s="4">
        <v>78.0</v>
      </c>
      <c r="C79" s="3" t="s">
        <v>2443</v>
      </c>
      <c r="D79" s="3" t="s">
        <v>1198</v>
      </c>
      <c r="E79" s="3" t="s">
        <v>2613</v>
      </c>
      <c r="F79" s="3" t="s">
        <v>2446</v>
      </c>
      <c r="G79" s="3" t="s">
        <v>2614</v>
      </c>
      <c r="H79" s="3" t="s">
        <v>2613</v>
      </c>
      <c r="I79" s="3" t="s">
        <v>2615</v>
      </c>
      <c r="J79" s="2"/>
      <c r="K79" s="2"/>
      <c r="L79" s="3" t="s">
        <v>2764</v>
      </c>
      <c r="M79" s="4">
        <v>78.0</v>
      </c>
      <c r="N79" s="5" t="str">
        <f>IFERROR(__xludf.DUMMYFUNCTION("GOOGLETRANSLATE(C79,""en"",""zh-CN"")"),"这个游戏的背景设定是什么？")</f>
        <v>这个游戏的背景设定是什么？</v>
      </c>
      <c r="O79" s="5" t="str">
        <f>IFERROR(__xludf.DUMMYFUNCTION("GOOGLETRANSLATE(D79,""en"",""zh-CN"")"),"一座现代化的体育场馆。")</f>
        <v>一座现代化的体育场馆。</v>
      </c>
      <c r="P79" s="5" t="str">
        <f>IFERROR(__xludf.DUMMYFUNCTION("GOOGLETRANSLATE(E79,""en"",""zh-CN"")"),"一座传统的中国式公园。")</f>
        <v>一座传统的中国式公园。</v>
      </c>
      <c r="Q79" s="5" t="str">
        <f>IFERROR(__xludf.DUMMYFUNCTION("GOOGLETRANSLATE(F79,""en"",""zh-CN"")"),"室内体育馆。")</f>
        <v>室内体育馆。</v>
      </c>
      <c r="R79" s="5" t="str">
        <f>IFERROR(__xludf.DUMMYFUNCTION("GOOGLETRANSLATE(G79,""en"",""zh-CN"")"),"学校操场。")</f>
        <v>学校操场。</v>
      </c>
      <c r="S79" s="5" t="s">
        <v>2616</v>
      </c>
      <c r="T79" s="5" t="str">
        <f>IFERROR(__xludf.DUMMYFUNCTION("GOOGLETRANSLATE(H79,""en"",""zh-CN"")"),"一座传统的中国式公园。")</f>
        <v>一座传统的中国式公园。</v>
      </c>
      <c r="U79" s="5" t="str">
        <f>IFERROR(__xludf.DUMMYFUNCTION("GOOGLETRANSLATE(I79,""en"",""zh-CN"")"),"图片显示的是一片被树木和传统围墙环绕的铺砌区域，这表明这里是一个公共公园。")</f>
        <v>图片显示的是一片被树木和传统围墙环绕的铺砌区域，这表明这里是一个公共公园。</v>
      </c>
      <c r="V79" s="2"/>
      <c r="W79" s="2"/>
      <c r="X79" s="2"/>
      <c r="Y79" s="2"/>
      <c r="Z79" s="2"/>
      <c r="AA79" s="2"/>
      <c r="AB79" s="2"/>
      <c r="AC79" s="2"/>
      <c r="AD79" s="2"/>
      <c r="AE79" s="2"/>
      <c r="AF79" s="2"/>
      <c r="AG79" s="2"/>
      <c r="AH79" s="2"/>
      <c r="AI79" s="2"/>
      <c r="AJ79" s="2"/>
      <c r="AK79" s="2"/>
      <c r="AL79" s="2"/>
    </row>
    <row r="80" ht="22.5" customHeight="1">
      <c r="A80" s="3" t="s">
        <v>2764</v>
      </c>
      <c r="B80" s="4">
        <v>79.0</v>
      </c>
      <c r="C80" s="3" t="s">
        <v>2761</v>
      </c>
      <c r="D80" s="3" t="s">
        <v>2608</v>
      </c>
      <c r="E80" s="3" t="s">
        <v>2609</v>
      </c>
      <c r="F80" s="3" t="s">
        <v>2586</v>
      </c>
      <c r="G80" s="3" t="s">
        <v>2587</v>
      </c>
      <c r="H80" s="3" t="s">
        <v>2586</v>
      </c>
      <c r="I80" s="3" t="s">
        <v>2762</v>
      </c>
      <c r="J80" s="2"/>
      <c r="K80" s="2"/>
      <c r="L80" s="3" t="s">
        <v>2764</v>
      </c>
      <c r="M80" s="4">
        <v>79.0</v>
      </c>
      <c r="N80" s="5" t="str">
        <f>IFERROR(__xludf.DUMMYFUNCTION("GOOGLETRANSLATE(C80,""en"",""zh-CN"")"),"人们穿着什么样的衣服？")</f>
        <v>人们穿着什么样的衣服？</v>
      </c>
      <c r="O80" s="5" t="str">
        <f>IFERROR(__xludf.DUMMYFUNCTION("GOOGLETRANSLATE(D80,""en"",""zh-CN"")"),"一套正式西装。")</f>
        <v>一套正式西装。</v>
      </c>
      <c r="P80" s="5" t="str">
        <f>IFERROR(__xludf.DUMMYFUNCTION("GOOGLETRANSLATE(E80,""en"",""zh-CN"")"),"制服。")</f>
        <v>制服。</v>
      </c>
      <c r="Q80" s="5" t="str">
        <f>IFERROR(__xludf.DUMMYFUNCTION("GOOGLETRANSLATE(F80,""en"",""zh-CN"")"),"休闲日常服装。")</f>
        <v>休闲日常服装。</v>
      </c>
      <c r="R80" s="5" t="str">
        <f>IFERROR(__xludf.DUMMYFUNCTION("GOOGLETRANSLATE(G80,""en"",""zh-CN"")"),"运动装备。")</f>
        <v>运动装备。</v>
      </c>
      <c r="S80" s="5" t="s">
        <v>2763</v>
      </c>
      <c r="T80" s="5" t="str">
        <f>IFERROR(__xludf.DUMMYFUNCTION("GOOGLETRANSLATE(H80,""en"",""zh-CN"")"),"休闲日常服装。")</f>
        <v>休闲日常服装。</v>
      </c>
      <c r="U80" s="5" t="str">
        <f>IFERROR(__xludf.DUMMYFUNCTION("GOOGLETRANSLATE(I80,""en"",""zh-CN"")"),"人们穿着T恤和短裤或长裤，这是休闲娱乐时常见的着装。")</f>
        <v>人们穿着T恤和短裤或长裤，这是休闲娱乐时常见的着装。</v>
      </c>
      <c r="V80" s="2"/>
      <c r="W80" s="2"/>
      <c r="X80" s="2"/>
      <c r="Y80" s="2"/>
      <c r="Z80" s="2"/>
      <c r="AA80" s="2"/>
      <c r="AB80" s="2"/>
      <c r="AC80" s="2"/>
      <c r="AD80" s="2"/>
      <c r="AE80" s="2"/>
      <c r="AF80" s="2"/>
      <c r="AG80" s="2"/>
      <c r="AH80" s="2"/>
      <c r="AI80" s="2"/>
      <c r="AJ80" s="2"/>
      <c r="AK80" s="2"/>
      <c r="AL80" s="2"/>
    </row>
    <row r="81" ht="22.5" customHeight="1">
      <c r="A81" s="3" t="s">
        <v>2764</v>
      </c>
      <c r="B81" s="4">
        <v>80.0</v>
      </c>
      <c r="C81" s="3" t="s">
        <v>2424</v>
      </c>
      <c r="D81" s="3" t="s">
        <v>2425</v>
      </c>
      <c r="E81" s="3" t="s">
        <v>2426</v>
      </c>
      <c r="F81" s="3" t="s">
        <v>2427</v>
      </c>
      <c r="G81" s="3" t="s">
        <v>2428</v>
      </c>
      <c r="H81" s="3" t="s">
        <v>2427</v>
      </c>
      <c r="I81" s="3" t="s">
        <v>2429</v>
      </c>
      <c r="J81" s="2"/>
      <c r="K81" s="2"/>
      <c r="L81" s="3" t="s">
        <v>2764</v>
      </c>
      <c r="M81" s="4">
        <v>80.0</v>
      </c>
      <c r="N81" s="5" t="str">
        <f>IFERROR(__xludf.DUMMYFUNCTION("GOOGLETRANSLATE(C81,""en"",""zh-CN"")"),"这张图片暗示了这款游戏的受欢迎程度如何？")</f>
        <v>这张图片暗示了这款游戏的受欢迎程度如何？</v>
      </c>
      <c r="O81" s="5" t="str">
        <f>IFERROR(__xludf.DUMMYFUNCTION("GOOGLETRANSLATE(D81,""en"",""zh-CN"")"),"这是一项冷门运动。")</f>
        <v>这是一项冷门运动。</v>
      </c>
      <c r="P81" s="5" t="str">
        <f>IFERROR(__xludf.DUMMYFUNCTION("GOOGLETRANSLATE(E81,""en"",""zh-CN"")"),"这只是一项竞技体育项目。")</f>
        <v>这只是一项竞技体育项目。</v>
      </c>
      <c r="Q81" s="5" t="str">
        <f>IFERROR(__xludf.DUMMYFUNCTION("GOOGLETRANSLATE(F81,""en"",""zh-CN"")"),"这是一项老少皆宜的热门休闲活动。")</f>
        <v>这是一项老少皆宜的热门休闲活动。</v>
      </c>
      <c r="R81" s="5" t="str">
        <f>IFERROR(__xludf.DUMMYFUNCTION("GOOGLETRANSLATE(G81,""en"",""zh-CN"")"),"这是一项职业体育运动。")</f>
        <v>这是一项职业体育运动。</v>
      </c>
      <c r="S81" s="5" t="s">
        <v>2430</v>
      </c>
      <c r="T81" s="5" t="str">
        <f>IFERROR(__xludf.DUMMYFUNCTION("GOOGLETRANSLATE(H81,""en"",""zh-CN"")"),"这是一项老少皆宜的热门休闲活动。")</f>
        <v>这是一项老少皆宜的热门休闲活动。</v>
      </c>
      <c r="U81" s="5" t="str">
        <f>IFERROR(__xludf.DUMMYFUNCTION("GOOGLETRANSLATE(I81,""en"",""zh-CN"")"),"一位老年人在轻松的环境中玩琴的画面表明，琴子是一种老少皆宜、广受欢迎的消遣方式。")</f>
        <v>一位老年人在轻松的环境中玩琴的画面表明，琴子是一种老少皆宜、广受欢迎的消遣方式。</v>
      </c>
      <c r="V81" s="2"/>
      <c r="W81" s="2"/>
      <c r="X81" s="2"/>
      <c r="Y81" s="2"/>
      <c r="Z81" s="2"/>
      <c r="AA81" s="2"/>
      <c r="AB81" s="2"/>
      <c r="AC81" s="2"/>
      <c r="AD81" s="2"/>
      <c r="AE81" s="2"/>
      <c r="AF81" s="2"/>
      <c r="AG81" s="2"/>
      <c r="AH81" s="2"/>
      <c r="AI81" s="2"/>
      <c r="AJ81" s="2"/>
      <c r="AK81" s="2"/>
      <c r="AL81" s="2"/>
    </row>
    <row r="82" ht="22.5" customHeight="1">
      <c r="A82" s="3" t="s">
        <v>2766</v>
      </c>
      <c r="B82" s="4">
        <v>81.0</v>
      </c>
      <c r="C82" s="3" t="s">
        <v>1335</v>
      </c>
      <c r="D82" s="3" t="s">
        <v>2767</v>
      </c>
      <c r="E82" s="3" t="s">
        <v>2768</v>
      </c>
      <c r="F82" s="3" t="s">
        <v>2769</v>
      </c>
      <c r="G82" s="3" t="s">
        <v>2770</v>
      </c>
      <c r="H82" s="3" t="s">
        <v>2768</v>
      </c>
      <c r="I82" s="3" t="s">
        <v>2771</v>
      </c>
      <c r="J82" s="2"/>
      <c r="K82" s="2"/>
      <c r="L82" s="3" t="s">
        <v>2766</v>
      </c>
      <c r="M82" s="4">
        <v>81.0</v>
      </c>
      <c r="N82" s="5" t="str">
        <f>IFERROR(__xludf.DUMMYFUNCTION("GOOGLETRANSLATE(C82,""en"",""zh-CN"")"),"图中所示的中心活动是什么？")</f>
        <v>图中所示的中心活动是什么？</v>
      </c>
      <c r="O82" s="5" t="str">
        <f>IFERROR(__xludf.DUMMYFUNCTION("GOOGLETRANSLATE(D82,""en"",""zh-CN"")"),"两个男人正在玩抛接球游戏。")</f>
        <v>两个男人正在玩抛接球游戏。</v>
      </c>
      <c r="P82" s="5" t="str">
        <f>IFERROR(__xludf.DUMMYFUNCTION("GOOGLETRANSLATE(E82,""en"",""zh-CN"")"),"两名男子正在表演武术动作。")</f>
        <v>两名男子正在表演武术动作。</v>
      </c>
      <c r="Q82" s="5" t="str">
        <f>IFERROR(__xludf.DUMMYFUNCTION("GOOGLETRANSLATE(F82,""en"",""zh-CN"")"),"两个男人正在玩毽子。")</f>
        <v>两个男人正在玩毽子。</v>
      </c>
      <c r="R82" s="5" t="str">
        <f>IFERROR(__xludf.DUMMYFUNCTION("GOOGLETRANSLATE(G82,""en"",""zh-CN"")"),"两名男子正在伸展身体。")</f>
        <v>两名男子正在伸展身体。</v>
      </c>
      <c r="S82" s="5" t="s">
        <v>2772</v>
      </c>
      <c r="T82" s="5" t="str">
        <f>IFERROR(__xludf.DUMMYFUNCTION("GOOGLETRANSLATE(H82,""en"",""zh-CN"")"),"两名男子正在表演武术动作。")</f>
        <v>两名男子正在表演武术动作。</v>
      </c>
      <c r="U82" s="5" t="str">
        <f>IFERROR(__xludf.DUMMYFUNCTION("GOOGLETRANSLATE(I82,""en"",""zh-CN"")"),"前景中的两个男人正在进行类似推手或类似武术动作的身体活动，而不是毽子。")</f>
        <v>前景中的两个男人正在进行类似推手或类似武术动作的身体活动，而不是毽子。</v>
      </c>
      <c r="V82" s="2"/>
      <c r="W82" s="2"/>
      <c r="X82" s="2"/>
      <c r="Y82" s="2"/>
      <c r="Z82" s="2"/>
      <c r="AA82" s="2"/>
      <c r="AB82" s="2"/>
      <c r="AC82" s="2"/>
      <c r="AD82" s="2"/>
      <c r="AE82" s="2"/>
      <c r="AF82" s="2"/>
      <c r="AG82" s="2"/>
      <c r="AH82" s="2"/>
      <c r="AI82" s="2"/>
      <c r="AJ82" s="2"/>
      <c r="AK82" s="2"/>
      <c r="AL82" s="2"/>
    </row>
    <row r="83" ht="22.5" customHeight="1">
      <c r="A83" s="3" t="s">
        <v>2766</v>
      </c>
      <c r="B83" s="4">
        <v>82.0</v>
      </c>
      <c r="C83" s="3" t="s">
        <v>2773</v>
      </c>
      <c r="D83" s="3" t="s">
        <v>2774</v>
      </c>
      <c r="E83" s="3" t="s">
        <v>2775</v>
      </c>
      <c r="F83" s="3" t="s">
        <v>2776</v>
      </c>
      <c r="G83" s="3" t="s">
        <v>2358</v>
      </c>
      <c r="H83" s="3" t="s">
        <v>2775</v>
      </c>
      <c r="I83" s="3" t="s">
        <v>2777</v>
      </c>
      <c r="J83" s="2"/>
      <c r="K83" s="2"/>
      <c r="L83" s="3" t="s">
        <v>2766</v>
      </c>
      <c r="M83" s="4">
        <v>82.0</v>
      </c>
      <c r="N83" s="5" t="str">
        <f>IFERROR(__xludf.DUMMYFUNCTION("GOOGLETRANSLATE(C83,""en"",""zh-CN"")"),"这项活动的关键特征是什么？")</f>
        <v>这项活动的关键特征是什么？</v>
      </c>
      <c r="O83" s="5" t="str">
        <f>IFERROR(__xludf.DUMMYFUNCTION("GOOGLETRANSLATE(D83,""en"",""zh-CN"")"),"这是一项以球为单位的竞技游戏。")</f>
        <v>这是一项以球为单位的竞技游戏。</v>
      </c>
      <c r="P83" s="5" t="str">
        <f>IFERROR(__xludf.DUMMYFUNCTION("GOOGLETRANSLATE(E83,""en"",""zh-CN"")"),"这是与合作伙伴共同开展的活动。")</f>
        <v>这是与合作伙伴共同开展的活动。</v>
      </c>
      <c r="Q83" s="5" t="str">
        <f>IFERROR(__xludf.DUMMYFUNCTION("GOOGLETRANSLATE(F83,""en"",""zh-CN"")"),"这是一项单人练习。")</f>
        <v>这是一项单人练习。</v>
      </c>
      <c r="R83" s="5" t="str">
        <f>IFERROR(__xludf.DUMMYFUNCTION("GOOGLETRANSLATE(G83,""en"",""zh-CN"")"),"这是一款节奏很快的游戏。")</f>
        <v>这是一款节奏很快的游戏。</v>
      </c>
      <c r="S83" s="5" t="s">
        <v>2778</v>
      </c>
      <c r="T83" s="5" t="str">
        <f>IFERROR(__xludf.DUMMYFUNCTION("GOOGLETRANSLATE(H83,""en"",""zh-CN"")"),"这是与合作伙伴共同开展的活动。")</f>
        <v>这是与合作伙伴共同开展的活动。</v>
      </c>
      <c r="U83" s="5" t="str">
        <f>IFERROR(__xludf.DUMMYFUNCTION("GOOGLETRANSLATE(I83,""en"",""zh-CN"")"),"两人手牵着手，动作同步，这表明他们正在进行合作活动或某种武术练习。")</f>
        <v>两人手牵着手，动作同步，这表明他们正在进行合作活动或某种武术练习。</v>
      </c>
      <c r="V83" s="2"/>
      <c r="W83" s="2"/>
      <c r="X83" s="2"/>
      <c r="Y83" s="2"/>
      <c r="Z83" s="2"/>
      <c r="AA83" s="2"/>
      <c r="AB83" s="2"/>
      <c r="AC83" s="2"/>
      <c r="AD83" s="2"/>
      <c r="AE83" s="2"/>
      <c r="AF83" s="2"/>
      <c r="AG83" s="2"/>
      <c r="AH83" s="2"/>
      <c r="AI83" s="2"/>
      <c r="AJ83" s="2"/>
      <c r="AK83" s="2"/>
      <c r="AL83" s="2"/>
    </row>
    <row r="84" ht="22.5" customHeight="1">
      <c r="A84" s="3" t="s">
        <v>2766</v>
      </c>
      <c r="B84" s="4">
        <v>83.0</v>
      </c>
      <c r="C84" s="3" t="s">
        <v>2779</v>
      </c>
      <c r="D84" s="3" t="s">
        <v>2551</v>
      </c>
      <c r="E84" s="3" t="s">
        <v>2554</v>
      </c>
      <c r="F84" s="3" t="s">
        <v>2735</v>
      </c>
      <c r="G84" s="3" t="s">
        <v>2428</v>
      </c>
      <c r="H84" s="3" t="s">
        <v>2735</v>
      </c>
      <c r="I84" s="3" t="s">
        <v>2780</v>
      </c>
      <c r="J84" s="2"/>
      <c r="K84" s="2"/>
      <c r="L84" s="3" t="s">
        <v>2766</v>
      </c>
      <c r="M84" s="4">
        <v>83.0</v>
      </c>
      <c r="N84" s="5" t="str">
        <f>IFERROR(__xludf.DUMMYFUNCTION("GOOGLETRANSLATE(C84,""en"",""zh-CN"")"),"这些人身处类似公园的公共场所。这暗示着他们正在进行什么活动？")</f>
        <v>这些人身处类似公园的公共场所。这暗示着他们正在进行什么活动？</v>
      </c>
      <c r="O84" s="5" t="str">
        <f>IFERROR(__xludf.DUMMYFUNCTION("GOOGLETRANSLATE(D84,""en"",""zh-CN"")"),"这是一项非常正式的运动。")</f>
        <v>这是一项非常正式的运动。</v>
      </c>
      <c r="P84" s="5" t="str">
        <f>IFERROR(__xludf.DUMMYFUNCTION("GOOGLETRANSLATE(E84,""en"",""zh-CN"")"),"这是一项竞技性运动。")</f>
        <v>这是一项竞技性运动。</v>
      </c>
      <c r="Q84" s="5" t="str">
        <f>IFERROR(__xludf.DUMMYFUNCTION("GOOGLETRANSLATE(F84,""en"",""zh-CN"")"),"这是一种在公共场所很受欢迎的休闲消遣活动。")</f>
        <v>这是一种在公共场所很受欢迎的休闲消遣活动。</v>
      </c>
      <c r="R84" s="5" t="str">
        <f>IFERROR(__xludf.DUMMYFUNCTION("GOOGLETRANSLATE(G84,""en"",""zh-CN"")"),"这是一项职业体育运动。")</f>
        <v>这是一项职业体育运动。</v>
      </c>
      <c r="S84" s="5" t="s">
        <v>2737</v>
      </c>
      <c r="T84" s="5" t="str">
        <f>IFERROR(__xludf.DUMMYFUNCTION("GOOGLETRANSLATE(H84,""en"",""zh-CN"")"),"这是一种在公共场所很受欢迎的休闲消遣活动。")</f>
        <v>这是一种在公共场所很受欢迎的休闲消遣活动。</v>
      </c>
      <c r="U84" s="5" t="str">
        <f>IFERROR(__xludf.DUMMYFUNCTION("GOOGLETRANSLATE(I84,""en"",""zh-CN"")"),"这些男士身处公园，穿着日常服装，这表明这是一种轻松的社交消遣。")</f>
        <v>这些男士身处公园，穿着日常服装，这表明这是一种轻松的社交消遣。</v>
      </c>
      <c r="V84" s="2"/>
      <c r="W84" s="2"/>
      <c r="X84" s="2"/>
      <c r="Y84" s="2"/>
      <c r="Z84" s="2"/>
      <c r="AA84" s="2"/>
      <c r="AB84" s="2"/>
      <c r="AC84" s="2"/>
      <c r="AD84" s="2"/>
      <c r="AE84" s="2"/>
      <c r="AF84" s="2"/>
      <c r="AG84" s="2"/>
      <c r="AH84" s="2"/>
      <c r="AI84" s="2"/>
      <c r="AJ84" s="2"/>
      <c r="AK84" s="2"/>
      <c r="AL84" s="2"/>
    </row>
    <row r="85" ht="22.5" customHeight="1">
      <c r="A85" s="3" t="s">
        <v>2766</v>
      </c>
      <c r="B85" s="4">
        <v>84.0</v>
      </c>
      <c r="C85" s="3" t="s">
        <v>878</v>
      </c>
      <c r="D85" s="3" t="s">
        <v>2738</v>
      </c>
      <c r="E85" s="3" t="s">
        <v>2053</v>
      </c>
      <c r="F85" s="3" t="s">
        <v>2739</v>
      </c>
      <c r="G85" s="3" t="s">
        <v>2740</v>
      </c>
      <c r="H85" s="3" t="s">
        <v>2739</v>
      </c>
      <c r="I85" s="3" t="s">
        <v>2781</v>
      </c>
      <c r="J85" s="2"/>
      <c r="K85" s="2"/>
      <c r="L85" s="3" t="s">
        <v>2766</v>
      </c>
      <c r="M85" s="4">
        <v>84.0</v>
      </c>
      <c r="N85" s="5" t="str">
        <f>IFERROR(__xludf.DUMMYFUNCTION("GOOGLETRANSLATE(C85,""en"",""zh-CN"")"),"由此可以推断出这些球员的社会地位如何？")</f>
        <v>由此可以推断出这些球员的社会地位如何？</v>
      </c>
      <c r="O85" s="5" t="str">
        <f>IFERROR(__xludf.DUMMYFUNCTION("GOOGLETRANSLATE(D85,""en"",""zh-CN"")"),"他们都是专业人士。")</f>
        <v>他们都是专业人士。</v>
      </c>
      <c r="P85" s="5" t="str">
        <f>IFERROR(__xludf.DUMMYFUNCTION("GOOGLETRANSLATE(E85,""en"",""zh-CN"")"),"他们家境富裕，社会地位显赫。")</f>
        <v>他们家境富裕，社会地位显赫。</v>
      </c>
      <c r="Q85" s="5" t="str">
        <f>IFERROR(__xludf.DUMMYFUNCTION("GOOGLETRANSLATE(F85,""en"",""zh-CN"")"),"他们年纪较大。")</f>
        <v>他们年纪较大。</v>
      </c>
      <c r="R85" s="5" t="str">
        <f>IFERROR(__xludf.DUMMYFUNCTION("GOOGLETRANSLATE(G85,""en"",""zh-CN"")"),"他们年轻且体格健壮。")</f>
        <v>他们年轻且体格健壮。</v>
      </c>
      <c r="S85" s="5" t="s">
        <v>2742</v>
      </c>
      <c r="T85" s="5" t="str">
        <f>IFERROR(__xludf.DUMMYFUNCTION("GOOGLETRANSLATE(H85,""en"",""zh-CN"")"),"他们年纪较大。")</f>
        <v>他们年纪较大。</v>
      </c>
      <c r="U85" s="5" t="str">
        <f>IFERROR(__xludf.DUMMYFUNCTION("GOOGLETRANSLATE(I85,""en"",""zh-CN"")"),"这两名男子看起来年纪较大，这表明这项活动在老年人中很受欢迎，而且老年人也能参与其中。")</f>
        <v>这两名男子看起来年纪较大，这表明这项活动在老年人中很受欢迎，而且老年人也能参与其中。</v>
      </c>
      <c r="V85" s="2"/>
      <c r="W85" s="2"/>
      <c r="X85" s="2"/>
      <c r="Y85" s="2"/>
      <c r="Z85" s="2"/>
      <c r="AA85" s="2"/>
      <c r="AB85" s="2"/>
      <c r="AC85" s="2"/>
      <c r="AD85" s="2"/>
      <c r="AE85" s="2"/>
      <c r="AF85" s="2"/>
      <c r="AG85" s="2"/>
      <c r="AH85" s="2"/>
      <c r="AI85" s="2"/>
      <c r="AJ85" s="2"/>
      <c r="AK85" s="2"/>
      <c r="AL85" s="2"/>
    </row>
    <row r="86" ht="22.5" customHeight="1">
      <c r="A86" s="3" t="s">
        <v>2766</v>
      </c>
      <c r="B86" s="4">
        <v>85.0</v>
      </c>
      <c r="C86" s="3" t="s">
        <v>2782</v>
      </c>
      <c r="D86" s="3" t="s">
        <v>1294</v>
      </c>
      <c r="E86" s="3" t="s">
        <v>2783</v>
      </c>
      <c r="F86" s="3" t="s">
        <v>2784</v>
      </c>
      <c r="G86" s="3" t="s">
        <v>2785</v>
      </c>
      <c r="H86" s="3" t="s">
        <v>2784</v>
      </c>
      <c r="I86" s="3" t="s">
        <v>2786</v>
      </c>
      <c r="J86" s="2"/>
      <c r="K86" s="2"/>
      <c r="L86" s="3" t="s">
        <v>2766</v>
      </c>
      <c r="M86" s="4">
        <v>85.0</v>
      </c>
      <c r="N86" s="5" t="str">
        <f>IFERROR(__xludf.DUMMYFUNCTION("GOOGLETRANSLATE(C86,""en"",""zh-CN"")"),"这项活动与建子有什么关系？")</f>
        <v>这项活动与建子有什么关系？</v>
      </c>
      <c r="O86" s="5" t="str">
        <f>IFERROR(__xludf.DUMMYFUNCTION("GOOGLETRANSLATE(D86,""en"",""zh-CN"")"),"它们属于同一项运动。")</f>
        <v>它们属于同一项运动。</v>
      </c>
      <c r="P86" s="5" t="str">
        <f>IFERROR(__xludf.DUMMYFUNCTION("GOOGLETRANSLATE(E86,""en"",""zh-CN"")"),"它们是完全不同的运动。")</f>
        <v>它们是完全不同的运动。</v>
      </c>
      <c r="Q86" s="5" t="str">
        <f>IFERROR(__xludf.DUMMYFUNCTION("GOOGLETRANSLATE(F86,""en"",""zh-CN"")"),"它们都是可以在公共场所进行的传统中国消遣活动。")</f>
        <v>它们都是可以在公共场所进行的传统中国消遣活动。</v>
      </c>
      <c r="R86" s="5" t="str">
        <f>IFERROR(__xludf.DUMMYFUNCTION("GOOGLETRANSLATE(G86,""en"",""zh-CN"")"),"它们都是竞技体育项目。")</f>
        <v>它们都是竞技体育项目。</v>
      </c>
      <c r="S86" s="5" t="s">
        <v>2787</v>
      </c>
      <c r="T86" s="5" t="str">
        <f>IFERROR(__xludf.DUMMYFUNCTION("GOOGLETRANSLATE(H86,""en"",""zh-CN"")"),"它们都是可以在公共场所进行的传统中国消遣活动。")</f>
        <v>它们都是可以在公共场所进行的传统中国消遣活动。</v>
      </c>
      <c r="U86" s="5" t="str">
        <f>IFERROR(__xludf.DUMMYFUNCTION("GOOGLETRANSLATE(I86,""en"",""zh-CN"")"),"虽然它们是不同的活动，但都是中国传统的流行消遣方式，经常在公园等公共场所作为一种社交娱乐和锻炼方式出现。")</f>
        <v>虽然它们是不同的活动，但都是中国传统的流行消遣方式，经常在公园等公共场所作为一种社交娱乐和锻炼方式出现。</v>
      </c>
      <c r="V86" s="2"/>
      <c r="W86" s="2"/>
      <c r="X86" s="2"/>
      <c r="Y86" s="2"/>
      <c r="Z86" s="2"/>
      <c r="AA86" s="2"/>
      <c r="AB86" s="2"/>
      <c r="AC86" s="2"/>
      <c r="AD86" s="2"/>
      <c r="AE86" s="2"/>
      <c r="AF86" s="2"/>
      <c r="AG86" s="2"/>
      <c r="AH86" s="2"/>
      <c r="AI86" s="2"/>
      <c r="AJ86" s="2"/>
      <c r="AK86" s="2"/>
      <c r="AL86" s="2"/>
    </row>
    <row r="87" ht="22.5" customHeight="1">
      <c r="A87" s="3" t="s">
        <v>2788</v>
      </c>
      <c r="B87" s="4">
        <v>86.0</v>
      </c>
      <c r="C87" s="3" t="s">
        <v>1335</v>
      </c>
      <c r="D87" s="3" t="s">
        <v>2789</v>
      </c>
      <c r="E87" s="3" t="s">
        <v>2573</v>
      </c>
      <c r="F87" s="3" t="s">
        <v>2575</v>
      </c>
      <c r="G87" s="3" t="s">
        <v>2574</v>
      </c>
      <c r="H87" s="3" t="s">
        <v>2573</v>
      </c>
      <c r="I87" s="3" t="s">
        <v>2790</v>
      </c>
      <c r="J87" s="2"/>
      <c r="K87" s="2"/>
      <c r="L87" s="3" t="s">
        <v>2788</v>
      </c>
      <c r="M87" s="4">
        <v>86.0</v>
      </c>
      <c r="N87" s="5" t="str">
        <f>IFERROR(__xludf.DUMMYFUNCTION("GOOGLETRANSLATE(C87,""en"",""zh-CN"")"),"图中所示的中心活动是什么？")</f>
        <v>图中所示的中心活动是什么？</v>
      </c>
      <c r="O87" s="5" t="str">
        <f>IFERROR(__xludf.DUMMYFUNCTION("GOOGLETRANSLATE(D87,""en"",""zh-CN"")"),"一个人正在奔跑。")</f>
        <v>一个人正在奔跑。</v>
      </c>
      <c r="P87" s="5" t="str">
        <f>IFERROR(__xludf.DUMMYFUNCTION("GOOGLETRANSLATE(E87,""en"",""zh-CN"")"),"一个人正在玩毽子。")</f>
        <v>一个人正在玩毽子。</v>
      </c>
      <c r="Q87" s="5" t="str">
        <f>IFERROR(__xludf.DUMMYFUNCTION("GOOGLETRANSLATE(F87,""en"",""zh-CN"")"),"一个人正在练习武术动作。")</f>
        <v>一个人正在练习武术动作。</v>
      </c>
      <c r="R87" s="5" t="str">
        <f>IFERROR(__xludf.DUMMYFUNCTION("GOOGLETRANSLATE(G87,""en"",""zh-CN"")"),"一个人正在跳舞。")</f>
        <v>一个人正在跳舞。</v>
      </c>
      <c r="S87" s="5" t="s">
        <v>2791</v>
      </c>
      <c r="T87" s="5" t="str">
        <f>IFERROR(__xludf.DUMMYFUNCTION("GOOGLETRANSLATE(H87,""en"",""zh-CN"")"),"一个人正在玩毽子。")</f>
        <v>一个人正在玩毽子。</v>
      </c>
      <c r="U87" s="5" t="str">
        <f>IFERROR(__xludf.DUMMYFUNCTION("GOOGLETRANSLATE(I87,""en"",""zh-CN"")"),"图片显示了一个人的腿和一个毽子，毽子放在人的脚上，表明他们正在打毽子。")</f>
        <v>图片显示了一个人的腿和一个毽子，毽子放在人的脚上，表明他们正在打毽子。</v>
      </c>
      <c r="V87" s="2"/>
      <c r="W87" s="2"/>
      <c r="X87" s="2"/>
      <c r="Y87" s="2"/>
      <c r="Z87" s="2"/>
      <c r="AA87" s="2"/>
      <c r="AB87" s="2"/>
      <c r="AC87" s="2"/>
      <c r="AD87" s="2"/>
      <c r="AE87" s="2"/>
      <c r="AF87" s="2"/>
      <c r="AG87" s="2"/>
      <c r="AH87" s="2"/>
      <c r="AI87" s="2"/>
      <c r="AJ87" s="2"/>
      <c r="AK87" s="2"/>
      <c r="AL87" s="2"/>
    </row>
    <row r="88" ht="22.5" customHeight="1">
      <c r="A88" s="3" t="s">
        <v>2788</v>
      </c>
      <c r="B88" s="4">
        <v>87.0</v>
      </c>
      <c r="C88" s="3" t="s">
        <v>2792</v>
      </c>
      <c r="D88" s="3" t="s">
        <v>2793</v>
      </c>
      <c r="E88" s="3" t="s">
        <v>2794</v>
      </c>
      <c r="F88" s="3" t="s">
        <v>2795</v>
      </c>
      <c r="G88" s="3" t="s">
        <v>2428</v>
      </c>
      <c r="H88" s="3" t="s">
        <v>2794</v>
      </c>
      <c r="I88" s="3" t="s">
        <v>2796</v>
      </c>
      <c r="J88" s="2"/>
      <c r="K88" s="2"/>
      <c r="L88" s="3" t="s">
        <v>2788</v>
      </c>
      <c r="M88" s="4">
        <v>87.0</v>
      </c>
      <c r="N88" s="5" t="str">
        <f>IFERROR(__xludf.DUMMYFUNCTION("GOOGLETRANSLATE(C88,""en"",""zh-CN"")"),"这个人穿着凉鞋。这暗示着游戏中的什么情况？")</f>
        <v>这个人穿着凉鞋。这暗示着游戏中的什么情况？</v>
      </c>
      <c r="O88" s="5" t="str">
        <f>IFERROR(__xludf.DUMMYFUNCTION("GOOGLETRANSLATE(D88,""en"",""zh-CN"")"),"它需要特定的鞋子。")</f>
        <v>它需要特定的鞋子。</v>
      </c>
      <c r="P88" s="5" t="str">
        <f>IFERROR(__xludf.DUMMYFUNCTION("GOOGLETRANSLATE(E88,""en"",""zh-CN"")"),"这是一款休闲游戏，穿任何鞋子都可以玩。")</f>
        <v>这是一款休闲游戏，穿任何鞋子都可以玩。</v>
      </c>
      <c r="Q88" s="5" t="str">
        <f>IFERROR(__xludf.DUMMYFUNCTION("GOOGLETRANSLATE(F88,""en"",""zh-CN"")"),"这是一款非常难的游戏。")</f>
        <v>这是一款非常难的游戏。</v>
      </c>
      <c r="R88" s="5" t="str">
        <f>IFERROR(__xludf.DUMMYFUNCTION("GOOGLETRANSLATE(G88,""en"",""zh-CN"")"),"这是一项职业体育运动。")</f>
        <v>这是一项职业体育运动。</v>
      </c>
      <c r="S88" s="5" t="s">
        <v>2797</v>
      </c>
      <c r="T88" s="5" t="str">
        <f>IFERROR(__xludf.DUMMYFUNCTION("GOOGLETRANSLATE(H88,""en"",""zh-CN"")"),"这是一款休闲游戏，穿任何鞋子都可以玩。")</f>
        <v>这是一款休闲游戏，穿任何鞋子都可以玩。</v>
      </c>
      <c r="U88" s="5" t="str">
        <f>IFERROR(__xludf.DUMMYFUNCTION("GOOGLETRANSLATE(I88,""en"",""zh-CN"")"),"这个人穿着凉鞋，说明毽子是一种非常休闲的游戏，不需要专门的运动装备就可以玩。")</f>
        <v>这个人穿着凉鞋，说明毽子是一种非常休闲的游戏，不需要专门的运动装备就可以玩。</v>
      </c>
      <c r="V88" s="2"/>
      <c r="W88" s="2"/>
      <c r="X88" s="2"/>
      <c r="Y88" s="2"/>
      <c r="Z88" s="2"/>
      <c r="AA88" s="2"/>
      <c r="AB88" s="2"/>
      <c r="AC88" s="2"/>
      <c r="AD88" s="2"/>
      <c r="AE88" s="2"/>
      <c r="AF88" s="2"/>
      <c r="AG88" s="2"/>
      <c r="AH88" s="2"/>
      <c r="AI88" s="2"/>
      <c r="AJ88" s="2"/>
      <c r="AK88" s="2"/>
      <c r="AL88" s="2"/>
    </row>
    <row r="89" ht="22.5" customHeight="1">
      <c r="A89" s="3" t="s">
        <v>2788</v>
      </c>
      <c r="B89" s="4">
        <v>88.0</v>
      </c>
      <c r="C89" s="3" t="s">
        <v>2630</v>
      </c>
      <c r="D89" s="3" t="s">
        <v>2631</v>
      </c>
      <c r="E89" s="3" t="s">
        <v>2632</v>
      </c>
      <c r="F89" s="3" t="s">
        <v>2704</v>
      </c>
      <c r="G89" s="3" t="s">
        <v>2634</v>
      </c>
      <c r="H89" s="3" t="s">
        <v>2704</v>
      </c>
      <c r="I89" s="3" t="s">
        <v>2705</v>
      </c>
      <c r="J89" s="2"/>
      <c r="K89" s="2"/>
      <c r="L89" s="3" t="s">
        <v>2788</v>
      </c>
      <c r="M89" s="4">
        <v>88.0</v>
      </c>
      <c r="N89" s="5" t="str">
        <f>IFERROR(__xludf.DUMMYFUNCTION("GOOGLETRANSLATE(C89,""en"",""zh-CN"")"),"比赛是在什么样的场地上进行的？")</f>
        <v>比赛是在什么样的场地上进行的？</v>
      </c>
      <c r="O89" s="5" t="str">
        <f>IFERROR(__xludf.DUMMYFUNCTION("GOOGLETRANSLATE(D89,""en"",""zh-CN"")"),"铺砌的庭院。")</f>
        <v>铺砌的庭院。</v>
      </c>
      <c r="P89" s="5" t="str">
        <f>IFERROR(__xludf.DUMMYFUNCTION("GOOGLETRANSLATE(E89,""en"",""zh-CN"")"),"一片泥地。")</f>
        <v>一片泥地。</v>
      </c>
      <c r="Q89" s="5" t="str">
        <f>IFERROR(__xludf.DUMMYFUNCTION("GOOGLETRANSLATE(F89,""en"",""zh-CN"")"),"一片草地。")</f>
        <v>一片草地。</v>
      </c>
      <c r="R89" s="5" t="str">
        <f>IFERROR(__xludf.DUMMYFUNCTION("GOOGLETRANSLATE(G89,""en"",""zh-CN"")"),"木地板。")</f>
        <v>木地板。</v>
      </c>
      <c r="S89" s="5" t="s">
        <v>2706</v>
      </c>
      <c r="T89" s="5" t="str">
        <f>IFERROR(__xludf.DUMMYFUNCTION("GOOGLETRANSLATE(H89,""en"",""zh-CN"")"),"一片草地。")</f>
        <v>一片草地。</v>
      </c>
      <c r="U89" s="5" t="str">
        <f>IFERROR(__xludf.DUMMYFUNCTION("GOOGLETRANSLATE(I89,""en"",""zh-CN"")"),"图片显示球员们在一片鲜绿色的表面上比赛，看起来像是一片草地。")</f>
        <v>图片显示球员们在一片鲜绿色的表面上比赛，看起来像是一片草地。</v>
      </c>
      <c r="V89" s="2"/>
      <c r="W89" s="2"/>
      <c r="X89" s="2"/>
      <c r="Y89" s="2"/>
      <c r="Z89" s="2"/>
      <c r="AA89" s="2"/>
      <c r="AB89" s="2"/>
      <c r="AC89" s="2"/>
      <c r="AD89" s="2"/>
      <c r="AE89" s="2"/>
      <c r="AF89" s="2"/>
      <c r="AG89" s="2"/>
      <c r="AH89" s="2"/>
      <c r="AI89" s="2"/>
      <c r="AJ89" s="2"/>
      <c r="AK89" s="2"/>
      <c r="AL89" s="2"/>
    </row>
    <row r="90" ht="22.5" customHeight="1">
      <c r="A90" s="3" t="s">
        <v>2788</v>
      </c>
      <c r="B90" s="4">
        <v>89.0</v>
      </c>
      <c r="C90" s="3" t="s">
        <v>2411</v>
      </c>
      <c r="D90" s="3" t="s">
        <v>2414</v>
      </c>
      <c r="E90" s="3" t="s">
        <v>2546</v>
      </c>
      <c r="F90" s="3" t="s">
        <v>2547</v>
      </c>
      <c r="G90" s="3" t="s">
        <v>2758</v>
      </c>
      <c r="H90" s="3" t="s">
        <v>2546</v>
      </c>
      <c r="I90" s="3" t="s">
        <v>2548</v>
      </c>
      <c r="J90" s="2"/>
      <c r="K90" s="2"/>
      <c r="L90" s="3" t="s">
        <v>2788</v>
      </c>
      <c r="M90" s="4">
        <v>89.0</v>
      </c>
      <c r="N90" s="5" t="str">
        <f>IFERROR(__xludf.DUMMYFUNCTION("GOOGLETRANSLATE(C90,""en"",""zh-CN"")"),"羽毛球的一个显著特点是什么？")</f>
        <v>羽毛球的一个显著特点是什么？</v>
      </c>
      <c r="O90" s="5" t="str">
        <f>IFERROR(__xludf.DUMMYFUNCTION("GOOGLETRANSLATE(D90,""en"",""zh-CN"")"),"这是一个现代足球。")</f>
        <v>这是一个现代足球。</v>
      </c>
      <c r="P90" s="5" t="str">
        <f>IFERROR(__xludf.DUMMYFUNCTION("GOOGLETRANSLATE(E90,""en"",""zh-CN"")"),"这是一个传统的羽毛装饰的钩子，羽毛色彩鲜艳。")</f>
        <v>这是一个传统的羽毛装饰的钩子，羽毛色彩鲜艳。</v>
      </c>
      <c r="Q90" s="5" t="str">
        <f>IFERROR(__xludf.DUMMYFUNCTION("GOOGLETRANSLATE(F90,""en"",""zh-CN"")"),"这是一个羽毛球。")</f>
        <v>这是一个羽毛球。</v>
      </c>
      <c r="R90" s="5" t="str">
        <f>IFERROR(__xludf.DUMMYFUNCTION("GOOGLETRANSLATE(G90,""en"",""zh-CN"")"),"这是一个塑料玩具。")</f>
        <v>这是一个塑料玩具。</v>
      </c>
      <c r="S90" s="5" t="s">
        <v>2765</v>
      </c>
      <c r="T90" s="5" t="str">
        <f>IFERROR(__xludf.DUMMYFUNCTION("GOOGLETRANSLATE(H90,""en"",""zh-CN"")"),"这是一个传统的羽毛装饰的钩子，羽毛色彩鲜艳。")</f>
        <v>这是一个传统的羽毛装饰的钩子，羽毛色彩鲜艳。</v>
      </c>
      <c r="U90" s="5" t="str">
        <f>IFERROR(__xludf.DUMMYFUNCTION("GOOGLETRANSLATE(I90,""en"",""zh-CN"")"),"毽子由底座和一系列色彩鲜艳的羽毛状流苏组成，这是毽子的经典设计。")</f>
        <v>毽子由底座和一系列色彩鲜艳的羽毛状流苏组成，这是毽子的经典设计。</v>
      </c>
      <c r="V90" s="2"/>
      <c r="W90" s="2"/>
      <c r="X90" s="2"/>
      <c r="Y90" s="2"/>
      <c r="Z90" s="2"/>
      <c r="AA90" s="2"/>
      <c r="AB90" s="2"/>
      <c r="AC90" s="2"/>
      <c r="AD90" s="2"/>
      <c r="AE90" s="2"/>
      <c r="AF90" s="2"/>
      <c r="AG90" s="2"/>
      <c r="AH90" s="2"/>
      <c r="AI90" s="2"/>
      <c r="AJ90" s="2"/>
      <c r="AK90" s="2"/>
      <c r="AL90" s="2"/>
    </row>
    <row r="91" ht="22.5" customHeight="1">
      <c r="A91" s="3" t="s">
        <v>2788</v>
      </c>
      <c r="B91" s="4">
        <v>90.0</v>
      </c>
      <c r="C91" s="3" t="s">
        <v>2456</v>
      </c>
      <c r="D91" s="3" t="s">
        <v>2457</v>
      </c>
      <c r="E91" s="3" t="s">
        <v>2459</v>
      </c>
      <c r="F91" s="3" t="s">
        <v>2460</v>
      </c>
      <c r="G91" s="3" t="s">
        <v>2458</v>
      </c>
      <c r="H91" s="3" t="s">
        <v>2459</v>
      </c>
      <c r="I91" s="3" t="s">
        <v>2461</v>
      </c>
      <c r="J91" s="2"/>
      <c r="K91" s="2"/>
      <c r="L91" s="3" t="s">
        <v>2788</v>
      </c>
      <c r="M91" s="4">
        <v>90.0</v>
      </c>
      <c r="N91" s="5" t="str">
        <f>IFERROR(__xludf.DUMMYFUNCTION("GOOGLETRANSLATE(C91,""en"",""zh-CN"")"),"要想有效演奏戌子，需要掌握哪些关键技能？")</f>
        <v>要想有效演奏戌子，需要掌握哪些关键技能？</v>
      </c>
      <c r="O91" s="5" t="str">
        <f>IFERROR(__xludf.DUMMYFUNCTION("GOOGLETRANSLATE(D91,""en"",""zh-CN"")"),"手眼协调能力。")</f>
        <v>手眼协调能力。</v>
      </c>
      <c r="P91" s="5" t="str">
        <f>IFERROR(__xludf.DUMMYFUNCTION("GOOGLETRANSLATE(E91,""en"",""zh-CN"")"),"腿部力量和敏捷性。")</f>
        <v>腿部力量和敏捷性。</v>
      </c>
      <c r="Q91" s="5" t="str">
        <f>IFERROR(__xludf.DUMMYFUNCTION("GOOGLETRANSLATE(F91,""en"",""zh-CN"")"),"跑步速度。")</f>
        <v>跑步速度。</v>
      </c>
      <c r="R91" s="5" t="str">
        <f>IFERROR(__xludf.DUMMYFUNCTION("GOOGLETRANSLATE(G91,""en"",""zh-CN"")"),"上肢力量。")</f>
        <v>上肢力量。</v>
      </c>
      <c r="S91" s="5" t="s">
        <v>2557</v>
      </c>
      <c r="T91" s="5" t="str">
        <f>IFERROR(__xludf.DUMMYFUNCTION("GOOGLETRANSLATE(H91,""en"",""zh-CN"")"),"腿部力量和敏捷性。")</f>
        <v>腿部力量和敏捷性。</v>
      </c>
      <c r="U91" s="5" t="str">
        <f>IFERROR(__xludf.DUMMYFUNCTION("GOOGLETRANSLATE(I91,""en"",""zh-CN"")"),"这项运动依赖于用脚控制和保持羽毛球在空中的能力，这需要极佳的腿部力量和敏捷性。")</f>
        <v>这项运动依赖于用脚控制和保持羽毛球在空中的能力，这需要极佳的腿部力量和敏捷性。</v>
      </c>
      <c r="V91" s="2"/>
      <c r="W91" s="2"/>
      <c r="X91" s="2"/>
      <c r="Y91" s="2"/>
      <c r="Z91" s="2"/>
      <c r="AA91" s="2"/>
      <c r="AB91" s="2"/>
      <c r="AC91" s="2"/>
      <c r="AD91" s="2"/>
      <c r="AE91" s="2"/>
      <c r="AF91" s="2"/>
      <c r="AG91" s="2"/>
      <c r="AH91" s="2"/>
      <c r="AI91" s="2"/>
      <c r="AJ91" s="2"/>
      <c r="AK91" s="2"/>
      <c r="AL91" s="2"/>
    </row>
    <row r="92" ht="22.5" customHeight="1">
      <c r="A92" s="3" t="s">
        <v>2798</v>
      </c>
      <c r="B92" s="4">
        <v>91.0</v>
      </c>
      <c r="C92" s="3" t="s">
        <v>1335</v>
      </c>
      <c r="D92" s="3" t="s">
        <v>2799</v>
      </c>
      <c r="E92" s="3" t="s">
        <v>2800</v>
      </c>
      <c r="F92" s="3" t="s">
        <v>2536</v>
      </c>
      <c r="G92" s="3" t="s">
        <v>2605</v>
      </c>
      <c r="H92" s="3" t="s">
        <v>2800</v>
      </c>
      <c r="I92" s="3" t="s">
        <v>2801</v>
      </c>
      <c r="J92" s="2"/>
      <c r="K92" s="2"/>
      <c r="L92" s="3" t="s">
        <v>2798</v>
      </c>
      <c r="M92" s="4">
        <v>91.0</v>
      </c>
      <c r="N92" s="5" t="str">
        <f>IFERROR(__xludf.DUMMYFUNCTION("GOOGLETRANSLATE(C92,""en"",""zh-CN"")"),"图中所示的中心活动是什么？")</f>
        <v>图中所示的中心活动是什么？</v>
      </c>
      <c r="O92" s="5" t="str">
        <f>IFERROR(__xludf.DUMMYFUNCTION("GOOGLETRANSLATE(D92,""en"",""zh-CN"")"),"两个人正在跳舞。")</f>
        <v>两个人正在跳舞。</v>
      </c>
      <c r="P92" s="5" t="str">
        <f>IFERROR(__xludf.DUMMYFUNCTION("GOOGLETRANSLATE(E92,""en"",""zh-CN"")"),"一名男子正在教一名女子玩游戏。")</f>
        <v>一名男子正在教一名女子玩游戏。</v>
      </c>
      <c r="Q92" s="5" t="str">
        <f>IFERROR(__xludf.DUMMYFUNCTION("GOOGLETRANSLATE(F92,""en"",""zh-CN"")"),"一名男子正在表演武术动作。")</f>
        <v>一名男子正在表演武术动作。</v>
      </c>
      <c r="R92" s="5" t="str">
        <f>IFERROR(__xludf.DUMMYFUNCTION("GOOGLETRANSLATE(G92,""en"",""zh-CN"")"),"一名男子正在伸展身体。")</f>
        <v>一名男子正在伸展身体。</v>
      </c>
      <c r="S92" s="5" t="s">
        <v>2802</v>
      </c>
      <c r="T92" s="5" t="str">
        <f>IFERROR(__xludf.DUMMYFUNCTION("GOOGLETRANSLATE(H92,""en"",""zh-CN"")"),"一名男子正在教一名女子玩游戏。")</f>
        <v>一名男子正在教一名女子玩游戏。</v>
      </c>
      <c r="U92" s="5" t="str">
        <f>IFERROR(__xludf.DUMMYFUNCTION("GOOGLETRANSLATE(I92,""en"",""zh-CN"")"),"男子手持羽毛球和球拍，摆出教学姿势，女子正在观看他，这表明他正在教她如何打羽毛球。")</f>
        <v>男子手持羽毛球和球拍，摆出教学姿势，女子正在观看他，这表明他正在教她如何打羽毛球。</v>
      </c>
      <c r="V92" s="2"/>
      <c r="W92" s="2"/>
      <c r="X92" s="2"/>
      <c r="Y92" s="2"/>
      <c r="Z92" s="2"/>
      <c r="AA92" s="2"/>
      <c r="AB92" s="2"/>
      <c r="AC92" s="2"/>
      <c r="AD92" s="2"/>
      <c r="AE92" s="2"/>
      <c r="AF92" s="2"/>
      <c r="AG92" s="2"/>
      <c r="AH92" s="2"/>
      <c r="AI92" s="2"/>
      <c r="AJ92" s="2"/>
      <c r="AK92" s="2"/>
      <c r="AL92" s="2"/>
    </row>
    <row r="93" ht="22.5" customHeight="1">
      <c r="A93" s="3" t="s">
        <v>2798</v>
      </c>
      <c r="B93" s="4">
        <v>92.0</v>
      </c>
      <c r="C93" s="3" t="s">
        <v>2803</v>
      </c>
      <c r="D93" s="3" t="s">
        <v>2730</v>
      </c>
      <c r="E93" s="3" t="s">
        <v>2731</v>
      </c>
      <c r="F93" s="3" t="s">
        <v>2684</v>
      </c>
      <c r="G93" s="3" t="s">
        <v>2685</v>
      </c>
      <c r="H93" s="3" t="s">
        <v>2730</v>
      </c>
      <c r="I93" s="3" t="s">
        <v>2732</v>
      </c>
      <c r="J93" s="2"/>
      <c r="K93" s="2"/>
      <c r="L93" s="3" t="s">
        <v>2798</v>
      </c>
      <c r="M93" s="4">
        <v>92.0</v>
      </c>
      <c r="N93" s="5" t="str">
        <f>IFERROR(__xludf.DUMMYFUNCTION("GOOGLETRANSLATE(C93,""en"",""zh-CN"")"),"这张图片中游戏最显著的特点是什么？")</f>
        <v>这张图片中游戏最显著的特点是什么？</v>
      </c>
      <c r="O93" s="5" t="str">
        <f>IFERROR(__xludf.DUMMYFUNCTION("GOOGLETRANSLATE(D93,""en"",""zh-CN"")"),"使用小型球拍。")</f>
        <v>使用小型球拍。</v>
      </c>
      <c r="P93" s="5" t="str">
        <f>IFERROR(__xludf.DUMMYFUNCTION("GOOGLETRANSLATE(E93,""en"",""zh-CN"")"),"用球代替羽毛球。")</f>
        <v>用球代替羽毛球。</v>
      </c>
      <c r="Q93" s="5" t="str">
        <f>IFERROR(__xludf.DUMMYFUNCTION("GOOGLETRANSLATE(F93,""en"",""zh-CN"")"),"玩家人数。")</f>
        <v>玩家人数。</v>
      </c>
      <c r="R93" s="5" t="str">
        <f>IFERROR(__xludf.DUMMYFUNCTION("GOOGLETRANSLATE(G93,""en"",""zh-CN"")"),"使用脚。")</f>
        <v>使用脚。</v>
      </c>
      <c r="S93" s="5" t="s">
        <v>2733</v>
      </c>
      <c r="T93" s="5" t="str">
        <f>IFERROR(__xludf.DUMMYFUNCTION("GOOGLETRANSLATE(H93,""en"",""zh-CN"")"),"使用小型球拍。")</f>
        <v>使用小型球拍。</v>
      </c>
      <c r="U93" s="5" t="str">
        <f>IFERROR(__xludf.DUMMYFUNCTION("GOOGLETRANSLATE(I93,""en"",""zh-CN"")"),"这种剑式变体使用小型桨状球拍击球，而传统剑式则是用脚击球。")</f>
        <v>这种剑式变体使用小型桨状球拍击球，而传统剑式则是用脚击球。</v>
      </c>
      <c r="V93" s="2"/>
      <c r="W93" s="2"/>
      <c r="X93" s="2"/>
      <c r="Y93" s="2"/>
      <c r="Z93" s="2"/>
      <c r="AA93" s="2"/>
      <c r="AB93" s="2"/>
      <c r="AC93" s="2"/>
      <c r="AD93" s="2"/>
      <c r="AE93" s="2"/>
      <c r="AF93" s="2"/>
      <c r="AG93" s="2"/>
      <c r="AH93" s="2"/>
      <c r="AI93" s="2"/>
      <c r="AJ93" s="2"/>
      <c r="AK93" s="2"/>
      <c r="AL93" s="2"/>
    </row>
    <row r="94" ht="22.5" customHeight="1">
      <c r="A94" s="3" t="s">
        <v>2798</v>
      </c>
      <c r="B94" s="4">
        <v>93.0</v>
      </c>
      <c r="C94" s="3" t="s">
        <v>2734</v>
      </c>
      <c r="D94" s="3" t="s">
        <v>2551</v>
      </c>
      <c r="E94" s="3" t="s">
        <v>2554</v>
      </c>
      <c r="F94" s="3" t="s">
        <v>2735</v>
      </c>
      <c r="G94" s="3" t="s">
        <v>2428</v>
      </c>
      <c r="H94" s="3" t="s">
        <v>2735</v>
      </c>
      <c r="I94" s="3" t="s">
        <v>2736</v>
      </c>
      <c r="J94" s="2"/>
      <c r="K94" s="2"/>
      <c r="L94" s="3" t="s">
        <v>2798</v>
      </c>
      <c r="M94" s="4">
        <v>93.0</v>
      </c>
      <c r="N94" s="5" t="str">
        <f>IFERROR(__xludf.DUMMYFUNCTION("GOOGLETRANSLATE(C94,""en"",""zh-CN"")"),"玩家们身处类似公园的公共环境中。这暗示着比赛的什么特点？")</f>
        <v>玩家们身处类似公园的公共环境中。这暗示着比赛的什么特点？</v>
      </c>
      <c r="O94" s="5" t="str">
        <f>IFERROR(__xludf.DUMMYFUNCTION("GOOGLETRANSLATE(D94,""en"",""zh-CN"")"),"这是一项非常正式的运动。")</f>
        <v>这是一项非常正式的运动。</v>
      </c>
      <c r="P94" s="5" t="str">
        <f>IFERROR(__xludf.DUMMYFUNCTION("GOOGLETRANSLATE(E94,""en"",""zh-CN"")"),"这是一项竞技性运动。")</f>
        <v>这是一项竞技性运动。</v>
      </c>
      <c r="Q94" s="5" t="str">
        <f>IFERROR(__xludf.DUMMYFUNCTION("GOOGLETRANSLATE(F94,""en"",""zh-CN"")"),"这是一种在公共场所很受欢迎的休闲消遣活动。")</f>
        <v>这是一种在公共场所很受欢迎的休闲消遣活动。</v>
      </c>
      <c r="R94" s="5" t="str">
        <f>IFERROR(__xludf.DUMMYFUNCTION("GOOGLETRANSLATE(G94,""en"",""zh-CN"")"),"这是一项职业体育运动。")</f>
        <v>这是一项职业体育运动。</v>
      </c>
      <c r="S94" s="5" t="s">
        <v>2737</v>
      </c>
      <c r="T94" s="5" t="str">
        <f>IFERROR(__xludf.DUMMYFUNCTION("GOOGLETRANSLATE(H94,""en"",""zh-CN"")"),"这是一种在公共场所很受欢迎的休闲消遣活动。")</f>
        <v>这是一种在公共场所很受欢迎的休闲消遣活动。</v>
      </c>
      <c r="U94" s="5" t="str">
        <f>IFERROR(__xludf.DUMMYFUNCTION("GOOGLETRANSLATE(I94,""en"",""zh-CN"")"),"球员们身处公园，穿着日常服装，这表明这场比赛是一种轻松的社交消遣。")</f>
        <v>球员们身处公园，穿着日常服装，这表明这场比赛是一种轻松的社交消遣。</v>
      </c>
      <c r="V94" s="2"/>
      <c r="W94" s="2"/>
      <c r="X94" s="2"/>
      <c r="Y94" s="2"/>
      <c r="Z94" s="2"/>
      <c r="AA94" s="2"/>
      <c r="AB94" s="2"/>
      <c r="AC94" s="2"/>
      <c r="AD94" s="2"/>
      <c r="AE94" s="2"/>
      <c r="AF94" s="2"/>
      <c r="AG94" s="2"/>
      <c r="AH94" s="2"/>
      <c r="AI94" s="2"/>
      <c r="AJ94" s="2"/>
      <c r="AK94" s="2"/>
      <c r="AL94" s="2"/>
    </row>
    <row r="95" ht="22.5" customHeight="1">
      <c r="A95" s="3" t="s">
        <v>2798</v>
      </c>
      <c r="B95" s="4">
        <v>94.0</v>
      </c>
      <c r="C95" s="3" t="s">
        <v>878</v>
      </c>
      <c r="D95" s="3" t="s">
        <v>2738</v>
      </c>
      <c r="E95" s="3" t="s">
        <v>2053</v>
      </c>
      <c r="F95" s="3" t="s">
        <v>2739</v>
      </c>
      <c r="G95" s="3" t="s">
        <v>2740</v>
      </c>
      <c r="H95" s="3" t="s">
        <v>2740</v>
      </c>
      <c r="I95" s="3" t="s">
        <v>2804</v>
      </c>
      <c r="J95" s="2"/>
      <c r="K95" s="2"/>
      <c r="L95" s="3" t="s">
        <v>2798</v>
      </c>
      <c r="M95" s="4">
        <v>94.0</v>
      </c>
      <c r="N95" s="5" t="str">
        <f>IFERROR(__xludf.DUMMYFUNCTION("GOOGLETRANSLATE(C95,""en"",""zh-CN"")"),"由此可以推断出这些球员的社会地位如何？")</f>
        <v>由此可以推断出这些球员的社会地位如何？</v>
      </c>
      <c r="O95" s="5" t="str">
        <f>IFERROR(__xludf.DUMMYFUNCTION("GOOGLETRANSLATE(D95,""en"",""zh-CN"")"),"他们都是专业人士。")</f>
        <v>他们都是专业人士。</v>
      </c>
      <c r="P95" s="5" t="str">
        <f>IFERROR(__xludf.DUMMYFUNCTION("GOOGLETRANSLATE(E95,""en"",""zh-CN"")"),"他们家境富裕，社会地位显赫。")</f>
        <v>他们家境富裕，社会地位显赫。</v>
      </c>
      <c r="Q95" s="5" t="str">
        <f>IFERROR(__xludf.DUMMYFUNCTION("GOOGLETRANSLATE(F95,""en"",""zh-CN"")"),"他们年纪较大。")</f>
        <v>他们年纪较大。</v>
      </c>
      <c r="R95" s="5" t="str">
        <f>IFERROR(__xludf.DUMMYFUNCTION("GOOGLETRANSLATE(G95,""en"",""zh-CN"")"),"他们年轻且体格健壮。")</f>
        <v>他们年轻且体格健壮。</v>
      </c>
      <c r="S95" s="5" t="s">
        <v>2742</v>
      </c>
      <c r="T95" s="5" t="str">
        <f>IFERROR(__xludf.DUMMYFUNCTION("GOOGLETRANSLATE(H95,""en"",""zh-CN"")"),"他们年轻且体格健壮。")</f>
        <v>他们年轻且体格健壮。</v>
      </c>
      <c r="U95" s="5" t="str">
        <f>IFERROR(__xludf.DUMMYFUNCTION("GOOGLETRANSLATE(I95,""en"",""zh-CN"")"),"这两个人看起来都很年轻，身体也很健壮，这表明这款游戏在年轻人群体中很受欢迎。")</f>
        <v>这两个人看起来都很年轻，身体也很健壮，这表明这款游戏在年轻人群体中很受欢迎。</v>
      </c>
      <c r="V95" s="2"/>
      <c r="W95" s="2"/>
      <c r="X95" s="2"/>
      <c r="Y95" s="2"/>
      <c r="Z95" s="2"/>
      <c r="AA95" s="2"/>
      <c r="AB95" s="2"/>
      <c r="AC95" s="2"/>
      <c r="AD95" s="2"/>
      <c r="AE95" s="2"/>
      <c r="AF95" s="2"/>
      <c r="AG95" s="2"/>
      <c r="AH95" s="2"/>
      <c r="AI95" s="2"/>
      <c r="AJ95" s="2"/>
      <c r="AK95" s="2"/>
      <c r="AL95" s="2"/>
    </row>
    <row r="96" ht="22.5" customHeight="1">
      <c r="A96" s="3" t="s">
        <v>2798</v>
      </c>
      <c r="B96" s="4">
        <v>95.0</v>
      </c>
      <c r="C96" s="3" t="s">
        <v>2805</v>
      </c>
      <c r="D96" s="3" t="s">
        <v>1294</v>
      </c>
      <c r="E96" s="3" t="s">
        <v>2806</v>
      </c>
      <c r="F96" s="3" t="s">
        <v>2783</v>
      </c>
      <c r="G96" s="3" t="s">
        <v>2785</v>
      </c>
      <c r="H96" s="3" t="s">
        <v>2806</v>
      </c>
      <c r="I96" s="3" t="s">
        <v>2807</v>
      </c>
      <c r="J96" s="2"/>
      <c r="K96" s="2"/>
      <c r="L96" s="3" t="s">
        <v>2798</v>
      </c>
      <c r="M96" s="4">
        <v>95.0</v>
      </c>
      <c r="N96" s="5" t="str">
        <f>IFERROR(__xludf.DUMMYFUNCTION("GOOGLETRANSLATE(C96,""en"",""zh-CN"")"),"这项活动与传统煎子有何关联？")</f>
        <v>这项活动与传统煎子有何关联？</v>
      </c>
      <c r="O96" s="5" t="str">
        <f>IFERROR(__xludf.DUMMYFUNCTION("GOOGLETRANSLATE(D96,""en"",""zh-CN"")"),"它们属于同一项运动。")</f>
        <v>它们属于同一项运动。</v>
      </c>
      <c r="P96" s="5" t="str">
        <f>IFERROR(__xludf.DUMMYFUNCTION("GOOGLETRANSLATE(E96,""en"",""zh-CN"")"),"它们是同一项运动的现代变体。")</f>
        <v>它们是同一项运动的现代变体。</v>
      </c>
      <c r="Q96" s="5" t="str">
        <f>IFERROR(__xludf.DUMMYFUNCTION("GOOGLETRANSLATE(F96,""en"",""zh-CN"")"),"它们是完全不同的运动。")</f>
        <v>它们是完全不同的运动。</v>
      </c>
      <c r="R96" s="5" t="str">
        <f>IFERROR(__xludf.DUMMYFUNCTION("GOOGLETRANSLATE(G96,""en"",""zh-CN"")"),"它们都是竞技体育项目。")</f>
        <v>它们都是竞技体育项目。</v>
      </c>
      <c r="S96" s="5" t="s">
        <v>2808</v>
      </c>
      <c r="T96" s="5" t="str">
        <f>IFERROR(__xludf.DUMMYFUNCTION("GOOGLETRANSLATE(H96,""en"",""zh-CN"")"),"它们是同一项运动的现代变体。")</f>
        <v>它们是同一项运动的现代变体。</v>
      </c>
      <c r="U96" s="5" t="str">
        <f>IFERROR(__xludf.DUMMYFUNCTION("GOOGLETRANSLATE(I96,""en"",""zh-CN"")"),"这种使用球拍的玩法是从传统的脚踢游戏“毽子”演变而来的现代变体。")</f>
        <v>这种使用球拍的玩法是从传统的脚踢游戏“毽子”演变而来的现代变体。</v>
      </c>
      <c r="V96" s="2"/>
      <c r="W96" s="2"/>
      <c r="X96" s="2"/>
      <c r="Y96" s="2"/>
      <c r="Z96" s="2"/>
      <c r="AA96" s="2"/>
      <c r="AB96" s="2"/>
      <c r="AC96" s="2"/>
      <c r="AD96" s="2"/>
      <c r="AE96" s="2"/>
      <c r="AF96" s="2"/>
      <c r="AG96" s="2"/>
      <c r="AH96" s="2"/>
      <c r="AI96" s="2"/>
      <c r="AJ96" s="2"/>
      <c r="AK96" s="2"/>
      <c r="AL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2.88"/>
    <col customWidth="1" min="3" max="3" width="37.63"/>
    <col customWidth="1" min="4" max="4" width="30.25"/>
    <col customWidth="1" min="5" max="9" width="37.63"/>
    <col customWidth="1" min="12" max="12" width="15.0"/>
    <col customWidth="1" min="13" max="13" width="12.88"/>
    <col customWidth="1" min="19" max="19" width="17.0"/>
    <col customWidth="1" min="20" max="20" width="13.88"/>
  </cols>
  <sheetData>
    <row r="1" ht="22.5" customHeight="1">
      <c r="A1" s="1" t="s">
        <v>0</v>
      </c>
      <c r="B1" s="1" t="s">
        <v>1</v>
      </c>
      <c r="C1" s="1" t="s">
        <v>2</v>
      </c>
      <c r="D1" s="1" t="s">
        <v>3</v>
      </c>
      <c r="E1" s="1" t="s">
        <v>4</v>
      </c>
      <c r="F1" s="1" t="s">
        <v>5</v>
      </c>
      <c r="G1" s="1" t="s">
        <v>6</v>
      </c>
      <c r="H1" s="1" t="s">
        <v>7</v>
      </c>
      <c r="I1" s="1" t="s">
        <v>8</v>
      </c>
      <c r="L1" s="1" t="s">
        <v>9</v>
      </c>
      <c r="M1" s="1" t="s">
        <v>10</v>
      </c>
      <c r="N1" s="1" t="s">
        <v>11</v>
      </c>
      <c r="O1" s="1" t="s">
        <v>12</v>
      </c>
      <c r="P1" s="1" t="s">
        <v>13</v>
      </c>
      <c r="Q1" s="1" t="s">
        <v>14</v>
      </c>
      <c r="R1" s="1" t="s">
        <v>15</v>
      </c>
      <c r="S1" s="1" t="s">
        <v>16</v>
      </c>
      <c r="T1" s="1" t="s">
        <v>17</v>
      </c>
      <c r="U1" s="1" t="s">
        <v>18</v>
      </c>
    </row>
    <row r="2" ht="22.5" customHeight="1">
      <c r="A2" s="3" t="s">
        <v>2809</v>
      </c>
      <c r="B2" s="4">
        <v>1.0</v>
      </c>
      <c r="C2" s="3" t="s">
        <v>1335</v>
      </c>
      <c r="D2" s="3" t="s">
        <v>2810</v>
      </c>
      <c r="E2" s="3" t="s">
        <v>2811</v>
      </c>
      <c r="F2" s="3" t="s">
        <v>2812</v>
      </c>
      <c r="G2" s="3" t="s">
        <v>2813</v>
      </c>
      <c r="H2" s="3" t="s">
        <v>2812</v>
      </c>
      <c r="I2" s="3" t="s">
        <v>2814</v>
      </c>
      <c r="L2" s="3" t="s">
        <v>2809</v>
      </c>
      <c r="M2" s="4">
        <v>1.0</v>
      </c>
      <c r="N2" s="5" t="str">
        <f>IFERROR(__xludf.DUMMYFUNCTION("GOOGLETRANSLATE(C2,""en"",""zh-CN"")"),"图中所示的中心活动是什么？")</f>
        <v>图中所示的中心活动是什么？</v>
      </c>
      <c r="O2" s="5" t="str">
        <f>IFERROR(__xludf.DUMMYFUNCTION("GOOGLETRANSLATE(D2,""en"",""zh-CN"")"),"芭蕾舞表演")</f>
        <v>芭蕾舞表演</v>
      </c>
      <c r="P2" s="5" t="str">
        <f>IFERROR(__xludf.DUMMYFUNCTION("GOOGLETRANSLATE(E2,""en"",""zh-CN"")"),"剑术表演")</f>
        <v>剑术表演</v>
      </c>
      <c r="Q2" s="5" t="str">
        <f>IFERROR(__xludf.DUMMYFUNCTION("GOOGLETRANSLATE(F2,""en"",""zh-CN"")"),"武术表演")</f>
        <v>武术表演</v>
      </c>
      <c r="R2" s="5" t="str">
        <f>IFERROR(__xludf.DUMMYFUNCTION("GOOGLETRANSLATE(G2,""en"",""zh-CN"")"),"一种传统舞蹈")</f>
        <v>一种传统舞蹈</v>
      </c>
      <c r="S2" s="5" t="str">
        <f t="array" ref="S2:S101">TRIM(" (A) " &amp; O2:O101 &amp; " (B) " &amp; P2:P101 &amp; " (C) " &amp; Q2:Q101 &amp; " (D) " &amp; R2:R101)</f>
        <v>(A) 芭蕾舞表演 (B) 剑术表演 (C) 武术表演 (D) 一种传统舞蹈</v>
      </c>
      <c r="T2" s="5" t="str">
        <f>IFERROR(__xludf.DUMMYFUNCTION("GOOGLETRANSLATE(H2,""en"",""zh-CN"")"),"武术表演")</f>
        <v>武术表演</v>
      </c>
      <c r="U2" s="5" t="str">
        <f>IFERROR(__xludf.DUMMYFUNCTION("GOOGLETRANSLATE(I2,""en"",""zh-CN"")"),"图片显示一名女武术家正在表演武术的程式化剑术动作，这是武术的特色动作。武术是一项基于中国传统武术的现代表演和全接触式运动。")</f>
        <v>图片显示一名女武术家正在表演武术的程式化剑术动作，这是武术的特色动作。武术是一项基于中国传统武术的现代表演和全接触式运动。</v>
      </c>
    </row>
    <row r="3" ht="22.5" customHeight="1">
      <c r="A3" s="3" t="s">
        <v>2809</v>
      </c>
      <c r="B3" s="4">
        <v>2.0</v>
      </c>
      <c r="C3" s="3" t="s">
        <v>2815</v>
      </c>
      <c r="D3" s="3" t="s">
        <v>2816</v>
      </c>
      <c r="E3" s="3" t="s">
        <v>551</v>
      </c>
      <c r="F3" s="3" t="s">
        <v>2817</v>
      </c>
      <c r="G3" s="3" t="s">
        <v>2818</v>
      </c>
      <c r="H3" s="3" t="s">
        <v>551</v>
      </c>
      <c r="I3" s="3" t="s">
        <v>2819</v>
      </c>
      <c r="L3" s="3" t="s">
        <v>2809</v>
      </c>
      <c r="M3" s="4">
        <v>2.0</v>
      </c>
      <c r="N3" s="5" t="str">
        <f>IFERROR(__xludf.DUMMYFUNCTION("GOOGLETRANSLATE(C3,""en"",""zh-CN"")"),"使用的那种又长又直的武器是什么？")</f>
        <v>使用的那种又长又直的武器是什么？</v>
      </c>
      <c r="O3" s="5" t="str">
        <f>IFERROR(__xludf.DUMMYFUNCTION("GOOGLETRANSLATE(D3,""en"",""zh-CN"")"),"武士刀")</f>
        <v>武士刀</v>
      </c>
      <c r="P3" s="5" t="str">
        <f>IFERROR(__xludf.DUMMYFUNCTION("GOOGLETRANSLATE(E3,""en"",""zh-CN"")"),"简")</f>
        <v>简</v>
      </c>
      <c r="Q3" s="5" t="str">
        <f>IFERROR(__xludf.DUMMYFUNCTION("GOOGLETRANSLATE(F3,""en"",""zh-CN"")"),"佩剑")</f>
        <v>佩剑</v>
      </c>
      <c r="R3" s="5" t="str">
        <f>IFERROR(__xludf.DUMMYFUNCTION("GOOGLETRANSLATE(G3,""en"",""zh-CN"")"),"博员工")</f>
        <v>博员工</v>
      </c>
      <c r="S3" s="5" t="s">
        <v>2820</v>
      </c>
      <c r="T3" s="5" t="str">
        <f>IFERROR(__xludf.DUMMYFUNCTION("GOOGLETRANSLATE(H3,""en"",""zh-CN"")"),"简")</f>
        <v>简</v>
      </c>
      <c r="U3" s="5" t="str">
        <f>IFERROR(__xludf.DUMMYFUNCTION("GOOGLETRANSLATE(I3,""en"",""zh-CN"")"),"这种武器是剑，一种直的双刃中国剑，用于各种中国武术，包括太极拳和武术。")</f>
        <v>这种武器是剑，一种直的双刃中国剑，用于各种中国武术，包括太极拳和武术。</v>
      </c>
    </row>
    <row r="4" ht="22.5" customHeight="1">
      <c r="A4" s="3" t="s">
        <v>2809</v>
      </c>
      <c r="B4" s="4">
        <v>3.0</v>
      </c>
      <c r="C4" s="3" t="s">
        <v>2821</v>
      </c>
      <c r="D4" s="3" t="s">
        <v>2822</v>
      </c>
      <c r="E4" s="3" t="s">
        <v>2823</v>
      </c>
      <c r="F4" s="3" t="s">
        <v>2824</v>
      </c>
      <c r="G4" s="3" t="s">
        <v>2825</v>
      </c>
      <c r="H4" s="3" t="s">
        <v>2823</v>
      </c>
      <c r="I4" s="3" t="s">
        <v>2826</v>
      </c>
      <c r="L4" s="3" t="s">
        <v>2809</v>
      </c>
      <c r="M4" s="4">
        <v>3.0</v>
      </c>
      <c r="N4" s="5" t="str">
        <f>IFERROR(__xludf.DUMMYFUNCTION("GOOGLETRANSLATE(C4,""en"",""zh-CN"")"),"该从业者的着装有什么显著特点？")</f>
        <v>该从业者的着装有什么显著特点？</v>
      </c>
      <c r="O4" s="5" t="str">
        <f>IFERROR(__xludf.DUMMYFUNCTION("GOOGLETRANSLATE(D4,""en"",""zh-CN"")"),"一套正式西装")</f>
        <v>一套正式西装</v>
      </c>
      <c r="P4" s="5" t="str">
        <f>IFERROR(__xludf.DUMMYFUNCTION("GOOGLETRANSLATE(E4,""en"",""zh-CN"")"),"一套传统的中国武术服")</f>
        <v>一套传统的中国武术服</v>
      </c>
      <c r="Q4" s="5" t="str">
        <f>IFERROR(__xludf.DUMMYFUNCTION("GOOGLETRANSLATE(F4,""en"",""zh-CN"")"),"休闲装")</f>
        <v>休闲装</v>
      </c>
      <c r="R4" s="5" t="str">
        <f>IFERROR(__xludf.DUMMYFUNCTION("GOOGLETRANSLATE(G4,""en"",""zh-CN"")"),"军装")</f>
        <v>军装</v>
      </c>
      <c r="S4" s="5" t="s">
        <v>2827</v>
      </c>
      <c r="T4" s="5" t="str">
        <f>IFERROR(__xludf.DUMMYFUNCTION("GOOGLETRANSLATE(H4,""en"",""zh-CN"")"),"一套传统的中国武术服")</f>
        <v>一套传统的中国武术服</v>
      </c>
      <c r="U4" s="5" t="str">
        <f>IFERROR(__xludf.DUMMYFUNCTION("GOOGLETRANSLATE(I4,""en"",""zh-CN"")"),"练习者身穿宽松的刺绣制服，风格独特，这是中国传统的武术服或称“伊服”，专为表演和灵活性而设计。")</f>
        <v>练习者身穿宽松的刺绣制服，风格独特，这是中国传统的武术服或称“伊服”，专为表演和灵活性而设计。</v>
      </c>
    </row>
    <row r="5" ht="22.5" customHeight="1">
      <c r="A5" s="3" t="s">
        <v>2809</v>
      </c>
      <c r="B5" s="4">
        <v>4.0</v>
      </c>
      <c r="C5" s="3" t="s">
        <v>2828</v>
      </c>
      <c r="D5" s="3" t="s">
        <v>2829</v>
      </c>
      <c r="E5" s="3" t="s">
        <v>2830</v>
      </c>
      <c r="F5" s="3" t="s">
        <v>1451</v>
      </c>
      <c r="G5" s="3" t="s">
        <v>540</v>
      </c>
      <c r="H5" s="3" t="s">
        <v>2829</v>
      </c>
      <c r="I5" s="3" t="s">
        <v>2831</v>
      </c>
      <c r="L5" s="3" t="s">
        <v>2809</v>
      </c>
      <c r="M5" s="4">
        <v>4.0</v>
      </c>
      <c r="N5" s="5" t="str">
        <f>IFERROR(__xludf.DUMMYFUNCTION("GOOGLETRANSLATE(C5,""en"",""zh-CN"")"),"练习者采用低而宽的站姿。这种姿势的目的是什么？")</f>
        <v>练习者采用低而宽的站姿。这种姿势的目的是什么？</v>
      </c>
      <c r="O5" s="5" t="str">
        <f>IFERROR(__xludf.DUMMYFUNCTION("GOOGLETRANSLATE(D5,""en"",""zh-CN"")"),"增强平衡能力和腿部力量。")</f>
        <v>增强平衡能力和腿部力量。</v>
      </c>
      <c r="P5" s="5" t="str">
        <f>IFERROR(__xludf.DUMMYFUNCTION("GOOGLETRANSLATE(E5,""en"",""zh-CN"")"),"为冲刺做准备。")</f>
        <v>为冲刺做准备。</v>
      </c>
      <c r="Q5" s="5" t="str">
        <f>IFERROR(__xludf.DUMMYFUNCTION("GOOGLETRANSLATE(F5,""en"",""zh-CN"")"),"休息。")</f>
        <v>休息。</v>
      </c>
      <c r="R5" s="5" t="str">
        <f>IFERROR(__xludf.DUMMYFUNCTION("GOOGLETRANSLATE(G5,""en"",""zh-CN"")"),"为了显得更具威慑力。")</f>
        <v>为了显得更具威慑力。</v>
      </c>
      <c r="S5" s="5" t="s">
        <v>2832</v>
      </c>
      <c r="T5" s="5" t="str">
        <f>IFERROR(__xludf.DUMMYFUNCTION("GOOGLETRANSLATE(H5,""en"",""zh-CN"")"),"增强平衡能力和腿部力量。")</f>
        <v>增强平衡能力和腿部力量。</v>
      </c>
      <c r="U5" s="5" t="str">
        <f>IFERROR(__xludf.DUMMYFUNCTION("GOOGLETRANSLATE(I5,""en"",""zh-CN"")"),"低姿是许多武术的基础，因为它可以降低重心，这对于建立稳固的基础、提高平衡能力和增强腿部力量至关重要。")</f>
        <v>低姿是许多武术的基础，因为它可以降低重心，这对于建立稳固的基础、提高平衡能力和增强腿部力量至关重要。</v>
      </c>
    </row>
    <row r="6" ht="22.5" customHeight="1">
      <c r="A6" s="3" t="s">
        <v>2809</v>
      </c>
      <c r="B6" s="4">
        <v>5.0</v>
      </c>
      <c r="C6" s="3" t="s">
        <v>2833</v>
      </c>
      <c r="D6" s="3" t="s">
        <v>569</v>
      </c>
      <c r="E6" s="3" t="s">
        <v>2834</v>
      </c>
      <c r="F6" s="3" t="s">
        <v>2835</v>
      </c>
      <c r="G6" s="3" t="s">
        <v>461</v>
      </c>
      <c r="H6" s="3" t="s">
        <v>2834</v>
      </c>
      <c r="I6" s="3" t="s">
        <v>2836</v>
      </c>
      <c r="L6" s="3" t="s">
        <v>2809</v>
      </c>
      <c r="M6" s="4">
        <v>5.0</v>
      </c>
      <c r="N6" s="5" t="str">
        <f>IFERROR(__xludf.DUMMYFUNCTION("GOOGLETRANSLATE(C6,""en"",""zh-CN"")"),"练习者是在工作室环境中进行的。这暗示了什么情况？")</f>
        <v>练习者是在工作室环境中进行的。这暗示了什么情况？</v>
      </c>
      <c r="O6" s="5" t="str">
        <f>IFERROR(__xludf.DUMMYFUNCTION("GOOGLETRANSLATE(D6,""en"",""zh-CN"")"),"这是一种非正式的做法。")</f>
        <v>这是一种非正式的做法。</v>
      </c>
      <c r="P6" s="5" t="str">
        <f>IFERROR(__xludf.DUMMYFUNCTION("GOOGLETRANSLATE(E6,""en"",""zh-CN"")"),"这是一场正式的演出或摄影活动。")</f>
        <v>这是一场正式的演出或摄影活动。</v>
      </c>
      <c r="Q6" s="5" t="str">
        <f>IFERROR(__xludf.DUMMYFUNCTION("GOOGLETRANSLATE(F6,""en"",""zh-CN"")"),"这是一次军事训练。")</f>
        <v>这是一次军事训练。</v>
      </c>
      <c r="R6" s="5" t="str">
        <f>IFERROR(__xludf.DUMMYFUNCTION("GOOGLETRANSLATE(G6,""en"",""zh-CN"")"),"这是一门私人课程。")</f>
        <v>这是一门私人课程。</v>
      </c>
      <c r="S6" s="5" t="s">
        <v>2837</v>
      </c>
      <c r="T6" s="5" t="str">
        <f>IFERROR(__xludf.DUMMYFUNCTION("GOOGLETRANSLATE(H6,""en"",""zh-CN"")"),"这是一场正式的演出或摄影活动。")</f>
        <v>这是一场正式的演出或摄影活动。</v>
      </c>
      <c r="U6" s="5" t="str">
        <f>IFERROR(__xludf.DUMMYFUNCTION("GOOGLETRANSLATE(I6,""en"",""zh-CN"")"),"摄影棚灯光、纯色背景以及戏剧化的姿势表明，这是一次摆拍照片或为正式活动进行的表演。")</f>
        <v>摄影棚灯光、纯色背景以及戏剧化的姿势表明，这是一次摆拍照片或为正式活动进行的表演。</v>
      </c>
    </row>
    <row r="7" ht="22.5" customHeight="1">
      <c r="A7" s="3" t="s">
        <v>2838</v>
      </c>
      <c r="B7" s="4">
        <v>6.0</v>
      </c>
      <c r="C7" s="3" t="s">
        <v>1239</v>
      </c>
      <c r="D7" s="3" t="s">
        <v>2839</v>
      </c>
      <c r="E7" s="3" t="s">
        <v>2840</v>
      </c>
      <c r="F7" s="3" t="s">
        <v>2841</v>
      </c>
      <c r="G7" s="3" t="s">
        <v>2842</v>
      </c>
      <c r="H7" s="3" t="s">
        <v>2841</v>
      </c>
      <c r="I7" s="3" t="s">
        <v>2843</v>
      </c>
      <c r="L7" s="3" t="s">
        <v>2838</v>
      </c>
      <c r="M7" s="4">
        <v>6.0</v>
      </c>
      <c r="N7" s="5" t="str">
        <f>IFERROR(__xludf.DUMMYFUNCTION("GOOGLETRANSLATE(C7,""en"",""zh-CN"")"),"图片中展示的主要活动是什么？")</f>
        <v>图片中展示的主要活动是什么？</v>
      </c>
      <c r="O7" s="5" t="str">
        <f>IFERROR(__xludf.DUMMYFUNCTION("GOOGLETRANSLATE(D7,""en"",""zh-CN"")"),"两名运动员正在比赛。")</f>
        <v>两名运动员正在比赛。</v>
      </c>
      <c r="P7" s="5" t="str">
        <f>IFERROR(__xludf.DUMMYFUNCTION("GOOGLETRANSLATE(E7,""en"",""zh-CN"")"),"一段同步舞蹈表演。")</f>
        <v>一段同步舞蹈表演。</v>
      </c>
      <c r="Q7" s="5" t="str">
        <f>IFERROR(__xludf.DUMMYFUNCTION("GOOGLETRANSLATE(F7,""en"",""zh-CN"")"),"两位武术家进行实战表演。")</f>
        <v>两位武术家进行实战表演。</v>
      </c>
      <c r="R7" s="5" t="str">
        <f>IFERROR(__xludf.DUMMYFUNCTION("GOOGLETRANSLATE(G7,""en"",""zh-CN"")"),"体操表演。")</f>
        <v>体操表演。</v>
      </c>
      <c r="S7" s="5" t="s">
        <v>2844</v>
      </c>
      <c r="T7" s="5" t="str">
        <f>IFERROR(__xludf.DUMMYFUNCTION("GOOGLETRANSLATE(H7,""en"",""zh-CN"")"),"两位武术家进行实战表演。")</f>
        <v>两位武术家进行实战表演。</v>
      </c>
      <c r="U7" s="5" t="str">
        <f>IFERROR(__xludf.DUMMYFUNCTION("GOOGLETRANSLATE(I7,""en"",""zh-CN"")"),"图片显示两人在空中进行高能量的踢腿和出拳，这是武术格斗表演的典型特征。")</f>
        <v>图片显示两人在空中进行高能量的踢腿和出拳，这是武术格斗表演的典型特征。</v>
      </c>
    </row>
    <row r="8" ht="22.5" customHeight="1">
      <c r="A8" s="3" t="s">
        <v>2838</v>
      </c>
      <c r="B8" s="4">
        <v>7.0</v>
      </c>
      <c r="C8" s="3" t="s">
        <v>2845</v>
      </c>
      <c r="D8" s="3" t="s">
        <v>515</v>
      </c>
      <c r="E8" s="3" t="s">
        <v>2846</v>
      </c>
      <c r="F8" s="3" t="s">
        <v>2847</v>
      </c>
      <c r="G8" s="3" t="s">
        <v>2848</v>
      </c>
      <c r="H8" s="3" t="s">
        <v>2847</v>
      </c>
      <c r="I8" s="3" t="s">
        <v>2849</v>
      </c>
      <c r="L8" s="3" t="s">
        <v>2838</v>
      </c>
      <c r="M8" s="4">
        <v>7.0</v>
      </c>
      <c r="N8" s="5" t="str">
        <f>IFERROR(__xludf.DUMMYFUNCTION("GOOGLETRANSLATE(C8,""en"",""zh-CN"")"),"这些练习者穿的是什么类型的服装？")</f>
        <v>这些练习者穿的是什么类型的服装？</v>
      </c>
      <c r="O8" s="5" t="str">
        <f>IFERROR(__xludf.DUMMYFUNCTION("GOOGLETRANSLATE(D8,""en"",""zh-CN"")"),"休闲服装")</f>
        <v>休闲服装</v>
      </c>
      <c r="P8" s="5" t="str">
        <f>IFERROR(__xludf.DUMMYFUNCTION("GOOGLETRANSLATE(E8,""en"",""zh-CN"")"),"正装")</f>
        <v>正装</v>
      </c>
      <c r="Q8" s="5" t="str">
        <f>IFERROR(__xludf.DUMMYFUNCTION("GOOGLETRANSLATE(F8,""en"",""zh-CN"")"),"白色武术服（道服）")</f>
        <v>白色武术服（道服）</v>
      </c>
      <c r="R8" s="5" t="str">
        <f>IFERROR(__xludf.DUMMYFUNCTION("GOOGLETRANSLATE(G8,""en"",""zh-CN"")"),"中国传统长袍")</f>
        <v>中国传统长袍</v>
      </c>
      <c r="S8" s="5" t="s">
        <v>2850</v>
      </c>
      <c r="T8" s="5" t="str">
        <f>IFERROR(__xludf.DUMMYFUNCTION("GOOGLETRANSLATE(H8,""en"",""zh-CN"")"),"白色武术服（道服）")</f>
        <v>白色武术服（道服）</v>
      </c>
      <c r="U8" s="5" t="str">
        <f>IFERROR(__xludf.DUMMYFUNCTION("GOOGLETRANSLATE(I8,""en"",""zh-CN"")"),"练习者们身穿白色制服，系着腰带，这种制服叫做道服（Gi），是许多日本武术（如空手道）的标准制服。")</f>
        <v>练习者们身穿白色制服，系着腰带，这种制服叫做道服（Gi），是许多日本武术（如空手道）的标准制服。</v>
      </c>
    </row>
    <row r="9" ht="22.5" customHeight="1">
      <c r="A9" s="3" t="s">
        <v>2838</v>
      </c>
      <c r="B9" s="4">
        <v>8.0</v>
      </c>
      <c r="C9" s="3" t="s">
        <v>163</v>
      </c>
      <c r="D9" s="3" t="s">
        <v>2851</v>
      </c>
      <c r="E9" s="3" t="s">
        <v>2852</v>
      </c>
      <c r="F9" s="3" t="s">
        <v>2853</v>
      </c>
      <c r="G9" s="3" t="s">
        <v>2854</v>
      </c>
      <c r="H9" s="3" t="s">
        <v>2854</v>
      </c>
      <c r="I9" s="3" t="s">
        <v>2855</v>
      </c>
      <c r="L9" s="3" t="s">
        <v>2838</v>
      </c>
      <c r="M9" s="4">
        <v>8.0</v>
      </c>
      <c r="N9" s="5" t="str">
        <f>IFERROR(__xludf.DUMMYFUNCTION("GOOGLETRANSLATE(C9,""en"",""zh-CN"")"),"这张图片中最突出的视觉元素是什么？")</f>
        <v>这张图片中最突出的视觉元素是什么？</v>
      </c>
      <c r="O9" s="5" t="str">
        <f>IFERROR(__xludf.DUMMYFUNCTION("GOOGLETRANSLATE(D9,""en"",""zh-CN"")"),"运动员们的脸")</f>
        <v>运动员们的脸</v>
      </c>
      <c r="P9" s="5" t="str">
        <f>IFERROR(__xludf.DUMMYFUNCTION("GOOGLETRANSLATE(E9,""en"",""zh-CN"")"),"纯色背景")</f>
        <v>纯色背景</v>
      </c>
      <c r="Q9" s="5" t="str">
        <f>IFERROR(__xludf.DUMMYFUNCTION("GOOGLETRANSLATE(F9,""en"",""zh-CN"")"),"运动员们的动态姿势")</f>
        <v>运动员们的动态姿势</v>
      </c>
      <c r="R9" s="5" t="str">
        <f>IFERROR(__xludf.DUMMYFUNCTION("GOOGLETRANSLATE(G9,""en"",""zh-CN"")"),"爆炸的火光效应")</f>
        <v>爆炸的火光效应</v>
      </c>
      <c r="S9" s="5" t="s">
        <v>2856</v>
      </c>
      <c r="T9" s="5" t="str">
        <f>IFERROR(__xludf.DUMMYFUNCTION("GOOGLETRANSLATE(H9,""en"",""zh-CN"")"),"爆炸的火光效应")</f>
        <v>爆炸的火光效应</v>
      </c>
      <c r="U9" s="5" t="str">
        <f>IFERROR(__xludf.DUMMYFUNCTION("GOOGLETRANSLATE(I9,""en"",""zh-CN"")"),"图像的中心视觉元素是围绕着两位武术家的明亮的橙红色爆炸效果，为照片增添了戏剧性和紧张感。")</f>
        <v>图像的中心视觉元素是围绕着两位武术家的明亮的橙红色爆炸效果，为照片增添了戏剧性和紧张感。</v>
      </c>
    </row>
    <row r="10" ht="22.5" customHeight="1">
      <c r="A10" s="3" t="s">
        <v>2838</v>
      </c>
      <c r="B10" s="4">
        <v>9.0</v>
      </c>
      <c r="C10" s="3" t="s">
        <v>2857</v>
      </c>
      <c r="D10" s="3" t="s">
        <v>2858</v>
      </c>
      <c r="E10" s="3" t="s">
        <v>2859</v>
      </c>
      <c r="F10" s="3" t="s">
        <v>2860</v>
      </c>
      <c r="G10" s="3" t="s">
        <v>2861</v>
      </c>
      <c r="H10" s="3" t="s">
        <v>2859</v>
      </c>
      <c r="I10" s="3" t="s">
        <v>2862</v>
      </c>
      <c r="L10" s="3" t="s">
        <v>2838</v>
      </c>
      <c r="M10" s="4">
        <v>9.0</v>
      </c>
      <c r="N10" s="5" t="str">
        <f>IFERROR(__xludf.DUMMYFUNCTION("GOOGLETRANSLATE(C10,""en"",""zh-CN"")"),"练习者们悬在半空中。这说明他们的动作有什么特点？")</f>
        <v>练习者们悬在半空中。这说明他们的动作有什么特点？</v>
      </c>
      <c r="O10" s="5" t="str">
        <f>IFERROR(__xludf.DUMMYFUNCTION("GOOGLETRANSLATE(D10,""en"",""zh-CN"")"),"它们简单而缓慢。")</f>
        <v>它们简单而缓慢。</v>
      </c>
      <c r="P10" s="5" t="str">
        <f>IFERROR(__xludf.DUMMYFUNCTION("GOOGLETRANSLATE(E10,""en"",""zh-CN"")"),"他们活力四射，身姿矫健。")</f>
        <v>他们活力四射，身姿矫健。</v>
      </c>
      <c r="Q10" s="5" t="str">
        <f>IFERROR(__xludf.DUMMYFUNCTION("GOOGLETRANSLATE(F10,""en"",""zh-CN"")"),"它们很容易操作。")</f>
        <v>它们很容易操作。</v>
      </c>
      <c r="R10" s="5" t="str">
        <f>IFERROR(__xludf.DUMMYFUNCTION("GOOGLETRANSLATE(G10,""en"",""zh-CN"")"),"它们适合初学者。")</f>
        <v>它们适合初学者。</v>
      </c>
      <c r="S10" s="5" t="s">
        <v>2863</v>
      </c>
      <c r="T10" s="5" t="str">
        <f>IFERROR(__xludf.DUMMYFUNCTION("GOOGLETRANSLATE(H10,""en"",""zh-CN"")"),"他们活力四射，身姿矫健。")</f>
        <v>他们活力四射，身姿矫健。</v>
      </c>
      <c r="U10" s="5" t="str">
        <f>IFERROR(__xludf.DUMMYFUNCTION("GOOGLETRANSLATE(I10,""en"",""zh-CN"")"),"高踢腿和跳跃表明动作充满活力且富有技巧性，需要很高的技巧、运动能力和敏捷性。")</f>
        <v>高踢腿和跳跃表明动作充满活力且富有技巧性，需要很高的技巧、运动能力和敏捷性。</v>
      </c>
    </row>
    <row r="11" ht="22.5" customHeight="1">
      <c r="A11" s="3" t="s">
        <v>2838</v>
      </c>
      <c r="B11" s="4">
        <v>10.0</v>
      </c>
      <c r="C11" s="3" t="s">
        <v>2864</v>
      </c>
      <c r="D11" s="3" t="s">
        <v>2865</v>
      </c>
      <c r="E11" s="3" t="s">
        <v>2866</v>
      </c>
      <c r="F11" s="3" t="s">
        <v>2867</v>
      </c>
      <c r="G11" s="3" t="s">
        <v>2868</v>
      </c>
      <c r="H11" s="3" t="s">
        <v>2865</v>
      </c>
      <c r="I11" s="3" t="s">
        <v>2869</v>
      </c>
      <c r="L11" s="3" t="s">
        <v>2838</v>
      </c>
      <c r="M11" s="4">
        <v>10.0</v>
      </c>
      <c r="N11" s="5" t="str">
        <f>IFERROR(__xludf.DUMMYFUNCTION("GOOGLETRANSLATE(C11,""en"",""zh-CN"")"),"这里展示的武术与传统功夫有什么显著区别？")</f>
        <v>这里展示的武术与传统功夫有什么显著区别？</v>
      </c>
      <c r="O11" s="5" t="str">
        <f>IFERROR(__xludf.DUMMYFUNCTION("GOOGLETRANSLATE(D11,""en"",""zh-CN"")"),"使用腰带表示等级。")</f>
        <v>使用腰带表示等级。</v>
      </c>
      <c r="P11" s="5" t="str">
        <f>IFERROR(__xludf.DUMMYFUNCTION("GOOGLETRANSLATE(E11,""en"",""zh-CN"")"),"重点在于高踢腿和跳跃。")</f>
        <v>重点在于高踢腿和跳跃。</v>
      </c>
      <c r="Q11" s="5" t="str">
        <f>IFERROR(__xludf.DUMMYFUNCTION("GOOGLETRANSLATE(F11,""en"",""zh-CN"")"),"使用制服。")</f>
        <v>使用制服。</v>
      </c>
      <c r="R11" s="5" t="str">
        <f>IFERROR(__xludf.DUMMYFUNCTION("GOOGLETRANSLATE(G11,""en"",""zh-CN"")"),"徒手使用。")</f>
        <v>徒手使用。</v>
      </c>
      <c r="S11" s="5" t="s">
        <v>2870</v>
      </c>
      <c r="T11" s="5" t="str">
        <f>IFERROR(__xludf.DUMMYFUNCTION("GOOGLETRANSLATE(H11,""en"",""zh-CN"")"),"使用腰带表示等级。")</f>
        <v>使用腰带表示等级。</v>
      </c>
      <c r="U11" s="5" t="str">
        <f>IFERROR(__xludf.DUMMYFUNCTION("GOOGLETRANSLATE(I11,""en"",""zh-CN"")"),"使用白色道服（Gi）和彩色腰带是许多日本武术（如空手道）的一个关键特征，也是与许多传统功夫流派的主要区别。")</f>
        <v>使用白色道服（Gi）和彩色腰带是许多日本武术（如空手道）的一个关键特征，也是与许多传统功夫流派的主要区别。</v>
      </c>
    </row>
    <row r="12" ht="22.5" customHeight="1">
      <c r="A12" s="3" t="s">
        <v>2871</v>
      </c>
      <c r="B12" s="4">
        <v>11.0</v>
      </c>
      <c r="C12" s="3" t="s">
        <v>1335</v>
      </c>
      <c r="D12" s="3" t="s">
        <v>2872</v>
      </c>
      <c r="E12" s="3" t="s">
        <v>2873</v>
      </c>
      <c r="F12" s="3" t="s">
        <v>2874</v>
      </c>
      <c r="G12" s="3" t="s">
        <v>2875</v>
      </c>
      <c r="H12" s="3" t="s">
        <v>2874</v>
      </c>
      <c r="I12" s="3" t="s">
        <v>2876</v>
      </c>
      <c r="L12" s="3" t="s">
        <v>2871</v>
      </c>
      <c r="M12" s="4">
        <v>11.0</v>
      </c>
      <c r="N12" s="5" t="str">
        <f>IFERROR(__xludf.DUMMYFUNCTION("GOOGLETRANSLATE(C12,""en"",""zh-CN"")"),"图中所示的中心活动是什么？")</f>
        <v>图中所示的中心活动是什么？</v>
      </c>
      <c r="O12" s="5" t="str">
        <f>IFERROR(__xludf.DUMMYFUNCTION("GOOGLETRANSLATE(D12,""en"",""zh-CN"")"),"一段舞蹈表演。")</f>
        <v>一段舞蹈表演。</v>
      </c>
      <c r="P12" s="5" t="str">
        <f>IFERROR(__xludf.DUMMYFUNCTION("GOOGLETRANSLATE(E12,""en"",""zh-CN"")"),"两种不同武术的演示。")</f>
        <v>两种不同武术的演示。</v>
      </c>
      <c r="Q12" s="5" t="str">
        <f>IFERROR(__xludf.DUMMYFUNCTION("GOOGLETRANSLATE(F12,""en"",""zh-CN"")"),"一幅风格化的武术动作插图。")</f>
        <v>一幅风格化的武术动作插图。</v>
      </c>
      <c r="R12" s="5" t="str">
        <f>IFERROR(__xludf.DUMMYFUNCTION("GOOGLETRANSLATE(G12,""en"",""zh-CN"")"),"卡通片。")</f>
        <v>卡通片。</v>
      </c>
      <c r="S12" s="5" t="s">
        <v>2877</v>
      </c>
      <c r="T12" s="5" t="str">
        <f>IFERROR(__xludf.DUMMYFUNCTION("GOOGLETRANSLATE(H12,""en"",""zh-CN"")"),"一幅风格化的武术动作插图。")</f>
        <v>一幅风格化的武术动作插图。</v>
      </c>
      <c r="U12" s="5" t="str">
        <f>IFERROR(__xludf.DUMMYFUNCTION("GOOGLETRANSLATE(I12,""en"",""zh-CN"")"),"图中是一幅风格化的插图，描绘了一名练习者正在表演武术套路中的两个动作，动作名称的汉字写在下方。")</f>
        <v>图中是一幅风格化的插图，描绘了一名练习者正在表演武术套路中的两个动作，动作名称的汉字写在下方。</v>
      </c>
    </row>
    <row r="13" ht="22.5" customHeight="1">
      <c r="A13" s="3" t="s">
        <v>2871</v>
      </c>
      <c r="B13" s="4">
        <v>12.0</v>
      </c>
      <c r="C13" s="3" t="s">
        <v>2878</v>
      </c>
      <c r="D13" s="3" t="s">
        <v>28</v>
      </c>
      <c r="E13" s="3" t="s">
        <v>29</v>
      </c>
      <c r="F13" s="3" t="s">
        <v>27</v>
      </c>
      <c r="G13" s="3" t="s">
        <v>450</v>
      </c>
      <c r="H13" s="3" t="s">
        <v>27</v>
      </c>
      <c r="I13" s="3" t="s">
        <v>2879</v>
      </c>
      <c r="L13" s="3" t="s">
        <v>2871</v>
      </c>
      <c r="M13" s="4">
        <v>12.0</v>
      </c>
      <c r="N13" s="5" t="str">
        <f>IFERROR(__xludf.DUMMYFUNCTION("GOOGLETRANSLATE(C13,""en"",""zh-CN"")"),"练习者采用低而宽的站姿。这种姿势叫什么？")</f>
        <v>练习者采用低而宽的站姿。这种姿势叫什么？</v>
      </c>
      <c r="O13" s="5" t="str">
        <f>IFERROR(__xludf.DUMMYFUNCTION("GOOGLETRANSLATE(D13,""en"",""zh-CN"")"),"弓步")</f>
        <v>弓步</v>
      </c>
      <c r="P13" s="5" t="str">
        <f>IFERROR(__xludf.DUMMYFUNCTION("GOOGLETRANSLATE(E13,""en"",""zh-CN"")"),"起重机姿态")</f>
        <v>起重机姿态</v>
      </c>
      <c r="Q13" s="5" t="str">
        <f>IFERROR(__xludf.DUMMYFUNCTION("GOOGLETRANSLATE(F13,""en"",""zh-CN"")"),"马步")</f>
        <v>马步</v>
      </c>
      <c r="R13" s="5" t="str">
        <f>IFERROR(__xludf.DUMMYFUNCTION("GOOGLETRANSLATE(G13,""en"",""zh-CN"")"),"猫站姿")</f>
        <v>猫站姿</v>
      </c>
      <c r="S13" s="5" t="s">
        <v>2880</v>
      </c>
      <c r="T13" s="5" t="str">
        <f>IFERROR(__xludf.DUMMYFUNCTION("GOOGLETRANSLATE(H13,""en"",""zh-CN"")"),"马步")</f>
        <v>马步</v>
      </c>
      <c r="U13" s="5" t="str">
        <f>IFERROR(__xludf.DUMMYFUNCTION("GOOGLETRANSLATE(I13,""en"",""zh-CN"")"),"双脚平行、宽阔对称的站姿是马步，是许多中国武术中用于增强腿部力量和稳定性的基础姿势。")</f>
        <v>双脚平行、宽阔对称的站姿是马步，是许多中国武术中用于增强腿部力量和稳定性的基础姿势。</v>
      </c>
    </row>
    <row r="14" ht="22.5" customHeight="1">
      <c r="A14" s="3" t="s">
        <v>2871</v>
      </c>
      <c r="B14" s="4">
        <v>13.0</v>
      </c>
      <c r="C14" s="3" t="s">
        <v>2881</v>
      </c>
      <c r="D14" s="3" t="s">
        <v>2882</v>
      </c>
      <c r="E14" s="3" t="s">
        <v>2883</v>
      </c>
      <c r="F14" s="3" t="s">
        <v>2884</v>
      </c>
      <c r="G14" s="3" t="s">
        <v>2885</v>
      </c>
      <c r="H14" s="3" t="s">
        <v>2883</v>
      </c>
      <c r="I14" s="3" t="s">
        <v>2886</v>
      </c>
      <c r="L14" s="3" t="s">
        <v>2871</v>
      </c>
      <c r="M14" s="4">
        <v>13.0</v>
      </c>
      <c r="N14" s="5" t="str">
        <f>IFERROR(__xludf.DUMMYFUNCTION("GOOGLETRANSLATE(C14,""en"",""zh-CN"")"),"图中所示的两种不同姿势分别有什么目的？")</f>
        <v>图中所示的两种不同姿势分别有什么目的？</v>
      </c>
      <c r="O14" s="5" t="str">
        <f>IFERROR(__xludf.DUMMYFUNCTION("GOOGLETRANSLATE(D14,""en"",""zh-CN"")"),"用来展示两个不同的人。")</f>
        <v>用来展示两个不同的人。</v>
      </c>
      <c r="P14" s="5" t="str">
        <f>IFERROR(__xludf.DUMMYFUNCTION("GOOGLETRANSLATE(E14,""en"",""zh-CN"")"),"展示单个练习者从开始到结束的动作。")</f>
        <v>展示单个练习者从开始到结束的动作。</v>
      </c>
      <c r="Q14" s="5" t="str">
        <f>IFERROR(__xludf.DUMMYFUNCTION("GOOGLETRANSLATE(F14,""en"",""zh-CN"")"),"为了展现两种不同武术之间的区别。")</f>
        <v>为了展现两种不同武术之间的区别。</v>
      </c>
      <c r="R14" s="5" t="str">
        <f>IFERROR(__xludf.DUMMYFUNCTION("GOOGLETRANSLATE(G14,""en"",""zh-CN"")"),"从两个不同的角度展示同一练习者的动作。")</f>
        <v>从两个不同的角度展示同一练习者的动作。</v>
      </c>
      <c r="S14" s="5" t="s">
        <v>2887</v>
      </c>
      <c r="T14" s="5" t="str">
        <f>IFERROR(__xludf.DUMMYFUNCTION("GOOGLETRANSLATE(H14,""en"",""zh-CN"")"),"展示单个练习者从开始到结束的动作。")</f>
        <v>展示单个练习者从开始到结束的动作。</v>
      </c>
      <c r="U14" s="5" t="str">
        <f>IFERROR(__xludf.DUMMYFUNCTION("GOOGLETRANSLATE(I14,""en"",""zh-CN"")"),"这两幅图展示了同一个动作，左边的图显示的是出拳的初始阶段，右边的图显示的是出拳的最终阶段。")</f>
        <v>这两幅图展示了同一个动作，左边的图显示的是出拳的初始阶段，右边的图显示的是出拳的最终阶段。</v>
      </c>
    </row>
    <row r="15" ht="22.5" customHeight="1">
      <c r="A15" s="3" t="s">
        <v>2871</v>
      </c>
      <c r="B15" s="4">
        <v>14.0</v>
      </c>
      <c r="C15" s="3" t="s">
        <v>2888</v>
      </c>
      <c r="D15" s="3" t="s">
        <v>2889</v>
      </c>
      <c r="E15" s="3" t="s">
        <v>2890</v>
      </c>
      <c r="F15" s="3" t="s">
        <v>2891</v>
      </c>
      <c r="G15" s="3" t="s">
        <v>2892</v>
      </c>
      <c r="H15" s="3" t="s">
        <v>2892</v>
      </c>
      <c r="I15" s="3" t="s">
        <v>2893</v>
      </c>
      <c r="L15" s="3" t="s">
        <v>2871</v>
      </c>
      <c r="M15" s="4">
        <v>14.0</v>
      </c>
      <c r="N15" s="5" t="str">
        <f>IFERROR(__xludf.DUMMYFUNCTION("GOOGLETRANSLATE(C15,""en"",""zh-CN"")"),"插图下方的汉字是什么意思？")</f>
        <v>插图下方的汉字是什么意思？</v>
      </c>
      <c r="O15" s="5" t="str">
        <f>IFERROR(__xludf.DUMMYFUNCTION("GOOGLETRANSLATE(D15,""en"",""zh-CN"")"),"“龙拳”")</f>
        <v>“龙拳”</v>
      </c>
      <c r="P15" s="5" t="str">
        <f>IFERROR(__xludf.DUMMYFUNCTION("GOOGLETRANSLATE(E15,""en"",""zh-CN"")"),"“豹纹风格”")</f>
        <v>“豹纹风格”</v>
      </c>
      <c r="Q15" s="5" t="str">
        <f>IFERROR(__xludf.DUMMYFUNCTION("GOOGLETRANSLATE(F15,""en"",""zh-CN"")"),"“凤凰踢”")</f>
        <v>“凤凰踢”</v>
      </c>
      <c r="R15" s="5" t="str">
        <f>IFERROR(__xludf.DUMMYFUNCTION("GOOGLETRANSLATE(G15,""en"",""zh-CN"")"),"“猛扑的拳头”")</f>
        <v>“猛扑的拳头”</v>
      </c>
      <c r="S15" s="5" t="s">
        <v>2894</v>
      </c>
      <c r="T15" s="5" t="str">
        <f>IFERROR(__xludf.DUMMYFUNCTION("GOOGLETRANSLATE(H15,""en"",""zh-CN"")"),"“猛扑的拳头”")</f>
        <v>“猛扑的拳头”</v>
      </c>
      <c r="U15" s="5" t="str">
        <f>IFERROR(__xludf.DUMMYFUNCTION("GOOGLETRANSLATE(I15,""en"",""zh-CN"")"),"中文“劈拳”翻译过来就是“Pī Quán”，或“扑拳”，是许多功夫流派，特别是与五形拳相关的流派中常见的动作。")</f>
        <v>中文“劈拳”翻译过来就是“Pī Quán”，或“扑拳”，是许多功夫流派，特别是与五形拳相关的流派中常见的动作。</v>
      </c>
    </row>
    <row r="16" ht="22.5" customHeight="1">
      <c r="A16" s="3" t="s">
        <v>2871</v>
      </c>
      <c r="B16" s="4">
        <v>15.0</v>
      </c>
      <c r="C16" s="3" t="s">
        <v>2895</v>
      </c>
      <c r="D16" s="3" t="s">
        <v>2896</v>
      </c>
      <c r="E16" s="3" t="s">
        <v>2897</v>
      </c>
      <c r="F16" s="3" t="s">
        <v>2898</v>
      </c>
      <c r="G16" s="3" t="s">
        <v>2899</v>
      </c>
      <c r="H16" s="3" t="s">
        <v>2897</v>
      </c>
      <c r="I16" s="3" t="s">
        <v>2900</v>
      </c>
      <c r="L16" s="3" t="s">
        <v>2871</v>
      </c>
      <c r="M16" s="4">
        <v>15.0</v>
      </c>
      <c r="N16" s="5" t="str">
        <f>IFERROR(__xludf.DUMMYFUNCTION("GOOGLETRANSLATE(C16,""en"",""zh-CN"")"),"从这幅插图中可以推断出这种武术的风格是什么？")</f>
        <v>从这幅插图中可以推断出这种武术的风格是什么？</v>
      </c>
      <c r="O16" s="5" t="str">
        <f>IFERROR(__xludf.DUMMYFUNCTION("GOOGLETRANSLATE(D16,""en"",""zh-CN"")"),"它是一种非常缓慢而柔和的武术。")</f>
        <v>它是一种非常缓慢而柔和的武术。</v>
      </c>
      <c r="P16" s="5" t="str">
        <f>IFERROR(__xludf.DUMMYFUNCTION("GOOGLETRANSLATE(E16,""en"",""zh-CN"")"),"它是一种动感十足、直接有效的武术。")</f>
        <v>它是一种动感十足、直接有效的武术。</v>
      </c>
      <c r="Q16" s="5" t="str">
        <f>IFERROR(__xludf.DUMMYFUNCTION("GOOGLETRANSLATE(F16,""en"",""zh-CN"")"),"它是一种非常炫技且华丽的武术。")</f>
        <v>它是一种非常炫技且华丽的武术。</v>
      </c>
      <c r="R16" s="5" t="str">
        <f>IFERROR(__xludf.DUMMYFUNCTION("GOOGLETRANSLATE(G16,""en"",""zh-CN"")"),"它是一种防御性和被动性的武术。")</f>
        <v>它是一种防御性和被动性的武术。</v>
      </c>
      <c r="S16" s="5" t="s">
        <v>2901</v>
      </c>
      <c r="T16" s="5" t="str">
        <f>IFERROR(__xludf.DUMMYFUNCTION("GOOGLETRANSLATE(H16,""en"",""zh-CN"")"),"它是一种动感十足、直接有效的武术。")</f>
        <v>它是一种动感十足、直接有效的武术。</v>
      </c>
      <c r="U16" s="5" t="str">
        <f>IFERROR(__xludf.DUMMYFUNCTION("GOOGLETRANSLATE(I16,""en"",""zh-CN"")"),"这些姿势，加上向前移动和猛烈的拳击，表明这是一种动态、直接的武术，注重强力打击。")</f>
        <v>这些姿势，加上向前移动和猛烈的拳击，表明这是一种动态、直接的武术，注重强力打击。</v>
      </c>
    </row>
    <row r="17" ht="22.5" customHeight="1">
      <c r="A17" s="3" t="s">
        <v>2902</v>
      </c>
      <c r="B17" s="4">
        <v>16.0</v>
      </c>
      <c r="C17" s="3" t="s">
        <v>1239</v>
      </c>
      <c r="D17" s="3" t="s">
        <v>1748</v>
      </c>
      <c r="E17" s="3" t="s">
        <v>2903</v>
      </c>
      <c r="F17" s="3" t="s">
        <v>2904</v>
      </c>
      <c r="G17" s="3" t="s">
        <v>2432</v>
      </c>
      <c r="H17" s="3" t="s">
        <v>2903</v>
      </c>
      <c r="I17" s="3" t="s">
        <v>2905</v>
      </c>
      <c r="L17" s="3" t="s">
        <v>2902</v>
      </c>
      <c r="M17" s="4">
        <v>16.0</v>
      </c>
      <c r="N17" s="5" t="str">
        <f>IFERROR(__xludf.DUMMYFUNCTION("GOOGLETRANSLATE(C17,""en"",""zh-CN"")"),"图片中展示的主要活动是什么？")</f>
        <v>图片中展示的主要活动是什么？</v>
      </c>
      <c r="O17" s="5" t="str">
        <f>IFERROR(__xludf.DUMMYFUNCTION("GOOGLETRANSLATE(D17,""en"",""zh-CN"")"),"阅兵式。")</f>
        <v>阅兵式。</v>
      </c>
      <c r="P17" s="5" t="str">
        <f>IFERROR(__xludf.DUMMYFUNCTION("GOOGLETRANSLATE(E17,""en"",""zh-CN"")"),"一场同步武术表演。")</f>
        <v>一场同步武术表演。</v>
      </c>
      <c r="Q17" s="5" t="str">
        <f>IFERROR(__xludf.DUMMYFUNCTION("GOOGLETRANSLATE(F17,""en"",""zh-CN"")"),"一场舞蹈表演。")</f>
        <v>一场舞蹈表演。</v>
      </c>
      <c r="R17" s="5" t="str">
        <f>IFERROR(__xludf.DUMMYFUNCTION("GOOGLETRANSLATE(G17,""en"",""zh-CN"")"),"一套体操动作。")</f>
        <v>一套体操动作。</v>
      </c>
      <c r="S17" s="5" t="s">
        <v>2906</v>
      </c>
      <c r="T17" s="5" t="str">
        <f>IFERROR(__xludf.DUMMYFUNCTION("GOOGLETRANSLATE(H17,""en"",""zh-CN"")"),"一场同步武术表演。")</f>
        <v>一场同步武术表演。</v>
      </c>
      <c r="U17" s="5" t="str">
        <f>IFERROR(__xludf.DUMMYFUNCTION("GOOGLETRANSLATE(I17,""en"",""zh-CN"")"),"图片显示一大群身着统一制服的人正在整齐划一地表演同一套武术动作，这是同步武术表演的典型特征。")</f>
        <v>图片显示一大群身着统一制服的人正在整齐划一地表演同一套武术动作，这是同步武术表演的典型特征。</v>
      </c>
    </row>
    <row r="18" ht="22.5" customHeight="1">
      <c r="A18" s="3" t="s">
        <v>2902</v>
      </c>
      <c r="B18" s="4">
        <v>17.0</v>
      </c>
      <c r="C18" s="3" t="s">
        <v>2907</v>
      </c>
      <c r="D18" s="3" t="s">
        <v>2908</v>
      </c>
      <c r="E18" s="3" t="s">
        <v>2909</v>
      </c>
      <c r="F18" s="3" t="s">
        <v>2910</v>
      </c>
      <c r="G18" s="3" t="s">
        <v>2911</v>
      </c>
      <c r="H18" s="3" t="s">
        <v>2909</v>
      </c>
      <c r="I18" s="3" t="s">
        <v>2912</v>
      </c>
      <c r="L18" s="3" t="s">
        <v>2902</v>
      </c>
      <c r="M18" s="4">
        <v>17.0</v>
      </c>
      <c r="N18" s="5" t="str">
        <f>IFERROR(__xludf.DUMMYFUNCTION("GOOGLETRANSLATE(C18,""en"",""zh-CN"")"),"从业者的服装有什么显著特点？")</f>
        <v>从业者的服装有什么显著特点？</v>
      </c>
      <c r="O18" s="5" t="str">
        <f>IFERROR(__xludf.DUMMYFUNCTION("GOOGLETRANSLATE(D18,""en"",""zh-CN"")"),"他们穿着休闲服装。")</f>
        <v>他们穿着休闲服装。</v>
      </c>
      <c r="P18" s="5" t="str">
        <f>IFERROR(__xludf.DUMMYFUNCTION("GOOGLETRANSLATE(E18,""en"",""zh-CN"")"),"他们身穿传统的僧袍。")</f>
        <v>他们身穿传统的僧袍。</v>
      </c>
      <c r="Q18" s="5" t="str">
        <f>IFERROR(__xludf.DUMMYFUNCTION("GOOGLETRANSLATE(F18,""en"",""zh-CN"")"),"他们身穿军装。")</f>
        <v>他们身穿军装。</v>
      </c>
      <c r="R18" s="5" t="str">
        <f>IFERROR(__xludf.DUMMYFUNCTION("GOOGLETRANSLATE(G18,""en"",""zh-CN"")"),"他们穿着现代运动装备。")</f>
        <v>他们穿着现代运动装备。</v>
      </c>
      <c r="S18" s="5" t="s">
        <v>2913</v>
      </c>
      <c r="T18" s="5" t="str">
        <f>IFERROR(__xludf.DUMMYFUNCTION("GOOGLETRANSLATE(H18,""en"",""zh-CN"")"),"他们身穿传统的僧袍。")</f>
        <v>他们身穿传统的僧袍。</v>
      </c>
      <c r="U18" s="5" t="str">
        <f>IFERROR(__xludf.DUMMYFUNCTION("GOOGLETRANSLATE(I18,""en"",""zh-CN"")"),"修行者们身穿宽松的橙色僧袍，这是少林寺僧侣传统的典型僧袍。")</f>
        <v>修行者们身穿宽松的橙色僧袍，这是少林寺僧侣传统的典型僧袍。</v>
      </c>
    </row>
    <row r="19" ht="22.5" customHeight="1">
      <c r="A19" s="3" t="s">
        <v>2902</v>
      </c>
      <c r="B19" s="4">
        <v>18.0</v>
      </c>
      <c r="C19" s="3" t="s">
        <v>2914</v>
      </c>
      <c r="D19" s="3" t="s">
        <v>2829</v>
      </c>
      <c r="E19" s="3" t="s">
        <v>2830</v>
      </c>
      <c r="F19" s="3" t="s">
        <v>1451</v>
      </c>
      <c r="G19" s="3" t="s">
        <v>540</v>
      </c>
      <c r="H19" s="3" t="s">
        <v>2829</v>
      </c>
      <c r="I19" s="3" t="s">
        <v>2831</v>
      </c>
      <c r="L19" s="3" t="s">
        <v>2902</v>
      </c>
      <c r="M19" s="4">
        <v>18.0</v>
      </c>
      <c r="N19" s="5" t="str">
        <f>IFERROR(__xludf.DUMMYFUNCTION("GOOGLETRANSLATE(C19,""en"",""zh-CN"")"),"练习者们采取低而宽的站姿。这种姿势的目的是什么？")</f>
        <v>练习者们采取低而宽的站姿。这种姿势的目的是什么？</v>
      </c>
      <c r="O19" s="5" t="str">
        <f>IFERROR(__xludf.DUMMYFUNCTION("GOOGLETRANSLATE(D19,""en"",""zh-CN"")"),"增强平衡能力和腿部力量。")</f>
        <v>增强平衡能力和腿部力量。</v>
      </c>
      <c r="P19" s="5" t="str">
        <f>IFERROR(__xludf.DUMMYFUNCTION("GOOGLETRANSLATE(E19,""en"",""zh-CN"")"),"为冲刺做准备。")</f>
        <v>为冲刺做准备。</v>
      </c>
      <c r="Q19" s="5" t="str">
        <f>IFERROR(__xludf.DUMMYFUNCTION("GOOGLETRANSLATE(F19,""en"",""zh-CN"")"),"休息。")</f>
        <v>休息。</v>
      </c>
      <c r="R19" s="5" t="str">
        <f>IFERROR(__xludf.DUMMYFUNCTION("GOOGLETRANSLATE(G19,""en"",""zh-CN"")"),"为了显得更具威慑力。")</f>
        <v>为了显得更具威慑力。</v>
      </c>
      <c r="S19" s="5" t="s">
        <v>2832</v>
      </c>
      <c r="T19" s="5" t="str">
        <f>IFERROR(__xludf.DUMMYFUNCTION("GOOGLETRANSLATE(H19,""en"",""zh-CN"")"),"增强平衡能力和腿部力量。")</f>
        <v>增强平衡能力和腿部力量。</v>
      </c>
      <c r="U19" s="5" t="str">
        <f>IFERROR(__xludf.DUMMYFUNCTION("GOOGLETRANSLATE(I19,""en"",""zh-CN"")"),"低姿是许多武术的基础，因为它可以降低重心，这对于建立稳固的基础、提高平衡能力和增强腿部力量至关重要。")</f>
        <v>低姿是许多武术的基础，因为它可以降低重心，这对于建立稳固的基础、提高平衡能力和增强腿部力量至关重要。</v>
      </c>
    </row>
    <row r="20" ht="22.5" customHeight="1">
      <c r="A20" s="3" t="s">
        <v>2902</v>
      </c>
      <c r="B20" s="4">
        <v>19.0</v>
      </c>
      <c r="C20" s="3" t="s">
        <v>2915</v>
      </c>
      <c r="D20" s="3" t="s">
        <v>1704</v>
      </c>
      <c r="E20" s="3" t="s">
        <v>2916</v>
      </c>
      <c r="F20" s="3" t="s">
        <v>2917</v>
      </c>
      <c r="G20" s="3" t="s">
        <v>2918</v>
      </c>
      <c r="H20" s="3" t="s">
        <v>2917</v>
      </c>
      <c r="I20" s="3" t="s">
        <v>2919</v>
      </c>
      <c r="L20" s="3" t="s">
        <v>2902</v>
      </c>
      <c r="M20" s="4">
        <v>19.0</v>
      </c>
      <c r="N20" s="5" t="str">
        <f>IFERROR(__xludf.DUMMYFUNCTION("GOOGLETRANSLATE(C20,""en"",""zh-CN"")"),"练习者所持物品的用途是什么？")</f>
        <v>练习者所持物品的用途是什么？</v>
      </c>
      <c r="O20" s="5" t="str">
        <f>IFERROR(__xludf.DUMMYFUNCTION("GOOGLETRANSLATE(D20,""en"",""zh-CN"")"),"它们是用来装饰的。")</f>
        <v>它们是用来装饰的。</v>
      </c>
      <c r="P20" s="5" t="str">
        <f>IFERROR(__xludf.DUMMYFUNCTION("GOOGLETRANSLATE(E20,""en"",""zh-CN"")"),"它们是礼仪用盾牌。")</f>
        <v>它们是礼仪用盾牌。</v>
      </c>
      <c r="Q20" s="5" t="str">
        <f>IFERROR(__xludf.DUMMYFUNCTION("GOOGLETRANSLATE(F20,""en"",""zh-CN"")"),"它们是用于增强握力和改善握姿的练习工具。")</f>
        <v>它们是用于增强握力和改善握姿的练习工具。</v>
      </c>
      <c r="R20" s="5" t="str">
        <f>IFERROR(__xludf.DUMMYFUNCTION("GOOGLETRANSLATE(G20,""en"",""zh-CN"")"),"它们是一种武器。")</f>
        <v>它们是一种武器。</v>
      </c>
      <c r="S20" s="5" t="s">
        <v>2920</v>
      </c>
      <c r="T20" s="5" t="str">
        <f>IFERROR(__xludf.DUMMYFUNCTION("GOOGLETRANSLATE(H20,""en"",""zh-CN"")"),"它们是用于增强握力和改善握姿的练习工具。")</f>
        <v>它们是用于增强握力和改善握姿的练习工具。</v>
      </c>
      <c r="U20" s="5" t="str">
        <f>IFERROR(__xludf.DUMMYFUNCTION("GOOGLETRANSLATE(I20,""en"",""zh-CN"")"),"练习者们拿着简单的砖块状物体，这些物体很可能是练习工具或重物，用于增强握力、控制力和肌肉记忆，以便掌握某种动作。")</f>
        <v>练习者们拿着简单的砖块状物体，这些物体很可能是练习工具或重物，用于增强握力、控制力和肌肉记忆，以便掌握某种动作。</v>
      </c>
    </row>
    <row r="21" ht="22.5" customHeight="1">
      <c r="A21" s="3" t="s">
        <v>2902</v>
      </c>
      <c r="B21" s="4">
        <v>20.0</v>
      </c>
      <c r="C21" s="3" t="s">
        <v>2921</v>
      </c>
      <c r="D21" s="3" t="s">
        <v>903</v>
      </c>
      <c r="E21" s="3" t="s">
        <v>2922</v>
      </c>
      <c r="F21" s="3" t="s">
        <v>2923</v>
      </c>
      <c r="G21" s="3" t="s">
        <v>2924</v>
      </c>
      <c r="H21" s="3" t="s">
        <v>2923</v>
      </c>
      <c r="I21" s="3" t="s">
        <v>2925</v>
      </c>
      <c r="L21" s="3" t="s">
        <v>2902</v>
      </c>
      <c r="M21" s="4">
        <v>20.0</v>
      </c>
      <c r="N21" s="5" t="str">
        <f>IFERROR(__xludf.DUMMYFUNCTION("GOOGLETRANSLATE(C21,""en"",""zh-CN"")"),"故事发生在山区，有一座传统的寺庙。这暗示着什么？")</f>
        <v>故事发生在山区，有一座传统的寺庙。这暗示着什么？</v>
      </c>
      <c r="O21" s="5" t="str">
        <f>IFERROR(__xludf.DUMMYFUNCTION("GOOGLETRANSLATE(D21,""en"",""zh-CN"")"),"这是一种非正式的做法。")</f>
        <v>这是一种非正式的做法。</v>
      </c>
      <c r="P21" s="5" t="str">
        <f>IFERROR(__xludf.DUMMYFUNCTION("GOOGLETRANSLATE(E21,""en"",""zh-CN"")"),"这是一个现代化的武术馆。")</f>
        <v>这是一个现代化的武术馆。</v>
      </c>
      <c r="Q21" s="5" t="str">
        <f>IFERROR(__xludf.DUMMYFUNCTION("GOOGLETRANSLATE(F21,""en"",""zh-CN"")"),"这是一座传统的少林寺或类似场所。")</f>
        <v>这是一座传统的少林寺或类似场所。</v>
      </c>
      <c r="R21" s="5" t="str">
        <f>IFERROR(__xludf.DUMMYFUNCTION("GOOGLETRANSLATE(G21,""en"",""zh-CN"")"),"这是一个电影拍摄现场。")</f>
        <v>这是一个电影拍摄现场。</v>
      </c>
      <c r="S21" s="5" t="s">
        <v>2926</v>
      </c>
      <c r="T21" s="5" t="str">
        <f>IFERROR(__xludf.DUMMYFUNCTION("GOOGLETRANSLATE(H21,""en"",""zh-CN"")"),"这是一座传统的少林寺或类似场所。")</f>
        <v>这是一座传统的少林寺或类似场所。</v>
      </c>
      <c r="U21" s="5" t="str">
        <f>IFERROR(__xludf.DUMMYFUNCTION("GOOGLETRANSLATE(I21,""en"",""zh-CN"")"),"雾气缭绕的山峦、传统的中国建筑以及僧侣般的装束，都表明故事发生在像少林寺这样的传统武术寺庙。")</f>
        <v>雾气缭绕的山峦、传统的中国建筑以及僧侣般的装束，都表明故事发生在像少林寺这样的传统武术寺庙。</v>
      </c>
    </row>
    <row r="22" ht="22.5" customHeight="1">
      <c r="A22" s="3" t="s">
        <v>2927</v>
      </c>
      <c r="B22" s="4">
        <v>21.0</v>
      </c>
      <c r="C22" s="3" t="s">
        <v>1239</v>
      </c>
      <c r="D22" s="3" t="s">
        <v>2872</v>
      </c>
      <c r="E22" s="3" t="s">
        <v>2928</v>
      </c>
      <c r="F22" s="3" t="s">
        <v>2929</v>
      </c>
      <c r="G22" s="3" t="s">
        <v>2930</v>
      </c>
      <c r="H22" s="3" t="s">
        <v>2929</v>
      </c>
      <c r="I22" s="3" t="s">
        <v>2931</v>
      </c>
      <c r="L22" s="3" t="s">
        <v>2927</v>
      </c>
      <c r="M22" s="4">
        <v>21.0</v>
      </c>
      <c r="N22" s="5" t="str">
        <f>IFERROR(__xludf.DUMMYFUNCTION("GOOGLETRANSLATE(C22,""en"",""zh-CN"")"),"图片中展示的主要活动是什么？")</f>
        <v>图片中展示的主要活动是什么？</v>
      </c>
      <c r="O22" s="5" t="str">
        <f>IFERROR(__xludf.DUMMYFUNCTION("GOOGLETRANSLATE(D22,""en"",""zh-CN"")"),"一段舞蹈表演。")</f>
        <v>一段舞蹈表演。</v>
      </c>
      <c r="P22" s="5" t="str">
        <f>IFERROR(__xludf.DUMMYFUNCTION("GOOGLETRANSLATE(E22,""en"",""zh-CN"")"),"一场拳击比赛。")</f>
        <v>一场拳击比赛。</v>
      </c>
      <c r="Q22" s="5" t="str">
        <f>IFERROR(__xludf.DUMMYFUNCTION("GOOGLETRANSLATE(F22,""en"",""zh-CN"")"),"武术踢腿。")</f>
        <v>武术踢腿。</v>
      </c>
      <c r="R22" s="5" t="str">
        <f>IFERROR(__xludf.DUMMYFUNCTION("GOOGLETRANSLATE(G22,""en"",""zh-CN"")"),"跳高。")</f>
        <v>跳高。</v>
      </c>
      <c r="S22" s="5" t="s">
        <v>2932</v>
      </c>
      <c r="T22" s="5" t="str">
        <f>IFERROR(__xludf.DUMMYFUNCTION("GOOGLETRANSLATE(H22,""en"",""zh-CN"")"),"武术踢腿。")</f>
        <v>武术踢腿。</v>
      </c>
      <c r="U22" s="5" t="str">
        <f>IFERROR(__xludf.DUMMYFUNCTION("GOOGLETRANSLATE(I22,""en"",""zh-CN"")"),"图片描绘了一位武术家以防御姿态做出一个动态的武术踢腿动作。")</f>
        <v>图片描绘了一位武术家以防御姿态做出一个动态的武术踢腿动作。</v>
      </c>
    </row>
    <row r="23" ht="22.5" customHeight="1">
      <c r="A23" s="3" t="s">
        <v>2927</v>
      </c>
      <c r="B23" s="4">
        <v>22.0</v>
      </c>
      <c r="C23" s="3" t="s">
        <v>2933</v>
      </c>
      <c r="D23" s="3" t="s">
        <v>2934</v>
      </c>
      <c r="E23" s="3" t="s">
        <v>2935</v>
      </c>
      <c r="F23" s="3" t="s">
        <v>2936</v>
      </c>
      <c r="G23" s="3" t="s">
        <v>2937</v>
      </c>
      <c r="H23" s="3" t="s">
        <v>2935</v>
      </c>
      <c r="I23" s="3" t="s">
        <v>2938</v>
      </c>
      <c r="L23" s="3" t="s">
        <v>2927</v>
      </c>
      <c r="M23" s="4">
        <v>22.0</v>
      </c>
      <c r="N23" s="5" t="str">
        <f>IFERROR(__xludf.DUMMYFUNCTION("GOOGLETRANSLATE(C23,""en"",""zh-CN"")"),"练习者摆出了空中踢腿的姿势。这说明这种武术有什么特点？")</f>
        <v>练习者摆出了空中踢腿的姿势。这说明这种武术有什么特点？</v>
      </c>
      <c r="O23" s="5" t="str">
        <f>IFERROR(__xludf.DUMMYFUNCTION("GOOGLETRANSLATE(D23,""en"",""zh-CN"")"),"它是一种非常静态且以防守为主的武术。")</f>
        <v>它是一种非常静态且以防守为主的武术。</v>
      </c>
      <c r="P23" s="5" t="str">
        <f>IFERROR(__xludf.DUMMYFUNCTION("GOOGLETRANSLATE(E23,""en"",""zh-CN"")"),"它是一种充满活力、技巧性强的武术。")</f>
        <v>它是一种充满活力、技巧性强的武术。</v>
      </c>
      <c r="Q23" s="5" t="str">
        <f>IFERROR(__xludf.DUMMYFUNCTION("GOOGLETRANSLATE(F23,""en"",""zh-CN"")"),"它是一种缓慢而柔和的武术。")</f>
        <v>它是一种缓慢而柔和的武术。</v>
      </c>
      <c r="R23" s="5" t="str">
        <f>IFERROR(__xludf.DUMMYFUNCTION("GOOGLETRANSLATE(G23,""en"",""zh-CN"")"),"这是一种非常简单的武术。")</f>
        <v>这是一种非常简单的武术。</v>
      </c>
      <c r="S23" s="5" t="s">
        <v>2939</v>
      </c>
      <c r="T23" s="5" t="str">
        <f>IFERROR(__xludf.DUMMYFUNCTION("GOOGLETRANSLATE(H23,""en"",""zh-CN"")"),"它是一种充满活力、技巧性强的武术。")</f>
        <v>它是一种充满活力、技巧性强的武术。</v>
      </c>
      <c r="U23" s="5" t="str">
        <f>IFERROR(__xludf.DUMMYFUNCTION("GOOGLETRANSLATE(I23,""en"",""zh-CN"")"),"高踢腿在离地状态下，表明这种武术动作充满活力、技巧性强，并且注重强有力的打击动作。")</f>
        <v>高踢腿在离地状态下，表明这种武术动作充满活力、技巧性强，并且注重强有力的打击动作。</v>
      </c>
    </row>
    <row r="24" ht="22.5" customHeight="1">
      <c r="A24" s="3" t="s">
        <v>2927</v>
      </c>
      <c r="B24" s="4">
        <v>23.0</v>
      </c>
      <c r="C24" s="3" t="s">
        <v>2821</v>
      </c>
      <c r="D24" s="3" t="s">
        <v>2608</v>
      </c>
      <c r="E24" s="3" t="s">
        <v>2940</v>
      </c>
      <c r="F24" s="3" t="s">
        <v>2941</v>
      </c>
      <c r="G24" s="3" t="s">
        <v>2942</v>
      </c>
      <c r="H24" s="3" t="s">
        <v>2940</v>
      </c>
      <c r="I24" s="3" t="s">
        <v>2943</v>
      </c>
      <c r="L24" s="3" t="s">
        <v>2927</v>
      </c>
      <c r="M24" s="4">
        <v>23.0</v>
      </c>
      <c r="N24" s="5" t="str">
        <f>IFERROR(__xludf.DUMMYFUNCTION("GOOGLETRANSLATE(C24,""en"",""zh-CN"")"),"该从业者的着装有什么显著特点？")</f>
        <v>该从业者的着装有什么显著特点？</v>
      </c>
      <c r="O24" s="5" t="str">
        <f>IFERROR(__xludf.DUMMYFUNCTION("GOOGLETRANSLATE(D24,""en"",""zh-CN"")"),"一套正式西装。")</f>
        <v>一套正式西装。</v>
      </c>
      <c r="P24" s="5" t="str">
        <f>IFERROR(__xludf.DUMMYFUNCTION("GOOGLETRANSLATE(E24,""en"",""zh-CN"")"),"一套传统的中国功夫服。")</f>
        <v>一套传统的中国功夫服。</v>
      </c>
      <c r="Q24" s="5" t="str">
        <f>IFERROR(__xludf.DUMMYFUNCTION("GOOGLETRANSLATE(F24,""en"",""zh-CN"")"),"一套休闲装扮。")</f>
        <v>一套休闲装扮。</v>
      </c>
      <c r="R24" s="5" t="str">
        <f>IFERROR(__xludf.DUMMYFUNCTION("GOOGLETRANSLATE(G24,""en"",""zh-CN"")"),"军装。")</f>
        <v>军装。</v>
      </c>
      <c r="S24" s="5" t="s">
        <v>2944</v>
      </c>
      <c r="T24" s="5" t="str">
        <f>IFERROR(__xludf.DUMMYFUNCTION("GOOGLETRANSLATE(H24,""en"",""zh-CN"")"),"一套传统的中国功夫服。")</f>
        <v>一套传统的中国功夫服。</v>
      </c>
      <c r="U24" s="5" t="str">
        <f>IFERROR(__xludf.DUMMYFUNCTION("GOOGLETRANSLATE(I24,""en"",""zh-CN"")"),"这位练习者身穿宽松的纽扣式制服，腰间系着黑色腰带，这是一套经典的传统中国功夫制服，即“伊夫”制服。")</f>
        <v>这位练习者身穿宽松的纽扣式制服，腰间系着黑色腰带，这是一套经典的传统中国功夫制服，即“伊夫”制服。</v>
      </c>
    </row>
    <row r="25" ht="22.5" customHeight="1">
      <c r="A25" s="3" t="s">
        <v>2927</v>
      </c>
      <c r="B25" s="4">
        <v>24.0</v>
      </c>
      <c r="C25" s="3" t="s">
        <v>2945</v>
      </c>
      <c r="D25" s="3" t="s">
        <v>2946</v>
      </c>
      <c r="E25" s="3" t="s">
        <v>2947</v>
      </c>
      <c r="F25" s="3" t="s">
        <v>2948</v>
      </c>
      <c r="G25" s="3" t="s">
        <v>2949</v>
      </c>
      <c r="H25" s="3" t="s">
        <v>2948</v>
      </c>
      <c r="I25" s="3" t="s">
        <v>2950</v>
      </c>
      <c r="L25" s="3" t="s">
        <v>2927</v>
      </c>
      <c r="M25" s="4">
        <v>24.0</v>
      </c>
      <c r="N25" s="5" t="str">
        <f>IFERROR(__xludf.DUMMYFUNCTION("GOOGLETRANSLATE(C25,""en"",""zh-CN"")"),"从这位医生的面部表情可以看出什么？")</f>
        <v>从这位医生的面部表情可以看出什么？</v>
      </c>
      <c r="O25" s="5" t="str">
        <f>IFERROR(__xludf.DUMMYFUNCTION("GOOGLETRANSLATE(D25,""en"",""zh-CN"")"),"他很放松。")</f>
        <v>他很放松。</v>
      </c>
      <c r="P25" s="5" t="str">
        <f>IFERROR(__xludf.DUMMYFUNCTION("GOOGLETRANSLATE(E25,""en"",""zh-CN"")"),"他很高兴。")</f>
        <v>他很高兴。</v>
      </c>
      <c r="Q25" s="5" t="str">
        <f>IFERROR(__xludf.DUMMYFUNCTION("GOOGLETRANSLATE(F25,""en"",""zh-CN"")"),"他全神贯注，神情严肃。")</f>
        <v>他全神贯注，神情严肃。</v>
      </c>
      <c r="R25" s="5" t="str">
        <f>IFERROR(__xludf.DUMMYFUNCTION("GOOGLETRANSLATE(G25,""en"",""zh-CN"")"),"他很困惑。")</f>
        <v>他很困惑。</v>
      </c>
      <c r="S25" s="5" t="s">
        <v>2951</v>
      </c>
      <c r="T25" s="5" t="str">
        <f>IFERROR(__xludf.DUMMYFUNCTION("GOOGLETRANSLATE(H25,""en"",""zh-CN"")"),"他全神贯注，神情严肃。")</f>
        <v>他全神贯注，神情严肃。</v>
      </c>
      <c r="U25" s="5" t="str">
        <f>IFERROR(__xludf.DUMMYFUNCTION("GOOGLETRANSLATE(I25,""en"",""zh-CN"")"),"大嘴和锐利的眼神展现出一种凶猛而专注的表情，这在武术动作中很常见，用来表达力量和精神韧性。")</f>
        <v>大嘴和锐利的眼神展现出一种凶猛而专注的表情，这在武术动作中很常见，用来表达力量和精神韧性。</v>
      </c>
    </row>
    <row r="26" ht="22.5" customHeight="1">
      <c r="A26" s="3" t="s">
        <v>2927</v>
      </c>
      <c r="B26" s="4">
        <v>25.0</v>
      </c>
      <c r="C26" s="3" t="s">
        <v>2952</v>
      </c>
      <c r="D26" s="3" t="s">
        <v>2953</v>
      </c>
      <c r="E26" s="3" t="s">
        <v>2954</v>
      </c>
      <c r="F26" s="3" t="s">
        <v>2955</v>
      </c>
      <c r="G26" s="3" t="s">
        <v>2956</v>
      </c>
      <c r="H26" s="3" t="s">
        <v>2953</v>
      </c>
      <c r="I26" s="3" t="s">
        <v>2957</v>
      </c>
      <c r="L26" s="3" t="s">
        <v>2927</v>
      </c>
      <c r="M26" s="4">
        <v>25.0</v>
      </c>
      <c r="N26" s="5" t="str">
        <f>IFERROR(__xludf.DUMMYFUNCTION("GOOGLETRANSLATE(C26,""en"",""zh-CN"")"),"这种发型，梳着一条辫子，是哪种历史发型？")</f>
        <v>这种发型，梳着一条辫子，是哪种历史发型？</v>
      </c>
      <c r="O26" s="5" t="str">
        <f>IFERROR(__xludf.DUMMYFUNCTION("GOOGLETRANSLATE(D26,""en"",""zh-CN"")"),"清朝时期的排队景象。")</f>
        <v>清朝时期的排队景象。</v>
      </c>
      <c r="P26" s="5" t="str">
        <f>IFERROR(__xludf.DUMMYFUNCTION("GOOGLETRANSLATE(E26,""en"",""zh-CN"")"),"一款现代发型。")</f>
        <v>一款现代发型。</v>
      </c>
      <c r="Q26" s="5" t="str">
        <f>IFERROR(__xludf.DUMMYFUNCTION("GOOGLETRANSLATE(F26,""en"",""zh-CN"")"),"唐代的一种发型。")</f>
        <v>唐代的一种发型。</v>
      </c>
      <c r="R26" s="5" t="str">
        <f>IFERROR(__xludf.DUMMYFUNCTION("GOOGLETRANSLATE(G26,""en"",""zh-CN"")"),"明代的一种发型。")</f>
        <v>明代的一种发型。</v>
      </c>
      <c r="S26" s="5" t="s">
        <v>2958</v>
      </c>
      <c r="T26" s="5" t="str">
        <f>IFERROR(__xludf.DUMMYFUNCTION("GOOGLETRANSLATE(H26,""en"",""zh-CN"")"),"清朝时期的排队景象。")</f>
        <v>清朝时期的排队景象。</v>
      </c>
      <c r="U26" s="5" t="str">
        <f>IFERROR(__xludf.DUMMYFUNCTION("GOOGLETRANSLATE(I26,""en"",""zh-CN"")"),"梳着一条长辫子的发型叫做辫子，这是中国清朝时期男性的必梳发型。")</f>
        <v>梳着一条长辫子的发型叫做辫子，这是中国清朝时期男性的必梳发型。</v>
      </c>
    </row>
    <row r="27" ht="22.5" customHeight="1">
      <c r="A27" s="3" t="s">
        <v>2959</v>
      </c>
      <c r="B27" s="4">
        <v>26.0</v>
      </c>
      <c r="C27" s="3" t="s">
        <v>1239</v>
      </c>
      <c r="D27" s="3" t="s">
        <v>2872</v>
      </c>
      <c r="E27" s="3" t="s">
        <v>2960</v>
      </c>
      <c r="F27" s="3" t="s">
        <v>2961</v>
      </c>
      <c r="G27" s="3" t="s">
        <v>2962</v>
      </c>
      <c r="H27" s="3" t="s">
        <v>2961</v>
      </c>
      <c r="I27" s="3" t="s">
        <v>2963</v>
      </c>
      <c r="L27" s="3" t="s">
        <v>2959</v>
      </c>
      <c r="M27" s="4">
        <v>26.0</v>
      </c>
      <c r="N27" s="5" t="str">
        <f>IFERROR(__xludf.DUMMYFUNCTION("GOOGLETRANSLATE(C27,""en"",""zh-CN"")"),"图片中展示的主要活动是什么？")</f>
        <v>图片中展示的主要活动是什么？</v>
      </c>
      <c r="O27" s="5" t="str">
        <f>IFERROR(__xludf.DUMMYFUNCTION("GOOGLETRANSLATE(D27,""en"",""zh-CN"")"),"一段舞蹈表演。")</f>
        <v>一段舞蹈表演。</v>
      </c>
      <c r="P27" s="5" t="str">
        <f>IFERROR(__xludf.DUMMYFUNCTION("GOOGLETRANSLATE(E27,""en"",""zh-CN"")"),"功夫表演。")</f>
        <v>功夫表演。</v>
      </c>
      <c r="Q27" s="5" t="str">
        <f>IFERROR(__xludf.DUMMYFUNCTION("GOOGLETRANSLATE(F27,""en"",""zh-CN"")"),"空手道踢腿。")</f>
        <v>空手道踢腿。</v>
      </c>
      <c r="R27" s="5" t="str">
        <f>IFERROR(__xludf.DUMMYFUNCTION("GOOGLETRANSLATE(G27,""en"",""zh-CN"")"),"跆拳道踢腿。")</f>
        <v>跆拳道踢腿。</v>
      </c>
      <c r="S27" s="5" t="s">
        <v>2964</v>
      </c>
      <c r="T27" s="5" t="str">
        <f>IFERROR(__xludf.DUMMYFUNCTION("GOOGLETRANSLATE(H27,""en"",""zh-CN"")"),"空手道踢腿。")</f>
        <v>空手道踢腿。</v>
      </c>
      <c r="U27" s="5" t="str">
        <f>IFERROR(__xludf.DUMMYFUNCTION("GOOGLETRANSLATE(I27,""en"",""zh-CN"")"),"图片显示一名身穿白色制服、系着黑色腰带的人正在做高踢腿动作，这是空手道的典型动作。")</f>
        <v>图片显示一名身穿白色制服、系着黑色腰带的人正在做高踢腿动作，这是空手道的典型动作。</v>
      </c>
    </row>
    <row r="28" ht="22.5" customHeight="1">
      <c r="A28" s="3" t="s">
        <v>2959</v>
      </c>
      <c r="B28" s="4">
        <v>27.0</v>
      </c>
      <c r="C28" s="3" t="s">
        <v>163</v>
      </c>
      <c r="D28" s="3" t="s">
        <v>2965</v>
      </c>
      <c r="E28" s="3" t="s">
        <v>2966</v>
      </c>
      <c r="F28" s="3" t="s">
        <v>2967</v>
      </c>
      <c r="G28" s="3" t="s">
        <v>2968</v>
      </c>
      <c r="H28" s="3" t="s">
        <v>2967</v>
      </c>
      <c r="I28" s="3" t="s">
        <v>2969</v>
      </c>
      <c r="L28" s="3" t="s">
        <v>2959</v>
      </c>
      <c r="M28" s="4">
        <v>27.0</v>
      </c>
      <c r="N28" s="5" t="str">
        <f>IFERROR(__xludf.DUMMYFUNCTION("GOOGLETRANSLATE(C28,""en"",""zh-CN"")"),"这张图片中最突出的视觉元素是什么？")</f>
        <v>这张图片中最突出的视觉元素是什么？</v>
      </c>
      <c r="O28" s="5" t="str">
        <f>IFERROR(__xludf.DUMMYFUNCTION("GOOGLETRANSLATE(D28,""en"",""zh-CN"")"),"运动员的脸。")</f>
        <v>运动员的脸。</v>
      </c>
      <c r="P28" s="5" t="str">
        <f>IFERROR(__xludf.DUMMYFUNCTION("GOOGLETRANSLATE(E28,""en"",""zh-CN"")"),"运动员的制服。")</f>
        <v>运动员的制服。</v>
      </c>
      <c r="Q28" s="5" t="str">
        <f>IFERROR(__xludf.DUMMYFUNCTION("GOOGLETRANSLATE(F28,""en"",""zh-CN"")"),"背景是红色的旭日图案。")</f>
        <v>背景是红色的旭日图案。</v>
      </c>
      <c r="R28" s="5" t="str">
        <f>IFERROR(__xludf.DUMMYFUNCTION("GOOGLETRANSLATE(G28,""en"",""zh-CN"")"),"运动员的腿。")</f>
        <v>运动员的腿。</v>
      </c>
      <c r="S28" s="5" t="s">
        <v>2970</v>
      </c>
      <c r="T28" s="5" t="str">
        <f>IFERROR(__xludf.DUMMYFUNCTION("GOOGLETRANSLATE(H28,""en"",""zh-CN"")"),"背景是红色的旭日图案。")</f>
        <v>背景是红色的旭日图案。</v>
      </c>
      <c r="U28" s="5" t="str">
        <f>IFERROR(__xludf.DUMMYFUNCTION("GOOGLETRANSLATE(I28,""en"",""zh-CN"")"),"图片以醒目的红色旭日图案为背景，这是日本的象征，通常与日本文化和武术联系在一起。")</f>
        <v>图片以醒目的红色旭日图案为背景，这是日本的象征，通常与日本文化和武术联系在一起。</v>
      </c>
    </row>
    <row r="29" ht="22.5" customHeight="1">
      <c r="A29" s="3" t="s">
        <v>2959</v>
      </c>
      <c r="B29" s="4">
        <v>28.0</v>
      </c>
      <c r="C29" s="3" t="s">
        <v>2971</v>
      </c>
      <c r="D29" s="3" t="s">
        <v>2858</v>
      </c>
      <c r="E29" s="3" t="s">
        <v>2859</v>
      </c>
      <c r="F29" s="3" t="s">
        <v>2860</v>
      </c>
      <c r="G29" s="3" t="s">
        <v>2861</v>
      </c>
      <c r="H29" s="3" t="s">
        <v>2859</v>
      </c>
      <c r="I29" s="3" t="s">
        <v>2972</v>
      </c>
      <c r="L29" s="3" t="s">
        <v>2959</v>
      </c>
      <c r="M29" s="4">
        <v>28.0</v>
      </c>
      <c r="N29" s="5" t="str">
        <f>IFERROR(__xludf.DUMMYFUNCTION("GOOGLETRANSLATE(C29,""en"",""zh-CN"")"),"练习者处于半空中。这说明动作有什么样的特点？")</f>
        <v>练习者处于半空中。这说明动作有什么样的特点？</v>
      </c>
      <c r="O29" s="5" t="str">
        <f>IFERROR(__xludf.DUMMYFUNCTION("GOOGLETRANSLATE(D29,""en"",""zh-CN"")"),"它们简单而缓慢。")</f>
        <v>它们简单而缓慢。</v>
      </c>
      <c r="P29" s="5" t="str">
        <f>IFERROR(__xludf.DUMMYFUNCTION("GOOGLETRANSLATE(E29,""en"",""zh-CN"")"),"他们活力四射，身姿矫健。")</f>
        <v>他们活力四射，身姿矫健。</v>
      </c>
      <c r="Q29" s="5" t="str">
        <f>IFERROR(__xludf.DUMMYFUNCTION("GOOGLETRANSLATE(F29,""en"",""zh-CN"")"),"它们很容易操作。")</f>
        <v>它们很容易操作。</v>
      </c>
      <c r="R29" s="5" t="str">
        <f>IFERROR(__xludf.DUMMYFUNCTION("GOOGLETRANSLATE(G29,""en"",""zh-CN"")"),"它们适合初学者。")</f>
        <v>它们适合初学者。</v>
      </c>
      <c r="S29" s="5" t="s">
        <v>2863</v>
      </c>
      <c r="T29" s="5" t="str">
        <f>IFERROR(__xludf.DUMMYFUNCTION("GOOGLETRANSLATE(H29,""en"",""zh-CN"")"),"他们活力四射，身姿矫健。")</f>
        <v>他们活力四射，身姿矫健。</v>
      </c>
      <c r="U29" s="5" t="str">
        <f>IFERROR(__xludf.DUMMYFUNCTION("GOOGLETRANSLATE(I29,""en"",""zh-CN"")"),"高踢腿和空中姿势表明这些动作是动态的、杂技式的，需要很高的技巧、运动能力和敏捷性。")</f>
        <v>高踢腿和空中姿势表明这些动作是动态的、杂技式的，需要很高的技巧、运动能力和敏捷性。</v>
      </c>
    </row>
    <row r="30" ht="22.5" customHeight="1">
      <c r="A30" s="3" t="s">
        <v>2959</v>
      </c>
      <c r="B30" s="4">
        <v>29.0</v>
      </c>
      <c r="C30" s="3" t="s">
        <v>2973</v>
      </c>
      <c r="D30" s="3" t="s">
        <v>2974</v>
      </c>
      <c r="E30" s="3" t="s">
        <v>2975</v>
      </c>
      <c r="F30" s="3" t="s">
        <v>2976</v>
      </c>
      <c r="G30" s="3" t="s">
        <v>2977</v>
      </c>
      <c r="H30" s="3" t="s">
        <v>2977</v>
      </c>
      <c r="I30" s="3" t="s">
        <v>2978</v>
      </c>
      <c r="L30" s="3" t="s">
        <v>2959</v>
      </c>
      <c r="M30" s="4">
        <v>29.0</v>
      </c>
      <c r="N30" s="5" t="str">
        <f>IFERROR(__xludf.DUMMYFUNCTION("GOOGLETRANSLATE(C30,""en"",""zh-CN"")"),"这位练习者系着黑带。这在武术中代表什么？")</f>
        <v>这位练习者系着黑带。这在武术中代表什么？</v>
      </c>
      <c r="O30" s="5" t="str">
        <f>IFERROR(__xludf.DUMMYFUNCTION("GOOGLETRANSLATE(D30,""en"",""zh-CN"")"),"球员的年龄。")</f>
        <v>球员的年龄。</v>
      </c>
      <c r="P30" s="5" t="str">
        <f>IFERROR(__xludf.DUMMYFUNCTION("GOOGLETRANSLATE(E30,""en"",""zh-CN"")"),"球员的国籍。")</f>
        <v>球员的国籍。</v>
      </c>
      <c r="Q30" s="5" t="str">
        <f>IFERROR(__xludf.DUMMYFUNCTION("GOOGLETRANSLATE(F30,""en"",""zh-CN"")"),"该玩家的新手身份。")</f>
        <v>该玩家的新手身份。</v>
      </c>
      <c r="R30" s="5" t="str">
        <f>IFERROR(__xludf.DUMMYFUNCTION("GOOGLETRANSLATE(G30,""en"",""zh-CN"")"),"该球员拥有高超的技能和丰富的经验。")</f>
        <v>该球员拥有高超的技能和丰富的经验。</v>
      </c>
      <c r="S30" s="5" t="s">
        <v>2979</v>
      </c>
      <c r="T30" s="5" t="str">
        <f>IFERROR(__xludf.DUMMYFUNCTION("GOOGLETRANSLATE(H30,""en"",""zh-CN"")"),"该球员拥有高超的技能和丰富的经验。")</f>
        <v>该球员拥有高超的技能和丰富的经验。</v>
      </c>
      <c r="U30" s="5" t="str">
        <f>IFERROR(__xludf.DUMMYFUNCTION("GOOGLETRANSLATE(I30,""en"",""zh-CN"")"),"在许多武术中，黑带是公认的技艺精湛、技能高超、纪律严明的象征。")</f>
        <v>在许多武术中，黑带是公认的技艺精湛、技能高超、纪律严明的象征。</v>
      </c>
    </row>
    <row r="31" ht="22.5" customHeight="1">
      <c r="A31" s="3" t="s">
        <v>2959</v>
      </c>
      <c r="B31" s="4">
        <v>30.0</v>
      </c>
      <c r="C31" s="3" t="s">
        <v>2864</v>
      </c>
      <c r="D31" s="3" t="s">
        <v>2865</v>
      </c>
      <c r="E31" s="3" t="s">
        <v>2866</v>
      </c>
      <c r="F31" s="3" t="s">
        <v>2867</v>
      </c>
      <c r="G31" s="3" t="s">
        <v>2868</v>
      </c>
      <c r="H31" s="3" t="s">
        <v>2865</v>
      </c>
      <c r="I31" s="3" t="s">
        <v>2869</v>
      </c>
      <c r="L31" s="3" t="s">
        <v>2959</v>
      </c>
      <c r="M31" s="4">
        <v>30.0</v>
      </c>
      <c r="N31" s="5" t="str">
        <f>IFERROR(__xludf.DUMMYFUNCTION("GOOGLETRANSLATE(C31,""en"",""zh-CN"")"),"这里展示的武术与传统功夫有什么显著区别？")</f>
        <v>这里展示的武术与传统功夫有什么显著区别？</v>
      </c>
      <c r="O31" s="5" t="str">
        <f>IFERROR(__xludf.DUMMYFUNCTION("GOOGLETRANSLATE(D31,""en"",""zh-CN"")"),"使用腰带表示等级。")</f>
        <v>使用腰带表示等级。</v>
      </c>
      <c r="P31" s="5" t="str">
        <f>IFERROR(__xludf.DUMMYFUNCTION("GOOGLETRANSLATE(E31,""en"",""zh-CN"")"),"重点在于高踢腿和跳跃。")</f>
        <v>重点在于高踢腿和跳跃。</v>
      </c>
      <c r="Q31" s="5" t="str">
        <f>IFERROR(__xludf.DUMMYFUNCTION("GOOGLETRANSLATE(F31,""en"",""zh-CN"")"),"使用制服。")</f>
        <v>使用制服。</v>
      </c>
      <c r="R31" s="5" t="str">
        <f>IFERROR(__xludf.DUMMYFUNCTION("GOOGLETRANSLATE(G31,""en"",""zh-CN"")"),"徒手使用。")</f>
        <v>徒手使用。</v>
      </c>
      <c r="S31" s="5" t="s">
        <v>2870</v>
      </c>
      <c r="T31" s="5" t="str">
        <f>IFERROR(__xludf.DUMMYFUNCTION("GOOGLETRANSLATE(H31,""en"",""zh-CN"")"),"使用腰带表示等级。")</f>
        <v>使用腰带表示等级。</v>
      </c>
      <c r="U31" s="5" t="str">
        <f>IFERROR(__xludf.DUMMYFUNCTION("GOOGLETRANSLATE(I31,""en"",""zh-CN"")"),"使用白色道服（Gi）和彩色腰带是许多日本武术（如空手道）的一个关键特征，也是与许多传统功夫流派的主要区别。")</f>
        <v>使用白色道服（Gi）和彩色腰带是许多日本武术（如空手道）的一个关键特征，也是与许多传统功夫流派的主要区别。</v>
      </c>
    </row>
    <row r="32" ht="22.5" customHeight="1">
      <c r="A32" s="3" t="s">
        <v>2980</v>
      </c>
      <c r="B32" s="4">
        <v>31.0</v>
      </c>
      <c r="C32" s="3" t="s">
        <v>1335</v>
      </c>
      <c r="D32" s="3" t="s">
        <v>2872</v>
      </c>
      <c r="E32" s="3" t="s">
        <v>2981</v>
      </c>
      <c r="F32" s="3" t="s">
        <v>2928</v>
      </c>
      <c r="G32" s="3" t="s">
        <v>2432</v>
      </c>
      <c r="H32" s="3" t="s">
        <v>2981</v>
      </c>
      <c r="I32" s="3" t="s">
        <v>2982</v>
      </c>
      <c r="L32" s="3" t="s">
        <v>2980</v>
      </c>
      <c r="M32" s="4">
        <v>31.0</v>
      </c>
      <c r="N32" s="5" t="str">
        <f>IFERROR(__xludf.DUMMYFUNCTION("GOOGLETRANSLATE(C32,""en"",""zh-CN"")"),"图中所示的中心活动是什么？")</f>
        <v>图中所示的中心活动是什么？</v>
      </c>
      <c r="O32" s="5" t="str">
        <f>IFERROR(__xludf.DUMMYFUNCTION("GOOGLETRANSLATE(D32,""en"",""zh-CN"")"),"一段舞蹈表演。")</f>
        <v>一段舞蹈表演。</v>
      </c>
      <c r="P32" s="5" t="str">
        <f>IFERROR(__xludf.DUMMYFUNCTION("GOOGLETRANSLATE(E32,""en"",""zh-CN"")"),"对着沙袋使出武术踢腿动作。")</f>
        <v>对着沙袋使出武术踢腿动作。</v>
      </c>
      <c r="Q32" s="5" t="str">
        <f>IFERROR(__xludf.DUMMYFUNCTION("GOOGLETRANSLATE(F32,""en"",""zh-CN"")"),"一场拳击比赛。")</f>
        <v>一场拳击比赛。</v>
      </c>
      <c r="R32" s="5" t="str">
        <f>IFERROR(__xludf.DUMMYFUNCTION("GOOGLETRANSLATE(G32,""en"",""zh-CN"")"),"一套体操动作。")</f>
        <v>一套体操动作。</v>
      </c>
      <c r="S32" s="5" t="s">
        <v>2983</v>
      </c>
      <c r="T32" s="5" t="str">
        <f>IFERROR(__xludf.DUMMYFUNCTION("GOOGLETRANSLATE(H32,""en"",""zh-CN"")"),"对着沙袋使出武术踢腿动作。")</f>
        <v>对着沙袋使出武术踢腿动作。</v>
      </c>
      <c r="U32" s="5" t="str">
        <f>IFERROR(__xludf.DUMMYFUNCTION("GOOGLETRANSLATE(I32,""en"",""zh-CN"")"),"图片描绘的是一个身穿白色制服的人对着沙袋进行高踢腿，这是许多武术中常见的训练动作。")</f>
        <v>图片描绘的是一个身穿白色制服的人对着沙袋进行高踢腿，这是许多武术中常见的训练动作。</v>
      </c>
    </row>
    <row r="33" ht="22.5" customHeight="1">
      <c r="A33" s="3" t="s">
        <v>2980</v>
      </c>
      <c r="B33" s="4">
        <v>32.0</v>
      </c>
      <c r="C33" s="3" t="s">
        <v>2973</v>
      </c>
      <c r="D33" s="3" t="s">
        <v>2974</v>
      </c>
      <c r="E33" s="3" t="s">
        <v>2975</v>
      </c>
      <c r="F33" s="3" t="s">
        <v>2976</v>
      </c>
      <c r="G33" s="3" t="s">
        <v>2977</v>
      </c>
      <c r="H33" s="3" t="s">
        <v>2977</v>
      </c>
      <c r="I33" s="3" t="s">
        <v>2978</v>
      </c>
      <c r="L33" s="3" t="s">
        <v>2980</v>
      </c>
      <c r="M33" s="4">
        <v>32.0</v>
      </c>
      <c r="N33" s="5" t="str">
        <f>IFERROR(__xludf.DUMMYFUNCTION("GOOGLETRANSLATE(C33,""en"",""zh-CN"")"),"这位练习者系着黑带。这在武术中代表什么？")</f>
        <v>这位练习者系着黑带。这在武术中代表什么？</v>
      </c>
      <c r="O33" s="5" t="str">
        <f>IFERROR(__xludf.DUMMYFUNCTION("GOOGLETRANSLATE(D33,""en"",""zh-CN"")"),"球员的年龄。")</f>
        <v>球员的年龄。</v>
      </c>
      <c r="P33" s="5" t="str">
        <f>IFERROR(__xludf.DUMMYFUNCTION("GOOGLETRANSLATE(E33,""en"",""zh-CN"")"),"球员的国籍。")</f>
        <v>球员的国籍。</v>
      </c>
      <c r="Q33" s="5" t="str">
        <f>IFERROR(__xludf.DUMMYFUNCTION("GOOGLETRANSLATE(F33,""en"",""zh-CN"")"),"该玩家的新手身份。")</f>
        <v>该玩家的新手身份。</v>
      </c>
      <c r="R33" s="5" t="str">
        <f>IFERROR(__xludf.DUMMYFUNCTION("GOOGLETRANSLATE(G33,""en"",""zh-CN"")"),"该球员拥有高超的技能和丰富的经验。")</f>
        <v>该球员拥有高超的技能和丰富的经验。</v>
      </c>
      <c r="S33" s="5" t="s">
        <v>2979</v>
      </c>
      <c r="T33" s="5" t="str">
        <f>IFERROR(__xludf.DUMMYFUNCTION("GOOGLETRANSLATE(H33,""en"",""zh-CN"")"),"该球员拥有高超的技能和丰富的经验。")</f>
        <v>该球员拥有高超的技能和丰富的经验。</v>
      </c>
      <c r="U33" s="5" t="str">
        <f>IFERROR(__xludf.DUMMYFUNCTION("GOOGLETRANSLATE(I33,""en"",""zh-CN"")"),"在许多武术中，黑带是公认的技艺精湛、技能高超、纪律严明的象征。")</f>
        <v>在许多武术中，黑带是公认的技艺精湛、技能高超、纪律严明的象征。</v>
      </c>
    </row>
    <row r="34" ht="22.5" customHeight="1">
      <c r="A34" s="3" t="s">
        <v>2980</v>
      </c>
      <c r="B34" s="4">
        <v>33.0</v>
      </c>
      <c r="C34" s="3" t="s">
        <v>2984</v>
      </c>
      <c r="D34" s="3" t="s">
        <v>2985</v>
      </c>
      <c r="E34" s="3" t="s">
        <v>2986</v>
      </c>
      <c r="F34" s="3" t="s">
        <v>2987</v>
      </c>
      <c r="G34" s="3" t="s">
        <v>2988</v>
      </c>
      <c r="H34" s="3" t="s">
        <v>2986</v>
      </c>
      <c r="I34" s="3" t="s">
        <v>2989</v>
      </c>
      <c r="L34" s="3" t="s">
        <v>2980</v>
      </c>
      <c r="M34" s="4">
        <v>33.0</v>
      </c>
      <c r="N34" s="5" t="str">
        <f>IFERROR(__xludf.DUMMYFUNCTION("GOOGLETRANSLATE(C34,""en"",""zh-CN"")"),"拳击沙袋的用途是什么？")</f>
        <v>拳击沙袋的用途是什么？</v>
      </c>
      <c r="O34" s="5" t="str">
        <f>IFERROR(__xludf.DUMMYFUNCTION("GOOGLETRANSLATE(D34,""en"",""zh-CN"")"),"为战斗进行训练。")</f>
        <v>为战斗进行训练。</v>
      </c>
      <c r="P34" s="5" t="str">
        <f>IFERROR(__xludf.DUMMYFUNCTION("GOOGLETRANSLATE(E34,""en"",""zh-CN"")"),"练习并提高踢球的力量和技巧。")</f>
        <v>练习并提高踢球的力量和技巧。</v>
      </c>
      <c r="Q34" s="5" t="str">
        <f>IFERROR(__xludf.DUMMYFUNCTION("GOOGLETRANSLATE(F34,""en"",""zh-CN"")"),"为了改善平衡能力。")</f>
        <v>为了改善平衡能力。</v>
      </c>
      <c r="R34" s="5" t="str">
        <f>IFERROR(__xludf.DUMMYFUNCTION("GOOGLETRANSLATE(G34,""en"",""zh-CN"")"),"为了炫耀技能。")</f>
        <v>为了炫耀技能。</v>
      </c>
      <c r="S34" s="5" t="s">
        <v>2990</v>
      </c>
      <c r="T34" s="5" t="str">
        <f>IFERROR(__xludf.DUMMYFUNCTION("GOOGLETRANSLATE(H34,""en"",""zh-CN"")"),"练习并提高踢球的力量和技巧。")</f>
        <v>练习并提高踢球的力量和技巧。</v>
      </c>
      <c r="U34" s="5" t="str">
        <f>IFERROR(__xludf.DUMMYFUNCTION("GOOGLETRANSLATE(I34,""en"",""zh-CN"")"),"拳击沙袋是一种训练工具，用于练习和提高拳击和踢腿的力量、速度和技巧。")</f>
        <v>拳击沙袋是一种训练工具，用于练习和提高拳击和踢腿的力量、速度和技巧。</v>
      </c>
    </row>
    <row r="35" ht="22.5" customHeight="1">
      <c r="A35" s="3" t="s">
        <v>2980</v>
      </c>
      <c r="B35" s="4">
        <v>34.0</v>
      </c>
      <c r="C35" s="3" t="s">
        <v>2945</v>
      </c>
      <c r="D35" s="3" t="s">
        <v>2946</v>
      </c>
      <c r="E35" s="3" t="s">
        <v>2948</v>
      </c>
      <c r="F35" s="3" t="s">
        <v>2949</v>
      </c>
      <c r="G35" s="3" t="s">
        <v>2947</v>
      </c>
      <c r="H35" s="3" t="s">
        <v>2947</v>
      </c>
      <c r="I35" s="3" t="s">
        <v>2991</v>
      </c>
      <c r="L35" s="3" t="s">
        <v>2980</v>
      </c>
      <c r="M35" s="4">
        <v>34.0</v>
      </c>
      <c r="N35" s="5" t="str">
        <f>IFERROR(__xludf.DUMMYFUNCTION("GOOGLETRANSLATE(C35,""en"",""zh-CN"")"),"从这位医生的面部表情可以看出什么？")</f>
        <v>从这位医生的面部表情可以看出什么？</v>
      </c>
      <c r="O35" s="5" t="str">
        <f>IFERROR(__xludf.DUMMYFUNCTION("GOOGLETRANSLATE(D35,""en"",""zh-CN"")"),"他很放松。")</f>
        <v>他很放松。</v>
      </c>
      <c r="P35" s="5" t="str">
        <f>IFERROR(__xludf.DUMMYFUNCTION("GOOGLETRANSLATE(E35,""en"",""zh-CN"")"),"他全神贯注，神情严肃。")</f>
        <v>他全神贯注，神情严肃。</v>
      </c>
      <c r="Q35" s="5" t="str">
        <f>IFERROR(__xludf.DUMMYFUNCTION("GOOGLETRANSLATE(F35,""en"",""zh-CN"")"),"他很困惑。")</f>
        <v>他很困惑。</v>
      </c>
      <c r="R35" s="5" t="str">
        <f>IFERROR(__xludf.DUMMYFUNCTION("GOOGLETRANSLATE(G35,""en"",""zh-CN"")"),"他很高兴。")</f>
        <v>他很高兴。</v>
      </c>
      <c r="S35" s="5" t="s">
        <v>2992</v>
      </c>
      <c r="T35" s="5" t="str">
        <f>IFERROR(__xludf.DUMMYFUNCTION("GOOGLETRANSLATE(H35,""en"",""zh-CN"")"),"他很高兴。")</f>
        <v>他很高兴。</v>
      </c>
      <c r="U35" s="5" t="str">
        <f>IFERROR(__xludf.DUMMYFUNCTION("GOOGLETRANSLATE(I35,""en"",""zh-CN"")"),"照片中人物的灿烂笑容和放松的眼神表明他很享受训练，这也是这张照片传达的关键信息。")</f>
        <v>照片中人物的灿烂笑容和放松的眼神表明他很享受训练，这也是这张照片传达的关键信息。</v>
      </c>
    </row>
    <row r="36" ht="22.5" customHeight="1">
      <c r="A36" s="3" t="s">
        <v>2980</v>
      </c>
      <c r="B36" s="4">
        <v>35.0</v>
      </c>
      <c r="C36" s="3" t="s">
        <v>2993</v>
      </c>
      <c r="D36" s="3" t="s">
        <v>2608</v>
      </c>
      <c r="E36" s="3" t="s">
        <v>2940</v>
      </c>
      <c r="F36" s="3" t="s">
        <v>2941</v>
      </c>
      <c r="G36" s="3" t="s">
        <v>2994</v>
      </c>
      <c r="H36" s="3" t="s">
        <v>2994</v>
      </c>
      <c r="I36" s="3" t="s">
        <v>2995</v>
      </c>
      <c r="L36" s="3" t="s">
        <v>2980</v>
      </c>
      <c r="M36" s="4">
        <v>35.0</v>
      </c>
      <c r="N36" s="5" t="str">
        <f>IFERROR(__xludf.DUMMYFUNCTION("GOOGLETRANSLATE(C36,""en"",""zh-CN"")"),"这位从业者穿的是什么类型的服装？")</f>
        <v>这位从业者穿的是什么类型的服装？</v>
      </c>
      <c r="O36" s="5" t="str">
        <f>IFERROR(__xludf.DUMMYFUNCTION("GOOGLETRANSLATE(D36,""en"",""zh-CN"")"),"一套正式西装。")</f>
        <v>一套正式西装。</v>
      </c>
      <c r="P36" s="5" t="str">
        <f>IFERROR(__xludf.DUMMYFUNCTION("GOOGLETRANSLATE(E36,""en"",""zh-CN"")"),"一套传统的中国功夫服。")</f>
        <v>一套传统的中国功夫服。</v>
      </c>
      <c r="Q36" s="5" t="str">
        <f>IFERROR(__xludf.DUMMYFUNCTION("GOOGLETRANSLATE(F36,""en"",""zh-CN"")"),"一套休闲装扮。")</f>
        <v>一套休闲装扮。</v>
      </c>
      <c r="R36" s="5" t="str">
        <f>IFERROR(__xludf.DUMMYFUNCTION("GOOGLETRANSLATE(G36,""en"",""zh-CN"")"),"一件传统的日本道服。")</f>
        <v>一件传统的日本道服。</v>
      </c>
      <c r="S36" s="5" t="s">
        <v>2996</v>
      </c>
      <c r="T36" s="5" t="str">
        <f>IFERROR(__xludf.DUMMYFUNCTION("GOOGLETRANSLATE(H36,""en"",""zh-CN"")"),"一件传统的日本道服。")</f>
        <v>一件传统的日本道服。</v>
      </c>
      <c r="U36" s="5" t="str">
        <f>IFERROR(__xludf.DUMMYFUNCTION("GOOGLETRANSLATE(I36,""en"",""zh-CN"")"),"练习者身穿白色道服，系着黑色腰带，这是许多日本武术（如空手道）的经典道服。")</f>
        <v>练习者身穿白色道服，系着黑色腰带，这是许多日本武术（如空手道）的经典道服。</v>
      </c>
    </row>
    <row r="37" ht="22.5" customHeight="1">
      <c r="A37" s="3" t="s">
        <v>2997</v>
      </c>
      <c r="B37" s="4">
        <v>36.0</v>
      </c>
      <c r="C37" s="3" t="s">
        <v>1335</v>
      </c>
      <c r="D37" s="3" t="s">
        <v>2998</v>
      </c>
      <c r="E37" s="3" t="s">
        <v>2999</v>
      </c>
      <c r="F37" s="3" t="s">
        <v>3000</v>
      </c>
      <c r="G37" s="3" t="s">
        <v>3001</v>
      </c>
      <c r="H37" s="3" t="s">
        <v>2998</v>
      </c>
      <c r="I37" s="3" t="s">
        <v>3002</v>
      </c>
      <c r="L37" s="3" t="s">
        <v>2997</v>
      </c>
      <c r="M37" s="4">
        <v>36.0</v>
      </c>
      <c r="N37" s="5" t="str">
        <f>IFERROR(__xludf.DUMMYFUNCTION("GOOGLETRANSLATE(C37,""en"",""zh-CN"")"),"图中所示的中心活动是什么？")</f>
        <v>图中所示的中心活动是什么？</v>
      </c>
      <c r="O37" s="5" t="str">
        <f>IFERROR(__xludf.DUMMYFUNCTION("GOOGLETRANSLATE(D37,""en"",""zh-CN"")"),"一个孩子正在练习武术踢腿动作。")</f>
        <v>一个孩子正在练习武术踢腿动作。</v>
      </c>
      <c r="P37" s="5" t="str">
        <f>IFERROR(__xludf.DUMMYFUNCTION("GOOGLETRANSLATE(E37,""en"",""zh-CN"")"),"一个孩子正在表演舞蹈。")</f>
        <v>一个孩子正在表演舞蹈。</v>
      </c>
      <c r="Q37" s="5" t="str">
        <f>IFERROR(__xludf.DUMMYFUNCTION("GOOGLETRANSLATE(F37,""en"",""zh-CN"")"),"一个孩子在玩耍。")</f>
        <v>一个孩子在玩耍。</v>
      </c>
      <c r="R37" s="5" t="str">
        <f>IFERROR(__xludf.DUMMYFUNCTION("GOOGLETRANSLATE(G37,""en"",""zh-CN"")"),"一个孩子正在做体操动作。")</f>
        <v>一个孩子正在做体操动作。</v>
      </c>
      <c r="S37" s="5" t="s">
        <v>3003</v>
      </c>
      <c r="T37" s="5" t="str">
        <f>IFERROR(__xludf.DUMMYFUNCTION("GOOGLETRANSLATE(H37,""en"",""zh-CN"")"),"一个孩子正在练习武术踢腿动作。")</f>
        <v>一个孩子正在练习武术踢腿动作。</v>
      </c>
      <c r="U37" s="5" t="str">
        <f>IFERROR(__xludf.DUMMYFUNCTION("GOOGLETRANSLATE(I37,""en"",""zh-CN"")"),"图片描绘的是一个身穿武术服的孩子正在表演一个流畅的武术踢腿动作。")</f>
        <v>图片描绘的是一个身穿武术服的孩子正在表演一个流畅的武术踢腿动作。</v>
      </c>
    </row>
    <row r="38" ht="22.5" customHeight="1">
      <c r="A38" s="3" t="s">
        <v>2997</v>
      </c>
      <c r="B38" s="4">
        <v>37.0</v>
      </c>
      <c r="C38" s="3" t="s">
        <v>3004</v>
      </c>
      <c r="D38" s="3" t="s">
        <v>2941</v>
      </c>
      <c r="E38" s="3" t="s">
        <v>2940</v>
      </c>
      <c r="F38" s="3" t="s">
        <v>2942</v>
      </c>
      <c r="G38" s="3" t="s">
        <v>3005</v>
      </c>
      <c r="H38" s="3" t="s">
        <v>2940</v>
      </c>
      <c r="I38" s="3" t="s">
        <v>3006</v>
      </c>
      <c r="L38" s="3" t="s">
        <v>2997</v>
      </c>
      <c r="M38" s="4">
        <v>37.0</v>
      </c>
      <c r="N38" s="5" t="str">
        <f>IFERROR(__xludf.DUMMYFUNCTION("GOOGLETRANSLATE(C38,""en"",""zh-CN"")"),"这名儿童的穿着有什么显著特点？")</f>
        <v>这名儿童的穿着有什么显著特点？</v>
      </c>
      <c r="O38" s="5" t="str">
        <f>IFERROR(__xludf.DUMMYFUNCTION("GOOGLETRANSLATE(D38,""en"",""zh-CN"")"),"一套休闲装扮。")</f>
        <v>一套休闲装扮。</v>
      </c>
      <c r="P38" s="5" t="str">
        <f>IFERROR(__xludf.DUMMYFUNCTION("GOOGLETRANSLATE(E38,""en"",""zh-CN"")"),"一套传统的中国功夫服。")</f>
        <v>一套传统的中国功夫服。</v>
      </c>
      <c r="Q38" s="5" t="str">
        <f>IFERROR(__xludf.DUMMYFUNCTION("GOOGLETRANSLATE(F38,""en"",""zh-CN"")"),"军装。")</f>
        <v>军装。</v>
      </c>
      <c r="R38" s="5" t="str">
        <f>IFERROR(__xludf.DUMMYFUNCTION("GOOGLETRANSLATE(G38,""en"",""zh-CN"")"),"校服。")</f>
        <v>校服。</v>
      </c>
      <c r="S38" s="5" t="s">
        <v>3007</v>
      </c>
      <c r="T38" s="5" t="str">
        <f>IFERROR(__xludf.DUMMYFUNCTION("GOOGLETRANSLATE(H38,""en"",""zh-CN"")"),"一套传统的中国功夫服。")</f>
        <v>一套传统的中国功夫服。</v>
      </c>
      <c r="U38" s="5" t="str">
        <f>IFERROR(__xludf.DUMMYFUNCTION("GOOGLETRANSLATE(I38,""en"",""zh-CN"")"),"孩子穿着宽松的黑色制服，配以红色滚边，这是一套经典的传统中国功夫服或称“伊夫服”。")</f>
        <v>孩子穿着宽松的黑色制服，配以红色滚边，这是一套经典的传统中国功夫服或称“伊夫服”。</v>
      </c>
    </row>
    <row r="39" ht="22.5" customHeight="1">
      <c r="A39" s="3" t="s">
        <v>2997</v>
      </c>
      <c r="B39" s="4">
        <v>38.0</v>
      </c>
      <c r="C39" s="3" t="s">
        <v>3008</v>
      </c>
      <c r="D39" s="3" t="s">
        <v>2946</v>
      </c>
      <c r="E39" s="3" t="s">
        <v>2948</v>
      </c>
      <c r="F39" s="3" t="s">
        <v>2949</v>
      </c>
      <c r="G39" s="3" t="s">
        <v>2947</v>
      </c>
      <c r="H39" s="3" t="s">
        <v>2948</v>
      </c>
      <c r="I39" s="3" t="s">
        <v>3009</v>
      </c>
      <c r="L39" s="3" t="s">
        <v>2997</v>
      </c>
      <c r="M39" s="4">
        <v>38.0</v>
      </c>
      <c r="N39" s="5" t="str">
        <f>IFERROR(__xludf.DUMMYFUNCTION("GOOGLETRANSLATE(C39,""en"",""zh-CN"")"),"孩子的面部表情表明了什么？")</f>
        <v>孩子的面部表情表明了什么？</v>
      </c>
      <c r="O39" s="5" t="str">
        <f>IFERROR(__xludf.DUMMYFUNCTION("GOOGLETRANSLATE(D39,""en"",""zh-CN"")"),"他很放松。")</f>
        <v>他很放松。</v>
      </c>
      <c r="P39" s="5" t="str">
        <f>IFERROR(__xludf.DUMMYFUNCTION("GOOGLETRANSLATE(E39,""en"",""zh-CN"")"),"他全神贯注，神情严肃。")</f>
        <v>他全神贯注，神情严肃。</v>
      </c>
      <c r="Q39" s="5" t="str">
        <f>IFERROR(__xludf.DUMMYFUNCTION("GOOGLETRANSLATE(F39,""en"",""zh-CN"")"),"他很困惑。")</f>
        <v>他很困惑。</v>
      </c>
      <c r="R39" s="5" t="str">
        <f>IFERROR(__xludf.DUMMYFUNCTION("GOOGLETRANSLATE(G39,""en"",""zh-CN"")"),"他很高兴。")</f>
        <v>他很高兴。</v>
      </c>
      <c r="S39" s="5" t="s">
        <v>2992</v>
      </c>
      <c r="T39" s="5" t="str">
        <f>IFERROR(__xludf.DUMMYFUNCTION("GOOGLETRANSLATE(H39,""en"",""zh-CN"")"),"他全神贯注，神情严肃。")</f>
        <v>他全神贯注，神情严肃。</v>
      </c>
      <c r="U39" s="5" t="str">
        <f>IFERROR(__xludf.DUMMYFUNCTION("GOOGLETRANSLATE(I39,""en"",""zh-CN"")"),"孩子脸上坚定的表情，眉头紧锁，眼神锐利，表明他高度集中注意力，态度强悍，这是武术的关键组成部分。")</f>
        <v>孩子脸上坚定的表情，眉头紧锁，眼神锐利，表明他高度集中注意力，态度强悍，这是武术的关键组成部分。</v>
      </c>
    </row>
    <row r="40" ht="22.5" customHeight="1">
      <c r="A40" s="3" t="s">
        <v>2997</v>
      </c>
      <c r="B40" s="4">
        <v>39.0</v>
      </c>
      <c r="C40" s="3" t="s">
        <v>3010</v>
      </c>
      <c r="D40" s="3" t="s">
        <v>2934</v>
      </c>
      <c r="E40" s="3" t="s">
        <v>2935</v>
      </c>
      <c r="F40" s="3" t="s">
        <v>2936</v>
      </c>
      <c r="G40" s="3" t="s">
        <v>2937</v>
      </c>
      <c r="H40" s="3" t="s">
        <v>2935</v>
      </c>
      <c r="I40" s="3" t="s">
        <v>3011</v>
      </c>
      <c r="L40" s="3" t="s">
        <v>2997</v>
      </c>
      <c r="M40" s="4">
        <v>39.0</v>
      </c>
      <c r="N40" s="5" t="str">
        <f>IFERROR(__xludf.DUMMYFUNCTION("GOOGLETRANSLATE(C40,""en"",""zh-CN"")"),"孩子摆出了高踢腿的姿势。这说明他练习的是什么武术？")</f>
        <v>孩子摆出了高踢腿的姿势。这说明他练习的是什么武术？</v>
      </c>
      <c r="O40" s="5" t="str">
        <f>IFERROR(__xludf.DUMMYFUNCTION("GOOGLETRANSLATE(D40,""en"",""zh-CN"")"),"它是一种非常静态且以防守为主的武术。")</f>
        <v>它是一种非常静态且以防守为主的武术。</v>
      </c>
      <c r="P40" s="5" t="str">
        <f>IFERROR(__xludf.DUMMYFUNCTION("GOOGLETRANSLATE(E40,""en"",""zh-CN"")"),"它是一种充满活力、技巧性强的武术。")</f>
        <v>它是一种充满活力、技巧性强的武术。</v>
      </c>
      <c r="Q40" s="5" t="str">
        <f>IFERROR(__xludf.DUMMYFUNCTION("GOOGLETRANSLATE(F40,""en"",""zh-CN"")"),"它是一种缓慢而柔和的武术。")</f>
        <v>它是一种缓慢而柔和的武术。</v>
      </c>
      <c r="R40" s="5" t="str">
        <f>IFERROR(__xludf.DUMMYFUNCTION("GOOGLETRANSLATE(G40,""en"",""zh-CN"")"),"这是一种非常简单的武术。")</f>
        <v>这是一种非常简单的武术。</v>
      </c>
      <c r="S40" s="5" t="s">
        <v>2939</v>
      </c>
      <c r="T40" s="5" t="str">
        <f>IFERROR(__xludf.DUMMYFUNCTION("GOOGLETRANSLATE(H40,""en"",""zh-CN"")"),"它是一种充满活力、技巧性强的武术。")</f>
        <v>它是一种充满活力、技巧性强的武术。</v>
      </c>
      <c r="U40" s="5" t="str">
        <f>IFERROR(__xludf.DUMMYFUNCTION("GOOGLETRANSLATE(I40,""en"",""zh-CN"")"),"高踢腿表明这种武术充满活力和技巧性，需要很高的柔韧性和协调性。")</f>
        <v>高踢腿表明这种武术充满活力和技巧性，需要很高的柔韧性和协调性。</v>
      </c>
    </row>
    <row r="41" ht="22.5" customHeight="1">
      <c r="A41" s="3" t="s">
        <v>2997</v>
      </c>
      <c r="B41" s="4">
        <v>40.0</v>
      </c>
      <c r="C41" s="3" t="s">
        <v>3012</v>
      </c>
      <c r="D41" s="3" t="s">
        <v>3013</v>
      </c>
      <c r="E41" s="3" t="s">
        <v>3014</v>
      </c>
      <c r="F41" s="3" t="s">
        <v>3015</v>
      </c>
      <c r="G41" s="3" t="s">
        <v>1360</v>
      </c>
      <c r="H41" s="3" t="s">
        <v>3014</v>
      </c>
      <c r="I41" s="3" t="s">
        <v>3016</v>
      </c>
      <c r="L41" s="3" t="s">
        <v>2997</v>
      </c>
      <c r="M41" s="4">
        <v>40.0</v>
      </c>
      <c r="N41" s="5" t="str">
        <f>IFERROR(__xludf.DUMMYFUNCTION("GOOGLETRANSLATE(C41,""en"",""zh-CN"")"),"从这张图片中可以推断出这款游戏具有怎样的文化意义？")</f>
        <v>从这张图片中可以推断出这款游戏具有怎样的文化意义？</v>
      </c>
      <c r="O41" s="5" t="str">
        <f>IFERROR(__xludf.DUMMYFUNCTION("GOOGLETRANSLATE(D41,""en"",""zh-CN"")"),"这是一项成人运动。")</f>
        <v>这是一项成人运动。</v>
      </c>
      <c r="P41" s="5" t="str">
        <f>IFERROR(__xludf.DUMMYFUNCTION("GOOGLETRANSLATE(E41,""en"",""zh-CN"")"),"这是一项孩子们可以学习和享受的运动。")</f>
        <v>这是一项孩子们可以学习和享受的运动。</v>
      </c>
      <c r="Q41" s="5" t="str">
        <f>IFERROR(__xludf.DUMMYFUNCTION("GOOGLETRANSLATE(F41,""en"",""zh-CN"")"),"这项运动对孩子来说太难了。")</f>
        <v>这项运动对孩子来说太难了。</v>
      </c>
      <c r="R41" s="5" t="str">
        <f>IFERROR(__xludf.DUMMYFUNCTION("GOOGLETRANSLATE(G41,""en"",""zh-CN"")"),"这是一项被遗忘的运动。")</f>
        <v>这是一项被遗忘的运动。</v>
      </c>
      <c r="S41" s="5" t="s">
        <v>3017</v>
      </c>
      <c r="T41" s="5" t="str">
        <f>IFERROR(__xludf.DUMMYFUNCTION("GOOGLETRANSLATE(H41,""en"",""zh-CN"")"),"这是一项孩子们可以学习和享受的运动。")</f>
        <v>这是一项孩子们可以学习和享受的运动。</v>
      </c>
      <c r="U41" s="5" t="str">
        <f>IFERROR(__xludf.DUMMYFUNCTION("GOOGLETRANSLATE(I41,""en"",""zh-CN"")"),"一张儿童摆出武术姿势的图片表明，这项运动很容易上手，小孩子也可以练习。")</f>
        <v>一张儿童摆出武术姿势的图片表明，这项运动很容易上手，小孩子也可以练习。</v>
      </c>
    </row>
    <row r="42" ht="22.5" customHeight="1">
      <c r="A42" s="3" t="s">
        <v>3018</v>
      </c>
      <c r="B42" s="4">
        <v>41.0</v>
      </c>
      <c r="C42" s="3" t="s">
        <v>1335</v>
      </c>
      <c r="D42" s="3" t="s">
        <v>3019</v>
      </c>
      <c r="E42" s="3" t="s">
        <v>3020</v>
      </c>
      <c r="F42" s="3" t="s">
        <v>3021</v>
      </c>
      <c r="G42" s="3" t="s">
        <v>3022</v>
      </c>
      <c r="H42" s="3" t="s">
        <v>3020</v>
      </c>
      <c r="I42" s="3" t="s">
        <v>3023</v>
      </c>
      <c r="L42" s="3" t="s">
        <v>3018</v>
      </c>
      <c r="M42" s="4">
        <v>41.0</v>
      </c>
      <c r="N42" s="5" t="str">
        <f>IFERROR(__xludf.DUMMYFUNCTION("GOOGLETRANSLATE(C42,""en"",""zh-CN"")"),"图中所示的中心活动是什么？")</f>
        <v>图中所示的中心活动是什么？</v>
      </c>
      <c r="O42" s="5" t="str">
        <f>IFERROR(__xludf.DUMMYFUNCTION("GOOGLETRANSLATE(D42,""en"",""zh-CN"")"),"两个女人在跳舞。")</f>
        <v>两个女人在跳舞。</v>
      </c>
      <c r="P42" s="5" t="str">
        <f>IFERROR(__xludf.DUMMYFUNCTION("GOOGLETRANSLATE(E42,""en"",""zh-CN"")"),"两名女子摆​​出武术姿势。")</f>
        <v>两名女子摆​​出武术姿势。</v>
      </c>
      <c r="Q42" s="5" t="str">
        <f>IFERROR(__xludf.DUMMYFUNCTION("GOOGLETRANSLATE(F42,""en"",""zh-CN"")"),"两名女子打架。")</f>
        <v>两名女子打架。</v>
      </c>
      <c r="R42" s="5" t="str">
        <f>IFERROR(__xludf.DUMMYFUNCTION("GOOGLETRANSLATE(G42,""en"",""zh-CN"")"),"两名女子在伸展身体。")</f>
        <v>两名女子在伸展身体。</v>
      </c>
      <c r="S42" s="5" t="s">
        <v>3024</v>
      </c>
      <c r="T42" s="5" t="str">
        <f>IFERROR(__xludf.DUMMYFUNCTION("GOOGLETRANSLATE(H42,""en"",""zh-CN"")"),"两名女子摆​​出武术姿势。")</f>
        <v>两名女子摆​​出武术姿势。</v>
      </c>
      <c r="U42" s="5" t="str">
        <f>IFERROR(__xludf.DUMMYFUNCTION("GOOGLETRANSLATE(I42,""en"",""zh-CN"")"),"这幅具有绘画质感的图像描绘了两名身着武术服的女子，摆出同步的姿势，暗示着某种武术形式或套路。")</f>
        <v>这幅具有绘画质感的图像描绘了两名身着武术服的女子，摆出同步的姿势，暗示着某种武术形式或套路。</v>
      </c>
    </row>
    <row r="43" ht="22.5" customHeight="1">
      <c r="A43" s="3" t="s">
        <v>3018</v>
      </c>
      <c r="B43" s="4">
        <v>42.0</v>
      </c>
      <c r="C43" s="3" t="s">
        <v>2907</v>
      </c>
      <c r="D43" s="3" t="s">
        <v>2908</v>
      </c>
      <c r="E43" s="3" t="s">
        <v>3025</v>
      </c>
      <c r="F43" s="3" t="s">
        <v>2910</v>
      </c>
      <c r="G43" s="3" t="s">
        <v>2911</v>
      </c>
      <c r="H43" s="3" t="s">
        <v>3025</v>
      </c>
      <c r="I43" s="3" t="s">
        <v>3026</v>
      </c>
      <c r="L43" s="3" t="s">
        <v>3018</v>
      </c>
      <c r="M43" s="4">
        <v>42.0</v>
      </c>
      <c r="N43" s="5" t="str">
        <f>IFERROR(__xludf.DUMMYFUNCTION("GOOGLETRANSLATE(C43,""en"",""zh-CN"")"),"从业者的服装有什么显著特点？")</f>
        <v>从业者的服装有什么显著特点？</v>
      </c>
      <c r="O43" s="5" t="str">
        <f>IFERROR(__xludf.DUMMYFUNCTION("GOOGLETRANSLATE(D43,""en"",""zh-CN"")"),"他们穿着休闲服装。")</f>
        <v>他们穿着休闲服装。</v>
      </c>
      <c r="P43" s="5" t="str">
        <f>IFERROR(__xludf.DUMMYFUNCTION("GOOGLETRANSLATE(E43,""en"",""zh-CN"")"),"他们身穿中国传统功夫服。")</f>
        <v>他们身穿中国传统功夫服。</v>
      </c>
      <c r="Q43" s="5" t="str">
        <f>IFERROR(__xludf.DUMMYFUNCTION("GOOGLETRANSLATE(F43,""en"",""zh-CN"")"),"他们身穿军装。")</f>
        <v>他们身穿军装。</v>
      </c>
      <c r="R43" s="5" t="str">
        <f>IFERROR(__xludf.DUMMYFUNCTION("GOOGLETRANSLATE(G43,""en"",""zh-CN"")"),"他们穿着现代运动装备。")</f>
        <v>他们穿着现代运动装备。</v>
      </c>
      <c r="S43" s="5" t="s">
        <v>3027</v>
      </c>
      <c r="T43" s="5" t="str">
        <f>IFERROR(__xludf.DUMMYFUNCTION("GOOGLETRANSLATE(H43,""en"",""zh-CN"")"),"他们身穿中国传统功夫服。")</f>
        <v>他们身穿中国传统功夫服。</v>
      </c>
      <c r="U43" s="5" t="str">
        <f>IFERROR(__xludf.DUMMYFUNCTION("GOOGLETRANSLATE(I43,""en"",""zh-CN"")"),"这些女性身穿宽松的刺绣制服，系着黑色腰带，这是经典的中国传统功夫制服或武术服。")</f>
        <v>这些女性身穿宽松的刺绣制服，系着黑色腰带，这是经典的中国传统功夫制服或武术服。</v>
      </c>
    </row>
    <row r="44" ht="22.5" customHeight="1">
      <c r="A44" s="3" t="s">
        <v>3018</v>
      </c>
      <c r="B44" s="4">
        <v>43.0</v>
      </c>
      <c r="C44" s="3" t="s">
        <v>2914</v>
      </c>
      <c r="D44" s="3" t="s">
        <v>2829</v>
      </c>
      <c r="E44" s="3" t="s">
        <v>2830</v>
      </c>
      <c r="F44" s="3" t="s">
        <v>1451</v>
      </c>
      <c r="G44" s="3" t="s">
        <v>540</v>
      </c>
      <c r="H44" s="3" t="s">
        <v>2829</v>
      </c>
      <c r="I44" s="3" t="s">
        <v>2831</v>
      </c>
      <c r="L44" s="3" t="s">
        <v>3018</v>
      </c>
      <c r="M44" s="4">
        <v>43.0</v>
      </c>
      <c r="N44" s="5" t="str">
        <f>IFERROR(__xludf.DUMMYFUNCTION("GOOGLETRANSLATE(C44,""en"",""zh-CN"")"),"练习者们采取低而宽的站姿。这种姿势的目的是什么？")</f>
        <v>练习者们采取低而宽的站姿。这种姿势的目的是什么？</v>
      </c>
      <c r="O44" s="5" t="str">
        <f>IFERROR(__xludf.DUMMYFUNCTION("GOOGLETRANSLATE(D44,""en"",""zh-CN"")"),"增强平衡能力和腿部力量。")</f>
        <v>增强平衡能力和腿部力量。</v>
      </c>
      <c r="P44" s="5" t="str">
        <f>IFERROR(__xludf.DUMMYFUNCTION("GOOGLETRANSLATE(E44,""en"",""zh-CN"")"),"为冲刺做准备。")</f>
        <v>为冲刺做准备。</v>
      </c>
      <c r="Q44" s="5" t="str">
        <f>IFERROR(__xludf.DUMMYFUNCTION("GOOGLETRANSLATE(F44,""en"",""zh-CN"")"),"休息。")</f>
        <v>休息。</v>
      </c>
      <c r="R44" s="5" t="str">
        <f>IFERROR(__xludf.DUMMYFUNCTION("GOOGLETRANSLATE(G44,""en"",""zh-CN"")"),"为了显得更具威慑力。")</f>
        <v>为了显得更具威慑力。</v>
      </c>
      <c r="S44" s="5" t="s">
        <v>2832</v>
      </c>
      <c r="T44" s="5" t="str">
        <f>IFERROR(__xludf.DUMMYFUNCTION("GOOGLETRANSLATE(H44,""en"",""zh-CN"")"),"增强平衡能力和腿部力量。")</f>
        <v>增强平衡能力和腿部力量。</v>
      </c>
      <c r="U44" s="5" t="str">
        <f>IFERROR(__xludf.DUMMYFUNCTION("GOOGLETRANSLATE(I44,""en"",""zh-CN"")"),"低姿是许多武术的基础，因为它可以降低重心，这对于建立稳固的基础、提高平衡能力和增强腿部力量至关重要。")</f>
        <v>低姿是许多武术的基础，因为它可以降低重心，这对于建立稳固的基础、提高平衡能力和增强腿部力量至关重要。</v>
      </c>
    </row>
    <row r="45" ht="22.5" customHeight="1">
      <c r="A45" s="3" t="s">
        <v>3018</v>
      </c>
      <c r="B45" s="4">
        <v>44.0</v>
      </c>
      <c r="C45" s="3" t="s">
        <v>3028</v>
      </c>
      <c r="D45" s="3" t="s">
        <v>3029</v>
      </c>
      <c r="E45" s="3" t="s">
        <v>3030</v>
      </c>
      <c r="F45" s="3" t="s">
        <v>3031</v>
      </c>
      <c r="G45" s="3" t="s">
        <v>3032</v>
      </c>
      <c r="H45" s="3" t="s">
        <v>3031</v>
      </c>
      <c r="I45" s="3" t="s">
        <v>3033</v>
      </c>
      <c r="L45" s="3" t="s">
        <v>3018</v>
      </c>
      <c r="M45" s="4">
        <v>44.0</v>
      </c>
      <c r="N45" s="5" t="str">
        <f>IFERROR(__xludf.DUMMYFUNCTION("GOOGLETRANSLATE(C45,""en"",""zh-CN"")"),"同步动作的目的是什么？")</f>
        <v>同步动作的目的是什么？</v>
      </c>
      <c r="O45" s="5" t="str">
        <f>IFERROR(__xludf.DUMMYFUNCTION("GOOGLETRANSLATE(D45,""en"",""zh-CN"")"),"展示一场精心编排的打斗场面。")</f>
        <v>展示一场精心编排的打斗场面。</v>
      </c>
      <c r="P45" s="5" t="str">
        <f>IFERROR(__xludf.DUMMYFUNCTION("GOOGLETRANSLATE(E45,""en"",""zh-CN"")"),"展示一段舞蹈动作。")</f>
        <v>展示一段舞蹈动作。</v>
      </c>
      <c r="Q45" s="5" t="str">
        <f>IFERROR(__xludf.DUMMYFUNCTION("GOOGLETRANSLATE(F45,""en"",""zh-CN"")"),"为了展示团队合作和共同形式。")</f>
        <v>为了展示团队合作和共同形式。</v>
      </c>
      <c r="R45" s="5" t="str">
        <f>IFERROR(__xludf.DUMMYFUNCTION("GOOGLETRANSLATE(G45,""en"",""zh-CN"")"),"展示两种不同的武术。")</f>
        <v>展示两种不同的武术。</v>
      </c>
      <c r="S45" s="5" t="s">
        <v>3034</v>
      </c>
      <c r="T45" s="5" t="str">
        <f>IFERROR(__xludf.DUMMYFUNCTION("GOOGLETRANSLATE(H45,""en"",""zh-CN"")"),"为了展示团队合作和共同形式。")</f>
        <v>为了展示团队合作和共同形式。</v>
      </c>
      <c r="U45" s="5" t="str">
        <f>IFERROR(__xludf.DUMMYFUNCTION("GOOGLETRANSLATE(I45,""en"",""zh-CN"")"),"两位练习者以完美的同步性做出相同的动作，这是展示编排好的动作和团队合作的常见方式。")</f>
        <v>两位练习者以完美的同步性做出相同的动作，这是展示编排好的动作和团队合作的常见方式。</v>
      </c>
    </row>
    <row r="46" ht="22.5" customHeight="1">
      <c r="A46" s="3" t="s">
        <v>3018</v>
      </c>
      <c r="B46" s="4">
        <v>45.0</v>
      </c>
      <c r="C46" s="3" t="s">
        <v>3035</v>
      </c>
      <c r="D46" s="3" t="s">
        <v>3036</v>
      </c>
      <c r="E46" s="3" t="s">
        <v>3037</v>
      </c>
      <c r="F46" s="3" t="s">
        <v>2875</v>
      </c>
      <c r="G46" s="3" t="s">
        <v>3038</v>
      </c>
      <c r="H46" s="3" t="s">
        <v>3037</v>
      </c>
      <c r="I46" s="3" t="s">
        <v>3039</v>
      </c>
      <c r="L46" s="3" t="s">
        <v>3018</v>
      </c>
      <c r="M46" s="4">
        <v>45.0</v>
      </c>
      <c r="N46" s="5" t="str">
        <f>IFERROR(__xludf.DUMMYFUNCTION("GOOGLETRANSLATE(C46,""en"",""zh-CN"")"),"这张图片的整体美感如何？")</f>
        <v>这张图片的整体美感如何？</v>
      </c>
      <c r="O46" s="5" t="str">
        <f>IFERROR(__xludf.DUMMYFUNCTION("GOOGLETRANSLATE(D46,""en"",""zh-CN"")"),"一张逼真的照片。")</f>
        <v>一张逼真的照片。</v>
      </c>
      <c r="P46" s="5" t="str">
        <f>IFERROR(__xludf.DUMMYFUNCTION("GOOGLETRANSLATE(E46,""en"",""zh-CN"")"),"一幅数码绘画作品。")</f>
        <v>一幅数码绘画作品。</v>
      </c>
      <c r="Q46" s="5" t="str">
        <f>IFERROR(__xludf.DUMMYFUNCTION("GOOGLETRANSLATE(F46,""en"",""zh-CN"")"),"卡通片。")</f>
        <v>卡通片。</v>
      </c>
      <c r="R46" s="5" t="str">
        <f>IFERROR(__xludf.DUMMYFUNCTION("GOOGLETRANSLATE(G46,""en"",""zh-CN"")"),"铅笔画。")</f>
        <v>铅笔画。</v>
      </c>
      <c r="S46" s="5" t="s">
        <v>3040</v>
      </c>
      <c r="T46" s="5" t="str">
        <f>IFERROR(__xludf.DUMMYFUNCTION("GOOGLETRANSLATE(H46,""en"",""zh-CN"")"),"一幅数码绘画作品。")</f>
        <v>一幅数码绘画作品。</v>
      </c>
      <c r="U46" s="5" t="str">
        <f>IFERROR(__xludf.DUMMYFUNCTION("GOOGLETRANSLATE(I46,""en"",""zh-CN"")"),"这幅图像具有纹理感，像是手绘作品，笔触清晰可见，背景模糊，这表明它是一幅数码绘画作品。")</f>
        <v>这幅图像具有纹理感，像是手绘作品，笔触清晰可见，背景模糊，这表明它是一幅数码绘画作品。</v>
      </c>
    </row>
    <row r="47" ht="22.5" customHeight="1">
      <c r="A47" s="3" t="s">
        <v>3041</v>
      </c>
      <c r="B47" s="4">
        <v>46.0</v>
      </c>
      <c r="C47" s="3" t="s">
        <v>1335</v>
      </c>
      <c r="D47" s="3" t="s">
        <v>2432</v>
      </c>
      <c r="E47" s="3" t="s">
        <v>2903</v>
      </c>
      <c r="F47" s="3" t="s">
        <v>2904</v>
      </c>
      <c r="G47" s="3" t="s">
        <v>3042</v>
      </c>
      <c r="H47" s="3" t="s">
        <v>2903</v>
      </c>
      <c r="I47" s="3" t="s">
        <v>3043</v>
      </c>
      <c r="L47" s="3" t="s">
        <v>3041</v>
      </c>
      <c r="M47" s="4">
        <v>46.0</v>
      </c>
      <c r="N47" s="5" t="str">
        <f>IFERROR(__xludf.DUMMYFUNCTION("GOOGLETRANSLATE(C47,""en"",""zh-CN"")"),"图中所示的中心活动是什么？")</f>
        <v>图中所示的中心活动是什么？</v>
      </c>
      <c r="O47" s="5" t="str">
        <f>IFERROR(__xludf.DUMMYFUNCTION("GOOGLETRANSLATE(D47,""en"",""zh-CN"")"),"一套体操动作。")</f>
        <v>一套体操动作。</v>
      </c>
      <c r="P47" s="5" t="str">
        <f>IFERROR(__xludf.DUMMYFUNCTION("GOOGLETRANSLATE(E47,""en"",""zh-CN"")"),"一场同步武术表演。")</f>
        <v>一场同步武术表演。</v>
      </c>
      <c r="Q47" s="5" t="str">
        <f>IFERROR(__xludf.DUMMYFUNCTION("GOOGLETRANSLATE(F47,""en"",""zh-CN"")"),"一场舞蹈表演。")</f>
        <v>一场舞蹈表演。</v>
      </c>
      <c r="R47" s="5" t="str">
        <f>IFERROR(__xludf.DUMMYFUNCTION("GOOGLETRANSLATE(G47,""en"",""zh-CN"")"),"人塔。")</f>
        <v>人塔。</v>
      </c>
      <c r="S47" s="5" t="s">
        <v>3044</v>
      </c>
      <c r="T47" s="5" t="str">
        <f>IFERROR(__xludf.DUMMYFUNCTION("GOOGLETRANSLATE(H47,""en"",""zh-CN"")"),"一场同步武术表演。")</f>
        <v>一场同步武术表演。</v>
      </c>
      <c r="U47" s="5" t="str">
        <f>IFERROR(__xludf.DUMMYFUNCTION("GOOGLETRANSLATE(I47,""en"",""zh-CN"")"),"图片显示多名身穿僧袍的人正在表演一套同步武术动作，其中包括金字塔形队形，这是同步武术表演的特征。")</f>
        <v>图片显示多名身穿僧袍的人正在表演一套同步武术动作，其中包括金字塔形队形，这是同步武术表演的特征。</v>
      </c>
    </row>
    <row r="48" ht="22.5" customHeight="1">
      <c r="A48" s="3" t="s">
        <v>3041</v>
      </c>
      <c r="B48" s="4">
        <v>47.0</v>
      </c>
      <c r="C48" s="3" t="s">
        <v>2907</v>
      </c>
      <c r="D48" s="3" t="s">
        <v>2908</v>
      </c>
      <c r="E48" s="3" t="s">
        <v>2909</v>
      </c>
      <c r="F48" s="3" t="s">
        <v>2910</v>
      </c>
      <c r="G48" s="3" t="s">
        <v>2911</v>
      </c>
      <c r="H48" s="3" t="s">
        <v>2909</v>
      </c>
      <c r="I48" s="3" t="s">
        <v>3045</v>
      </c>
      <c r="L48" s="3" t="s">
        <v>3041</v>
      </c>
      <c r="M48" s="4">
        <v>47.0</v>
      </c>
      <c r="N48" s="5" t="str">
        <f>IFERROR(__xludf.DUMMYFUNCTION("GOOGLETRANSLATE(C48,""en"",""zh-CN"")"),"从业者的服装有什么显著特点？")</f>
        <v>从业者的服装有什么显著特点？</v>
      </c>
      <c r="O48" s="5" t="str">
        <f>IFERROR(__xludf.DUMMYFUNCTION("GOOGLETRANSLATE(D48,""en"",""zh-CN"")"),"他们穿着休闲服装。")</f>
        <v>他们穿着休闲服装。</v>
      </c>
      <c r="P48" s="5" t="str">
        <f>IFERROR(__xludf.DUMMYFUNCTION("GOOGLETRANSLATE(E48,""en"",""zh-CN"")"),"他们身穿传统的僧袍。")</f>
        <v>他们身穿传统的僧袍。</v>
      </c>
      <c r="Q48" s="5" t="str">
        <f>IFERROR(__xludf.DUMMYFUNCTION("GOOGLETRANSLATE(F48,""en"",""zh-CN"")"),"他们身穿军装。")</f>
        <v>他们身穿军装。</v>
      </c>
      <c r="R48" s="5" t="str">
        <f>IFERROR(__xludf.DUMMYFUNCTION("GOOGLETRANSLATE(G48,""en"",""zh-CN"")"),"他们穿着现代运动装备。")</f>
        <v>他们穿着现代运动装备。</v>
      </c>
      <c r="S48" s="5" t="s">
        <v>2913</v>
      </c>
      <c r="T48" s="5" t="str">
        <f>IFERROR(__xludf.DUMMYFUNCTION("GOOGLETRANSLATE(H48,""en"",""zh-CN"")"),"他们身穿传统的僧袍。")</f>
        <v>他们身穿传统的僧袍。</v>
      </c>
      <c r="U48" s="5" t="str">
        <f>IFERROR(__xludf.DUMMYFUNCTION("GOOGLETRANSLATE(I48,""en"",""zh-CN"")"),"修行者们身穿宽松的深色长袍，这是少林寺僧侣传统服饰的典型特征。")</f>
        <v>修行者们身穿宽松的深色长袍，这是少林寺僧侣传统服饰的典型特征。</v>
      </c>
    </row>
    <row r="49" ht="22.5" customHeight="1">
      <c r="A49" s="3" t="s">
        <v>3041</v>
      </c>
      <c r="B49" s="4">
        <v>48.0</v>
      </c>
      <c r="C49" s="3" t="s">
        <v>2914</v>
      </c>
      <c r="D49" s="3" t="s">
        <v>2829</v>
      </c>
      <c r="E49" s="3" t="s">
        <v>2830</v>
      </c>
      <c r="F49" s="3" t="s">
        <v>1451</v>
      </c>
      <c r="G49" s="3" t="s">
        <v>540</v>
      </c>
      <c r="H49" s="3" t="s">
        <v>2829</v>
      </c>
      <c r="I49" s="3" t="s">
        <v>2831</v>
      </c>
      <c r="L49" s="3" t="s">
        <v>3041</v>
      </c>
      <c r="M49" s="4">
        <v>48.0</v>
      </c>
      <c r="N49" s="5" t="str">
        <f>IFERROR(__xludf.DUMMYFUNCTION("GOOGLETRANSLATE(C49,""en"",""zh-CN"")"),"练习者们采取低而宽的站姿。这种姿势的目的是什么？")</f>
        <v>练习者们采取低而宽的站姿。这种姿势的目的是什么？</v>
      </c>
      <c r="O49" s="5" t="str">
        <f>IFERROR(__xludf.DUMMYFUNCTION("GOOGLETRANSLATE(D49,""en"",""zh-CN"")"),"增强平衡能力和腿部力量。")</f>
        <v>增强平衡能力和腿部力量。</v>
      </c>
      <c r="P49" s="5" t="str">
        <f>IFERROR(__xludf.DUMMYFUNCTION("GOOGLETRANSLATE(E49,""en"",""zh-CN"")"),"为冲刺做准备。")</f>
        <v>为冲刺做准备。</v>
      </c>
      <c r="Q49" s="5" t="str">
        <f>IFERROR(__xludf.DUMMYFUNCTION("GOOGLETRANSLATE(F49,""en"",""zh-CN"")"),"休息。")</f>
        <v>休息。</v>
      </c>
      <c r="R49" s="5" t="str">
        <f>IFERROR(__xludf.DUMMYFUNCTION("GOOGLETRANSLATE(G49,""en"",""zh-CN"")"),"为了显得更具威慑力。")</f>
        <v>为了显得更具威慑力。</v>
      </c>
      <c r="S49" s="5" t="s">
        <v>2832</v>
      </c>
      <c r="T49" s="5" t="str">
        <f>IFERROR(__xludf.DUMMYFUNCTION("GOOGLETRANSLATE(H49,""en"",""zh-CN"")"),"增强平衡能力和腿部力量。")</f>
        <v>增强平衡能力和腿部力量。</v>
      </c>
      <c r="U49" s="5" t="str">
        <f>IFERROR(__xludf.DUMMYFUNCTION("GOOGLETRANSLATE(I49,""en"",""zh-CN"")"),"低姿是许多武术的基础，因为它可以降低重心，这对于建立稳固的基础、提高平衡能力和增强腿部力量至关重要。")</f>
        <v>低姿是许多武术的基础，因为它可以降低重心，这对于建立稳固的基础、提高平衡能力和增强腿部力量至关重要。</v>
      </c>
    </row>
    <row r="50" ht="22.5" customHeight="1">
      <c r="A50" s="3" t="s">
        <v>3041</v>
      </c>
      <c r="B50" s="4">
        <v>49.0</v>
      </c>
      <c r="C50" s="3" t="s">
        <v>1104</v>
      </c>
      <c r="D50" s="3" t="s">
        <v>3046</v>
      </c>
      <c r="E50" s="3" t="s">
        <v>3047</v>
      </c>
      <c r="F50" s="3" t="s">
        <v>2835</v>
      </c>
      <c r="G50" s="3" t="s">
        <v>461</v>
      </c>
      <c r="H50" s="3" t="s">
        <v>3047</v>
      </c>
      <c r="I50" s="3" t="s">
        <v>3048</v>
      </c>
      <c r="L50" s="3" t="s">
        <v>3041</v>
      </c>
      <c r="M50" s="4">
        <v>49.0</v>
      </c>
      <c r="N50" s="5" t="str">
        <f>IFERROR(__xludf.DUMMYFUNCTION("GOOGLETRANSLATE(C50,""en"",""zh-CN"")"),"背景中的人群暗示着什么？")</f>
        <v>背景中的人群暗示着什么？</v>
      </c>
      <c r="O50" s="5" t="str">
        <f>IFERROR(__xludf.DUMMYFUNCTION("GOOGLETRANSLATE(D50,""en"",""zh-CN"")"),"这是一次私人练习。")</f>
        <v>这是一次私人练习。</v>
      </c>
      <c r="P50" s="5" t="str">
        <f>IFERROR(__xludf.DUMMYFUNCTION("GOOGLETRANSLATE(E50,""en"",""zh-CN"")"),"这是一场公开示威或表演。")</f>
        <v>这是一场公开示威或表演。</v>
      </c>
      <c r="Q50" s="5" t="str">
        <f>IFERROR(__xludf.DUMMYFUNCTION("GOOGLETRANSLATE(F50,""en"",""zh-CN"")"),"这是一次军事训练。")</f>
        <v>这是一次军事训练。</v>
      </c>
      <c r="R50" s="5" t="str">
        <f>IFERROR(__xludf.DUMMYFUNCTION("GOOGLETRANSLATE(G50,""en"",""zh-CN"")"),"这是一门私人课程。")</f>
        <v>这是一门私人课程。</v>
      </c>
      <c r="S50" s="5" t="s">
        <v>3049</v>
      </c>
      <c r="T50" s="5" t="str">
        <f>IFERROR(__xludf.DUMMYFUNCTION("GOOGLETRANSLATE(H50,""en"",""zh-CN"")"),"这是一场公开示威或表演。")</f>
        <v>这是一场公开示威或表演。</v>
      </c>
      <c r="U50" s="5" t="str">
        <f>IFERROR(__xludf.DUMMYFUNCTION("GOOGLETRANSLATE(I50,""en"",""zh-CN"")"),"现场人山人海，其中一些人还在拍照，这表明该活动是一场公开示威或表演。")</f>
        <v>现场人山人海，其中一些人还在拍照，这表明该活动是一场公开示威或表演。</v>
      </c>
    </row>
    <row r="51" ht="22.5" customHeight="1">
      <c r="A51" s="3" t="s">
        <v>3041</v>
      </c>
      <c r="B51" s="4">
        <v>50.0</v>
      </c>
      <c r="C51" s="3" t="s">
        <v>3050</v>
      </c>
      <c r="D51" s="3" t="s">
        <v>3051</v>
      </c>
      <c r="E51" s="3" t="s">
        <v>3052</v>
      </c>
      <c r="F51" s="3" t="s">
        <v>1845</v>
      </c>
      <c r="G51" s="3" t="s">
        <v>3053</v>
      </c>
      <c r="H51" s="3" t="s">
        <v>3052</v>
      </c>
      <c r="I51" s="3" t="s">
        <v>3054</v>
      </c>
      <c r="L51" s="3" t="s">
        <v>3041</v>
      </c>
      <c r="M51" s="4">
        <v>50.0</v>
      </c>
      <c r="N51" s="5" t="str">
        <f>IFERROR(__xludf.DUMMYFUNCTION("GOOGLETRANSLATE(C51,""en"",""zh-CN"")"),"从从业者所接受的培训中可以推断出他们的哪些特质？")</f>
        <v>从从业者所接受的培训中可以推断出他们的哪些特质？</v>
      </c>
      <c r="O51" s="5" t="str">
        <f>IFERROR(__xludf.DUMMYFUNCTION("GOOGLETRANSLATE(D51,""en"",""zh-CN"")"),"他们才刚刚开始日常训练。")</f>
        <v>他们才刚刚开始日常训练。</v>
      </c>
      <c r="P51" s="5" t="str">
        <f>IFERROR(__xludf.DUMMYFUNCTION("GOOGLETRANSLATE(E51,""en"",""zh-CN"")"),"他们正在表演一套复杂而高难度的杂技动作。")</f>
        <v>他们正在表演一套复杂而高难度的杂技动作。</v>
      </c>
      <c r="Q51" s="5" t="str">
        <f>IFERROR(__xludf.DUMMYFUNCTION("GOOGLETRANSLATE(F51,""en"",""zh-CN"")"),"他们在休息。")</f>
        <v>他们在休息。</v>
      </c>
      <c r="R51" s="5" t="str">
        <f>IFERROR(__xludf.DUMMYFUNCTION("GOOGLETRANSLATE(G51,""en"",""zh-CN"")"),"他们正在执行一个简单的例行程序。")</f>
        <v>他们正在执行一个简单的例行程序。</v>
      </c>
      <c r="S51" s="5" t="s">
        <v>3055</v>
      </c>
      <c r="T51" s="5" t="str">
        <f>IFERROR(__xludf.DUMMYFUNCTION("GOOGLETRANSLATE(H51,""en"",""zh-CN"")"),"他们正在表演一套复杂而高难度的杂技动作。")</f>
        <v>他们正在表演一套复杂而高难度的杂技动作。</v>
      </c>
      <c r="U51" s="5" t="str">
        <f>IFERROR(__xludf.DUMMYFUNCTION("GOOGLETRANSLATE(I51,""en"",""zh-CN"")"),"人体金字塔造型需要很高的平衡感、协调性和力量，这表明表演者正在进行一套复杂而高难度的杂技动作。")</f>
        <v>人体金字塔造型需要很高的平衡感、协调性和力量，这表明表演者正在进行一套复杂而高难度的杂技动作。</v>
      </c>
    </row>
    <row r="52" ht="22.5" customHeight="1">
      <c r="A52" s="3" t="s">
        <v>3056</v>
      </c>
      <c r="B52" s="4">
        <v>51.0</v>
      </c>
      <c r="C52" s="3" t="s">
        <v>3057</v>
      </c>
      <c r="D52" s="3" t="s">
        <v>222</v>
      </c>
      <c r="E52" s="3" t="s">
        <v>221</v>
      </c>
      <c r="F52" s="3" t="s">
        <v>220</v>
      </c>
      <c r="G52" s="3" t="s">
        <v>3058</v>
      </c>
      <c r="H52" s="3" t="s">
        <v>3058</v>
      </c>
      <c r="I52" s="3" t="s">
        <v>3059</v>
      </c>
      <c r="J52" s="2"/>
      <c r="K52" s="2"/>
      <c r="L52" s="3" t="s">
        <v>3056</v>
      </c>
      <c r="M52" s="4">
        <v>51.0</v>
      </c>
      <c r="N52" s="3" t="str">
        <f>IFERROR(__xludf.DUMMYFUNCTION("GOOGLETRANSLATE(C52,""en"",""zh-CN"")"),"这个人练习的是哪种武术？")</f>
        <v>这个人练习的是哪种武术？</v>
      </c>
      <c r="O52" s="5" t="str">
        <f>IFERROR(__xludf.DUMMYFUNCTION("GOOGLETRANSLATE(D52,""en"",""zh-CN"")"),"功夫")</f>
        <v>功夫</v>
      </c>
      <c r="P52" s="5" t="str">
        <f>IFERROR(__xludf.DUMMYFUNCTION("GOOGLETRANSLATE(E52,""en"",""zh-CN"")"),"空手道")</f>
        <v>空手道</v>
      </c>
      <c r="Q52" s="5" t="str">
        <f>IFERROR(__xludf.DUMMYFUNCTION("GOOGLETRANSLATE(F52,""en"",""zh-CN"")"),"柔道")</f>
        <v>柔道</v>
      </c>
      <c r="R52" s="5" t="str">
        <f>IFERROR(__xludf.DUMMYFUNCTION("GOOGLETRANSLATE(G52,""en"",""zh-CN"")"),"巴西柔术")</f>
        <v>巴西柔术</v>
      </c>
      <c r="S52" s="5" t="s">
        <v>3060</v>
      </c>
      <c r="T52" s="5" t="str">
        <f>IFERROR(__xludf.DUMMYFUNCTION("GOOGLETRANSLATE(H52,""en"",""zh-CN"")"),"巴西柔术")</f>
        <v>巴西柔术</v>
      </c>
      <c r="U52" s="5" t="str">
        <f>IFERROR(__xludf.DUMMYFUNCTION("GOOGLETRANSLATE(I52,""en"",""zh-CN"")"),"图片中的人身穿厚重的绗缝制服，系着白色腰带，这是巴西柔术（BJJ）的典型装束，而不是功夫的。")</f>
        <v>图片中的人身穿厚重的绗缝制服，系着白色腰带，这是巴西柔术（BJJ）的典型装束，而不是功夫的。</v>
      </c>
      <c r="V52" s="2"/>
      <c r="W52" s="2"/>
      <c r="X52" s="2"/>
      <c r="Y52" s="2"/>
      <c r="Z52" s="2"/>
      <c r="AA52" s="2"/>
      <c r="AB52" s="2"/>
      <c r="AC52" s="2"/>
      <c r="AD52" s="2"/>
      <c r="AE52" s="2"/>
      <c r="AF52" s="2"/>
      <c r="AG52" s="2"/>
      <c r="AH52" s="2"/>
      <c r="AI52" s="2"/>
      <c r="AJ52" s="2"/>
      <c r="AK52" s="2"/>
      <c r="AL52" s="2"/>
    </row>
    <row r="53" ht="22.5" customHeight="1">
      <c r="A53" s="3" t="s">
        <v>3056</v>
      </c>
      <c r="B53" s="4">
        <v>52.0</v>
      </c>
      <c r="C53" s="3" t="s">
        <v>3061</v>
      </c>
      <c r="D53" s="3" t="s">
        <v>3062</v>
      </c>
      <c r="E53" s="3" t="s">
        <v>3063</v>
      </c>
      <c r="F53" s="3" t="s">
        <v>3064</v>
      </c>
      <c r="G53" s="3" t="s">
        <v>3065</v>
      </c>
      <c r="H53" s="3" t="s">
        <v>3063</v>
      </c>
      <c r="I53" s="3" t="s">
        <v>3066</v>
      </c>
      <c r="J53" s="2"/>
      <c r="K53" s="2"/>
      <c r="L53" s="3" t="s">
        <v>3056</v>
      </c>
      <c r="M53" s="4">
        <v>52.0</v>
      </c>
      <c r="N53" s="3" t="str">
        <f>IFERROR(__xludf.DUMMYFUNCTION("GOOGLETRANSLATE(C53,""en"",""zh-CN"")"),"制服的目的是什么？")</f>
        <v>制服的目的是什么？</v>
      </c>
      <c r="O53" s="5" t="str">
        <f>IFERROR(__xludf.DUMMYFUNCTION("GOOGLETRANSLATE(D53,""en"",""zh-CN"")"),"保护佩戴者免受撞击。")</f>
        <v>保护佩戴者免受撞击。</v>
      </c>
      <c r="P53" s="5" t="str">
        <f>IFERROR(__xludf.DUMMYFUNCTION("GOOGLETRANSLATE(E53,""en"",""zh-CN"")"),"提供一件结实耐用的服装，用于格斗和投掷。")</f>
        <v>提供一件结实耐用的服装，用于格斗和投掷。</v>
      </c>
      <c r="Q53" s="5" t="str">
        <f>IFERROR(__xludf.DUMMYFUNCTION("GOOGLETRANSLATE(F53,""en"",""zh-CN"")"),"为了显得专业。")</f>
        <v>为了显得专业。</v>
      </c>
      <c r="R53" s="5" t="str">
        <f>IFERROR(__xludf.DUMMYFUNCTION("GOOGLETRANSLATE(G53,""en"",""zh-CN"")"),"为了让穿着者保持温暖。")</f>
        <v>为了让穿着者保持温暖。</v>
      </c>
      <c r="S53" s="5" t="s">
        <v>3067</v>
      </c>
      <c r="T53" s="5" t="str">
        <f>IFERROR(__xludf.DUMMYFUNCTION("GOOGLETRANSLATE(H53,""en"",""zh-CN"")"),"提供一件结实耐用的服装，用于格斗和投掷。")</f>
        <v>提供一件结实耐用的服装，用于格斗和投掷。</v>
      </c>
      <c r="U53" s="5" t="str">
        <f>IFERROR(__xludf.DUMMYFUNCTION("GOOGLETRANSLATE(I53,""en"",""zh-CN"")"),"道服（或称道服）设计经久耐用，练习者在以擒拿为主的武术中用它来抓握、控制和操控对手。")</f>
        <v>道服（或称道服）设计经久耐用，练习者在以擒拿为主的武术中用它来抓握、控制和操控对手。</v>
      </c>
      <c r="V53" s="2"/>
      <c r="W53" s="2"/>
      <c r="X53" s="2"/>
      <c r="Y53" s="2"/>
      <c r="Z53" s="2"/>
      <c r="AA53" s="2"/>
      <c r="AB53" s="2"/>
      <c r="AC53" s="2"/>
      <c r="AD53" s="2"/>
      <c r="AE53" s="2"/>
      <c r="AF53" s="2"/>
      <c r="AG53" s="2"/>
      <c r="AH53" s="2"/>
      <c r="AI53" s="2"/>
      <c r="AJ53" s="2"/>
      <c r="AK53" s="2"/>
      <c r="AL53" s="2"/>
    </row>
    <row r="54" ht="22.5" customHeight="1">
      <c r="A54" s="3" t="s">
        <v>3056</v>
      </c>
      <c r="B54" s="4">
        <v>53.0</v>
      </c>
      <c r="C54" s="3" t="s">
        <v>3068</v>
      </c>
      <c r="D54" s="3" t="s">
        <v>3069</v>
      </c>
      <c r="E54" s="3" t="s">
        <v>3070</v>
      </c>
      <c r="F54" s="3" t="s">
        <v>3071</v>
      </c>
      <c r="G54" s="3" t="s">
        <v>3072</v>
      </c>
      <c r="H54" s="3" t="s">
        <v>3070</v>
      </c>
      <c r="I54" s="3" t="s">
        <v>3073</v>
      </c>
      <c r="J54" s="2"/>
      <c r="K54" s="2"/>
      <c r="L54" s="3" t="s">
        <v>3056</v>
      </c>
      <c r="M54" s="4">
        <v>53.0</v>
      </c>
      <c r="N54" s="3" t="str">
        <f>IFERROR(__xludf.DUMMYFUNCTION("GOOGLETRANSLATE(C54,""en"",""zh-CN"")"),"这套制服的一个显著特点是什么？")</f>
        <v>这套制服的一个显著特点是什么？</v>
      </c>
      <c r="O54" s="5" t="str">
        <f>IFERROR(__xludf.DUMMYFUNCTION("GOOGLETRANSLATE(D54,""en"",""zh-CN"")"),"它由轻质材料制成。")</f>
        <v>它由轻质材料制成。</v>
      </c>
      <c r="P54" s="5" t="str">
        <f>IFERROR(__xludf.DUMMYFUNCTION("GOOGLETRANSLATE(E54,""en"",""zh-CN"")"),"这是一套非常厚重的绗缝制服。")</f>
        <v>这是一套非常厚重的绗缝制服。</v>
      </c>
      <c r="Q54" s="5" t="str">
        <f>IFERROR(__xludf.DUMMYFUNCTION("GOOGLETRANSLATE(F54,""en"",""zh-CN"")"),"这是一件轻盈飘逸的制服。")</f>
        <v>这是一件轻盈飘逸的制服。</v>
      </c>
      <c r="R54" s="5" t="str">
        <f>IFERROR(__xludf.DUMMYFUNCTION("GOOGLETRANSLATE(G54,""en"",""zh-CN"")"),"就是一件简单的T恤和裤子。")</f>
        <v>就是一件简单的T恤和裤子。</v>
      </c>
      <c r="S54" s="5" t="s">
        <v>3074</v>
      </c>
      <c r="T54" s="5" t="str">
        <f>IFERROR(__xludf.DUMMYFUNCTION("GOOGLETRANSLATE(H54,""en"",""zh-CN"")"),"这是一套非常厚重的绗缝制服。")</f>
        <v>这是一套非常厚重的绗缝制服。</v>
      </c>
      <c r="U54" s="5" t="str">
        <f>IFERROR(__xludf.DUMMYFUNCTION("GOOGLETRANSLATE(I54,""en"",""zh-CN"")"),"这种道服，也称为柔道服，由厚实的绗缝材料制成，具有抗撕裂性，并能在格斗中提供牢固的抓握力。")</f>
        <v>这种道服，也称为柔道服，由厚实的绗缝材料制成，具有抗撕裂性，并能在格斗中提供牢固的抓握力。</v>
      </c>
      <c r="V54" s="2"/>
      <c r="W54" s="2"/>
      <c r="X54" s="2"/>
      <c r="Y54" s="2"/>
      <c r="Z54" s="2"/>
      <c r="AA54" s="2"/>
      <c r="AB54" s="2"/>
      <c r="AC54" s="2"/>
      <c r="AD54" s="2"/>
      <c r="AE54" s="2"/>
      <c r="AF54" s="2"/>
      <c r="AG54" s="2"/>
      <c r="AH54" s="2"/>
      <c r="AI54" s="2"/>
      <c r="AJ54" s="2"/>
      <c r="AK54" s="2"/>
      <c r="AL54" s="2"/>
    </row>
    <row r="55" ht="22.5" customHeight="1">
      <c r="A55" s="3" t="s">
        <v>3056</v>
      </c>
      <c r="B55" s="4">
        <v>54.0</v>
      </c>
      <c r="C55" s="3" t="s">
        <v>3075</v>
      </c>
      <c r="D55" s="3" t="s">
        <v>3076</v>
      </c>
      <c r="E55" s="3" t="s">
        <v>3077</v>
      </c>
      <c r="F55" s="3" t="s">
        <v>3078</v>
      </c>
      <c r="G55" s="3" t="s">
        <v>3079</v>
      </c>
      <c r="H55" s="3" t="s">
        <v>3077</v>
      </c>
      <c r="I55" s="3" t="s">
        <v>3080</v>
      </c>
      <c r="J55" s="2"/>
      <c r="K55" s="2"/>
      <c r="L55" s="3" t="s">
        <v>3056</v>
      </c>
      <c r="M55" s="4">
        <v>54.0</v>
      </c>
      <c r="N55" s="3" t="str">
        <f>IFERROR(__xludf.DUMMYFUNCTION("GOOGLETRANSLATE(C55,""en"",""zh-CN"")"),"这个人系着一条白腰带。这代表什么？")</f>
        <v>这个人系着一条白腰带。这代表什么？</v>
      </c>
      <c r="O55" s="5" t="str">
        <f>IFERROR(__xludf.DUMMYFUNCTION("GOOGLETRANSLATE(D55,""en"",""zh-CN"")"),"他们是武术大师。")</f>
        <v>他们是武术大师。</v>
      </c>
      <c r="P55" s="5" t="str">
        <f>IFERROR(__xludf.DUMMYFUNCTION("GOOGLETRANSLATE(E55,""en"",""zh-CN"")"),"他们是初学者。")</f>
        <v>他们是初学者。</v>
      </c>
      <c r="Q55" s="5" t="str">
        <f>IFERROR(__xludf.DUMMYFUNCTION("GOOGLETRANSLATE(F55,""en"",""zh-CN"")"),"他们是专业人士。")</f>
        <v>他们是专业人士。</v>
      </c>
      <c r="R55" s="5" t="str">
        <f>IFERROR(__xludf.DUMMYFUNCTION("GOOGLETRANSLATE(G55,""en"",""zh-CN"")"),"他们是教练。")</f>
        <v>他们是教练。</v>
      </c>
      <c r="S55" s="5" t="s">
        <v>3081</v>
      </c>
      <c r="T55" s="5" t="str">
        <f>IFERROR(__xludf.DUMMYFUNCTION("GOOGLETRANSLATE(H55,""en"",""zh-CN"")"),"他们是初学者。")</f>
        <v>他们是初学者。</v>
      </c>
      <c r="U55" s="5" t="str">
        <f>IFERROR(__xludf.DUMMYFUNCTION("GOOGLETRANSLATE(I55,""en"",""zh-CN"")"),"在巴西柔术中，白带是第一条腰带，表示练习者是初学者。")</f>
        <v>在巴西柔术中，白带是第一条腰带，表示练习者是初学者。</v>
      </c>
      <c r="V55" s="2"/>
      <c r="W55" s="2"/>
      <c r="X55" s="2"/>
      <c r="Y55" s="2"/>
      <c r="Z55" s="2"/>
      <c r="AA55" s="2"/>
      <c r="AB55" s="2"/>
      <c r="AC55" s="2"/>
      <c r="AD55" s="2"/>
      <c r="AE55" s="2"/>
      <c r="AF55" s="2"/>
      <c r="AG55" s="2"/>
      <c r="AH55" s="2"/>
      <c r="AI55" s="2"/>
      <c r="AJ55" s="2"/>
      <c r="AK55" s="2"/>
      <c r="AL55" s="2"/>
    </row>
    <row r="56" ht="22.5" customHeight="1">
      <c r="A56" s="3" t="s">
        <v>3056</v>
      </c>
      <c r="B56" s="4">
        <v>55.0</v>
      </c>
      <c r="C56" s="3" t="s">
        <v>3035</v>
      </c>
      <c r="D56" s="3" t="s">
        <v>3082</v>
      </c>
      <c r="E56" s="3" t="s">
        <v>3083</v>
      </c>
      <c r="F56" s="3" t="s">
        <v>3084</v>
      </c>
      <c r="G56" s="3" t="s">
        <v>3085</v>
      </c>
      <c r="H56" s="3" t="s">
        <v>3083</v>
      </c>
      <c r="I56" s="3" t="s">
        <v>3086</v>
      </c>
      <c r="J56" s="2"/>
      <c r="K56" s="2"/>
      <c r="L56" s="3" t="s">
        <v>3056</v>
      </c>
      <c r="M56" s="4">
        <v>55.0</v>
      </c>
      <c r="N56" s="3" t="str">
        <f>IFERROR(__xludf.DUMMYFUNCTION("GOOGLETRANSLATE(C56,""en"",""zh-CN"")"),"这张图片的整体美感如何？")</f>
        <v>这张图片的整体美感如何？</v>
      </c>
      <c r="O56" s="5" t="str">
        <f>IFERROR(__xludf.DUMMYFUNCTION("GOOGLETRANSLATE(D56,""en"",""zh-CN"")"),"这是一张动态照片。")</f>
        <v>这是一张动态照片。</v>
      </c>
      <c r="P56" s="5" t="str">
        <f>IFERROR(__xludf.DUMMYFUNCTION("GOOGLETRANSLATE(E56,""en"",""zh-CN"")"),"这是一张宣传照。")</f>
        <v>这是一张宣传照。</v>
      </c>
      <c r="Q56" s="5" t="str">
        <f>IFERROR(__xludf.DUMMYFUNCTION("GOOGLETRANSLATE(F56,""en"",""zh-CN"")"),"这是纪录片式的拍摄手法。")</f>
        <v>这是纪录片式的拍摄手法。</v>
      </c>
      <c r="R56" s="5" t="str">
        <f>IFERROR(__xludf.DUMMYFUNCTION("GOOGLETRANSLATE(G56,""en"",""zh-CN"")"),"这是一张抓拍照片。")</f>
        <v>这是一张抓拍照片。</v>
      </c>
      <c r="S56" s="5" t="s">
        <v>3087</v>
      </c>
      <c r="T56" s="5" t="str">
        <f>IFERROR(__xludf.DUMMYFUNCTION("GOOGLETRANSLATE(H56,""en"",""zh-CN"")"),"这是一张宣传照。")</f>
        <v>这是一张宣传照。</v>
      </c>
      <c r="U56" s="5" t="str">
        <f>IFERROR(__xludf.DUMMYFUNCTION("GOOGLETRANSLATE(I56,""en"",""zh-CN"")"),"人物干净的制服、严肃的表情和简洁的白色背景表明，这张照片是为武术学院或品牌拍摄的宣传照。")</f>
        <v>人物干净的制服、严肃的表情和简洁的白色背景表明，这张照片是为武术学院或品牌拍摄的宣传照。</v>
      </c>
      <c r="V56" s="2"/>
      <c r="W56" s="2"/>
      <c r="X56" s="2"/>
      <c r="Y56" s="2"/>
      <c r="Z56" s="2"/>
      <c r="AA56" s="2"/>
      <c r="AB56" s="2"/>
      <c r="AC56" s="2"/>
      <c r="AD56" s="2"/>
      <c r="AE56" s="2"/>
      <c r="AF56" s="2"/>
      <c r="AG56" s="2"/>
      <c r="AH56" s="2"/>
      <c r="AI56" s="2"/>
      <c r="AJ56" s="2"/>
      <c r="AK56" s="2"/>
      <c r="AL56" s="2"/>
    </row>
    <row r="57" ht="22.5" customHeight="1">
      <c r="A57" s="3" t="s">
        <v>3088</v>
      </c>
      <c r="B57" s="4">
        <v>56.0</v>
      </c>
      <c r="C57" s="3" t="s">
        <v>1335</v>
      </c>
      <c r="D57" s="3" t="s">
        <v>3089</v>
      </c>
      <c r="E57" s="3" t="s">
        <v>3090</v>
      </c>
      <c r="F57" s="3" t="s">
        <v>3091</v>
      </c>
      <c r="G57" s="3" t="s">
        <v>3092</v>
      </c>
      <c r="H57" s="3" t="s">
        <v>3089</v>
      </c>
      <c r="I57" s="3" t="s">
        <v>3093</v>
      </c>
      <c r="J57" s="2"/>
      <c r="K57" s="2"/>
      <c r="L57" s="3" t="s">
        <v>3088</v>
      </c>
      <c r="M57" s="4">
        <v>56.0</v>
      </c>
      <c r="N57" s="3" t="str">
        <f>IFERROR(__xludf.DUMMYFUNCTION("GOOGLETRANSLATE(C57,""en"",""zh-CN"")"),"图中所示的中心活动是什么？")</f>
        <v>图中所示的中心活动是什么？</v>
      </c>
      <c r="O57" s="5" t="str">
        <f>IFERROR(__xludf.DUMMYFUNCTION("GOOGLETRANSLATE(D57,""en"",""zh-CN"")"),"一群孩子正在表演一套同步武术动作。")</f>
        <v>一群孩子正在表演一套同步武术动作。</v>
      </c>
      <c r="P57" s="5" t="str">
        <f>IFERROR(__xludf.DUMMYFUNCTION("GOOGLETRANSLATE(E57,""en"",""zh-CN"")"),"一群孩子在玩耍。")</f>
        <v>一群孩子在玩耍。</v>
      </c>
      <c r="Q57" s="5" t="str">
        <f>IFERROR(__xludf.DUMMYFUNCTION("GOOGLETRANSLATE(F57,""en"",""zh-CN"")"),"一群孩子在伸展身体。")</f>
        <v>一群孩子在伸展身体。</v>
      </c>
      <c r="R57" s="5" t="str">
        <f>IFERROR(__xludf.DUMMYFUNCTION("GOOGLETRANSLATE(G57,""en"",""zh-CN"")"),"一群孩子在跳舞。")</f>
        <v>一群孩子在跳舞。</v>
      </c>
      <c r="S57" s="5" t="s">
        <v>3094</v>
      </c>
      <c r="T57" s="5" t="str">
        <f>IFERROR(__xludf.DUMMYFUNCTION("GOOGLETRANSLATE(H57,""en"",""zh-CN"")"),"一群孩子正在表演一套同步武术动作。")</f>
        <v>一群孩子正在表演一套同步武术动作。</v>
      </c>
      <c r="U57" s="5" t="str">
        <f>IFERROR(__xludf.DUMMYFUNCTION("GOOGLETRANSLATE(I57,""en"",""zh-CN"")"),"图片显示一大群身着统一制服的孩子整齐划一地摆出相同的武术姿势，这是同步武术表演的典型特征。")</f>
        <v>图片显示一大群身着统一制服的孩子整齐划一地摆出相同的武术姿势，这是同步武术表演的典型特征。</v>
      </c>
      <c r="V57" s="2"/>
      <c r="W57" s="2"/>
      <c r="X57" s="2"/>
      <c r="Y57" s="2"/>
      <c r="Z57" s="2"/>
      <c r="AA57" s="2"/>
      <c r="AB57" s="2"/>
      <c r="AC57" s="2"/>
      <c r="AD57" s="2"/>
      <c r="AE57" s="2"/>
      <c r="AF57" s="2"/>
      <c r="AG57" s="2"/>
      <c r="AH57" s="2"/>
      <c r="AI57" s="2"/>
      <c r="AJ57" s="2"/>
      <c r="AK57" s="2"/>
      <c r="AL57" s="2"/>
    </row>
    <row r="58" ht="22.5" customHeight="1">
      <c r="A58" s="3" t="s">
        <v>3088</v>
      </c>
      <c r="B58" s="4">
        <v>57.0</v>
      </c>
      <c r="C58" s="3" t="s">
        <v>3095</v>
      </c>
      <c r="D58" s="3" t="s">
        <v>2908</v>
      </c>
      <c r="E58" s="3" t="s">
        <v>3096</v>
      </c>
      <c r="F58" s="3" t="s">
        <v>3097</v>
      </c>
      <c r="G58" s="3" t="s">
        <v>2911</v>
      </c>
      <c r="H58" s="3" t="s">
        <v>3097</v>
      </c>
      <c r="I58" s="3" t="s">
        <v>3098</v>
      </c>
      <c r="J58" s="2"/>
      <c r="K58" s="2"/>
      <c r="L58" s="3" t="s">
        <v>3088</v>
      </c>
      <c r="M58" s="4">
        <v>57.0</v>
      </c>
      <c r="N58" s="3" t="str">
        <f>IFERROR(__xludf.DUMMYFUNCTION("GOOGLETRANSLATE(C58,""en"",""zh-CN"")"),"这些儿童服装的一个显著特点是什么？")</f>
        <v>这些儿童服装的一个显著特点是什么？</v>
      </c>
      <c r="O58" s="5" t="str">
        <f>IFERROR(__xludf.DUMMYFUNCTION("GOOGLETRANSLATE(D58,""en"",""zh-CN"")"),"他们穿着休闲服装。")</f>
        <v>他们穿着休闲服装。</v>
      </c>
      <c r="P58" s="5" t="str">
        <f>IFERROR(__xludf.DUMMYFUNCTION("GOOGLETRANSLATE(E58,""en"",""zh-CN"")"),"他们身穿军装。")</f>
        <v>他们身穿军装。</v>
      </c>
      <c r="Q58" s="5" t="str">
        <f>IFERROR(__xludf.DUMMYFUNCTION("GOOGLETRANSLATE(F58,""en"",""zh-CN"")"),"他们身穿传统的少林僧袍。")</f>
        <v>他们身穿传统的少林僧袍。</v>
      </c>
      <c r="R58" s="5" t="str">
        <f>IFERROR(__xludf.DUMMYFUNCTION("GOOGLETRANSLATE(G58,""en"",""zh-CN"")"),"他们穿着现代运动装备。")</f>
        <v>他们穿着现代运动装备。</v>
      </c>
      <c r="S58" s="5" t="s">
        <v>3099</v>
      </c>
      <c r="T58" s="5" t="str">
        <f>IFERROR(__xludf.DUMMYFUNCTION("GOOGLETRANSLATE(H58,""en"",""zh-CN"")"),"他们身穿传统的少林僧袍。")</f>
        <v>他们身穿传统的少林僧袍。</v>
      </c>
      <c r="U58" s="5" t="str">
        <f>IFERROR(__xludf.DUMMYFUNCTION("GOOGLETRANSLATE(I58,""en"",""zh-CN"")"),"孩子们身穿宽松的灰色长袍，系着黄色腰带，穿着黄色紧身裤，这是经典的少林僧侣制服。")</f>
        <v>孩子们身穿宽松的灰色长袍，系着黄色腰带，穿着黄色紧身裤，这是经典的少林僧侣制服。</v>
      </c>
      <c r="V58" s="2"/>
      <c r="W58" s="2"/>
      <c r="X58" s="2"/>
      <c r="Y58" s="2"/>
      <c r="Z58" s="2"/>
      <c r="AA58" s="2"/>
      <c r="AB58" s="2"/>
      <c r="AC58" s="2"/>
      <c r="AD58" s="2"/>
      <c r="AE58" s="2"/>
      <c r="AF58" s="2"/>
      <c r="AG58" s="2"/>
      <c r="AH58" s="2"/>
      <c r="AI58" s="2"/>
      <c r="AJ58" s="2"/>
      <c r="AK58" s="2"/>
      <c r="AL58" s="2"/>
    </row>
    <row r="59" ht="22.5" customHeight="1">
      <c r="A59" s="3" t="s">
        <v>3088</v>
      </c>
      <c r="B59" s="4">
        <v>58.0</v>
      </c>
      <c r="C59" s="3" t="s">
        <v>3100</v>
      </c>
      <c r="D59" s="3" t="s">
        <v>2829</v>
      </c>
      <c r="E59" s="3" t="s">
        <v>2830</v>
      </c>
      <c r="F59" s="3" t="s">
        <v>1451</v>
      </c>
      <c r="G59" s="3" t="s">
        <v>540</v>
      </c>
      <c r="H59" s="3" t="s">
        <v>2829</v>
      </c>
      <c r="I59" s="3" t="s">
        <v>2831</v>
      </c>
      <c r="J59" s="2"/>
      <c r="K59" s="2"/>
      <c r="L59" s="3" t="s">
        <v>3088</v>
      </c>
      <c r="M59" s="4">
        <v>58.0</v>
      </c>
      <c r="N59" s="3" t="str">
        <f>IFERROR(__xludf.DUMMYFUNCTION("GOOGLETRANSLATE(C59,""en"",""zh-CN"")"),"低而宽的站姿有什么目的？")</f>
        <v>低而宽的站姿有什么目的？</v>
      </c>
      <c r="O59" s="5" t="str">
        <f>IFERROR(__xludf.DUMMYFUNCTION("GOOGLETRANSLATE(D59,""en"",""zh-CN"")"),"增强平衡能力和腿部力量。")</f>
        <v>增强平衡能力和腿部力量。</v>
      </c>
      <c r="P59" s="5" t="str">
        <f>IFERROR(__xludf.DUMMYFUNCTION("GOOGLETRANSLATE(E59,""en"",""zh-CN"")"),"为冲刺做准备。")</f>
        <v>为冲刺做准备。</v>
      </c>
      <c r="Q59" s="5" t="str">
        <f>IFERROR(__xludf.DUMMYFUNCTION("GOOGLETRANSLATE(F59,""en"",""zh-CN"")"),"休息。")</f>
        <v>休息。</v>
      </c>
      <c r="R59" s="5" t="str">
        <f>IFERROR(__xludf.DUMMYFUNCTION("GOOGLETRANSLATE(G59,""en"",""zh-CN"")"),"为了显得更具威慑力。")</f>
        <v>为了显得更具威慑力。</v>
      </c>
      <c r="S59" s="5" t="s">
        <v>2832</v>
      </c>
      <c r="T59" s="5" t="str">
        <f>IFERROR(__xludf.DUMMYFUNCTION("GOOGLETRANSLATE(H59,""en"",""zh-CN"")"),"增强平衡能力和腿部力量。")</f>
        <v>增强平衡能力和腿部力量。</v>
      </c>
      <c r="U59" s="5" t="str">
        <f>IFERROR(__xludf.DUMMYFUNCTION("GOOGLETRANSLATE(I59,""en"",""zh-CN"")"),"低姿是许多武术的基础，因为它可以降低重心，这对于建立稳固的基础、提高平衡能力和增强腿部力量至关重要。")</f>
        <v>低姿是许多武术的基础，因为它可以降低重心，这对于建立稳固的基础、提高平衡能力和增强腿部力量至关重要。</v>
      </c>
      <c r="V59" s="2"/>
      <c r="W59" s="2"/>
      <c r="X59" s="2"/>
      <c r="Y59" s="2"/>
      <c r="Z59" s="2"/>
      <c r="AA59" s="2"/>
      <c r="AB59" s="2"/>
      <c r="AC59" s="2"/>
      <c r="AD59" s="2"/>
      <c r="AE59" s="2"/>
      <c r="AF59" s="2"/>
      <c r="AG59" s="2"/>
      <c r="AH59" s="2"/>
      <c r="AI59" s="2"/>
      <c r="AJ59" s="2"/>
      <c r="AK59" s="2"/>
      <c r="AL59" s="2"/>
    </row>
    <row r="60" ht="22.5" customHeight="1">
      <c r="A60" s="3" t="s">
        <v>3088</v>
      </c>
      <c r="B60" s="4">
        <v>59.0</v>
      </c>
      <c r="C60" s="3" t="s">
        <v>3101</v>
      </c>
      <c r="D60" s="3" t="s">
        <v>3102</v>
      </c>
      <c r="E60" s="3" t="s">
        <v>3103</v>
      </c>
      <c r="F60" s="3" t="s">
        <v>2494</v>
      </c>
      <c r="G60" s="3" t="s">
        <v>2776</v>
      </c>
      <c r="H60" s="3" t="s">
        <v>3102</v>
      </c>
      <c r="I60" s="3" t="s">
        <v>3104</v>
      </c>
      <c r="J60" s="2"/>
      <c r="K60" s="2"/>
      <c r="L60" s="3" t="s">
        <v>3088</v>
      </c>
      <c r="M60" s="4">
        <v>59.0</v>
      </c>
      <c r="N60" s="3" t="str">
        <f>IFERROR(__xludf.DUMMYFUNCTION("GOOGLETRANSLATE(C60,""en"",""zh-CN"")"),"孩子们都摆着同样的姿势。这说明他们的训练方式有什么问题？")</f>
        <v>孩子们都摆着同样的姿势。这说明他们的训练方式有什么问题？</v>
      </c>
      <c r="O60" s="5" t="str">
        <f>IFERROR(__xludf.DUMMYFUNCTION("GOOGLETRANSLATE(D60,""en"",""zh-CN"")"),"它非常严格，纪律严明。")</f>
        <v>它非常严格，纪律严明。</v>
      </c>
      <c r="P60" s="5" t="str">
        <f>IFERROR(__xludf.DUMMYFUNCTION("GOOGLETRANSLATE(E60,""en"",""zh-CN"")"),"这是一次非正式的训练课。")</f>
        <v>这是一次非正式的训练课。</v>
      </c>
      <c r="Q60" s="5" t="str">
        <f>IFERROR(__xludf.DUMMYFUNCTION("GOOGLETRANSLATE(F60,""en"",""zh-CN"")"),"这是一款儿童游戏。")</f>
        <v>这是一款儿童游戏。</v>
      </c>
      <c r="R60" s="5" t="str">
        <f>IFERROR(__xludf.DUMMYFUNCTION("GOOGLETRANSLATE(G60,""en"",""zh-CN"")"),"这是一项单人练习。")</f>
        <v>这是一项单人练习。</v>
      </c>
      <c r="S60" s="5" t="s">
        <v>3105</v>
      </c>
      <c r="T60" s="5" t="str">
        <f>IFERROR(__xludf.DUMMYFUNCTION("GOOGLETRANSLATE(H60,""en"",""zh-CN"")"),"它非常严格，纪律严明。")</f>
        <v>它非常严格，纪律严明。</v>
      </c>
      <c r="U60" s="5" t="str">
        <f>IFERROR(__xludf.DUMMYFUNCTION("GOOGLETRANSLATE(I60,""en"",""zh-CN"")"),"孩子们完美的同步性和严肃的表情表明他们接受了高度的纪律和严格的训练。")</f>
        <v>孩子们完美的同步性和严肃的表情表明他们接受了高度的纪律和严格的训练。</v>
      </c>
      <c r="V60" s="2"/>
      <c r="W60" s="2"/>
      <c r="X60" s="2"/>
      <c r="Y60" s="2"/>
      <c r="Z60" s="2"/>
      <c r="AA60" s="2"/>
      <c r="AB60" s="2"/>
      <c r="AC60" s="2"/>
      <c r="AD60" s="2"/>
      <c r="AE60" s="2"/>
      <c r="AF60" s="2"/>
      <c r="AG60" s="2"/>
      <c r="AH60" s="2"/>
      <c r="AI60" s="2"/>
      <c r="AJ60" s="2"/>
      <c r="AK60" s="2"/>
      <c r="AL60" s="2"/>
    </row>
    <row r="61" ht="22.5" customHeight="1">
      <c r="A61" s="3" t="s">
        <v>3088</v>
      </c>
      <c r="B61" s="4">
        <v>60.0</v>
      </c>
      <c r="C61" s="3" t="s">
        <v>3012</v>
      </c>
      <c r="D61" s="3" t="s">
        <v>3013</v>
      </c>
      <c r="E61" s="3" t="s">
        <v>3014</v>
      </c>
      <c r="F61" s="3" t="s">
        <v>3015</v>
      </c>
      <c r="G61" s="3" t="s">
        <v>1360</v>
      </c>
      <c r="H61" s="3" t="s">
        <v>3014</v>
      </c>
      <c r="I61" s="3" t="s">
        <v>3106</v>
      </c>
      <c r="J61" s="2"/>
      <c r="K61" s="2"/>
      <c r="L61" s="3" t="s">
        <v>3088</v>
      </c>
      <c r="M61" s="4">
        <v>60.0</v>
      </c>
      <c r="N61" s="3" t="str">
        <f>IFERROR(__xludf.DUMMYFUNCTION("GOOGLETRANSLATE(C61,""en"",""zh-CN"")"),"从这张图片中可以推断出这款游戏具有怎样的文化意义？")</f>
        <v>从这张图片中可以推断出这款游戏具有怎样的文化意义？</v>
      </c>
      <c r="O61" s="5" t="str">
        <f>IFERROR(__xludf.DUMMYFUNCTION("GOOGLETRANSLATE(D61,""en"",""zh-CN"")"),"这是一项成人运动。")</f>
        <v>这是一项成人运动。</v>
      </c>
      <c r="P61" s="5" t="str">
        <f>IFERROR(__xludf.DUMMYFUNCTION("GOOGLETRANSLATE(E61,""en"",""zh-CN"")"),"这是一项孩子们可以学习和享受的运动。")</f>
        <v>这是一项孩子们可以学习和享受的运动。</v>
      </c>
      <c r="Q61" s="5" t="str">
        <f>IFERROR(__xludf.DUMMYFUNCTION("GOOGLETRANSLATE(F61,""en"",""zh-CN"")"),"这项运动对孩子来说太难了。")</f>
        <v>这项运动对孩子来说太难了。</v>
      </c>
      <c r="R61" s="5" t="str">
        <f>IFERROR(__xludf.DUMMYFUNCTION("GOOGLETRANSLATE(G61,""en"",""zh-CN"")"),"这是一项被遗忘的运动。")</f>
        <v>这是一项被遗忘的运动。</v>
      </c>
      <c r="S61" s="5" t="s">
        <v>3017</v>
      </c>
      <c r="T61" s="5" t="str">
        <f>IFERROR(__xludf.DUMMYFUNCTION("GOOGLETRANSLATE(H61,""en"",""zh-CN"")"),"这是一项孩子们可以学习和享受的运动。")</f>
        <v>这是一项孩子们可以学习和享受的运动。</v>
      </c>
      <c r="U61" s="5" t="str">
        <f>IFERROR(__xludf.DUMMYFUNCTION("GOOGLETRANSLATE(I61,""en"",""zh-CN"")"),"一大群小孩练习功夫的画面表明，这项运动很容易上手，小孩也可以练习。")</f>
        <v>一大群小孩练习功夫的画面表明，这项运动很容易上手，小孩也可以练习。</v>
      </c>
      <c r="V61" s="2"/>
      <c r="W61" s="2"/>
      <c r="X61" s="2"/>
      <c r="Y61" s="2"/>
      <c r="Z61" s="2"/>
      <c r="AA61" s="2"/>
      <c r="AB61" s="2"/>
      <c r="AC61" s="2"/>
      <c r="AD61" s="2"/>
      <c r="AE61" s="2"/>
      <c r="AF61" s="2"/>
      <c r="AG61" s="2"/>
      <c r="AH61" s="2"/>
      <c r="AI61" s="2"/>
      <c r="AJ61" s="2"/>
      <c r="AK61" s="2"/>
      <c r="AL61" s="2"/>
    </row>
    <row r="62" ht="22.5" customHeight="1">
      <c r="A62" s="3" t="s">
        <v>3107</v>
      </c>
      <c r="B62" s="4">
        <v>61.0</v>
      </c>
      <c r="C62" s="3" t="s">
        <v>1335</v>
      </c>
      <c r="D62" s="3" t="s">
        <v>2872</v>
      </c>
      <c r="E62" s="3" t="s">
        <v>2928</v>
      </c>
      <c r="F62" s="3" t="s">
        <v>3108</v>
      </c>
      <c r="G62" s="3" t="s">
        <v>2432</v>
      </c>
      <c r="H62" s="3" t="s">
        <v>3108</v>
      </c>
      <c r="I62" s="3" t="s">
        <v>3109</v>
      </c>
      <c r="J62" s="2"/>
      <c r="K62" s="2"/>
      <c r="L62" s="3" t="s">
        <v>3107</v>
      </c>
      <c r="M62" s="4">
        <v>61.0</v>
      </c>
      <c r="N62" s="3" t="str">
        <f>IFERROR(__xludf.DUMMYFUNCTION("GOOGLETRANSLATE(C62,""en"",""zh-CN"")"),"图中所示的中心活动是什么？")</f>
        <v>图中所示的中心活动是什么？</v>
      </c>
      <c r="O62" s="5" t="str">
        <f>IFERROR(__xludf.DUMMYFUNCTION("GOOGLETRANSLATE(D62,""en"",""zh-CN"")"),"一段舞蹈表演。")</f>
        <v>一段舞蹈表演。</v>
      </c>
      <c r="P62" s="5" t="str">
        <f>IFERROR(__xludf.DUMMYFUNCTION("GOOGLETRANSLATE(E62,""en"",""zh-CN"")"),"一场拳击比赛。")</f>
        <v>一场拳击比赛。</v>
      </c>
      <c r="Q62" s="5" t="str">
        <f>IFERROR(__xludf.DUMMYFUNCTION("GOOGLETRANSLATE(F62,""en"",""zh-CN"")"),"一场武术对决。")</f>
        <v>一场武术对决。</v>
      </c>
      <c r="R62" s="5" t="str">
        <f>IFERROR(__xludf.DUMMYFUNCTION("GOOGLETRANSLATE(G62,""en"",""zh-CN"")"),"一套体操动作。")</f>
        <v>一套体操动作。</v>
      </c>
      <c r="S62" s="5" t="s">
        <v>3110</v>
      </c>
      <c r="T62" s="5" t="str">
        <f>IFERROR(__xludf.DUMMYFUNCTION("GOOGLETRANSLATE(H62,""en"",""zh-CN"")"),"一场武术对决。")</f>
        <v>一场武术对决。</v>
      </c>
      <c r="U62" s="5" t="str">
        <f>IFERROR(__xludf.DUMMYFUNCTION("GOOGLETRANSLATE(I62,""en"",""zh-CN"")"),"这幅具有绘画质感的图像描绘了两个正在行动的男人，其中一人手持宝剑，暗示着一场武术搏斗或一场精心编排的动作。")</f>
        <v>这幅具有绘画质感的图像描绘了两个正在行动的男人，其中一人手持宝剑，暗示着一场武术搏斗或一场精心编排的动作。</v>
      </c>
      <c r="V62" s="2"/>
      <c r="W62" s="2"/>
      <c r="X62" s="2"/>
      <c r="Y62" s="2"/>
      <c r="Z62" s="2"/>
      <c r="AA62" s="2"/>
      <c r="AB62" s="2"/>
      <c r="AC62" s="2"/>
      <c r="AD62" s="2"/>
      <c r="AE62" s="2"/>
      <c r="AF62" s="2"/>
      <c r="AG62" s="2"/>
      <c r="AH62" s="2"/>
      <c r="AI62" s="2"/>
      <c r="AJ62" s="2"/>
      <c r="AK62" s="2"/>
      <c r="AL62" s="2"/>
    </row>
    <row r="63" ht="22.5" customHeight="1">
      <c r="A63" s="3" t="s">
        <v>3107</v>
      </c>
      <c r="B63" s="4">
        <v>62.0</v>
      </c>
      <c r="C63" s="3" t="s">
        <v>2907</v>
      </c>
      <c r="D63" s="3" t="s">
        <v>2908</v>
      </c>
      <c r="E63" s="3" t="s">
        <v>2909</v>
      </c>
      <c r="F63" s="3" t="s">
        <v>2910</v>
      </c>
      <c r="G63" s="3" t="s">
        <v>2911</v>
      </c>
      <c r="H63" s="3" t="s">
        <v>2909</v>
      </c>
      <c r="I63" s="3" t="s">
        <v>3111</v>
      </c>
      <c r="J63" s="2"/>
      <c r="K63" s="2"/>
      <c r="L63" s="3" t="s">
        <v>3107</v>
      </c>
      <c r="M63" s="4">
        <v>62.0</v>
      </c>
      <c r="N63" s="3" t="str">
        <f>IFERROR(__xludf.DUMMYFUNCTION("GOOGLETRANSLATE(C63,""en"",""zh-CN"")"),"从业者的服装有什么显著特点？")</f>
        <v>从业者的服装有什么显著特点？</v>
      </c>
      <c r="O63" s="5" t="str">
        <f>IFERROR(__xludf.DUMMYFUNCTION("GOOGLETRANSLATE(D63,""en"",""zh-CN"")"),"他们穿着休闲服装。")</f>
        <v>他们穿着休闲服装。</v>
      </c>
      <c r="P63" s="5" t="str">
        <f>IFERROR(__xludf.DUMMYFUNCTION("GOOGLETRANSLATE(E63,""en"",""zh-CN"")"),"他们身穿传统的僧袍。")</f>
        <v>他们身穿传统的僧袍。</v>
      </c>
      <c r="Q63" s="5" t="str">
        <f>IFERROR(__xludf.DUMMYFUNCTION("GOOGLETRANSLATE(F63,""en"",""zh-CN"")"),"他们身穿军装。")</f>
        <v>他们身穿军装。</v>
      </c>
      <c r="R63" s="5" t="str">
        <f>IFERROR(__xludf.DUMMYFUNCTION("GOOGLETRANSLATE(G63,""en"",""zh-CN"")"),"他们穿着现代运动装备。")</f>
        <v>他们穿着现代运动装备。</v>
      </c>
      <c r="S63" s="5" t="s">
        <v>2913</v>
      </c>
      <c r="T63" s="5" t="str">
        <f>IFERROR(__xludf.DUMMYFUNCTION("GOOGLETRANSLATE(H63,""en"",""zh-CN"")"),"他们身穿传统的僧袍。")</f>
        <v>他们身穿传统的僧袍。</v>
      </c>
      <c r="U63" s="5" t="str">
        <f>IFERROR(__xludf.DUMMYFUNCTION("GOOGLETRANSLATE(I63,""en"",""zh-CN"")"),"修行者们身穿宽松的僧袍，这是少林寺僧侣传统服饰的典型样式。")</f>
        <v>修行者们身穿宽松的僧袍，这是少林寺僧侣传统服饰的典型样式。</v>
      </c>
      <c r="V63" s="2"/>
      <c r="W63" s="2"/>
      <c r="X63" s="2"/>
      <c r="Y63" s="2"/>
      <c r="Z63" s="2"/>
      <c r="AA63" s="2"/>
      <c r="AB63" s="2"/>
      <c r="AC63" s="2"/>
      <c r="AD63" s="2"/>
      <c r="AE63" s="2"/>
      <c r="AF63" s="2"/>
      <c r="AG63" s="2"/>
      <c r="AH63" s="2"/>
      <c r="AI63" s="2"/>
      <c r="AJ63" s="2"/>
      <c r="AK63" s="2"/>
      <c r="AL63" s="2"/>
    </row>
    <row r="64" ht="22.5" customHeight="1">
      <c r="A64" s="3" t="s">
        <v>3107</v>
      </c>
      <c r="B64" s="4">
        <v>63.0</v>
      </c>
      <c r="C64" s="3" t="s">
        <v>3112</v>
      </c>
      <c r="D64" s="3" t="s">
        <v>2816</v>
      </c>
      <c r="E64" s="3" t="s">
        <v>551</v>
      </c>
      <c r="F64" s="3" t="s">
        <v>2817</v>
      </c>
      <c r="G64" s="3" t="s">
        <v>2818</v>
      </c>
      <c r="H64" s="3" t="s">
        <v>551</v>
      </c>
      <c r="I64" s="3" t="s">
        <v>3113</v>
      </c>
      <c r="J64" s="2"/>
      <c r="K64" s="2"/>
      <c r="L64" s="3" t="s">
        <v>3107</v>
      </c>
      <c r="M64" s="4">
        <v>63.0</v>
      </c>
      <c r="N64" s="3" t="str">
        <f>IFERROR(__xludf.DUMMYFUNCTION("GOOGLETRANSLATE(C64,""en"",""zh-CN"")"),"右边的练习者手持一根又长又直的武器。那是什么武器？")</f>
        <v>右边的练习者手持一根又长又直的武器。那是什么武器？</v>
      </c>
      <c r="O64" s="5" t="str">
        <f>IFERROR(__xludf.DUMMYFUNCTION("GOOGLETRANSLATE(D64,""en"",""zh-CN"")"),"武士刀")</f>
        <v>武士刀</v>
      </c>
      <c r="P64" s="5" t="str">
        <f>IFERROR(__xludf.DUMMYFUNCTION("GOOGLETRANSLATE(E64,""en"",""zh-CN"")"),"简")</f>
        <v>简</v>
      </c>
      <c r="Q64" s="5" t="str">
        <f>IFERROR(__xludf.DUMMYFUNCTION("GOOGLETRANSLATE(F64,""en"",""zh-CN"")"),"佩剑")</f>
        <v>佩剑</v>
      </c>
      <c r="R64" s="5" t="str">
        <f>IFERROR(__xludf.DUMMYFUNCTION("GOOGLETRANSLATE(G64,""en"",""zh-CN"")"),"博员工")</f>
        <v>博员工</v>
      </c>
      <c r="S64" s="5" t="s">
        <v>2820</v>
      </c>
      <c r="T64" s="5" t="str">
        <f>IFERROR(__xludf.DUMMYFUNCTION("GOOGLETRANSLATE(H64,""en"",""zh-CN"")"),"简")</f>
        <v>简</v>
      </c>
      <c r="U64" s="5" t="str">
        <f>IFERROR(__xludf.DUMMYFUNCTION("GOOGLETRANSLATE(I64,""en"",""zh-CN"")"),"这种武器是剑，一种直刃双刃的中国剑，用于各种中国武术中。")</f>
        <v>这种武器是剑，一种直刃双刃的中国剑，用于各种中国武术中。</v>
      </c>
      <c r="V64" s="2"/>
      <c r="W64" s="2"/>
      <c r="X64" s="2"/>
      <c r="Y64" s="2"/>
      <c r="Z64" s="2"/>
      <c r="AA64" s="2"/>
      <c r="AB64" s="2"/>
      <c r="AC64" s="2"/>
      <c r="AD64" s="2"/>
      <c r="AE64" s="2"/>
      <c r="AF64" s="2"/>
      <c r="AG64" s="2"/>
      <c r="AH64" s="2"/>
      <c r="AI64" s="2"/>
      <c r="AJ64" s="2"/>
      <c r="AK64" s="2"/>
      <c r="AL64" s="2"/>
    </row>
    <row r="65" ht="22.5" customHeight="1">
      <c r="A65" s="3" t="s">
        <v>3107</v>
      </c>
      <c r="B65" s="4">
        <v>64.0</v>
      </c>
      <c r="C65" s="3" t="s">
        <v>3114</v>
      </c>
      <c r="D65" s="3" t="s">
        <v>3115</v>
      </c>
      <c r="E65" s="3" t="s">
        <v>3116</v>
      </c>
      <c r="F65" s="3" t="s">
        <v>3117</v>
      </c>
      <c r="G65" s="3" t="s">
        <v>3118</v>
      </c>
      <c r="H65" s="3" t="s">
        <v>3116</v>
      </c>
      <c r="I65" s="3" t="s">
        <v>3119</v>
      </c>
      <c r="J65" s="2"/>
      <c r="K65" s="2"/>
      <c r="L65" s="3" t="s">
        <v>3107</v>
      </c>
      <c r="M65" s="4">
        <v>64.0</v>
      </c>
      <c r="N65" s="3" t="str">
        <f>IFERROR(__xludf.DUMMYFUNCTION("GOOGLETRANSLATE(C65,""en"",""zh-CN"")"),"图像中模糊和风格化的线条有什么作用？")</f>
        <v>图像中模糊和风格化的线条有什么作用？</v>
      </c>
      <c r="O65" s="5" t="str">
        <f>IFERROR(__xludf.DUMMYFUNCTION("GOOGLETRANSLATE(D65,""en"",""zh-CN"")"),"表现出注意力不集中。")</f>
        <v>表现出注意力不集中。</v>
      </c>
      <c r="P65" s="5" t="str">
        <f>IFERROR(__xludf.DUMMYFUNCTION("GOOGLETRANSLATE(E65,""en"",""zh-CN"")"),"展现练习者的动作和速度。")</f>
        <v>展现练习者的动作和速度。</v>
      </c>
      <c r="Q65" s="5" t="str">
        <f>IFERROR(__xludf.DUMMYFUNCTION("GOOGLETRANSLATE(F65,""en"",""zh-CN"")"),"使图像看起来像卡通。")</f>
        <v>使图像看起来像卡通。</v>
      </c>
      <c r="R65" s="5" t="str">
        <f>IFERROR(__xludf.DUMMYFUNCTION("GOOGLETRANSLATE(G65,""en"",""zh-CN"")"),"使图像看起来像一幅画。")</f>
        <v>使图像看起来像一幅画。</v>
      </c>
      <c r="S65" s="5" t="s">
        <v>3120</v>
      </c>
      <c r="T65" s="5" t="str">
        <f>IFERROR(__xludf.DUMMYFUNCTION("GOOGLETRANSLATE(H65,""en"",""zh-CN"")"),"展现练习者的动作和速度。")</f>
        <v>展现练习者的动作和速度。</v>
      </c>
      <c r="U65" s="5" t="str">
        <f>IFERROR(__xludf.DUMMYFUNCTION("GOOGLETRANSLATE(I65,""en"",""zh-CN"")"),"练习者和他们的武器周围模糊的线条和条纹被用来营造速度感和动感，仿佛他们正在快速移动。")</f>
        <v>练习者和他们的武器周围模糊的线条和条纹被用来营造速度感和动感，仿佛他们正在快速移动。</v>
      </c>
      <c r="V65" s="2"/>
      <c r="W65" s="2"/>
      <c r="X65" s="2"/>
      <c r="Y65" s="2"/>
      <c r="Z65" s="2"/>
      <c r="AA65" s="2"/>
      <c r="AB65" s="2"/>
      <c r="AC65" s="2"/>
      <c r="AD65" s="2"/>
      <c r="AE65" s="2"/>
      <c r="AF65" s="2"/>
      <c r="AG65" s="2"/>
      <c r="AH65" s="2"/>
      <c r="AI65" s="2"/>
      <c r="AJ65" s="2"/>
      <c r="AK65" s="2"/>
      <c r="AL65" s="2"/>
    </row>
    <row r="66" ht="22.5" customHeight="1">
      <c r="A66" s="3" t="s">
        <v>3107</v>
      </c>
      <c r="B66" s="4">
        <v>65.0</v>
      </c>
      <c r="C66" s="3" t="s">
        <v>3035</v>
      </c>
      <c r="D66" s="3" t="s">
        <v>3036</v>
      </c>
      <c r="E66" s="3" t="s">
        <v>3037</v>
      </c>
      <c r="F66" s="3" t="s">
        <v>2875</v>
      </c>
      <c r="G66" s="3" t="s">
        <v>3038</v>
      </c>
      <c r="H66" s="3" t="s">
        <v>3037</v>
      </c>
      <c r="I66" s="3" t="s">
        <v>3039</v>
      </c>
      <c r="J66" s="2"/>
      <c r="K66" s="2"/>
      <c r="L66" s="3" t="s">
        <v>3107</v>
      </c>
      <c r="M66" s="4">
        <v>65.0</v>
      </c>
      <c r="N66" s="3" t="str">
        <f>IFERROR(__xludf.DUMMYFUNCTION("GOOGLETRANSLATE(C66,""en"",""zh-CN"")"),"这张图片的整体美感如何？")</f>
        <v>这张图片的整体美感如何？</v>
      </c>
      <c r="O66" s="5" t="str">
        <f>IFERROR(__xludf.DUMMYFUNCTION("GOOGLETRANSLATE(D66,""en"",""zh-CN"")"),"一张逼真的照片。")</f>
        <v>一张逼真的照片。</v>
      </c>
      <c r="P66" s="5" t="str">
        <f>IFERROR(__xludf.DUMMYFUNCTION("GOOGLETRANSLATE(E66,""en"",""zh-CN"")"),"一幅数码绘画作品。")</f>
        <v>一幅数码绘画作品。</v>
      </c>
      <c r="Q66" s="5" t="str">
        <f>IFERROR(__xludf.DUMMYFUNCTION("GOOGLETRANSLATE(F66,""en"",""zh-CN"")"),"卡通片。")</f>
        <v>卡通片。</v>
      </c>
      <c r="R66" s="5" t="str">
        <f>IFERROR(__xludf.DUMMYFUNCTION("GOOGLETRANSLATE(G66,""en"",""zh-CN"")"),"铅笔画。")</f>
        <v>铅笔画。</v>
      </c>
      <c r="S66" s="5" t="s">
        <v>3040</v>
      </c>
      <c r="T66" s="5" t="str">
        <f>IFERROR(__xludf.DUMMYFUNCTION("GOOGLETRANSLATE(H66,""en"",""zh-CN"")"),"一幅数码绘画作品。")</f>
        <v>一幅数码绘画作品。</v>
      </c>
      <c r="U66" s="5" t="str">
        <f>IFERROR(__xludf.DUMMYFUNCTION("GOOGLETRANSLATE(I66,""en"",""zh-CN"")"),"这幅图像具有纹理感，像是手绘作品，笔触清晰可见，背景模糊，这表明它是一幅数码绘画作品。")</f>
        <v>这幅图像具有纹理感，像是手绘作品，笔触清晰可见，背景模糊，这表明它是一幅数码绘画作品。</v>
      </c>
      <c r="V66" s="2"/>
      <c r="W66" s="2"/>
      <c r="X66" s="2"/>
      <c r="Y66" s="2"/>
      <c r="Z66" s="2"/>
      <c r="AA66" s="2"/>
      <c r="AB66" s="2"/>
      <c r="AC66" s="2"/>
      <c r="AD66" s="2"/>
      <c r="AE66" s="2"/>
      <c r="AF66" s="2"/>
      <c r="AG66" s="2"/>
      <c r="AH66" s="2"/>
      <c r="AI66" s="2"/>
      <c r="AJ66" s="2"/>
      <c r="AK66" s="2"/>
      <c r="AL66" s="2"/>
    </row>
    <row r="67" ht="22.5" customHeight="1">
      <c r="A67" s="3" t="s">
        <v>3121</v>
      </c>
      <c r="B67" s="4">
        <v>66.0</v>
      </c>
      <c r="C67" s="3" t="s">
        <v>1335</v>
      </c>
      <c r="D67" s="3" t="s">
        <v>2872</v>
      </c>
      <c r="E67" s="3" t="s">
        <v>3122</v>
      </c>
      <c r="F67" s="3" t="s">
        <v>2432</v>
      </c>
      <c r="G67" s="3" t="s">
        <v>2930</v>
      </c>
      <c r="H67" s="3" t="s">
        <v>3122</v>
      </c>
      <c r="I67" s="3" t="s">
        <v>3123</v>
      </c>
      <c r="J67" s="2"/>
      <c r="K67" s="2"/>
      <c r="L67" s="3" t="s">
        <v>3121</v>
      </c>
      <c r="M67" s="4">
        <v>66.0</v>
      </c>
      <c r="N67" s="3" t="str">
        <f>IFERROR(__xludf.DUMMYFUNCTION("GOOGLETRANSLATE(C67,""en"",""zh-CN"")"),"图中所示的中心活动是什么？")</f>
        <v>图中所示的中心活动是什么？</v>
      </c>
      <c r="O67" s="5" t="str">
        <f>IFERROR(__xludf.DUMMYFUNCTION("GOOGLETRANSLATE(D67,""en"",""zh-CN"")"),"一段舞蹈表演。")</f>
        <v>一段舞蹈表演。</v>
      </c>
      <c r="P67" s="5" t="str">
        <f>IFERROR(__xludf.DUMMYFUNCTION("GOOGLETRANSLATE(E67,""en"",""zh-CN"")"),"一个武术姿势。")</f>
        <v>一个武术姿势。</v>
      </c>
      <c r="Q67" s="5" t="str">
        <f>IFERROR(__xludf.DUMMYFUNCTION("GOOGLETRANSLATE(F67,""en"",""zh-CN"")"),"一套体操动作。")</f>
        <v>一套体操动作。</v>
      </c>
      <c r="R67" s="5" t="str">
        <f>IFERROR(__xludf.DUMMYFUNCTION("GOOGLETRANSLATE(G67,""en"",""zh-CN"")"),"跳高。")</f>
        <v>跳高。</v>
      </c>
      <c r="S67" s="5" t="s">
        <v>3124</v>
      </c>
      <c r="T67" s="5" t="str">
        <f>IFERROR(__xludf.DUMMYFUNCTION("GOOGLETRANSLATE(H67,""en"",""zh-CN"")"),"一个武术姿势。")</f>
        <v>一个武术姿势。</v>
      </c>
      <c r="U67" s="5" t="str">
        <f>IFERROR(__xludf.DUMMYFUNCTION("GOOGLETRANSLATE(I67,""en"",""zh-CN"")"),"图片中，一名身着风格化的武术服的人正在摆出经典的功夫姿势，这展现了平衡感和动作的优美。")</f>
        <v>图片中，一名身着风格化的武术服的人正在摆出经典的功夫姿势，这展现了平衡感和动作的优美。</v>
      </c>
      <c r="V67" s="2"/>
      <c r="W67" s="2"/>
      <c r="X67" s="2"/>
      <c r="Y67" s="2"/>
      <c r="Z67" s="2"/>
      <c r="AA67" s="2"/>
      <c r="AB67" s="2"/>
      <c r="AC67" s="2"/>
      <c r="AD67" s="2"/>
      <c r="AE67" s="2"/>
      <c r="AF67" s="2"/>
      <c r="AG67" s="2"/>
      <c r="AH67" s="2"/>
      <c r="AI67" s="2"/>
      <c r="AJ67" s="2"/>
      <c r="AK67" s="2"/>
      <c r="AL67" s="2"/>
    </row>
    <row r="68" ht="22.5" customHeight="1">
      <c r="A68" s="3" t="s">
        <v>3121</v>
      </c>
      <c r="B68" s="4">
        <v>67.0</v>
      </c>
      <c r="C68" s="3" t="s">
        <v>2828</v>
      </c>
      <c r="D68" s="3" t="s">
        <v>2829</v>
      </c>
      <c r="E68" s="3" t="s">
        <v>2830</v>
      </c>
      <c r="F68" s="3" t="s">
        <v>1451</v>
      </c>
      <c r="G68" s="3" t="s">
        <v>540</v>
      </c>
      <c r="H68" s="3" t="s">
        <v>2829</v>
      </c>
      <c r="I68" s="3" t="s">
        <v>2831</v>
      </c>
      <c r="J68" s="2"/>
      <c r="K68" s="2"/>
      <c r="L68" s="3" t="s">
        <v>3121</v>
      </c>
      <c r="M68" s="4">
        <v>67.0</v>
      </c>
      <c r="N68" s="3" t="str">
        <f>IFERROR(__xludf.DUMMYFUNCTION("GOOGLETRANSLATE(C68,""en"",""zh-CN"")"),"练习者采用低而宽的站姿。这种姿势的目的是什么？")</f>
        <v>练习者采用低而宽的站姿。这种姿势的目的是什么？</v>
      </c>
      <c r="O68" s="5" t="str">
        <f>IFERROR(__xludf.DUMMYFUNCTION("GOOGLETRANSLATE(D68,""en"",""zh-CN"")"),"增强平衡能力和腿部力量。")</f>
        <v>增强平衡能力和腿部力量。</v>
      </c>
      <c r="P68" s="5" t="str">
        <f>IFERROR(__xludf.DUMMYFUNCTION("GOOGLETRANSLATE(E68,""en"",""zh-CN"")"),"为冲刺做准备。")</f>
        <v>为冲刺做准备。</v>
      </c>
      <c r="Q68" s="5" t="str">
        <f>IFERROR(__xludf.DUMMYFUNCTION("GOOGLETRANSLATE(F68,""en"",""zh-CN"")"),"休息。")</f>
        <v>休息。</v>
      </c>
      <c r="R68" s="5" t="str">
        <f>IFERROR(__xludf.DUMMYFUNCTION("GOOGLETRANSLATE(G68,""en"",""zh-CN"")"),"为了显得更具威慑力。")</f>
        <v>为了显得更具威慑力。</v>
      </c>
      <c r="S68" s="5" t="s">
        <v>2832</v>
      </c>
      <c r="T68" s="5" t="str">
        <f>IFERROR(__xludf.DUMMYFUNCTION("GOOGLETRANSLATE(H68,""en"",""zh-CN"")"),"增强平衡能力和腿部力量。")</f>
        <v>增强平衡能力和腿部力量。</v>
      </c>
      <c r="U68" s="5" t="str">
        <f>IFERROR(__xludf.DUMMYFUNCTION("GOOGLETRANSLATE(I68,""en"",""zh-CN"")"),"低姿是许多武术的基础，因为它可以降低重心，这对于建立稳固的基础、提高平衡能力和增强腿部力量至关重要。")</f>
        <v>低姿是许多武术的基础，因为它可以降低重心，这对于建立稳固的基础、提高平衡能力和增强腿部力量至关重要。</v>
      </c>
      <c r="V68" s="2"/>
      <c r="W68" s="2"/>
      <c r="X68" s="2"/>
      <c r="Y68" s="2"/>
      <c r="Z68" s="2"/>
      <c r="AA68" s="2"/>
      <c r="AB68" s="2"/>
      <c r="AC68" s="2"/>
      <c r="AD68" s="2"/>
      <c r="AE68" s="2"/>
      <c r="AF68" s="2"/>
      <c r="AG68" s="2"/>
      <c r="AH68" s="2"/>
      <c r="AI68" s="2"/>
      <c r="AJ68" s="2"/>
      <c r="AK68" s="2"/>
      <c r="AL68" s="2"/>
    </row>
    <row r="69" ht="22.5" customHeight="1">
      <c r="A69" s="3" t="s">
        <v>3121</v>
      </c>
      <c r="B69" s="4">
        <v>68.0</v>
      </c>
      <c r="C69" s="3" t="s">
        <v>2821</v>
      </c>
      <c r="D69" s="3" t="s">
        <v>2608</v>
      </c>
      <c r="E69" s="3" t="s">
        <v>2940</v>
      </c>
      <c r="F69" s="3" t="s">
        <v>2941</v>
      </c>
      <c r="G69" s="3" t="s">
        <v>2942</v>
      </c>
      <c r="H69" s="3" t="s">
        <v>2940</v>
      </c>
      <c r="I69" s="3" t="s">
        <v>3125</v>
      </c>
      <c r="J69" s="2"/>
      <c r="K69" s="2"/>
      <c r="L69" s="3" t="s">
        <v>3121</v>
      </c>
      <c r="M69" s="4">
        <v>68.0</v>
      </c>
      <c r="N69" s="3" t="str">
        <f>IFERROR(__xludf.DUMMYFUNCTION("GOOGLETRANSLATE(C69,""en"",""zh-CN"")"),"该从业者的着装有什么显著特点？")</f>
        <v>该从业者的着装有什么显著特点？</v>
      </c>
      <c r="O69" s="5" t="str">
        <f>IFERROR(__xludf.DUMMYFUNCTION("GOOGLETRANSLATE(D69,""en"",""zh-CN"")"),"一套正式西装。")</f>
        <v>一套正式西装。</v>
      </c>
      <c r="P69" s="5" t="str">
        <f>IFERROR(__xludf.DUMMYFUNCTION("GOOGLETRANSLATE(E69,""en"",""zh-CN"")"),"一套传统的中国功夫服。")</f>
        <v>一套传统的中国功夫服。</v>
      </c>
      <c r="Q69" s="5" t="str">
        <f>IFERROR(__xludf.DUMMYFUNCTION("GOOGLETRANSLATE(F69,""en"",""zh-CN"")"),"一套休闲装扮。")</f>
        <v>一套休闲装扮。</v>
      </c>
      <c r="R69" s="5" t="str">
        <f>IFERROR(__xludf.DUMMYFUNCTION("GOOGLETRANSLATE(G69,""en"",""zh-CN"")"),"军装。")</f>
        <v>军装。</v>
      </c>
      <c r="S69" s="5" t="s">
        <v>2944</v>
      </c>
      <c r="T69" s="5" t="str">
        <f>IFERROR(__xludf.DUMMYFUNCTION("GOOGLETRANSLATE(H69,""en"",""zh-CN"")"),"一套传统的中国功夫服。")</f>
        <v>一套传统的中国功夫服。</v>
      </c>
      <c r="U69" s="5" t="str">
        <f>IFERROR(__xludf.DUMMYFUNCTION("GOOGLETRANSLATE(I69,""en"",""zh-CN"")"),"这位练习者身穿宽松的纽扣式制服，款式独特，是经典的传统中国功夫服或称“伊夫服”。")</f>
        <v>这位练习者身穿宽松的纽扣式制服，款式独特，是经典的传统中国功夫服或称“伊夫服”。</v>
      </c>
      <c r="V69" s="2"/>
      <c r="W69" s="2"/>
      <c r="X69" s="2"/>
      <c r="Y69" s="2"/>
      <c r="Z69" s="2"/>
      <c r="AA69" s="2"/>
      <c r="AB69" s="2"/>
      <c r="AC69" s="2"/>
      <c r="AD69" s="2"/>
      <c r="AE69" s="2"/>
      <c r="AF69" s="2"/>
      <c r="AG69" s="2"/>
      <c r="AH69" s="2"/>
      <c r="AI69" s="2"/>
      <c r="AJ69" s="2"/>
      <c r="AK69" s="2"/>
      <c r="AL69" s="2"/>
    </row>
    <row r="70" ht="22.5" customHeight="1">
      <c r="A70" s="3" t="s">
        <v>3121</v>
      </c>
      <c r="B70" s="4">
        <v>69.0</v>
      </c>
      <c r="C70" s="3" t="s">
        <v>3035</v>
      </c>
      <c r="D70" s="3" t="s">
        <v>3036</v>
      </c>
      <c r="E70" s="3" t="s">
        <v>3126</v>
      </c>
      <c r="F70" s="3" t="s">
        <v>2875</v>
      </c>
      <c r="G70" s="3" t="s">
        <v>3038</v>
      </c>
      <c r="H70" s="3" t="s">
        <v>3126</v>
      </c>
      <c r="I70" s="3" t="s">
        <v>3127</v>
      </c>
      <c r="J70" s="2"/>
      <c r="K70" s="2"/>
      <c r="L70" s="3" t="s">
        <v>3121</v>
      </c>
      <c r="M70" s="4">
        <v>69.0</v>
      </c>
      <c r="N70" s="3" t="str">
        <f>IFERROR(__xludf.DUMMYFUNCTION("GOOGLETRANSLATE(C70,""en"",""zh-CN"")"),"这张图片的整体美感如何？")</f>
        <v>这张图片的整体美感如何？</v>
      </c>
      <c r="O70" s="5" t="str">
        <f>IFERROR(__xludf.DUMMYFUNCTION("GOOGLETRANSLATE(D70,""en"",""zh-CN"")"),"一张逼真的照片。")</f>
        <v>一张逼真的照片。</v>
      </c>
      <c r="P70" s="5" t="str">
        <f>IFERROR(__xludf.DUMMYFUNCTION("GOOGLETRANSLATE(E70,""en"",""zh-CN"")"),"一幅具有平面设计风格的数字绘画作品。")</f>
        <v>一幅具有平面设计风格的数字绘画作品。</v>
      </c>
      <c r="Q70" s="5" t="str">
        <f>IFERROR(__xludf.DUMMYFUNCTION("GOOGLETRANSLATE(F70,""en"",""zh-CN"")"),"卡通片。")</f>
        <v>卡通片。</v>
      </c>
      <c r="R70" s="5" t="str">
        <f>IFERROR(__xludf.DUMMYFUNCTION("GOOGLETRANSLATE(G70,""en"",""zh-CN"")"),"铅笔画。")</f>
        <v>铅笔画。</v>
      </c>
      <c r="S70" s="5" t="s">
        <v>3128</v>
      </c>
      <c r="T70" s="5" t="str">
        <f>IFERROR(__xludf.DUMMYFUNCTION("GOOGLETRANSLATE(H70,""en"",""zh-CN"")"),"一幅具有平面设计风格的数字绘画作品。")</f>
        <v>一幅具有平面设计风格的数字绘画作品。</v>
      </c>
      <c r="U70" s="5" t="str">
        <f>IFERROR(__xludf.DUMMYFUNCTION("GOOGLETRANSLATE(I70,""en"",""zh-CN"")"),"这幅图像风格化且富有艺术感，线条锐利，采用醒目的黄黑配色方案和图形元素，给人一种具有平面设计风格的数字绘画的感觉。")</f>
        <v>这幅图像风格化且富有艺术感，线条锐利，采用醒目的黄黑配色方案和图形元素，给人一种具有平面设计风格的数字绘画的感觉。</v>
      </c>
      <c r="V70" s="2"/>
      <c r="W70" s="2"/>
      <c r="X70" s="2"/>
      <c r="Y70" s="2"/>
      <c r="Z70" s="2"/>
      <c r="AA70" s="2"/>
      <c r="AB70" s="2"/>
      <c r="AC70" s="2"/>
      <c r="AD70" s="2"/>
      <c r="AE70" s="2"/>
      <c r="AF70" s="2"/>
      <c r="AG70" s="2"/>
      <c r="AH70" s="2"/>
      <c r="AI70" s="2"/>
      <c r="AJ70" s="2"/>
      <c r="AK70" s="2"/>
      <c r="AL70" s="2"/>
    </row>
    <row r="71" ht="22.5" customHeight="1">
      <c r="A71" s="3" t="s">
        <v>3121</v>
      </c>
      <c r="B71" s="4">
        <v>70.0</v>
      </c>
      <c r="C71" s="3" t="s">
        <v>3129</v>
      </c>
      <c r="D71" s="3" t="s">
        <v>3130</v>
      </c>
      <c r="E71" s="3" t="s">
        <v>3131</v>
      </c>
      <c r="F71" s="3" t="s">
        <v>3132</v>
      </c>
      <c r="G71" s="3" t="s">
        <v>3133</v>
      </c>
      <c r="H71" s="3" t="s">
        <v>3131</v>
      </c>
      <c r="I71" s="3" t="s">
        <v>3134</v>
      </c>
      <c r="J71" s="2"/>
      <c r="K71" s="2"/>
      <c r="L71" s="3" t="s">
        <v>3121</v>
      </c>
      <c r="M71" s="4">
        <v>70.0</v>
      </c>
      <c r="N71" s="3" t="str">
        <f>IFERROR(__xludf.DUMMYFUNCTION("GOOGLETRANSLATE(C71,""en"",""zh-CN"")"),"武术哲学的核心要素是什么？")</f>
        <v>武术哲学的核心要素是什么？</v>
      </c>
      <c r="O71" s="5" t="str">
        <f>IFERROR(__xludf.DUMMYFUNCTION("GOOGLETRANSLATE(D71,""en"",""zh-CN"")"),"侧重于直接对抗。")</f>
        <v>侧重于直接对抗。</v>
      </c>
      <c r="P71" s="5" t="str">
        <f>IFERROR(__xludf.DUMMYFUNCTION("GOOGLETRANSLATE(E71,""en"",""zh-CN"")"),"力量与优雅的完美平衡。")</f>
        <v>力量与优雅的完美平衡。</v>
      </c>
      <c r="Q71" s="5" t="str">
        <f>IFERROR(__xludf.DUMMYFUNCTION("GOOGLETRANSLATE(F71,""en"",""zh-CN"")"),"使用蛮力。")</f>
        <v>使用蛮力。</v>
      </c>
      <c r="R71" s="5" t="str">
        <f>IFERROR(__xludf.DUMMYFUNCTION("GOOGLETRANSLATE(G71,""en"",""zh-CN"")"),"重点放在防守上。")</f>
        <v>重点放在防守上。</v>
      </c>
      <c r="S71" s="5" t="s">
        <v>3135</v>
      </c>
      <c r="T71" s="5" t="str">
        <f>IFERROR(__xludf.DUMMYFUNCTION("GOOGLETRANSLATE(H71,""en"",""zh-CN"")"),"力量与优雅的完美平衡。")</f>
        <v>力量与优雅的完美平衡。</v>
      </c>
      <c r="U71" s="5" t="str">
        <f>IFERROR(__xludf.DUMMYFUNCTION("GOOGLETRANSLATE(I71,""en"",""zh-CN"")"),"这幅图像以其动感的姿态和圆形流动的背景，展现了武术力量与优雅相结合的理念。")</f>
        <v>这幅图像以其动感的姿态和圆形流动的背景，展现了武术力量与优雅相结合的理念。</v>
      </c>
      <c r="V71" s="2"/>
      <c r="W71" s="2"/>
      <c r="X71" s="2"/>
      <c r="Y71" s="2"/>
      <c r="Z71" s="2"/>
      <c r="AA71" s="2"/>
      <c r="AB71" s="2"/>
      <c r="AC71" s="2"/>
      <c r="AD71" s="2"/>
      <c r="AE71" s="2"/>
      <c r="AF71" s="2"/>
      <c r="AG71" s="2"/>
      <c r="AH71" s="2"/>
      <c r="AI71" s="2"/>
      <c r="AJ71" s="2"/>
      <c r="AK71" s="2"/>
      <c r="AL71" s="2"/>
    </row>
    <row r="72" ht="22.5" customHeight="1">
      <c r="A72" s="3" t="s">
        <v>3136</v>
      </c>
      <c r="B72" s="4">
        <v>71.0</v>
      </c>
      <c r="C72" s="3" t="s">
        <v>1335</v>
      </c>
      <c r="D72" s="3" t="s">
        <v>3137</v>
      </c>
      <c r="E72" s="3" t="s">
        <v>2751</v>
      </c>
      <c r="F72" s="3" t="s">
        <v>3138</v>
      </c>
      <c r="G72" s="3" t="s">
        <v>3139</v>
      </c>
      <c r="H72" s="3" t="s">
        <v>3137</v>
      </c>
      <c r="I72" s="3" t="s">
        <v>3140</v>
      </c>
      <c r="J72" s="2"/>
      <c r="K72" s="2"/>
      <c r="L72" s="3" t="s">
        <v>3136</v>
      </c>
      <c r="M72" s="4">
        <v>71.0</v>
      </c>
      <c r="N72" s="3" t="str">
        <f>IFERROR(__xludf.DUMMYFUNCTION("GOOGLETRANSLATE(C72,""en"",""zh-CN"")"),"图中所示的中心活动是什么？")</f>
        <v>图中所示的中心活动是什么？</v>
      </c>
      <c r="O72" s="5" t="str">
        <f>IFERROR(__xludf.DUMMYFUNCTION("GOOGLETRANSLATE(D72,""en"",""zh-CN"")"),"一群人正在表演一套同步武术动作。")</f>
        <v>一群人正在表演一套同步武术动作。</v>
      </c>
      <c r="P72" s="5" t="str">
        <f>IFERROR(__xludf.DUMMYFUNCTION("GOOGLETRANSLATE(E72,""en"",""zh-CN"")"),"一群人在伸展身体。")</f>
        <v>一群人在伸展身体。</v>
      </c>
      <c r="Q72" s="5" t="str">
        <f>IFERROR(__xludf.DUMMYFUNCTION("GOOGLETRANSLATE(F72,""en"",""zh-CN"")"),"一群人正在跳舞。")</f>
        <v>一群人正在跳舞。</v>
      </c>
      <c r="R72" s="5" t="str">
        <f>IFERROR(__xludf.DUMMYFUNCTION("GOOGLETRANSLATE(G72,""en"",""zh-CN"")"),"一群人正在开会。")</f>
        <v>一群人正在开会。</v>
      </c>
      <c r="S72" s="5" t="s">
        <v>3141</v>
      </c>
      <c r="T72" s="5" t="str">
        <f>IFERROR(__xludf.DUMMYFUNCTION("GOOGLETRANSLATE(H72,""en"",""zh-CN"")"),"一群人正在表演一套同步武术动作。")</f>
        <v>一群人正在表演一套同步武术动作。</v>
      </c>
      <c r="U72" s="5" t="str">
        <f>IFERROR(__xludf.DUMMYFUNCTION("GOOGLETRANSLATE(I72,""en"",""zh-CN"")"),"图片显示一大群身着统一制服的人整齐划一地摆出相同的武术姿势，这是同步武术表演的典型特征。")</f>
        <v>图片显示一大群身着统一制服的人整齐划一地摆出相同的武术姿势，这是同步武术表演的典型特征。</v>
      </c>
      <c r="V72" s="2"/>
      <c r="W72" s="2"/>
      <c r="X72" s="2"/>
      <c r="Y72" s="2"/>
      <c r="Z72" s="2"/>
      <c r="AA72" s="2"/>
      <c r="AB72" s="2"/>
      <c r="AC72" s="2"/>
      <c r="AD72" s="2"/>
      <c r="AE72" s="2"/>
      <c r="AF72" s="2"/>
      <c r="AG72" s="2"/>
      <c r="AH72" s="2"/>
      <c r="AI72" s="2"/>
      <c r="AJ72" s="2"/>
      <c r="AK72" s="2"/>
      <c r="AL72" s="2"/>
    </row>
    <row r="73" ht="22.5" customHeight="1">
      <c r="A73" s="3" t="s">
        <v>3136</v>
      </c>
      <c r="B73" s="4">
        <v>72.0</v>
      </c>
      <c r="C73" s="3" t="s">
        <v>2907</v>
      </c>
      <c r="D73" s="3" t="s">
        <v>2908</v>
      </c>
      <c r="E73" s="3" t="s">
        <v>2909</v>
      </c>
      <c r="F73" s="3" t="s">
        <v>2910</v>
      </c>
      <c r="G73" s="3" t="s">
        <v>2911</v>
      </c>
      <c r="H73" s="3" t="s">
        <v>2909</v>
      </c>
      <c r="I73" s="3" t="s">
        <v>3142</v>
      </c>
      <c r="J73" s="2"/>
      <c r="K73" s="2"/>
      <c r="L73" s="3" t="s">
        <v>3136</v>
      </c>
      <c r="M73" s="4">
        <v>72.0</v>
      </c>
      <c r="N73" s="3" t="str">
        <f>IFERROR(__xludf.DUMMYFUNCTION("GOOGLETRANSLATE(C73,""en"",""zh-CN"")"),"从业者的服装有什么显著特点？")</f>
        <v>从业者的服装有什么显著特点？</v>
      </c>
      <c r="O73" s="5" t="str">
        <f>IFERROR(__xludf.DUMMYFUNCTION("GOOGLETRANSLATE(D73,""en"",""zh-CN"")"),"他们穿着休闲服装。")</f>
        <v>他们穿着休闲服装。</v>
      </c>
      <c r="P73" s="5" t="str">
        <f>IFERROR(__xludf.DUMMYFUNCTION("GOOGLETRANSLATE(E73,""en"",""zh-CN"")"),"他们身穿传统的僧袍。")</f>
        <v>他们身穿传统的僧袍。</v>
      </c>
      <c r="Q73" s="5" t="str">
        <f>IFERROR(__xludf.DUMMYFUNCTION("GOOGLETRANSLATE(F73,""en"",""zh-CN"")"),"他们身穿军装。")</f>
        <v>他们身穿军装。</v>
      </c>
      <c r="R73" s="5" t="str">
        <f>IFERROR(__xludf.DUMMYFUNCTION("GOOGLETRANSLATE(G73,""en"",""zh-CN"")"),"他们穿着现代运动装备。")</f>
        <v>他们穿着现代运动装备。</v>
      </c>
      <c r="S73" s="5" t="s">
        <v>2913</v>
      </c>
      <c r="T73" s="5" t="str">
        <f>IFERROR(__xludf.DUMMYFUNCTION("GOOGLETRANSLATE(H73,""en"",""zh-CN"")"),"他们身穿传统的僧袍。")</f>
        <v>他们身穿传统的僧袍。</v>
      </c>
      <c r="U73" s="5" t="str">
        <f>IFERROR(__xludf.DUMMYFUNCTION("GOOGLETRANSLATE(I73,""en"",""zh-CN"")"),"修行者们身穿宽松的灰色长袍，系着黄色腰带和黄色绑腿，这是经典的少林僧侣制服。")</f>
        <v>修行者们身穿宽松的灰色长袍，系着黄色腰带和黄色绑腿，这是经典的少林僧侣制服。</v>
      </c>
      <c r="V73" s="2"/>
      <c r="W73" s="2"/>
      <c r="X73" s="2"/>
      <c r="Y73" s="2"/>
      <c r="Z73" s="2"/>
      <c r="AA73" s="2"/>
      <c r="AB73" s="2"/>
      <c r="AC73" s="2"/>
      <c r="AD73" s="2"/>
      <c r="AE73" s="2"/>
      <c r="AF73" s="2"/>
      <c r="AG73" s="2"/>
      <c r="AH73" s="2"/>
      <c r="AI73" s="2"/>
      <c r="AJ73" s="2"/>
      <c r="AK73" s="2"/>
      <c r="AL73" s="2"/>
    </row>
    <row r="74" ht="22.5" customHeight="1">
      <c r="A74" s="3" t="s">
        <v>3136</v>
      </c>
      <c r="B74" s="4">
        <v>73.0</v>
      </c>
      <c r="C74" s="3" t="s">
        <v>3143</v>
      </c>
      <c r="D74" s="3" t="s">
        <v>3144</v>
      </c>
      <c r="E74" s="3" t="s">
        <v>3145</v>
      </c>
      <c r="F74" s="3" t="s">
        <v>3146</v>
      </c>
      <c r="G74" s="3" t="s">
        <v>3147</v>
      </c>
      <c r="H74" s="3" t="s">
        <v>3145</v>
      </c>
      <c r="I74" s="3" t="s">
        <v>3148</v>
      </c>
      <c r="J74" s="2"/>
      <c r="K74" s="2"/>
      <c r="L74" s="3" t="s">
        <v>3136</v>
      </c>
      <c r="M74" s="4">
        <v>73.0</v>
      </c>
      <c r="N74" s="3" t="str">
        <f>IFERROR(__xludf.DUMMYFUNCTION("GOOGLETRANSLATE(C74,""en"",""zh-CN"")"),"本次培训课程的地点是哪里？")</f>
        <v>本次培训课程的地点是哪里？</v>
      </c>
      <c r="O74" s="5" t="str">
        <f>IFERROR(__xludf.DUMMYFUNCTION("GOOGLETRANSLATE(D74,""en"",""zh-CN"")"),"一个大型露天体育场。")</f>
        <v>一个大型露天体育场。</v>
      </c>
      <c r="P74" s="5" t="str">
        <f>IFERROR(__xludf.DUMMYFUNCTION("GOOGLETRANSLATE(E74,""en"",""zh-CN"")"),"室内工作室或培训厅。")</f>
        <v>室内工作室或培训厅。</v>
      </c>
      <c r="Q74" s="5" t="str">
        <f>IFERROR(__xludf.DUMMYFUNCTION("GOOGLETRANSLATE(F74,""en"",""zh-CN"")"),"一座乡村寺庙。")</f>
        <v>一座乡村寺庙。</v>
      </c>
      <c r="R74" s="5" t="str">
        <f>IFERROR(__xludf.DUMMYFUNCTION("GOOGLETRANSLATE(G74,""en"",""zh-CN"")"),"一个公共公园。")</f>
        <v>一个公共公园。</v>
      </c>
      <c r="S74" s="5" t="s">
        <v>3149</v>
      </c>
      <c r="T74" s="5" t="str">
        <f>IFERROR(__xludf.DUMMYFUNCTION("GOOGLETRANSLATE(H74,""en"",""zh-CN"")"),"室内工作室或培训厅。")</f>
        <v>室内工作室或培训厅。</v>
      </c>
      <c r="U74" s="5" t="str">
        <f>IFERROR(__xludf.DUMMYFUNCTION("GOOGLETRANSLATE(I74,""en"",""zh-CN"")"),"图片显示的是一个宽敞的开放式房间，铺有软垫地板，配有投影仪和传统装饰，这表明这是一个室内工作室或培训厅。")</f>
        <v>图片显示的是一个宽敞的开放式房间，铺有软垫地板，配有投影仪和传统装饰，这表明这是一个室内工作室或培训厅。</v>
      </c>
      <c r="V74" s="2"/>
      <c r="W74" s="2"/>
      <c r="X74" s="2"/>
      <c r="Y74" s="2"/>
      <c r="Z74" s="2"/>
      <c r="AA74" s="2"/>
      <c r="AB74" s="2"/>
      <c r="AC74" s="2"/>
      <c r="AD74" s="2"/>
      <c r="AE74" s="2"/>
      <c r="AF74" s="2"/>
      <c r="AG74" s="2"/>
      <c r="AH74" s="2"/>
      <c r="AI74" s="2"/>
      <c r="AJ74" s="2"/>
      <c r="AK74" s="2"/>
      <c r="AL74" s="2"/>
    </row>
    <row r="75" ht="22.5" customHeight="1">
      <c r="A75" s="3" t="s">
        <v>3136</v>
      </c>
      <c r="B75" s="4">
        <v>74.0</v>
      </c>
      <c r="C75" s="3" t="s">
        <v>3150</v>
      </c>
      <c r="D75" s="3" t="s">
        <v>3151</v>
      </c>
      <c r="E75" s="3" t="s">
        <v>3152</v>
      </c>
      <c r="F75" s="3" t="s">
        <v>3153</v>
      </c>
      <c r="G75" s="3" t="s">
        <v>3154</v>
      </c>
      <c r="H75" s="3" t="s">
        <v>3153</v>
      </c>
      <c r="I75" s="3" t="s">
        <v>3155</v>
      </c>
      <c r="J75" s="2"/>
      <c r="K75" s="2"/>
      <c r="L75" s="3" t="s">
        <v>3136</v>
      </c>
      <c r="M75" s="4">
        <v>74.0</v>
      </c>
      <c r="N75" s="3" t="str">
        <f>IFERROR(__xludf.DUMMYFUNCTION("GOOGLETRANSLATE(C75,""en"",""zh-CN"")"),"前景中的人是唯一一个穿着不同颜色制服的人。他可能扮演什么角色？")</f>
        <v>前景中的人是唯一一个穿着不同颜色制服的人。他可能扮演什么角色？</v>
      </c>
      <c r="O75" s="5" t="str">
        <f>IFERROR(__xludf.DUMMYFUNCTION("GOOGLETRANSLATE(D75,""en"",""zh-CN"")"),"一名新生。")</f>
        <v>一名新生。</v>
      </c>
      <c r="P75" s="5" t="str">
        <f>IFERROR(__xludf.DUMMYFUNCTION("GOOGLETRANSLATE(E75,""en"",""zh-CN"")"),"一名旁观者。")</f>
        <v>一名旁观者。</v>
      </c>
      <c r="Q75" s="5" t="str">
        <f>IFERROR(__xludf.DUMMYFUNCTION("GOOGLETRANSLATE(F75,""en"",""zh-CN"")"),"指导老师或师傅。")</f>
        <v>指导老师或师傅。</v>
      </c>
      <c r="R75" s="5" t="str">
        <f>IFERROR(__xludf.DUMMYFUNCTION("GOOGLETRANSLATE(G75,""en"",""zh-CN"")"),"一位客人。")</f>
        <v>一位客人。</v>
      </c>
      <c r="S75" s="5" t="s">
        <v>3156</v>
      </c>
      <c r="T75" s="5" t="str">
        <f>IFERROR(__xludf.DUMMYFUNCTION("GOOGLETRANSLATE(H75,""en"",""zh-CN"")"),"指导老师或师傅。")</f>
        <v>指导老师或师傅。</v>
      </c>
      <c r="U75" s="5" t="str">
        <f>IFERROR(__xludf.DUMMYFUNCTION("GOOGLETRANSLATE(I75,""en"",""zh-CN"")"),"前景中的人穿着颜色略有不同的制服，并且是这群人的领头人，这是识别教练或师傅的常见方法。")</f>
        <v>前景中的人穿着颜色略有不同的制服，并且是这群人的领头人，这是识别教练或师傅的常见方法。</v>
      </c>
      <c r="V75" s="2"/>
      <c r="W75" s="2"/>
      <c r="X75" s="2"/>
      <c r="Y75" s="2"/>
      <c r="Z75" s="2"/>
      <c r="AA75" s="2"/>
      <c r="AB75" s="2"/>
      <c r="AC75" s="2"/>
      <c r="AD75" s="2"/>
      <c r="AE75" s="2"/>
      <c r="AF75" s="2"/>
      <c r="AG75" s="2"/>
      <c r="AH75" s="2"/>
      <c r="AI75" s="2"/>
      <c r="AJ75" s="2"/>
      <c r="AK75" s="2"/>
      <c r="AL75" s="2"/>
    </row>
    <row r="76" ht="22.5" customHeight="1">
      <c r="A76" s="3" t="s">
        <v>3136</v>
      </c>
      <c r="B76" s="4">
        <v>75.0</v>
      </c>
      <c r="C76" s="3" t="s">
        <v>3100</v>
      </c>
      <c r="D76" s="3" t="s">
        <v>2829</v>
      </c>
      <c r="E76" s="3" t="s">
        <v>2830</v>
      </c>
      <c r="F76" s="3" t="s">
        <v>1451</v>
      </c>
      <c r="G76" s="3" t="s">
        <v>540</v>
      </c>
      <c r="H76" s="3" t="s">
        <v>2829</v>
      </c>
      <c r="I76" s="3" t="s">
        <v>2831</v>
      </c>
      <c r="J76" s="2"/>
      <c r="K76" s="2"/>
      <c r="L76" s="3" t="s">
        <v>3136</v>
      </c>
      <c r="M76" s="4">
        <v>75.0</v>
      </c>
      <c r="N76" s="3" t="str">
        <f>IFERROR(__xludf.DUMMYFUNCTION("GOOGLETRANSLATE(C76,""en"",""zh-CN"")"),"低而宽的站姿有什么目的？")</f>
        <v>低而宽的站姿有什么目的？</v>
      </c>
      <c r="O76" s="5" t="str">
        <f>IFERROR(__xludf.DUMMYFUNCTION("GOOGLETRANSLATE(D76,""en"",""zh-CN"")"),"增强平衡能力和腿部力量。")</f>
        <v>增强平衡能力和腿部力量。</v>
      </c>
      <c r="P76" s="5" t="str">
        <f>IFERROR(__xludf.DUMMYFUNCTION("GOOGLETRANSLATE(E76,""en"",""zh-CN"")"),"为冲刺做准备。")</f>
        <v>为冲刺做准备。</v>
      </c>
      <c r="Q76" s="5" t="str">
        <f>IFERROR(__xludf.DUMMYFUNCTION("GOOGLETRANSLATE(F76,""en"",""zh-CN"")"),"休息。")</f>
        <v>休息。</v>
      </c>
      <c r="R76" s="5" t="str">
        <f>IFERROR(__xludf.DUMMYFUNCTION("GOOGLETRANSLATE(G76,""en"",""zh-CN"")"),"为了显得更具威慑力。")</f>
        <v>为了显得更具威慑力。</v>
      </c>
      <c r="S76" s="5" t="s">
        <v>2832</v>
      </c>
      <c r="T76" s="5" t="str">
        <f>IFERROR(__xludf.DUMMYFUNCTION("GOOGLETRANSLATE(H76,""en"",""zh-CN"")"),"增强平衡能力和腿部力量。")</f>
        <v>增强平衡能力和腿部力量。</v>
      </c>
      <c r="U76" s="5" t="str">
        <f>IFERROR(__xludf.DUMMYFUNCTION("GOOGLETRANSLATE(I76,""en"",""zh-CN"")"),"低姿是许多武术的基础，因为它可以降低重心，这对于建立稳固的基础、提高平衡能力和增强腿部力量至关重要。")</f>
        <v>低姿是许多武术的基础，因为它可以降低重心，这对于建立稳固的基础、提高平衡能力和增强腿部力量至关重要。</v>
      </c>
      <c r="V76" s="2"/>
      <c r="W76" s="2"/>
      <c r="X76" s="2"/>
      <c r="Y76" s="2"/>
      <c r="Z76" s="2"/>
      <c r="AA76" s="2"/>
      <c r="AB76" s="2"/>
      <c r="AC76" s="2"/>
      <c r="AD76" s="2"/>
      <c r="AE76" s="2"/>
      <c r="AF76" s="2"/>
      <c r="AG76" s="2"/>
      <c r="AH76" s="2"/>
      <c r="AI76" s="2"/>
      <c r="AJ76" s="2"/>
      <c r="AK76" s="2"/>
      <c r="AL76" s="2"/>
    </row>
    <row r="77" ht="22.5" customHeight="1">
      <c r="A77" s="3" t="s">
        <v>3157</v>
      </c>
      <c r="B77" s="4">
        <v>76.0</v>
      </c>
      <c r="C77" s="3" t="s">
        <v>1335</v>
      </c>
      <c r="D77" s="3" t="s">
        <v>3158</v>
      </c>
      <c r="E77" s="3" t="s">
        <v>2999</v>
      </c>
      <c r="F77" s="3" t="s">
        <v>3000</v>
      </c>
      <c r="G77" s="3" t="s">
        <v>3001</v>
      </c>
      <c r="H77" s="3" t="s">
        <v>3158</v>
      </c>
      <c r="I77" s="3" t="s">
        <v>3159</v>
      </c>
      <c r="J77" s="2"/>
      <c r="K77" s="2"/>
      <c r="L77" s="3" t="s">
        <v>3157</v>
      </c>
      <c r="M77" s="4">
        <v>76.0</v>
      </c>
      <c r="N77" s="3" t="str">
        <f>IFERROR(__xludf.DUMMYFUNCTION("GOOGLETRANSLATE(C77,""en"",""zh-CN"")"),"图中所示的中心活动是什么？")</f>
        <v>图中所示的中心活动是什么？</v>
      </c>
      <c r="O77" s="5" t="str">
        <f>IFERROR(__xludf.DUMMYFUNCTION("GOOGLETRANSLATE(D77,""en"",""zh-CN"")"),"一个孩子正在摆出武术姿势。")</f>
        <v>一个孩子正在摆出武术姿势。</v>
      </c>
      <c r="P77" s="5" t="str">
        <f>IFERROR(__xludf.DUMMYFUNCTION("GOOGLETRANSLATE(E77,""en"",""zh-CN"")"),"一个孩子正在表演舞蹈。")</f>
        <v>一个孩子正在表演舞蹈。</v>
      </c>
      <c r="Q77" s="5" t="str">
        <f>IFERROR(__xludf.DUMMYFUNCTION("GOOGLETRANSLATE(F77,""en"",""zh-CN"")"),"一个孩子在玩耍。")</f>
        <v>一个孩子在玩耍。</v>
      </c>
      <c r="R77" s="5" t="str">
        <f>IFERROR(__xludf.DUMMYFUNCTION("GOOGLETRANSLATE(G77,""en"",""zh-CN"")"),"一个孩子正在做体操动作。")</f>
        <v>一个孩子正在做体操动作。</v>
      </c>
      <c r="S77" s="5" t="s">
        <v>3160</v>
      </c>
      <c r="T77" s="5" t="str">
        <f>IFERROR(__xludf.DUMMYFUNCTION("GOOGLETRANSLATE(H77,""en"",""zh-CN"")"),"一个孩子正在摆出武术姿势。")</f>
        <v>一个孩子正在摆出武术姿势。</v>
      </c>
      <c r="U77" s="5" t="str">
        <f>IFERROR(__xludf.DUMMYFUNCTION("GOOGLETRANSLATE(I77,""en"",""zh-CN"")"),"这张照片是在摄影棚拍摄的，照片中一名儿童身穿武术服，摆出经典的功夫姿势，展示了平衡感和动作规范。")</f>
        <v>这张照片是在摄影棚拍摄的，照片中一名儿童身穿武术服，摆出经典的功夫姿势，展示了平衡感和动作规范。</v>
      </c>
      <c r="V77" s="2"/>
      <c r="W77" s="2"/>
      <c r="X77" s="2"/>
      <c r="Y77" s="2"/>
      <c r="Z77" s="2"/>
      <c r="AA77" s="2"/>
      <c r="AB77" s="2"/>
      <c r="AC77" s="2"/>
      <c r="AD77" s="2"/>
      <c r="AE77" s="2"/>
      <c r="AF77" s="2"/>
      <c r="AG77" s="2"/>
      <c r="AH77" s="2"/>
      <c r="AI77" s="2"/>
      <c r="AJ77" s="2"/>
      <c r="AK77" s="2"/>
      <c r="AL77" s="2"/>
    </row>
    <row r="78" ht="22.5" customHeight="1">
      <c r="A78" s="3" t="s">
        <v>3157</v>
      </c>
      <c r="B78" s="4">
        <v>77.0</v>
      </c>
      <c r="C78" s="3" t="s">
        <v>3004</v>
      </c>
      <c r="D78" s="3" t="s">
        <v>2941</v>
      </c>
      <c r="E78" s="3" t="s">
        <v>2940</v>
      </c>
      <c r="F78" s="3" t="s">
        <v>2942</v>
      </c>
      <c r="G78" s="3" t="s">
        <v>3005</v>
      </c>
      <c r="H78" s="3" t="s">
        <v>2940</v>
      </c>
      <c r="I78" s="3" t="s">
        <v>3161</v>
      </c>
      <c r="J78" s="2"/>
      <c r="K78" s="2"/>
      <c r="L78" s="3" t="s">
        <v>3157</v>
      </c>
      <c r="M78" s="4">
        <v>77.0</v>
      </c>
      <c r="N78" s="3" t="str">
        <f>IFERROR(__xludf.DUMMYFUNCTION("GOOGLETRANSLATE(C78,""en"",""zh-CN"")"),"这名儿童的穿着有什么显著特点？")</f>
        <v>这名儿童的穿着有什么显著特点？</v>
      </c>
      <c r="O78" s="5" t="str">
        <f>IFERROR(__xludf.DUMMYFUNCTION("GOOGLETRANSLATE(D78,""en"",""zh-CN"")"),"一套休闲装扮。")</f>
        <v>一套休闲装扮。</v>
      </c>
      <c r="P78" s="5" t="str">
        <f>IFERROR(__xludf.DUMMYFUNCTION("GOOGLETRANSLATE(E78,""en"",""zh-CN"")"),"一套传统的中国功夫服。")</f>
        <v>一套传统的中国功夫服。</v>
      </c>
      <c r="Q78" s="5" t="str">
        <f>IFERROR(__xludf.DUMMYFUNCTION("GOOGLETRANSLATE(F78,""en"",""zh-CN"")"),"军装。")</f>
        <v>军装。</v>
      </c>
      <c r="R78" s="5" t="str">
        <f>IFERROR(__xludf.DUMMYFUNCTION("GOOGLETRANSLATE(G78,""en"",""zh-CN"")"),"校服。")</f>
        <v>校服。</v>
      </c>
      <c r="S78" s="5" t="s">
        <v>3007</v>
      </c>
      <c r="T78" s="5" t="str">
        <f>IFERROR(__xludf.DUMMYFUNCTION("GOOGLETRANSLATE(H78,""en"",""zh-CN"")"),"一套传统的中国功夫服。")</f>
        <v>一套传统的中国功夫服。</v>
      </c>
      <c r="U78" s="5" t="str">
        <f>IFERROR(__xludf.DUMMYFUNCTION("GOOGLETRANSLATE(I78,""en"",""zh-CN"")"),"孩子穿着宽松的黑色缎面制服，饰有白色滚边，这是一套经典的传统中国功夫服或称“伊夫服”。")</f>
        <v>孩子穿着宽松的黑色缎面制服，饰有白色滚边，这是一套经典的传统中国功夫服或称“伊夫服”。</v>
      </c>
      <c r="V78" s="2"/>
      <c r="W78" s="2"/>
      <c r="X78" s="2"/>
      <c r="Y78" s="2"/>
      <c r="Z78" s="2"/>
      <c r="AA78" s="2"/>
      <c r="AB78" s="2"/>
      <c r="AC78" s="2"/>
      <c r="AD78" s="2"/>
      <c r="AE78" s="2"/>
      <c r="AF78" s="2"/>
      <c r="AG78" s="2"/>
      <c r="AH78" s="2"/>
      <c r="AI78" s="2"/>
      <c r="AJ78" s="2"/>
      <c r="AK78" s="2"/>
      <c r="AL78" s="2"/>
    </row>
    <row r="79" ht="22.5" customHeight="1">
      <c r="A79" s="3" t="s">
        <v>3157</v>
      </c>
      <c r="B79" s="4">
        <v>78.0</v>
      </c>
      <c r="C79" s="3" t="s">
        <v>3162</v>
      </c>
      <c r="D79" s="3" t="s">
        <v>3163</v>
      </c>
      <c r="E79" s="3" t="s">
        <v>3164</v>
      </c>
      <c r="F79" s="3" t="s">
        <v>2936</v>
      </c>
      <c r="G79" s="3" t="s">
        <v>2937</v>
      </c>
      <c r="H79" s="3" t="s">
        <v>3164</v>
      </c>
      <c r="I79" s="3" t="s">
        <v>3165</v>
      </c>
      <c r="J79" s="2"/>
      <c r="K79" s="2"/>
      <c r="L79" s="3" t="s">
        <v>3157</v>
      </c>
      <c r="M79" s="4">
        <v>78.0</v>
      </c>
      <c r="N79" s="3" t="str">
        <f>IFERROR(__xludf.DUMMYFUNCTION("GOOGLETRANSLATE(C79,""en"",""zh-CN"")"),"孩子摆出了一个平衡的单腿站立姿势。这说明这种武术有什么特点？")</f>
        <v>孩子摆出了一个平衡的单腿站立姿势。这说明这种武术有什么特点？</v>
      </c>
      <c r="O79" s="5" t="str">
        <f>IFERROR(__xludf.DUMMYFUNCTION("GOOGLETRANSLATE(D79,""en"",""zh-CN"")"),"它非常静态且偏向防御。")</f>
        <v>它非常静态且偏向防御。</v>
      </c>
      <c r="P79" s="5" t="str">
        <f>IFERROR(__xludf.DUMMYFUNCTION("GOOGLETRANSLATE(E79,""en"",""zh-CN"")"),"这需要高度的平衡感和专注力。")</f>
        <v>这需要高度的平衡感和专注力。</v>
      </c>
      <c r="Q79" s="5" t="str">
        <f>IFERROR(__xludf.DUMMYFUNCTION("GOOGLETRANSLATE(F79,""en"",""zh-CN"")"),"它是一种缓慢而柔和的武术。")</f>
        <v>它是一种缓慢而柔和的武术。</v>
      </c>
      <c r="R79" s="5" t="str">
        <f>IFERROR(__xludf.DUMMYFUNCTION("GOOGLETRANSLATE(G79,""en"",""zh-CN"")"),"这是一种非常简单的武术。")</f>
        <v>这是一种非常简单的武术。</v>
      </c>
      <c r="S79" s="5" t="s">
        <v>3166</v>
      </c>
      <c r="T79" s="5" t="str">
        <f>IFERROR(__xludf.DUMMYFUNCTION("GOOGLETRANSLATE(H79,""en"",""zh-CN"")"),"这需要高度的平衡感和专注力。")</f>
        <v>这需要高度的平衡感和专注力。</v>
      </c>
      <c r="U79" s="5" t="str">
        <f>IFERROR(__xludf.DUMMYFUNCTION("GOOGLETRANSLATE(I79,""en"",""zh-CN"")"),"单腿站立，双臂伸展的姿势需要高度的平衡感、专注力和集中力。")</f>
        <v>单腿站立，双臂伸展的姿势需要高度的平衡感、专注力和集中力。</v>
      </c>
      <c r="V79" s="2"/>
      <c r="W79" s="2"/>
      <c r="X79" s="2"/>
      <c r="Y79" s="2"/>
      <c r="Z79" s="2"/>
      <c r="AA79" s="2"/>
      <c r="AB79" s="2"/>
      <c r="AC79" s="2"/>
      <c r="AD79" s="2"/>
      <c r="AE79" s="2"/>
      <c r="AF79" s="2"/>
      <c r="AG79" s="2"/>
      <c r="AH79" s="2"/>
      <c r="AI79" s="2"/>
      <c r="AJ79" s="2"/>
      <c r="AK79" s="2"/>
      <c r="AL79" s="2"/>
    </row>
    <row r="80" ht="22.5" customHeight="1">
      <c r="A80" s="3" t="s">
        <v>3157</v>
      </c>
      <c r="B80" s="4">
        <v>79.0</v>
      </c>
      <c r="C80" s="3" t="s">
        <v>3167</v>
      </c>
      <c r="D80" s="3" t="s">
        <v>3168</v>
      </c>
      <c r="E80" s="3" t="s">
        <v>3169</v>
      </c>
      <c r="F80" s="3" t="s">
        <v>569</v>
      </c>
      <c r="G80" s="3" t="s">
        <v>461</v>
      </c>
      <c r="H80" s="3" t="s">
        <v>3169</v>
      </c>
      <c r="I80" s="3" t="s">
        <v>3170</v>
      </c>
      <c r="J80" s="2"/>
      <c r="K80" s="2"/>
      <c r="L80" s="3" t="s">
        <v>3157</v>
      </c>
      <c r="M80" s="4">
        <v>79.0</v>
      </c>
      <c r="N80" s="3" t="str">
        <f>IFERROR(__xludf.DUMMYFUNCTION("GOOGLETRANSLATE(C80,""en"",""zh-CN"")"),"工作室设置的目的是什么？")</f>
        <v>工作室设置的目的是什么？</v>
      </c>
      <c r="O80" s="5" t="str">
        <f>IFERROR(__xludf.DUMMYFUNCTION("GOOGLETRANSLATE(D80,""en"",""zh-CN"")"),"这是一个很现实的地点。")</f>
        <v>这是一个很现实的地点。</v>
      </c>
      <c r="P80" s="5" t="str">
        <f>IFERROR(__xludf.DUMMYFUNCTION("GOOGLETRANSLATE(E80,""en"",""zh-CN"")"),"这是一个正式的、受控的环境。")</f>
        <v>这是一个正式的、受控的环境。</v>
      </c>
      <c r="Q80" s="5" t="str">
        <f>IFERROR(__xludf.DUMMYFUNCTION("GOOGLETRANSLATE(F80,""en"",""zh-CN"")"),"这是一种非正式的做法。")</f>
        <v>这是一种非正式的做法。</v>
      </c>
      <c r="R80" s="5" t="str">
        <f>IFERROR(__xludf.DUMMYFUNCTION("GOOGLETRANSLATE(G80,""en"",""zh-CN"")"),"这是一门私人课程。")</f>
        <v>这是一门私人课程。</v>
      </c>
      <c r="S80" s="5" t="s">
        <v>3171</v>
      </c>
      <c r="T80" s="5" t="str">
        <f>IFERROR(__xludf.DUMMYFUNCTION("GOOGLETRANSLATE(H80,""en"",""zh-CN"")"),"这是一个正式的、受控的环境。")</f>
        <v>这是一个正式的、受控的环境。</v>
      </c>
      <c r="U80" s="5" t="str">
        <f>IFERROR(__xludf.DUMMYFUNCTION("GOOGLETRANSLATE(I80,""en"",""zh-CN"")"),"纯白的背景和受控的灯光表明这张照片是摆拍的正式照片，很可能是为学校或示威活动拍摄的。")</f>
        <v>纯白的背景和受控的灯光表明这张照片是摆拍的正式照片，很可能是为学校或示威活动拍摄的。</v>
      </c>
      <c r="V80" s="2"/>
      <c r="W80" s="2"/>
      <c r="X80" s="2"/>
      <c r="Y80" s="2"/>
      <c r="Z80" s="2"/>
      <c r="AA80" s="2"/>
      <c r="AB80" s="2"/>
      <c r="AC80" s="2"/>
      <c r="AD80" s="2"/>
      <c r="AE80" s="2"/>
      <c r="AF80" s="2"/>
      <c r="AG80" s="2"/>
      <c r="AH80" s="2"/>
      <c r="AI80" s="2"/>
      <c r="AJ80" s="2"/>
      <c r="AK80" s="2"/>
      <c r="AL80" s="2"/>
    </row>
    <row r="81" ht="22.5" customHeight="1">
      <c r="A81" s="3" t="s">
        <v>3157</v>
      </c>
      <c r="B81" s="4">
        <v>80.0</v>
      </c>
      <c r="C81" s="3" t="s">
        <v>3012</v>
      </c>
      <c r="D81" s="3" t="s">
        <v>3013</v>
      </c>
      <c r="E81" s="3" t="s">
        <v>3014</v>
      </c>
      <c r="F81" s="3" t="s">
        <v>3015</v>
      </c>
      <c r="G81" s="3" t="s">
        <v>1360</v>
      </c>
      <c r="H81" s="3" t="s">
        <v>3014</v>
      </c>
      <c r="I81" s="3" t="s">
        <v>3016</v>
      </c>
      <c r="J81" s="2"/>
      <c r="K81" s="2"/>
      <c r="L81" s="3" t="s">
        <v>3157</v>
      </c>
      <c r="M81" s="4">
        <v>80.0</v>
      </c>
      <c r="N81" s="3" t="str">
        <f>IFERROR(__xludf.DUMMYFUNCTION("GOOGLETRANSLATE(C81,""en"",""zh-CN"")"),"从这张图片中可以推断出这款游戏具有怎样的文化意义？")</f>
        <v>从这张图片中可以推断出这款游戏具有怎样的文化意义？</v>
      </c>
      <c r="O81" s="5" t="str">
        <f>IFERROR(__xludf.DUMMYFUNCTION("GOOGLETRANSLATE(D81,""en"",""zh-CN"")"),"这是一项成人运动。")</f>
        <v>这是一项成人运动。</v>
      </c>
      <c r="P81" s="5" t="str">
        <f>IFERROR(__xludf.DUMMYFUNCTION("GOOGLETRANSLATE(E81,""en"",""zh-CN"")"),"这是一项孩子们可以学习和享受的运动。")</f>
        <v>这是一项孩子们可以学习和享受的运动。</v>
      </c>
      <c r="Q81" s="5" t="str">
        <f>IFERROR(__xludf.DUMMYFUNCTION("GOOGLETRANSLATE(F81,""en"",""zh-CN"")"),"这项运动对孩子来说太难了。")</f>
        <v>这项运动对孩子来说太难了。</v>
      </c>
      <c r="R81" s="5" t="str">
        <f>IFERROR(__xludf.DUMMYFUNCTION("GOOGLETRANSLATE(G81,""en"",""zh-CN"")"),"这是一项被遗忘的运动。")</f>
        <v>这是一项被遗忘的运动。</v>
      </c>
      <c r="S81" s="5" t="s">
        <v>3017</v>
      </c>
      <c r="T81" s="5" t="str">
        <f>IFERROR(__xludf.DUMMYFUNCTION("GOOGLETRANSLATE(H81,""en"",""zh-CN"")"),"这是一项孩子们可以学习和享受的运动。")</f>
        <v>这是一项孩子们可以学习和享受的运动。</v>
      </c>
      <c r="U81" s="5" t="str">
        <f>IFERROR(__xludf.DUMMYFUNCTION("GOOGLETRANSLATE(I81,""en"",""zh-CN"")"),"一张儿童摆出武术姿势的图片表明，这项运动很容易上手，小孩子也可以练习。")</f>
        <v>一张儿童摆出武术姿势的图片表明，这项运动很容易上手，小孩子也可以练习。</v>
      </c>
      <c r="V81" s="2"/>
      <c r="W81" s="2"/>
      <c r="X81" s="2"/>
      <c r="Y81" s="2"/>
      <c r="Z81" s="2"/>
      <c r="AA81" s="2"/>
      <c r="AB81" s="2"/>
      <c r="AC81" s="2"/>
      <c r="AD81" s="2"/>
      <c r="AE81" s="2"/>
      <c r="AF81" s="2"/>
      <c r="AG81" s="2"/>
      <c r="AH81" s="2"/>
      <c r="AI81" s="2"/>
      <c r="AJ81" s="2"/>
      <c r="AK81" s="2"/>
      <c r="AL81" s="2"/>
    </row>
    <row r="82" ht="22.5" customHeight="1">
      <c r="A82" s="3" t="s">
        <v>3172</v>
      </c>
      <c r="B82" s="4">
        <v>81.0</v>
      </c>
      <c r="C82" s="3" t="s">
        <v>1335</v>
      </c>
      <c r="D82" s="3" t="s">
        <v>2751</v>
      </c>
      <c r="E82" s="3" t="s">
        <v>3173</v>
      </c>
      <c r="F82" s="3" t="s">
        <v>3138</v>
      </c>
      <c r="G82" s="3" t="s">
        <v>3139</v>
      </c>
      <c r="H82" s="3" t="s">
        <v>3173</v>
      </c>
      <c r="I82" s="3" t="s">
        <v>3174</v>
      </c>
      <c r="J82" s="2"/>
      <c r="K82" s="2"/>
      <c r="L82" s="3" t="s">
        <v>3172</v>
      </c>
      <c r="M82" s="4">
        <v>81.0</v>
      </c>
      <c r="N82" s="3" t="str">
        <f>IFERROR(__xludf.DUMMYFUNCTION("GOOGLETRANSLATE(C82,""en"",""zh-CN"")"),"图中所示的中心活动是什么？")</f>
        <v>图中所示的中心活动是什么？</v>
      </c>
      <c r="O82" s="5" t="str">
        <f>IFERROR(__xludf.DUMMYFUNCTION("GOOGLETRANSLATE(D82,""en"",""zh-CN"")"),"一群人在伸展身体。")</f>
        <v>一群人在伸展身体。</v>
      </c>
      <c r="P82" s="5" t="str">
        <f>IFERROR(__xludf.DUMMYFUNCTION("GOOGLETRANSLATE(E82,""en"",""zh-CN"")"),"单人武术表演。")</f>
        <v>单人武术表演。</v>
      </c>
      <c r="Q82" s="5" t="str">
        <f>IFERROR(__xludf.DUMMYFUNCTION("GOOGLETRANSLATE(F82,""en"",""zh-CN"")"),"一群人正在跳舞。")</f>
        <v>一群人正在跳舞。</v>
      </c>
      <c r="R82" s="5" t="str">
        <f>IFERROR(__xludf.DUMMYFUNCTION("GOOGLETRANSLATE(G82,""en"",""zh-CN"")"),"一群人正在开会。")</f>
        <v>一群人正在开会。</v>
      </c>
      <c r="S82" s="5" t="s">
        <v>3175</v>
      </c>
      <c r="T82" s="5" t="str">
        <f>IFERROR(__xludf.DUMMYFUNCTION("GOOGLETRANSLATE(H82,""en"",""zh-CN"")"),"单人武术表演。")</f>
        <v>单人武术表演。</v>
      </c>
      <c r="U82" s="5" t="str">
        <f>IFERROR(__xludf.DUMMYFUNCTION("GOOGLETRANSLATE(I82,""en"",""zh-CN"")"),"图片前景中一个人摆出了经典的功夫姿势，背景中有一栋高楼和旗帜，这表明这是一场单人表演。")</f>
        <v>图片前景中一个人摆出了经典的功夫姿势，背景中有一栋高楼和旗帜，这表明这是一场单人表演。</v>
      </c>
      <c r="V82" s="2"/>
      <c r="W82" s="2"/>
      <c r="X82" s="2"/>
      <c r="Y82" s="2"/>
      <c r="Z82" s="2"/>
      <c r="AA82" s="2"/>
      <c r="AB82" s="2"/>
      <c r="AC82" s="2"/>
      <c r="AD82" s="2"/>
      <c r="AE82" s="2"/>
      <c r="AF82" s="2"/>
      <c r="AG82" s="2"/>
      <c r="AH82" s="2"/>
      <c r="AI82" s="2"/>
      <c r="AJ82" s="2"/>
      <c r="AK82" s="2"/>
      <c r="AL82" s="2"/>
    </row>
    <row r="83" ht="22.5" customHeight="1">
      <c r="A83" s="3" t="s">
        <v>3172</v>
      </c>
      <c r="B83" s="4">
        <v>82.0</v>
      </c>
      <c r="C83" s="3" t="s">
        <v>2821</v>
      </c>
      <c r="D83" s="3" t="s">
        <v>3176</v>
      </c>
      <c r="E83" s="3" t="s">
        <v>3177</v>
      </c>
      <c r="F83" s="3" t="s">
        <v>3178</v>
      </c>
      <c r="G83" s="3" t="s">
        <v>3179</v>
      </c>
      <c r="H83" s="3" t="s">
        <v>3177</v>
      </c>
      <c r="I83" s="3" t="s">
        <v>3180</v>
      </c>
      <c r="J83" s="2"/>
      <c r="K83" s="2"/>
      <c r="L83" s="3" t="s">
        <v>3172</v>
      </c>
      <c r="M83" s="4">
        <v>82.0</v>
      </c>
      <c r="N83" s="3" t="str">
        <f>IFERROR(__xludf.DUMMYFUNCTION("GOOGLETRANSLATE(C83,""en"",""zh-CN"")"),"该从业者的着装有什么显著特点？")</f>
        <v>该从业者的着装有什么显著特点？</v>
      </c>
      <c r="O83" s="5" t="str">
        <f>IFERROR(__xludf.DUMMYFUNCTION("GOOGLETRANSLATE(D83,""en"",""zh-CN"")"),"他穿着休闲装。")</f>
        <v>他穿着休闲装。</v>
      </c>
      <c r="P83" s="5" t="str">
        <f>IFERROR(__xludf.DUMMYFUNCTION("GOOGLETRANSLATE(E83,""en"",""zh-CN"")"),"他身穿传统的僧袍。")</f>
        <v>他身穿传统的僧袍。</v>
      </c>
      <c r="Q83" s="5" t="str">
        <f>IFERROR(__xludf.DUMMYFUNCTION("GOOGLETRANSLATE(F83,""en"",""zh-CN"")"),"他身穿军装。")</f>
        <v>他身穿军装。</v>
      </c>
      <c r="R83" s="5" t="str">
        <f>IFERROR(__xludf.DUMMYFUNCTION("GOOGLETRANSLATE(G83,""en"",""zh-CN"")"),"他穿着现代运动装备。")</f>
        <v>他穿着现代运动装备。</v>
      </c>
      <c r="S83" s="5" t="s">
        <v>3181</v>
      </c>
      <c r="T83" s="5" t="str">
        <f>IFERROR(__xludf.DUMMYFUNCTION("GOOGLETRANSLATE(H83,""en"",""zh-CN"")"),"他身穿传统的僧袍。")</f>
        <v>他身穿传统的僧袍。</v>
      </c>
      <c r="U83" s="5" t="str">
        <f>IFERROR(__xludf.DUMMYFUNCTION("GOOGLETRANSLATE(I83,""en"",""zh-CN"")"),"这位修行者身穿宽松的灰色长袍，腰间系着腰带，这是少林寺僧侣传统的典型服饰。")</f>
        <v>这位修行者身穿宽松的灰色长袍，腰间系着腰带，这是少林寺僧侣传统的典型服饰。</v>
      </c>
      <c r="V83" s="2"/>
      <c r="W83" s="2"/>
      <c r="X83" s="2"/>
      <c r="Y83" s="2"/>
      <c r="Z83" s="2"/>
      <c r="AA83" s="2"/>
      <c r="AB83" s="2"/>
      <c r="AC83" s="2"/>
      <c r="AD83" s="2"/>
      <c r="AE83" s="2"/>
      <c r="AF83" s="2"/>
      <c r="AG83" s="2"/>
      <c r="AH83" s="2"/>
      <c r="AI83" s="2"/>
      <c r="AJ83" s="2"/>
      <c r="AK83" s="2"/>
      <c r="AL83" s="2"/>
    </row>
    <row r="84" ht="22.5" customHeight="1">
      <c r="A84" s="3" t="s">
        <v>3172</v>
      </c>
      <c r="B84" s="4">
        <v>83.0</v>
      </c>
      <c r="C84" s="3" t="s">
        <v>2828</v>
      </c>
      <c r="D84" s="3" t="s">
        <v>2829</v>
      </c>
      <c r="E84" s="3" t="s">
        <v>2830</v>
      </c>
      <c r="F84" s="3" t="s">
        <v>1451</v>
      </c>
      <c r="G84" s="3" t="s">
        <v>540</v>
      </c>
      <c r="H84" s="3" t="s">
        <v>2829</v>
      </c>
      <c r="I84" s="3" t="s">
        <v>2831</v>
      </c>
      <c r="J84" s="2"/>
      <c r="K84" s="2"/>
      <c r="L84" s="3" t="s">
        <v>3172</v>
      </c>
      <c r="M84" s="4">
        <v>83.0</v>
      </c>
      <c r="N84" s="3" t="str">
        <f>IFERROR(__xludf.DUMMYFUNCTION("GOOGLETRANSLATE(C84,""en"",""zh-CN"")"),"练习者采用低而宽的站姿。这种姿势的目的是什么？")</f>
        <v>练习者采用低而宽的站姿。这种姿势的目的是什么？</v>
      </c>
      <c r="O84" s="5" t="str">
        <f>IFERROR(__xludf.DUMMYFUNCTION("GOOGLETRANSLATE(D84,""en"",""zh-CN"")"),"增强平衡能力和腿部力量。")</f>
        <v>增强平衡能力和腿部力量。</v>
      </c>
      <c r="P84" s="5" t="str">
        <f>IFERROR(__xludf.DUMMYFUNCTION("GOOGLETRANSLATE(E84,""en"",""zh-CN"")"),"为冲刺做准备。")</f>
        <v>为冲刺做准备。</v>
      </c>
      <c r="Q84" s="5" t="str">
        <f>IFERROR(__xludf.DUMMYFUNCTION("GOOGLETRANSLATE(F84,""en"",""zh-CN"")"),"休息。")</f>
        <v>休息。</v>
      </c>
      <c r="R84" s="5" t="str">
        <f>IFERROR(__xludf.DUMMYFUNCTION("GOOGLETRANSLATE(G84,""en"",""zh-CN"")"),"为了显得更具威慑力。")</f>
        <v>为了显得更具威慑力。</v>
      </c>
      <c r="S84" s="5" t="s">
        <v>2832</v>
      </c>
      <c r="T84" s="5" t="str">
        <f>IFERROR(__xludf.DUMMYFUNCTION("GOOGLETRANSLATE(H84,""en"",""zh-CN"")"),"增强平衡能力和腿部力量。")</f>
        <v>增强平衡能力和腿部力量。</v>
      </c>
      <c r="U84" s="5" t="str">
        <f>IFERROR(__xludf.DUMMYFUNCTION("GOOGLETRANSLATE(I84,""en"",""zh-CN"")"),"低姿是许多武术的基础，因为它可以降低重心，这对于建立稳固的基础、提高平衡能力和增强腿部力量至关重要。")</f>
        <v>低姿是许多武术的基础，因为它可以降低重心，这对于建立稳固的基础、提高平衡能力和增强腿部力量至关重要。</v>
      </c>
      <c r="V84" s="2"/>
      <c r="W84" s="2"/>
      <c r="X84" s="2"/>
      <c r="Y84" s="2"/>
      <c r="Z84" s="2"/>
      <c r="AA84" s="2"/>
      <c r="AB84" s="2"/>
      <c r="AC84" s="2"/>
      <c r="AD84" s="2"/>
      <c r="AE84" s="2"/>
      <c r="AF84" s="2"/>
      <c r="AG84" s="2"/>
      <c r="AH84" s="2"/>
      <c r="AI84" s="2"/>
      <c r="AJ84" s="2"/>
      <c r="AK84" s="2"/>
      <c r="AL84" s="2"/>
    </row>
    <row r="85" ht="22.5" customHeight="1">
      <c r="A85" s="3" t="s">
        <v>3172</v>
      </c>
      <c r="B85" s="4">
        <v>84.0</v>
      </c>
      <c r="C85" s="3" t="s">
        <v>3182</v>
      </c>
      <c r="D85" s="3" t="s">
        <v>3183</v>
      </c>
      <c r="E85" s="3" t="s">
        <v>3184</v>
      </c>
      <c r="F85" s="3" t="s">
        <v>3185</v>
      </c>
      <c r="G85" s="3" t="s">
        <v>3186</v>
      </c>
      <c r="H85" s="3" t="s">
        <v>3184</v>
      </c>
      <c r="I85" s="3" t="s">
        <v>3187</v>
      </c>
      <c r="J85" s="2"/>
      <c r="K85" s="2"/>
      <c r="L85" s="3" t="s">
        <v>3172</v>
      </c>
      <c r="M85" s="4">
        <v>84.0</v>
      </c>
      <c r="N85" s="3" t="str">
        <f>IFERROR(__xludf.DUMMYFUNCTION("GOOGLETRANSLATE(C85,""en"",""zh-CN"")"),"背景中可以看到中国和美国的国旗。这暗示着什么？")</f>
        <v>背景中可以看到中国和美国的国旗。这暗示着什么？</v>
      </c>
      <c r="O85" s="5" t="str">
        <f>IFERROR(__xludf.DUMMYFUNCTION("GOOGLETRANSLATE(D85,""en"",""zh-CN"")"),"该活动在美国举行。")</f>
        <v>该活动在美国举行。</v>
      </c>
      <c r="P85" s="5" t="str">
        <f>IFERROR(__xludf.DUMMYFUNCTION("GOOGLETRANSLATE(E85,""en"",""zh-CN"")"),"本次活动是中美文化交流活动。")</f>
        <v>本次活动是中美文化交流活动。</v>
      </c>
      <c r="Q85" s="5" t="str">
        <f>IFERROR(__xludf.DUMMYFUNCTION("GOOGLETRANSLATE(F85,""en"",""zh-CN"")"),"本次活动在中国举行。")</f>
        <v>本次活动在中国举行。</v>
      </c>
      <c r="R85" s="5" t="str">
        <f>IFERROR(__xludf.DUMMYFUNCTION("GOOGLETRANSLATE(G85,""en"",""zh-CN"")"),"这是一场阅兵式。")</f>
        <v>这是一场阅兵式。</v>
      </c>
      <c r="S85" s="5" t="s">
        <v>3188</v>
      </c>
      <c r="T85" s="5" t="str">
        <f>IFERROR(__xludf.DUMMYFUNCTION("GOOGLETRANSLATE(H85,""en"",""zh-CN"")"),"本次活动是中美文化交流活动。")</f>
        <v>本次活动是中美文化交流活动。</v>
      </c>
      <c r="U85" s="5" t="str">
        <f>IFERROR(__xludf.DUMMYFUNCTION("GOOGLETRANSLATE(I85,""en"",""zh-CN"")"),"两国国旗同时出现，表明中美之间存在文化交流或伙伴关系。")</f>
        <v>两国国旗同时出现，表明中美之间存在文化交流或伙伴关系。</v>
      </c>
      <c r="V85" s="2"/>
      <c r="W85" s="2"/>
      <c r="X85" s="2"/>
      <c r="Y85" s="2"/>
      <c r="Z85" s="2"/>
      <c r="AA85" s="2"/>
      <c r="AB85" s="2"/>
      <c r="AC85" s="2"/>
      <c r="AD85" s="2"/>
      <c r="AE85" s="2"/>
      <c r="AF85" s="2"/>
      <c r="AG85" s="2"/>
      <c r="AH85" s="2"/>
      <c r="AI85" s="2"/>
      <c r="AJ85" s="2"/>
      <c r="AK85" s="2"/>
      <c r="AL85" s="2"/>
    </row>
    <row r="86" ht="22.5" customHeight="1">
      <c r="A86" s="3" t="s">
        <v>3172</v>
      </c>
      <c r="B86" s="4">
        <v>85.0</v>
      </c>
      <c r="C86" s="3" t="s">
        <v>3189</v>
      </c>
      <c r="D86" s="3" t="s">
        <v>3190</v>
      </c>
      <c r="E86" s="3" t="s">
        <v>3191</v>
      </c>
      <c r="F86" s="3" t="s">
        <v>3192</v>
      </c>
      <c r="G86" s="3" t="s">
        <v>3193</v>
      </c>
      <c r="H86" s="3" t="s">
        <v>3192</v>
      </c>
      <c r="I86" s="3" t="s">
        <v>3194</v>
      </c>
      <c r="J86" s="2"/>
      <c r="K86" s="2"/>
      <c r="L86" s="3" t="s">
        <v>3172</v>
      </c>
      <c r="M86" s="4">
        <v>85.0</v>
      </c>
      <c r="N86" s="3" t="str">
        <f>IFERROR(__xludf.DUMMYFUNCTION("GOOGLETRANSLATE(C86,""en"",""zh-CN"")"),"背景建筑上的汉字是什么？")</f>
        <v>背景建筑上的汉字是什么？</v>
      </c>
      <c r="O86" s="5" t="str">
        <f>IFERROR(__xludf.DUMMYFUNCTION("GOOGLETRANSLATE(D86,""en"",""zh-CN"")"),"“龙”")</f>
        <v>“龙”</v>
      </c>
      <c r="P86" s="5" t="str">
        <f>IFERROR(__xludf.DUMMYFUNCTION("GOOGLETRANSLATE(E86,""en"",""zh-CN"")"),"“寺庙”")</f>
        <v>“寺庙”</v>
      </c>
      <c r="Q86" s="5" t="str">
        <f>IFERROR(__xludf.DUMMYFUNCTION("GOOGLETRANSLATE(F86,""en"",""zh-CN"")"),"少林寺")</f>
        <v>少林寺</v>
      </c>
      <c r="R86" s="5" t="str">
        <f>IFERROR(__xludf.DUMMYFUNCTION("GOOGLETRANSLATE(G86,""en"",""zh-CN"")"),"“功夫”")</f>
        <v>“功夫”</v>
      </c>
      <c r="S86" s="5" t="s">
        <v>3195</v>
      </c>
      <c r="T86" s="5" t="str">
        <f>IFERROR(__xludf.DUMMYFUNCTION("GOOGLETRANSLATE(H86,""en"",""zh-CN"")"),"少林寺")</f>
        <v>少林寺</v>
      </c>
      <c r="U86" s="5" t="str">
        <f>IFERROR(__xludf.DUMMYFUNCTION("GOOGLETRANSLATE(I86,""en"",""zh-CN"")"),"建筑物上的汉字是“少林寺”，翻译过来就是“Shàolín Sì”，即“少林寺”，表明活动是在这座著名的寺庙举行的。")</f>
        <v>建筑物上的汉字是“少林寺”，翻译过来就是“Shàolín Sì”，即“少林寺”，表明活动是在这座著名的寺庙举行的。</v>
      </c>
      <c r="V86" s="2"/>
      <c r="W86" s="2"/>
      <c r="X86" s="2"/>
      <c r="Y86" s="2"/>
      <c r="Z86" s="2"/>
      <c r="AA86" s="2"/>
      <c r="AB86" s="2"/>
      <c r="AC86" s="2"/>
      <c r="AD86" s="2"/>
      <c r="AE86" s="2"/>
      <c r="AF86" s="2"/>
      <c r="AG86" s="2"/>
      <c r="AH86" s="2"/>
      <c r="AI86" s="2"/>
      <c r="AJ86" s="2"/>
      <c r="AK86" s="2"/>
      <c r="AL86" s="2"/>
    </row>
    <row r="87" ht="22.5" customHeight="1">
      <c r="A87" s="3" t="s">
        <v>3196</v>
      </c>
      <c r="B87" s="4">
        <v>86.0</v>
      </c>
      <c r="C87" s="3" t="s">
        <v>1335</v>
      </c>
      <c r="D87" s="3" t="s">
        <v>3158</v>
      </c>
      <c r="E87" s="3" t="s">
        <v>2999</v>
      </c>
      <c r="F87" s="3" t="s">
        <v>3000</v>
      </c>
      <c r="G87" s="3" t="s">
        <v>3001</v>
      </c>
      <c r="H87" s="3" t="s">
        <v>3158</v>
      </c>
      <c r="I87" s="3" t="s">
        <v>3159</v>
      </c>
      <c r="J87" s="2"/>
      <c r="K87" s="2"/>
      <c r="L87" s="3" t="s">
        <v>3196</v>
      </c>
      <c r="M87" s="4">
        <v>86.0</v>
      </c>
      <c r="N87" s="3" t="str">
        <f>IFERROR(__xludf.DUMMYFUNCTION("GOOGLETRANSLATE(C87,""en"",""zh-CN"")"),"图中所示的中心活动是什么？")</f>
        <v>图中所示的中心活动是什么？</v>
      </c>
      <c r="O87" s="5" t="str">
        <f>IFERROR(__xludf.DUMMYFUNCTION("GOOGLETRANSLATE(D87,""en"",""zh-CN"")"),"一个孩子正在摆出武术姿势。")</f>
        <v>一个孩子正在摆出武术姿势。</v>
      </c>
      <c r="P87" s="5" t="str">
        <f>IFERROR(__xludf.DUMMYFUNCTION("GOOGLETRANSLATE(E87,""en"",""zh-CN"")"),"一个孩子正在表演舞蹈。")</f>
        <v>一个孩子正在表演舞蹈。</v>
      </c>
      <c r="Q87" s="5" t="str">
        <f>IFERROR(__xludf.DUMMYFUNCTION("GOOGLETRANSLATE(F87,""en"",""zh-CN"")"),"一个孩子在玩耍。")</f>
        <v>一个孩子在玩耍。</v>
      </c>
      <c r="R87" s="5" t="str">
        <f>IFERROR(__xludf.DUMMYFUNCTION("GOOGLETRANSLATE(G87,""en"",""zh-CN"")"),"一个孩子正在做体操动作。")</f>
        <v>一个孩子正在做体操动作。</v>
      </c>
      <c r="S87" s="5" t="s">
        <v>3160</v>
      </c>
      <c r="T87" s="5" t="str">
        <f>IFERROR(__xludf.DUMMYFUNCTION("GOOGLETRANSLATE(H87,""en"",""zh-CN"")"),"一个孩子正在摆出武术姿势。")</f>
        <v>一个孩子正在摆出武术姿势。</v>
      </c>
      <c r="U87" s="5" t="str">
        <f>IFERROR(__xludf.DUMMYFUNCTION("GOOGLETRANSLATE(I87,""en"",""zh-CN"")"),"这张照片是在摄影棚拍摄的，照片中一名儿童身穿武术服，摆出经典的功夫姿势，展示了平衡感和动作规范。")</f>
        <v>这张照片是在摄影棚拍摄的，照片中一名儿童身穿武术服，摆出经典的功夫姿势，展示了平衡感和动作规范。</v>
      </c>
      <c r="V87" s="2"/>
      <c r="W87" s="2"/>
      <c r="X87" s="2"/>
      <c r="Y87" s="2"/>
      <c r="Z87" s="2"/>
      <c r="AA87" s="2"/>
      <c r="AB87" s="2"/>
      <c r="AC87" s="2"/>
      <c r="AD87" s="2"/>
      <c r="AE87" s="2"/>
      <c r="AF87" s="2"/>
      <c r="AG87" s="2"/>
      <c r="AH87" s="2"/>
      <c r="AI87" s="2"/>
      <c r="AJ87" s="2"/>
      <c r="AK87" s="2"/>
      <c r="AL87" s="2"/>
    </row>
    <row r="88" ht="22.5" customHeight="1">
      <c r="A88" s="3" t="s">
        <v>3196</v>
      </c>
      <c r="B88" s="4">
        <v>87.0</v>
      </c>
      <c r="C88" s="3" t="s">
        <v>3004</v>
      </c>
      <c r="D88" s="3" t="s">
        <v>2941</v>
      </c>
      <c r="E88" s="3" t="s">
        <v>3197</v>
      </c>
      <c r="F88" s="3" t="s">
        <v>2942</v>
      </c>
      <c r="G88" s="3" t="s">
        <v>3005</v>
      </c>
      <c r="H88" s="3" t="s">
        <v>3197</v>
      </c>
      <c r="I88" s="3" t="s">
        <v>3198</v>
      </c>
      <c r="J88" s="2"/>
      <c r="K88" s="2"/>
      <c r="L88" s="3" t="s">
        <v>3196</v>
      </c>
      <c r="M88" s="4">
        <v>87.0</v>
      </c>
      <c r="N88" s="3" t="str">
        <f>IFERROR(__xludf.DUMMYFUNCTION("GOOGLETRANSLATE(C88,""en"",""zh-CN"")"),"这名儿童的穿着有什么显著特点？")</f>
        <v>这名儿童的穿着有什么显著特点？</v>
      </c>
      <c r="O88" s="5" t="str">
        <f>IFERROR(__xludf.DUMMYFUNCTION("GOOGLETRANSLATE(D88,""en"",""zh-CN"")"),"一套休闲装扮。")</f>
        <v>一套休闲装扮。</v>
      </c>
      <c r="P88" s="5" t="str">
        <f>IFERROR(__xludf.DUMMYFUNCTION("GOOGLETRANSLATE(E88,""en"",""zh-CN"")"),"少林僧人的传统服饰。")</f>
        <v>少林僧人的传统服饰。</v>
      </c>
      <c r="Q88" s="5" t="str">
        <f>IFERROR(__xludf.DUMMYFUNCTION("GOOGLETRANSLATE(F88,""en"",""zh-CN"")"),"军装。")</f>
        <v>军装。</v>
      </c>
      <c r="R88" s="5" t="str">
        <f>IFERROR(__xludf.DUMMYFUNCTION("GOOGLETRANSLATE(G88,""en"",""zh-CN"")"),"校服。")</f>
        <v>校服。</v>
      </c>
      <c r="S88" s="5" t="s">
        <v>3199</v>
      </c>
      <c r="T88" s="5" t="str">
        <f>IFERROR(__xludf.DUMMYFUNCTION("GOOGLETRANSLATE(H88,""en"",""zh-CN"")"),"少林僧人的传统服饰。")</f>
        <v>少林僧人的传统服饰。</v>
      </c>
      <c r="U88" s="5" t="str">
        <f>IFERROR(__xludf.DUMMYFUNCTION("GOOGLETRANSLATE(I88,""en"",""zh-CN"")"),"孩子身穿宽松的橙色长袍，系着黑色腰带，穿着黄色紧身裤，这是经典的少林僧侣制服。")</f>
        <v>孩子身穿宽松的橙色长袍，系着黑色腰带，穿着黄色紧身裤，这是经典的少林僧侣制服。</v>
      </c>
      <c r="V88" s="2"/>
      <c r="W88" s="2"/>
      <c r="X88" s="2"/>
      <c r="Y88" s="2"/>
      <c r="Z88" s="2"/>
      <c r="AA88" s="2"/>
      <c r="AB88" s="2"/>
      <c r="AC88" s="2"/>
      <c r="AD88" s="2"/>
      <c r="AE88" s="2"/>
      <c r="AF88" s="2"/>
      <c r="AG88" s="2"/>
      <c r="AH88" s="2"/>
      <c r="AI88" s="2"/>
      <c r="AJ88" s="2"/>
      <c r="AK88" s="2"/>
      <c r="AL88" s="2"/>
    </row>
    <row r="89" ht="22.5" customHeight="1">
      <c r="A89" s="3" t="s">
        <v>3196</v>
      </c>
      <c r="B89" s="4">
        <v>88.0</v>
      </c>
      <c r="C89" s="3" t="s">
        <v>3162</v>
      </c>
      <c r="D89" s="3" t="s">
        <v>3163</v>
      </c>
      <c r="E89" s="3" t="s">
        <v>3164</v>
      </c>
      <c r="F89" s="3" t="s">
        <v>2936</v>
      </c>
      <c r="G89" s="3" t="s">
        <v>2937</v>
      </c>
      <c r="H89" s="3" t="s">
        <v>3164</v>
      </c>
      <c r="I89" s="3" t="s">
        <v>3165</v>
      </c>
      <c r="J89" s="2"/>
      <c r="K89" s="2"/>
      <c r="L89" s="3" t="s">
        <v>3196</v>
      </c>
      <c r="M89" s="4">
        <v>88.0</v>
      </c>
      <c r="N89" s="3" t="str">
        <f>IFERROR(__xludf.DUMMYFUNCTION("GOOGLETRANSLATE(C89,""en"",""zh-CN"")"),"孩子摆出了一个平衡的单腿站立姿势。这说明这种武术有什么特点？")</f>
        <v>孩子摆出了一个平衡的单腿站立姿势。这说明这种武术有什么特点？</v>
      </c>
      <c r="O89" s="5" t="str">
        <f>IFERROR(__xludf.DUMMYFUNCTION("GOOGLETRANSLATE(D89,""en"",""zh-CN"")"),"它非常静态且偏向防御。")</f>
        <v>它非常静态且偏向防御。</v>
      </c>
      <c r="P89" s="5" t="str">
        <f>IFERROR(__xludf.DUMMYFUNCTION("GOOGLETRANSLATE(E89,""en"",""zh-CN"")"),"这需要高度的平衡感和专注力。")</f>
        <v>这需要高度的平衡感和专注力。</v>
      </c>
      <c r="Q89" s="5" t="str">
        <f>IFERROR(__xludf.DUMMYFUNCTION("GOOGLETRANSLATE(F89,""en"",""zh-CN"")"),"它是一种缓慢而柔和的武术。")</f>
        <v>它是一种缓慢而柔和的武术。</v>
      </c>
      <c r="R89" s="5" t="str">
        <f>IFERROR(__xludf.DUMMYFUNCTION("GOOGLETRANSLATE(G89,""en"",""zh-CN"")"),"这是一种非常简单的武术。")</f>
        <v>这是一种非常简单的武术。</v>
      </c>
      <c r="S89" s="5" t="s">
        <v>3166</v>
      </c>
      <c r="T89" s="5" t="str">
        <f>IFERROR(__xludf.DUMMYFUNCTION("GOOGLETRANSLATE(H89,""en"",""zh-CN"")"),"这需要高度的平衡感和专注力。")</f>
        <v>这需要高度的平衡感和专注力。</v>
      </c>
      <c r="U89" s="5" t="str">
        <f>IFERROR(__xludf.DUMMYFUNCTION("GOOGLETRANSLATE(I89,""en"",""zh-CN"")"),"单腿站立，双臂伸展的姿势需要高度的平衡感、专注力和集中力。")</f>
        <v>单腿站立，双臂伸展的姿势需要高度的平衡感、专注力和集中力。</v>
      </c>
      <c r="V89" s="2"/>
      <c r="W89" s="2"/>
      <c r="X89" s="2"/>
      <c r="Y89" s="2"/>
      <c r="Z89" s="2"/>
      <c r="AA89" s="2"/>
      <c r="AB89" s="2"/>
      <c r="AC89" s="2"/>
      <c r="AD89" s="2"/>
      <c r="AE89" s="2"/>
      <c r="AF89" s="2"/>
      <c r="AG89" s="2"/>
      <c r="AH89" s="2"/>
      <c r="AI89" s="2"/>
      <c r="AJ89" s="2"/>
      <c r="AK89" s="2"/>
      <c r="AL89" s="2"/>
    </row>
    <row r="90" ht="22.5" customHeight="1">
      <c r="A90" s="3" t="s">
        <v>3196</v>
      </c>
      <c r="B90" s="4">
        <v>89.0</v>
      </c>
      <c r="C90" s="3" t="s">
        <v>3200</v>
      </c>
      <c r="D90" s="3" t="s">
        <v>3201</v>
      </c>
      <c r="E90" s="3" t="s">
        <v>3202</v>
      </c>
      <c r="F90" s="3" t="s">
        <v>3203</v>
      </c>
      <c r="G90" s="3" t="s">
        <v>1451</v>
      </c>
      <c r="H90" s="3" t="s">
        <v>3202</v>
      </c>
      <c r="I90" s="3" t="s">
        <v>3204</v>
      </c>
      <c r="J90" s="2"/>
      <c r="K90" s="2"/>
      <c r="L90" s="3" t="s">
        <v>3196</v>
      </c>
      <c r="M90" s="4">
        <v>89.0</v>
      </c>
      <c r="N90" s="3" t="str">
        <f>IFERROR(__xludf.DUMMYFUNCTION("GOOGLETRANSLATE(C90,""en"",""zh-CN"")"),"孩子站在一根小木杆上。这样做的目的是什么？")</f>
        <v>孩子站在一根小木杆上。这样做的目的是什么？</v>
      </c>
      <c r="O90" s="5" t="str">
        <f>IFERROR(__xludf.DUMMYFUNCTION("GOOGLETRANSLATE(D90,""en"",""zh-CN"")"),"表演一个简单的魔术。")</f>
        <v>表演一个简单的魔术。</v>
      </c>
      <c r="P90" s="5" t="str">
        <f>IFERROR(__xludf.DUMMYFUNCTION("GOOGLETRANSLATE(E90,""en"",""zh-CN"")"),"展现出高度的平衡能力。")</f>
        <v>展现出高度的平衡能力。</v>
      </c>
      <c r="Q90" s="5" t="str">
        <f>IFERROR(__xludf.DUMMYFUNCTION("GOOGLETRANSLATE(F90,""en"",""zh-CN"")"),"为了炫耀他的鞋子。")</f>
        <v>为了炫耀他的鞋子。</v>
      </c>
      <c r="R90" s="5" t="str">
        <f>IFERROR(__xludf.DUMMYFUNCTION("GOOGLETRANSLATE(G90,""en"",""zh-CN"")"),"休息。")</f>
        <v>休息。</v>
      </c>
      <c r="S90" s="5" t="s">
        <v>3205</v>
      </c>
      <c r="T90" s="5" t="str">
        <f>IFERROR(__xludf.DUMMYFUNCTION("GOOGLETRANSLATE(H90,""en"",""zh-CN"")"),"展现出高度的平衡能力。")</f>
        <v>展现出高度的平衡能力。</v>
      </c>
      <c r="U90" s="5" t="str">
        <f>IFERROR(__xludf.DUMMYFUNCTION("GOOGLETRANSLATE(I90,""en"",""zh-CN"")"),"站在狭窄的高台上是一种常见的训练方法，也是对练习者卓越平衡性和稳定性的展示。")</f>
        <v>站在狭窄的高台上是一种常见的训练方法，也是对练习者卓越平衡性和稳定性的展示。</v>
      </c>
      <c r="V90" s="2"/>
      <c r="W90" s="2"/>
      <c r="X90" s="2"/>
      <c r="Y90" s="2"/>
      <c r="Z90" s="2"/>
      <c r="AA90" s="2"/>
      <c r="AB90" s="2"/>
      <c r="AC90" s="2"/>
      <c r="AD90" s="2"/>
      <c r="AE90" s="2"/>
      <c r="AF90" s="2"/>
      <c r="AG90" s="2"/>
      <c r="AH90" s="2"/>
      <c r="AI90" s="2"/>
      <c r="AJ90" s="2"/>
      <c r="AK90" s="2"/>
      <c r="AL90" s="2"/>
    </row>
    <row r="91" ht="22.5" customHeight="1">
      <c r="A91" s="3" t="s">
        <v>3196</v>
      </c>
      <c r="B91" s="4">
        <v>90.0</v>
      </c>
      <c r="C91" s="3" t="s">
        <v>3206</v>
      </c>
      <c r="D91" s="3" t="s">
        <v>3207</v>
      </c>
      <c r="E91" s="3" t="s">
        <v>3208</v>
      </c>
      <c r="F91" s="3" t="s">
        <v>3209</v>
      </c>
      <c r="G91" s="3" t="s">
        <v>3210</v>
      </c>
      <c r="H91" s="3" t="s">
        <v>3208</v>
      </c>
      <c r="I91" s="3" t="s">
        <v>3211</v>
      </c>
      <c r="J91" s="2"/>
      <c r="K91" s="2"/>
      <c r="L91" s="3" t="s">
        <v>3196</v>
      </c>
      <c r="M91" s="4">
        <v>90.0</v>
      </c>
      <c r="N91" s="3" t="str">
        <f>IFERROR(__xludf.DUMMYFUNCTION("GOOGLETRANSLATE(C91,""en"",""zh-CN"")"),"背景是一座中国传统建筑。这暗示着什么？")</f>
        <v>背景是一座中国传统建筑。这暗示着什么？</v>
      </c>
      <c r="O91" s="5" t="str">
        <f>IFERROR(__xludf.DUMMYFUNCTION("GOOGLETRANSLATE(D91,""en"",""zh-CN"")"),"这件事就像电影场景一样。")</f>
        <v>这件事就像电影场景一样。</v>
      </c>
      <c r="P91" s="5" t="str">
        <f>IFERROR(__xludf.DUMMYFUNCTION("GOOGLETRANSLATE(E91,""en"",""zh-CN"")"),"活动在一座传统的中国寺庙举行。")</f>
        <v>活动在一座传统的中国寺庙举行。</v>
      </c>
      <c r="Q91" s="5" t="str">
        <f>IFERROR(__xludf.DUMMYFUNCTION("GOOGLETRANSLATE(F91,""en"",""zh-CN"")"),"这是一场现代示威活动。")</f>
        <v>这是一场现代示威活动。</v>
      </c>
      <c r="R91" s="5" t="str">
        <f>IFERROR(__xludf.DUMMYFUNCTION("GOOGLETRANSLATE(G91,""en"",""zh-CN"")"),"这项活动属于非正式练习。")</f>
        <v>这项活动属于非正式练习。</v>
      </c>
      <c r="S91" s="5" t="s">
        <v>3212</v>
      </c>
      <c r="T91" s="5" t="str">
        <f>IFERROR(__xludf.DUMMYFUNCTION("GOOGLETRANSLATE(H91,""en"",""zh-CN"")"),"活动在一座传统的中国寺庙举行。")</f>
        <v>活动在一座传统的中国寺庙举行。</v>
      </c>
      <c r="U91" s="5" t="str">
        <f>IFERROR(__xludf.DUMMYFUNCTION("GOOGLETRANSLATE(I91,""en"",""zh-CN"")"),"背景中带有弧形屋顶的传统建筑，以及僧侣的服饰，表明该活动是在中国传统寺庙或类似场所举行的。")</f>
        <v>背景中带有弧形屋顶的传统建筑，以及僧侣的服饰，表明该活动是在中国传统寺庙或类似场所举行的。</v>
      </c>
      <c r="V91" s="2"/>
      <c r="W91" s="2"/>
      <c r="X91" s="2"/>
      <c r="Y91" s="2"/>
      <c r="Z91" s="2"/>
      <c r="AA91" s="2"/>
      <c r="AB91" s="2"/>
      <c r="AC91" s="2"/>
      <c r="AD91" s="2"/>
      <c r="AE91" s="2"/>
      <c r="AF91" s="2"/>
      <c r="AG91" s="2"/>
      <c r="AH91" s="2"/>
      <c r="AI91" s="2"/>
      <c r="AJ91" s="2"/>
      <c r="AK91" s="2"/>
      <c r="AL91" s="2"/>
    </row>
    <row r="92" ht="22.5" customHeight="1">
      <c r="A92" s="3" t="s">
        <v>3213</v>
      </c>
      <c r="B92" s="4">
        <v>91.0</v>
      </c>
      <c r="C92" s="3" t="s">
        <v>1335</v>
      </c>
      <c r="D92" s="3" t="s">
        <v>3137</v>
      </c>
      <c r="E92" s="3" t="s">
        <v>2751</v>
      </c>
      <c r="F92" s="3" t="s">
        <v>3138</v>
      </c>
      <c r="G92" s="3" t="s">
        <v>3139</v>
      </c>
      <c r="H92" s="3" t="s">
        <v>3137</v>
      </c>
      <c r="I92" s="3" t="s">
        <v>3140</v>
      </c>
      <c r="J92" s="2"/>
      <c r="K92" s="2"/>
      <c r="L92" s="3" t="s">
        <v>3213</v>
      </c>
      <c r="M92" s="4">
        <v>91.0</v>
      </c>
      <c r="N92" s="3" t="str">
        <f>IFERROR(__xludf.DUMMYFUNCTION("GOOGLETRANSLATE(C92,""en"",""zh-CN"")"),"图中所示的中心活动是什么？")</f>
        <v>图中所示的中心活动是什么？</v>
      </c>
      <c r="O92" s="5" t="str">
        <f>IFERROR(__xludf.DUMMYFUNCTION("GOOGLETRANSLATE(D92,""en"",""zh-CN"")"),"一群人正在表演一套同步武术动作。")</f>
        <v>一群人正在表演一套同步武术动作。</v>
      </c>
      <c r="P92" s="5" t="str">
        <f>IFERROR(__xludf.DUMMYFUNCTION("GOOGLETRANSLATE(E92,""en"",""zh-CN"")"),"一群人在伸展身体。")</f>
        <v>一群人在伸展身体。</v>
      </c>
      <c r="Q92" s="5" t="str">
        <f>IFERROR(__xludf.DUMMYFUNCTION("GOOGLETRANSLATE(F92,""en"",""zh-CN"")"),"一群人正在跳舞。")</f>
        <v>一群人正在跳舞。</v>
      </c>
      <c r="R92" s="5" t="str">
        <f>IFERROR(__xludf.DUMMYFUNCTION("GOOGLETRANSLATE(G92,""en"",""zh-CN"")"),"一群人正在开会。")</f>
        <v>一群人正在开会。</v>
      </c>
      <c r="S92" s="5" t="s">
        <v>3141</v>
      </c>
      <c r="T92" s="5" t="str">
        <f>IFERROR(__xludf.DUMMYFUNCTION("GOOGLETRANSLATE(H92,""en"",""zh-CN"")"),"一群人正在表演一套同步武术动作。")</f>
        <v>一群人正在表演一套同步武术动作。</v>
      </c>
      <c r="U92" s="5" t="str">
        <f>IFERROR(__xludf.DUMMYFUNCTION("GOOGLETRANSLATE(I92,""en"",""zh-CN"")"),"图片显示一大群身着统一制服的人整齐划一地摆出相同的武术姿势，这是同步武术表演的典型特征。")</f>
        <v>图片显示一大群身着统一制服的人整齐划一地摆出相同的武术姿势，这是同步武术表演的典型特征。</v>
      </c>
      <c r="V92" s="2"/>
      <c r="W92" s="2"/>
      <c r="X92" s="2"/>
      <c r="Y92" s="2"/>
      <c r="Z92" s="2"/>
      <c r="AA92" s="2"/>
      <c r="AB92" s="2"/>
      <c r="AC92" s="2"/>
      <c r="AD92" s="2"/>
      <c r="AE92" s="2"/>
      <c r="AF92" s="2"/>
      <c r="AG92" s="2"/>
      <c r="AH92" s="2"/>
      <c r="AI92" s="2"/>
      <c r="AJ92" s="2"/>
      <c r="AK92" s="2"/>
      <c r="AL92" s="2"/>
    </row>
    <row r="93" ht="22.5" customHeight="1">
      <c r="A93" s="3" t="s">
        <v>3213</v>
      </c>
      <c r="B93" s="4">
        <v>92.0</v>
      </c>
      <c r="C93" s="3" t="s">
        <v>2907</v>
      </c>
      <c r="D93" s="3" t="s">
        <v>2908</v>
      </c>
      <c r="E93" s="3" t="s">
        <v>2909</v>
      </c>
      <c r="F93" s="3" t="s">
        <v>2910</v>
      </c>
      <c r="G93" s="3" t="s">
        <v>2911</v>
      </c>
      <c r="H93" s="3" t="s">
        <v>2909</v>
      </c>
      <c r="I93" s="3" t="s">
        <v>2912</v>
      </c>
      <c r="J93" s="2"/>
      <c r="K93" s="2"/>
      <c r="L93" s="3" t="s">
        <v>3213</v>
      </c>
      <c r="M93" s="4">
        <v>92.0</v>
      </c>
      <c r="N93" s="3" t="str">
        <f>IFERROR(__xludf.DUMMYFUNCTION("GOOGLETRANSLATE(C93,""en"",""zh-CN"")"),"从业者的服装有什么显著特点？")</f>
        <v>从业者的服装有什么显著特点？</v>
      </c>
      <c r="O93" s="5" t="str">
        <f>IFERROR(__xludf.DUMMYFUNCTION("GOOGLETRANSLATE(D93,""en"",""zh-CN"")"),"他们穿着休闲服装。")</f>
        <v>他们穿着休闲服装。</v>
      </c>
      <c r="P93" s="5" t="str">
        <f>IFERROR(__xludf.DUMMYFUNCTION("GOOGLETRANSLATE(E93,""en"",""zh-CN"")"),"他们身穿传统的僧袍。")</f>
        <v>他们身穿传统的僧袍。</v>
      </c>
      <c r="Q93" s="5" t="str">
        <f>IFERROR(__xludf.DUMMYFUNCTION("GOOGLETRANSLATE(F93,""en"",""zh-CN"")"),"他们身穿军装。")</f>
        <v>他们身穿军装。</v>
      </c>
      <c r="R93" s="5" t="str">
        <f>IFERROR(__xludf.DUMMYFUNCTION("GOOGLETRANSLATE(G93,""en"",""zh-CN"")"),"他们穿着现代运动装备。")</f>
        <v>他们穿着现代运动装备。</v>
      </c>
      <c r="S93" s="5" t="s">
        <v>2913</v>
      </c>
      <c r="T93" s="5" t="str">
        <f>IFERROR(__xludf.DUMMYFUNCTION("GOOGLETRANSLATE(H93,""en"",""zh-CN"")"),"他们身穿传统的僧袍。")</f>
        <v>他们身穿传统的僧袍。</v>
      </c>
      <c r="U93" s="5" t="str">
        <f>IFERROR(__xludf.DUMMYFUNCTION("GOOGLETRANSLATE(I93,""en"",""zh-CN"")"),"修行者们身穿宽松的橙色僧袍，这是少林寺僧侣传统的典型僧袍。")</f>
        <v>修行者们身穿宽松的橙色僧袍，这是少林寺僧侣传统的典型僧袍。</v>
      </c>
      <c r="V93" s="2"/>
      <c r="W93" s="2"/>
      <c r="X93" s="2"/>
      <c r="Y93" s="2"/>
      <c r="Z93" s="2"/>
      <c r="AA93" s="2"/>
      <c r="AB93" s="2"/>
      <c r="AC93" s="2"/>
      <c r="AD93" s="2"/>
      <c r="AE93" s="2"/>
      <c r="AF93" s="2"/>
      <c r="AG93" s="2"/>
      <c r="AH93" s="2"/>
      <c r="AI93" s="2"/>
      <c r="AJ93" s="2"/>
      <c r="AK93" s="2"/>
      <c r="AL93" s="2"/>
    </row>
    <row r="94" ht="22.5" customHeight="1">
      <c r="A94" s="3" t="s">
        <v>3213</v>
      </c>
      <c r="B94" s="4">
        <v>93.0</v>
      </c>
      <c r="C94" s="3" t="s">
        <v>3143</v>
      </c>
      <c r="D94" s="3" t="s">
        <v>3144</v>
      </c>
      <c r="E94" s="3" t="s">
        <v>1201</v>
      </c>
      <c r="F94" s="3" t="s">
        <v>3146</v>
      </c>
      <c r="G94" s="3" t="s">
        <v>3147</v>
      </c>
      <c r="H94" s="3" t="s">
        <v>3147</v>
      </c>
      <c r="I94" s="3" t="s">
        <v>3214</v>
      </c>
      <c r="J94" s="2"/>
      <c r="K94" s="2"/>
      <c r="L94" s="3" t="s">
        <v>3213</v>
      </c>
      <c r="M94" s="4">
        <v>93.0</v>
      </c>
      <c r="N94" s="3" t="str">
        <f>IFERROR(__xludf.DUMMYFUNCTION("GOOGLETRANSLATE(C94,""en"",""zh-CN"")"),"本次培训课程的地点是哪里？")</f>
        <v>本次培训课程的地点是哪里？</v>
      </c>
      <c r="O94" s="5" t="str">
        <f>IFERROR(__xludf.DUMMYFUNCTION("GOOGLETRANSLATE(D94,""en"",""zh-CN"")"),"一个大型露天体育场。")</f>
        <v>一个大型露天体育场。</v>
      </c>
      <c r="P94" s="5" t="str">
        <f>IFERROR(__xludf.DUMMYFUNCTION("GOOGLETRANSLATE(E94,""en"",""zh-CN"")"),"室内工作室。")</f>
        <v>室内工作室。</v>
      </c>
      <c r="Q94" s="5" t="str">
        <f>IFERROR(__xludf.DUMMYFUNCTION("GOOGLETRANSLATE(F94,""en"",""zh-CN"")"),"一座乡村寺庙。")</f>
        <v>一座乡村寺庙。</v>
      </c>
      <c r="R94" s="5" t="str">
        <f>IFERROR(__xludf.DUMMYFUNCTION("GOOGLETRANSLATE(G94,""en"",""zh-CN"")"),"一个公共公园。")</f>
        <v>一个公共公园。</v>
      </c>
      <c r="S94" s="5" t="s">
        <v>3215</v>
      </c>
      <c r="T94" s="5" t="str">
        <f>IFERROR(__xludf.DUMMYFUNCTION("GOOGLETRANSLATE(H94,""en"",""zh-CN"")"),"一个公共公园。")</f>
        <v>一个公共公园。</v>
      </c>
      <c r="U94" s="5" t="str">
        <f>IFERROR(__xludf.DUMMYFUNCTION("GOOGLETRANSLATE(I94,""en"",""zh-CN"")"),"图片显示的是一片开阔的空地，背景中有树木和一座传统建筑，这表明这里可能是公园或寺庙庭院。")</f>
        <v>图片显示的是一片开阔的空地，背景中有树木和一座传统建筑，这表明这里可能是公园或寺庙庭院。</v>
      </c>
      <c r="V94" s="2"/>
      <c r="W94" s="2"/>
      <c r="X94" s="2"/>
      <c r="Y94" s="2"/>
      <c r="Z94" s="2"/>
      <c r="AA94" s="2"/>
      <c r="AB94" s="2"/>
      <c r="AC94" s="2"/>
      <c r="AD94" s="2"/>
      <c r="AE94" s="2"/>
      <c r="AF94" s="2"/>
      <c r="AG94" s="2"/>
      <c r="AH94" s="2"/>
      <c r="AI94" s="2"/>
      <c r="AJ94" s="2"/>
      <c r="AK94" s="2"/>
      <c r="AL94" s="2"/>
    </row>
    <row r="95" ht="22.5" customHeight="1">
      <c r="A95" s="3" t="s">
        <v>3213</v>
      </c>
      <c r="B95" s="4">
        <v>94.0</v>
      </c>
      <c r="C95" s="3" t="s">
        <v>3100</v>
      </c>
      <c r="D95" s="3" t="s">
        <v>2829</v>
      </c>
      <c r="E95" s="3" t="s">
        <v>2830</v>
      </c>
      <c r="F95" s="3" t="s">
        <v>1451</v>
      </c>
      <c r="G95" s="3" t="s">
        <v>540</v>
      </c>
      <c r="H95" s="3" t="s">
        <v>2829</v>
      </c>
      <c r="I95" s="3" t="s">
        <v>2831</v>
      </c>
      <c r="J95" s="2"/>
      <c r="K95" s="2"/>
      <c r="L95" s="3" t="s">
        <v>3213</v>
      </c>
      <c r="M95" s="4">
        <v>94.0</v>
      </c>
      <c r="N95" s="3" t="str">
        <f>IFERROR(__xludf.DUMMYFUNCTION("GOOGLETRANSLATE(C95,""en"",""zh-CN"")"),"低而宽的站姿有什么目的？")</f>
        <v>低而宽的站姿有什么目的？</v>
      </c>
      <c r="O95" s="5" t="str">
        <f>IFERROR(__xludf.DUMMYFUNCTION("GOOGLETRANSLATE(D95,""en"",""zh-CN"")"),"增强平衡能力和腿部力量。")</f>
        <v>增强平衡能力和腿部力量。</v>
      </c>
      <c r="P95" s="5" t="str">
        <f>IFERROR(__xludf.DUMMYFUNCTION("GOOGLETRANSLATE(E95,""en"",""zh-CN"")"),"为冲刺做准备。")</f>
        <v>为冲刺做准备。</v>
      </c>
      <c r="Q95" s="5" t="str">
        <f>IFERROR(__xludf.DUMMYFUNCTION("GOOGLETRANSLATE(F95,""en"",""zh-CN"")"),"休息。")</f>
        <v>休息。</v>
      </c>
      <c r="R95" s="5" t="str">
        <f>IFERROR(__xludf.DUMMYFUNCTION("GOOGLETRANSLATE(G95,""en"",""zh-CN"")"),"为了显得更具威慑力。")</f>
        <v>为了显得更具威慑力。</v>
      </c>
      <c r="S95" s="5" t="s">
        <v>2832</v>
      </c>
      <c r="T95" s="5" t="str">
        <f>IFERROR(__xludf.DUMMYFUNCTION("GOOGLETRANSLATE(H95,""en"",""zh-CN"")"),"增强平衡能力和腿部力量。")</f>
        <v>增强平衡能力和腿部力量。</v>
      </c>
      <c r="U95" s="5" t="str">
        <f>IFERROR(__xludf.DUMMYFUNCTION("GOOGLETRANSLATE(I95,""en"",""zh-CN"")"),"低姿是许多武术的基础，因为它可以降低重心，这对于建立稳固的基础、提高平衡能力和增强腿部力量至关重要。")</f>
        <v>低姿是许多武术的基础，因为它可以降低重心，这对于建立稳固的基础、提高平衡能力和增强腿部力量至关重要。</v>
      </c>
      <c r="V95" s="2"/>
      <c r="W95" s="2"/>
      <c r="X95" s="2"/>
      <c r="Y95" s="2"/>
      <c r="Z95" s="2"/>
      <c r="AA95" s="2"/>
      <c r="AB95" s="2"/>
      <c r="AC95" s="2"/>
      <c r="AD95" s="2"/>
      <c r="AE95" s="2"/>
      <c r="AF95" s="2"/>
      <c r="AG95" s="2"/>
      <c r="AH95" s="2"/>
      <c r="AI95" s="2"/>
      <c r="AJ95" s="2"/>
      <c r="AK95" s="2"/>
      <c r="AL95" s="2"/>
    </row>
    <row r="96" ht="22.5" customHeight="1">
      <c r="A96" s="3" t="s">
        <v>3213</v>
      </c>
      <c r="B96" s="4">
        <v>95.0</v>
      </c>
      <c r="C96" s="3" t="s">
        <v>3050</v>
      </c>
      <c r="D96" s="3" t="s">
        <v>3216</v>
      </c>
      <c r="E96" s="3" t="s">
        <v>3217</v>
      </c>
      <c r="F96" s="3" t="s">
        <v>1042</v>
      </c>
      <c r="G96" s="3" t="s">
        <v>3218</v>
      </c>
      <c r="H96" s="3" t="s">
        <v>3216</v>
      </c>
      <c r="I96" s="3" t="s">
        <v>3219</v>
      </c>
      <c r="J96" s="2"/>
      <c r="K96" s="2"/>
      <c r="L96" s="3" t="s">
        <v>3213</v>
      </c>
      <c r="M96" s="4">
        <v>95.0</v>
      </c>
      <c r="N96" s="3" t="str">
        <f>IFERROR(__xludf.DUMMYFUNCTION("GOOGLETRANSLATE(C96,""en"",""zh-CN"")"),"从从业者所接受的培训中可以推断出他们的哪些特质？")</f>
        <v>从从业者所接受的培训中可以推断出他们的哪些特质？</v>
      </c>
      <c r="O96" s="5" t="str">
        <f>IFERROR(__xludf.DUMMYFUNCTION("GOOGLETRANSLATE(D96,""en"",""zh-CN"")"),"他们是一个团队。")</f>
        <v>他们是一个团队。</v>
      </c>
      <c r="P96" s="5" t="str">
        <f>IFERROR(__xludf.DUMMYFUNCTION("GOOGLETRANSLATE(E96,""en"",""zh-CN"")"),"他们是独奏艺人。")</f>
        <v>他们是独奏艺人。</v>
      </c>
      <c r="Q96" s="5" t="str">
        <f>IFERROR(__xludf.DUMMYFUNCTION("GOOGLETRANSLATE(F96,""en"",""zh-CN"")"),"他们是一群朋友。")</f>
        <v>他们是一群朋友。</v>
      </c>
      <c r="R96" s="5" t="str">
        <f>IFERROR(__xludf.DUMMYFUNCTION("GOOGLETRANSLATE(G96,""en"",""zh-CN"")"),"他们是一群观众。")</f>
        <v>他们是一群观众。</v>
      </c>
      <c r="S96" s="5" t="s">
        <v>3220</v>
      </c>
      <c r="T96" s="5" t="str">
        <f>IFERROR(__xludf.DUMMYFUNCTION("GOOGLETRANSLATE(H96,""en"",""zh-CN"")"),"他们是一个团队。")</f>
        <v>他们是一个团队。</v>
      </c>
      <c r="U96" s="5" t="str">
        <f>IFERROR(__xludf.DUMMYFUNCTION("GOOGLETRANSLATE(I96,""en"",""zh-CN"")"),"练习者们以完美的同步性做出相同的动作，这是展示编排好的舞步和团队合作的常用方法。")</f>
        <v>练习者们以完美的同步性做出相同的动作，这是展示编排好的舞步和团队合作的常用方法。</v>
      </c>
      <c r="V96" s="2"/>
      <c r="W96" s="2"/>
      <c r="X96" s="2"/>
      <c r="Y96" s="2"/>
      <c r="Z96" s="2"/>
      <c r="AA96" s="2"/>
      <c r="AB96" s="2"/>
      <c r="AC96" s="2"/>
      <c r="AD96" s="2"/>
      <c r="AE96" s="2"/>
      <c r="AF96" s="2"/>
      <c r="AG96" s="2"/>
      <c r="AH96" s="2"/>
      <c r="AI96" s="2"/>
      <c r="AJ96" s="2"/>
      <c r="AK96" s="2"/>
      <c r="AL96" s="2"/>
    </row>
    <row r="97" ht="22.5" customHeight="1">
      <c r="A97" s="3" t="s">
        <v>3221</v>
      </c>
      <c r="B97" s="4">
        <v>96.0</v>
      </c>
      <c r="C97" s="3" t="s">
        <v>3222</v>
      </c>
      <c r="D97" s="3" t="s">
        <v>222</v>
      </c>
      <c r="E97" s="3" t="s">
        <v>221</v>
      </c>
      <c r="F97" s="3" t="s">
        <v>220</v>
      </c>
      <c r="G97" s="3" t="s">
        <v>3223</v>
      </c>
      <c r="H97" s="3" t="s">
        <v>3223</v>
      </c>
      <c r="I97" s="3" t="s">
        <v>3224</v>
      </c>
      <c r="J97" s="2"/>
      <c r="K97" s="2"/>
      <c r="L97" s="3" t="s">
        <v>3221</v>
      </c>
      <c r="M97" s="4">
        <v>96.0</v>
      </c>
      <c r="N97" s="3" t="str">
        <f>IFERROR(__xludf.DUMMYFUNCTION("GOOGLETRANSLATE(C97,""en"",""zh-CN"")"),"图片中展示的是哪种武术？")</f>
        <v>图片中展示的是哪种武术？</v>
      </c>
      <c r="O97" s="5" t="str">
        <f>IFERROR(__xludf.DUMMYFUNCTION("GOOGLETRANSLATE(D97,""en"",""zh-CN"")"),"功夫")</f>
        <v>功夫</v>
      </c>
      <c r="P97" s="5" t="str">
        <f>IFERROR(__xludf.DUMMYFUNCTION("GOOGLETRANSLATE(E97,""en"",""zh-CN"")"),"空手道")</f>
        <v>空手道</v>
      </c>
      <c r="Q97" s="5" t="str">
        <f>IFERROR(__xludf.DUMMYFUNCTION("GOOGLETRANSLATE(F97,""en"",""zh-CN"")"),"柔道")</f>
        <v>柔道</v>
      </c>
      <c r="R97" s="5" t="str">
        <f>IFERROR(__xludf.DUMMYFUNCTION("GOOGLETRANSLATE(G97,""en"",""zh-CN"")"),"合气道")</f>
        <v>合气道</v>
      </c>
      <c r="S97" s="5" t="s">
        <v>3225</v>
      </c>
      <c r="T97" s="5" t="str">
        <f>IFERROR(__xludf.DUMMYFUNCTION("GOOGLETRANSLATE(H97,""en"",""zh-CN"")"),"合气道")</f>
        <v>合气道</v>
      </c>
      <c r="U97" s="5" t="str">
        <f>IFERROR(__xludf.DUMMYFUNCTION("GOOGLETRANSLATE(I97,""en"",""zh-CN"")"),"图片显示一人对另一人进行投技，倒在地上的人处于防御姿势，这是合气道的特征，合气道是一种以投技和关节技为重点的日本武术。")</f>
        <v>图片显示一人对另一人进行投技，倒在地上的人处于防御姿势，这是合气道的特征，合气道是一种以投技和关节技为重点的日本武术。</v>
      </c>
      <c r="V97" s="2"/>
      <c r="W97" s="2"/>
      <c r="X97" s="2"/>
      <c r="Y97" s="2"/>
      <c r="Z97" s="2"/>
      <c r="AA97" s="2"/>
      <c r="AB97" s="2"/>
      <c r="AC97" s="2"/>
      <c r="AD97" s="2"/>
      <c r="AE97" s="2"/>
      <c r="AF97" s="2"/>
      <c r="AG97" s="2"/>
      <c r="AH97" s="2"/>
      <c r="AI97" s="2"/>
      <c r="AJ97" s="2"/>
      <c r="AK97" s="2"/>
      <c r="AL97" s="2"/>
    </row>
    <row r="98" ht="22.5" customHeight="1">
      <c r="A98" s="3" t="s">
        <v>3221</v>
      </c>
      <c r="B98" s="4">
        <v>97.0</v>
      </c>
      <c r="C98" s="3" t="s">
        <v>3226</v>
      </c>
      <c r="D98" s="3" t="s">
        <v>2867</v>
      </c>
      <c r="E98" s="3" t="s">
        <v>2868</v>
      </c>
      <c r="F98" s="3" t="s">
        <v>3227</v>
      </c>
      <c r="G98" s="3" t="s">
        <v>3228</v>
      </c>
      <c r="H98" s="3" t="s">
        <v>3227</v>
      </c>
      <c r="I98" s="3" t="s">
        <v>3229</v>
      </c>
      <c r="J98" s="2"/>
      <c r="K98" s="2"/>
      <c r="L98" s="3" t="s">
        <v>3221</v>
      </c>
      <c r="M98" s="4">
        <v>97.0</v>
      </c>
      <c r="N98" s="3" t="str">
        <f>IFERROR(__xludf.DUMMYFUNCTION("GOOGLETRANSLATE(C98,""en"",""zh-CN"")"),"这里展示的武术与功夫有什么显著区别？")</f>
        <v>这里展示的武术与功夫有什么显著区别？</v>
      </c>
      <c r="O98" s="5" t="str">
        <f>IFERROR(__xludf.DUMMYFUNCTION("GOOGLETRANSLATE(D98,""en"",""zh-CN"")"),"使用制服。")</f>
        <v>使用制服。</v>
      </c>
      <c r="P98" s="5" t="str">
        <f>IFERROR(__xludf.DUMMYFUNCTION("GOOGLETRANSLATE(E98,""en"",""zh-CN"")"),"徒手使用。")</f>
        <v>徒手使用。</v>
      </c>
      <c r="Q98" s="5" t="str">
        <f>IFERROR(__xludf.DUMMYFUNCTION("GOOGLETRANSLATE(F98,""en"",""zh-CN"")"),"重点在于关节技、投技和利用对手的力量。")</f>
        <v>重点在于关节技、投技和利用对手的力量。</v>
      </c>
      <c r="R98" s="5" t="str">
        <f>IFERROR(__xludf.DUMMYFUNCTION("GOOGLETRANSLATE(G98,""en"",""zh-CN"")"),"重点在于打击和踢击。")</f>
        <v>重点在于打击和踢击。</v>
      </c>
      <c r="S98" s="5" t="s">
        <v>3230</v>
      </c>
      <c r="T98" s="5" t="str">
        <f>IFERROR(__xludf.DUMMYFUNCTION("GOOGLETRANSLATE(H98,""en"",""zh-CN"")"),"重点在于关节技、投技和利用对手的力量。")</f>
        <v>重点在于关节技、投技和利用对手的力量。</v>
      </c>
      <c r="U98" s="5" t="str">
        <f>IFERROR(__xludf.DUMMYFUNCTION("GOOGLETRANSLATE(I98,""en"",""zh-CN"")"),"与功夫注重打击不同，合气道注重利用对手的动量和力量来反制对手，重点在于投技、关节技和压制技。")</f>
        <v>与功夫注重打击不同，合气道注重利用对手的动量和力量来反制对手，重点在于投技、关节技和压制技。</v>
      </c>
      <c r="V98" s="2"/>
      <c r="W98" s="2"/>
      <c r="X98" s="2"/>
      <c r="Y98" s="2"/>
      <c r="Z98" s="2"/>
      <c r="AA98" s="2"/>
      <c r="AB98" s="2"/>
      <c r="AC98" s="2"/>
      <c r="AD98" s="2"/>
      <c r="AE98" s="2"/>
      <c r="AF98" s="2"/>
      <c r="AG98" s="2"/>
      <c r="AH98" s="2"/>
      <c r="AI98" s="2"/>
      <c r="AJ98" s="2"/>
      <c r="AK98" s="2"/>
      <c r="AL98" s="2"/>
    </row>
    <row r="99" ht="22.5" customHeight="1">
      <c r="A99" s="3" t="s">
        <v>3221</v>
      </c>
      <c r="B99" s="4">
        <v>98.0</v>
      </c>
      <c r="C99" s="3" t="s">
        <v>3231</v>
      </c>
      <c r="D99" s="3" t="s">
        <v>3232</v>
      </c>
      <c r="E99" s="3" t="s">
        <v>3233</v>
      </c>
      <c r="F99" s="3" t="s">
        <v>3234</v>
      </c>
      <c r="G99" s="3" t="s">
        <v>2937</v>
      </c>
      <c r="H99" s="3" t="s">
        <v>3233</v>
      </c>
      <c r="I99" s="3" t="s">
        <v>3235</v>
      </c>
      <c r="J99" s="2"/>
      <c r="K99" s="2"/>
      <c r="L99" s="3" t="s">
        <v>3221</v>
      </c>
      <c r="M99" s="4">
        <v>98.0</v>
      </c>
      <c r="N99" s="3" t="str">
        <f>IFERROR(__xludf.DUMMYFUNCTION("GOOGLETRANSLATE(C99,""en"",""zh-CN"")"),"右边的人在空中。这说明这种武术有什么特点？")</f>
        <v>右边的人在空中。这说明这种武术有什么特点？</v>
      </c>
      <c r="O99" s="5" t="str">
        <f>IFERROR(__xludf.DUMMYFUNCTION("GOOGLETRANSLATE(D99,""en"",""zh-CN"")"),"它包含很多跳跃动作。")</f>
        <v>它包含很多跳跃动作。</v>
      </c>
      <c r="P99" s="5" t="str">
        <f>IFERROR(__xludf.DUMMYFUNCTION("GOOGLETRANSLATE(E99,""en"",""zh-CN"")"),"它包括投掷和摔倒动作。")</f>
        <v>它包括投掷和摔倒动作。</v>
      </c>
      <c r="Q99" s="5" t="str">
        <f>IFERROR(__xludf.DUMMYFUNCTION("GOOGLETRANSLATE(F99,""en"",""zh-CN"")"),"它是一种非常讲究技巧的武术。")</f>
        <v>它是一种非常讲究技巧的武术。</v>
      </c>
      <c r="R99" s="5" t="str">
        <f>IFERROR(__xludf.DUMMYFUNCTION("GOOGLETRANSLATE(G99,""en"",""zh-CN"")"),"这是一种非常简单的武术。")</f>
        <v>这是一种非常简单的武术。</v>
      </c>
      <c r="S99" s="5" t="s">
        <v>3236</v>
      </c>
      <c r="T99" s="5" t="str">
        <f>IFERROR(__xludf.DUMMYFUNCTION("GOOGLETRANSLATE(H99,""en"",""zh-CN"")"),"它包括投掷和摔倒动作。")</f>
        <v>它包括投掷和摔倒动作。</v>
      </c>
      <c r="U99" s="5" t="str">
        <f>IFERROR(__xludf.DUMMYFUNCTION("GOOGLETRANSLATE(I99,""en"",""zh-CN"")"),"被抛向空中的动作是投技或摔技的典型特征，这是以擒拿为基础的武术的关键要素。")</f>
        <v>被抛向空中的动作是投技或摔技的典型特征，这是以擒拿为基础的武术的关键要素。</v>
      </c>
      <c r="V99" s="2"/>
      <c r="W99" s="2"/>
      <c r="X99" s="2"/>
      <c r="Y99" s="2"/>
      <c r="Z99" s="2"/>
      <c r="AA99" s="2"/>
      <c r="AB99" s="2"/>
      <c r="AC99" s="2"/>
      <c r="AD99" s="2"/>
      <c r="AE99" s="2"/>
      <c r="AF99" s="2"/>
      <c r="AG99" s="2"/>
      <c r="AH99" s="2"/>
      <c r="AI99" s="2"/>
      <c r="AJ99" s="2"/>
      <c r="AK99" s="2"/>
      <c r="AL99" s="2"/>
    </row>
    <row r="100" ht="22.5" customHeight="1">
      <c r="A100" s="3" t="s">
        <v>3221</v>
      </c>
      <c r="B100" s="4">
        <v>99.0</v>
      </c>
      <c r="C100" s="3" t="s">
        <v>3237</v>
      </c>
      <c r="D100" s="3" t="s">
        <v>3238</v>
      </c>
      <c r="E100" s="3" t="s">
        <v>3239</v>
      </c>
      <c r="F100" s="3" t="s">
        <v>3240</v>
      </c>
      <c r="G100" s="3" t="s">
        <v>3241</v>
      </c>
      <c r="H100" s="3" t="s">
        <v>3239</v>
      </c>
      <c r="I100" s="3" t="s">
        <v>3242</v>
      </c>
      <c r="J100" s="2"/>
      <c r="K100" s="2"/>
      <c r="L100" s="3" t="s">
        <v>3221</v>
      </c>
      <c r="M100" s="4">
        <v>99.0</v>
      </c>
      <c r="N100" s="3" t="str">
        <f>IFERROR(__xludf.DUMMYFUNCTION("GOOGLETRANSLATE(C100,""en"",""zh-CN"")"),"这些修行者身穿传统服饰。请问这套服饰叫什么名字？")</f>
        <v>这些修行者身穿传统服饰。请问这套服饰叫什么名字？</v>
      </c>
      <c r="O100" s="5" t="str">
        <f>IFERROR(__xludf.DUMMYFUNCTION("GOOGLETRANSLATE(D100,""en"",""zh-CN"")"),"制服")</f>
        <v>制服</v>
      </c>
      <c r="P100" s="5" t="str">
        <f>IFERROR(__xludf.DUMMYFUNCTION("GOOGLETRANSLATE(E100,""en"",""zh-CN"")"),"一个吉")</f>
        <v>一个吉</v>
      </c>
      <c r="Q100" s="5" t="str">
        <f>IFERROR(__xludf.DUMMYFUNCTION("GOOGLETRANSLATE(F100,""en"",""zh-CN"")"),"一件长袍")</f>
        <v>一件长袍</v>
      </c>
      <c r="R100" s="5" t="str">
        <f>IFERROR(__xludf.DUMMYFUNCTION("GOOGLETRANSLATE(G100,""en"",""zh-CN"")"),"一套西装")</f>
        <v>一套西装</v>
      </c>
      <c r="S100" s="5" t="s">
        <v>3243</v>
      </c>
      <c r="T100" s="5" t="str">
        <f>IFERROR(__xludf.DUMMYFUNCTION("GOOGLETRANSLATE(H100,""en"",""zh-CN"")"),"一个吉")</f>
        <v>一个吉</v>
      </c>
      <c r="U100" s="5" t="str">
        <f>IFERROR(__xludf.DUMMYFUNCTION("GOOGLETRANSLATE(I100,""en"",""zh-CN"")"),"这套制服，包括宽松的上衣和裤子，是经典的道服，也是许多日本武术的标准制服。")</f>
        <v>这套制服，包括宽松的上衣和裤子，是经典的道服，也是许多日本武术的标准制服。</v>
      </c>
      <c r="V100" s="2"/>
      <c r="W100" s="2"/>
      <c r="X100" s="2"/>
      <c r="Y100" s="2"/>
      <c r="Z100" s="2"/>
      <c r="AA100" s="2"/>
      <c r="AB100" s="2"/>
      <c r="AC100" s="2"/>
      <c r="AD100" s="2"/>
      <c r="AE100" s="2"/>
      <c r="AF100" s="2"/>
      <c r="AG100" s="2"/>
      <c r="AH100" s="2"/>
      <c r="AI100" s="2"/>
      <c r="AJ100" s="2"/>
      <c r="AK100" s="2"/>
      <c r="AL100" s="2"/>
    </row>
    <row r="101" ht="22.5" customHeight="1">
      <c r="A101" s="3" t="s">
        <v>3221</v>
      </c>
      <c r="B101" s="4">
        <v>100.0</v>
      </c>
      <c r="C101" s="3" t="s">
        <v>1744</v>
      </c>
      <c r="D101" s="3" t="s">
        <v>3244</v>
      </c>
      <c r="E101" s="3" t="s">
        <v>3245</v>
      </c>
      <c r="F101" s="3" t="s">
        <v>3246</v>
      </c>
      <c r="G101" s="3" t="s">
        <v>3247</v>
      </c>
      <c r="H101" s="3" t="s">
        <v>3246</v>
      </c>
      <c r="I101" s="3" t="s">
        <v>3248</v>
      </c>
      <c r="J101" s="2"/>
      <c r="K101" s="2"/>
      <c r="L101" s="3" t="s">
        <v>3221</v>
      </c>
      <c r="M101" s="4">
        <v>100.0</v>
      </c>
      <c r="N101" s="3" t="str">
        <f>IFERROR(__xludf.DUMMYFUNCTION("GOOGLETRANSLATE(C101,""en"",""zh-CN"")"),"这张图片传达了怎样的整体氛围？")</f>
        <v>这张图片传达了怎样的整体氛围？</v>
      </c>
      <c r="O101" s="5" t="str">
        <f>IFERROR(__xludf.DUMMYFUNCTION("GOOGLETRANSLATE(D101,""en"",""zh-CN"")"),"竞争激烈、充满挑战的氛围。")</f>
        <v>竞争激烈、充满挑战的氛围。</v>
      </c>
      <c r="P101" s="5" t="str">
        <f>IFERROR(__xludf.DUMMYFUNCTION("GOOGLETRANSLATE(E101,""en"",""zh-CN"")"),"轻松悠闲的氛围。")</f>
        <v>轻松悠闲的氛围。</v>
      </c>
      <c r="Q101" s="5" t="str">
        <f>IFERROR(__xludf.DUMMYFUNCTION("GOOGLETRANSLATE(F101,""en"",""zh-CN"")"),"纪律严明、专注高效的训练氛围。")</f>
        <v>纪律严明、专注高效的训练氛围。</v>
      </c>
      <c r="R101" s="5" t="str">
        <f>IFERROR(__xludf.DUMMYFUNCTION("GOOGLETRANSLATE(G101,""en"",""zh-CN"")"),"气氛混乱无序。")</f>
        <v>气氛混乱无序。</v>
      </c>
      <c r="S101" s="5" t="s">
        <v>3249</v>
      </c>
      <c r="T101" s="5" t="str">
        <f>IFERROR(__xludf.DUMMYFUNCTION("GOOGLETRANSLATE(H101,""en"",""zh-CN"")"),"纪律严明、专注高效的训练氛围。")</f>
        <v>纪律严明、专注高效的训练氛围。</v>
      </c>
      <c r="U101" s="5" t="str">
        <f>IFERROR(__xludf.DUMMYFUNCTION("GOOGLETRANSLATE(I101,""en"",""zh-CN"")"),"两位练习者正在进行控制性、非攻击性的动作，这表明武术道场中存在着纪律严明、专注的训练氛围。")</f>
        <v>两位练习者正在进行控制性、非攻击性的动作，这表明武术道场中存在着纪律严明、专注的训练氛围。</v>
      </c>
      <c r="V101" s="2"/>
      <c r="W101" s="2"/>
      <c r="X101" s="2"/>
      <c r="Y101" s="2"/>
      <c r="Z101" s="2"/>
      <c r="AA101" s="2"/>
      <c r="AB101" s="2"/>
      <c r="AC101" s="2"/>
      <c r="AD101" s="2"/>
      <c r="AE101" s="2"/>
      <c r="AF101" s="2"/>
      <c r="AG101" s="2"/>
      <c r="AH101" s="2"/>
      <c r="AI101" s="2"/>
      <c r="AJ101" s="2"/>
      <c r="AK101" s="2"/>
      <c r="AL101" s="2"/>
    </row>
  </sheetData>
  <drawing r:id="rId1"/>
  <tableParts count="2">
    <tablePart r:id="rId4"/>
    <tablePart r:id="rId5"/>
  </tableParts>
</worksheet>
</file>
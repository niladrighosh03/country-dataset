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uju" sheetId="1" r:id="rId4"/>
    <sheet state="visible" name="dragon boat racing" sheetId="2" r:id="rId5"/>
    <sheet state="visible" name="go" sheetId="3" r:id="rId6"/>
    <sheet state="visible" name="jianzi" sheetId="4" r:id="rId7"/>
    <sheet state="visible" name="kung fu" sheetId="5" r:id="rId8"/>
    <sheet state="visible" name="tai chi" sheetId="6" r:id="rId9"/>
  </sheets>
  <definedNames/>
  <calcPr/>
</workbook>
</file>

<file path=xl/sharedStrings.xml><?xml version="1.0" encoding="utf-8"?>
<sst xmlns="http://schemas.openxmlformats.org/spreadsheetml/2006/main" count="3003" uniqueCount="2848">
  <si>
    <t>Question No.</t>
  </si>
  <si>
    <t>Question</t>
  </si>
  <si>
    <t>Options</t>
  </si>
  <si>
    <t>Answer</t>
  </si>
  <si>
    <t>Description</t>
  </si>
  <si>
    <t>问题</t>
  </si>
  <si>
    <t>选项</t>
  </si>
  <si>
    <t>答案</t>
  </si>
  <si>
    <t>What is the main objective of Cuju?</t>
  </si>
  <si>
    <t>A) To score goals by kicking a ball, B) To pass the ball over a net, C) To throw a ball into a hoop, D) To prevent opponents from scoring</t>
  </si>
  <si>
    <t>A) To score goals by kicking a ball</t>
  </si>
  <si>
    <t>The main objective of Cuju is to score by kicking a ball into the opponent's goal.</t>
  </si>
  <si>
    <t>What shape is the ball used in Cuju?</t>
  </si>
  <si>
    <t>A) Square, B) Circular, C) Oval, D) Triangular</t>
  </si>
  <si>
    <t>B) Circular</t>
  </si>
  <si>
    <t>The ball used in Cuju is circular in shape, similar to a modern soccer ball.</t>
  </si>
  <si>
    <t>How many players are typically on each team in Cuju?</t>
  </si>
  <si>
    <t>A) 5, B) 6, C) 7, D) 11</t>
  </si>
  <si>
    <t>A) 5</t>
  </si>
  <si>
    <t>Each team in Cuju traditionally consists of 5 players.</t>
  </si>
  <si>
    <t>What is the name of the Cuju goal?</t>
  </si>
  <si>
    <t>A) Gate, B) Net, C) Cage, D) Hoop</t>
  </si>
  <si>
    <t>C) Cage</t>
  </si>
  <si>
    <t>The goal in Cuju is referred to as a cage, similar to a net in soccer.</t>
  </si>
  <si>
    <t>Which body part is NOT allowed to touch the ball in Cuju?</t>
  </si>
  <si>
    <t>A) Hands, B) Feet, C) Head, D) Chest</t>
  </si>
  <si>
    <t>A) Hands</t>
  </si>
  <si>
    <t>In Cuju, players are not allowed to use their hands to control the ball, similar to soccer.</t>
  </si>
  <si>
    <t>What is the field size used in Cuju?</t>
  </si>
  <si>
    <t>A) Small rectangular field, B) Large circular field, C) Large square field, D) Small square field</t>
  </si>
  <si>
    <t>A) Small rectangular field</t>
  </si>
  <si>
    <t>Cuju is played on a small rectangular field, similar to the size of a soccer field.</t>
  </si>
  <si>
    <t>What is the term used for kicking the ball in Cuju?</t>
  </si>
  <si>
    <t>A) Punt, B) Pass, C) Kick, D) Strike</t>
  </si>
  <si>
    <t>C) Kick</t>
  </si>
  <si>
    <t>Kicking the ball is the main action in Cuju, used to score goals and pass the ball.</t>
  </si>
  <si>
    <t>How long is a typical Cuju match?</t>
  </si>
  <si>
    <t>A) 30 minutes, B) 60 minutes, C) 90 minutes, D) 120 minutes</t>
  </si>
  <si>
    <t>B) 60 minutes</t>
  </si>
  <si>
    <t>A typical Cuju match lasts about 60 minutes, split into two halves.</t>
  </si>
  <si>
    <t>What happens when a goal is scored in Cuju?</t>
  </si>
  <si>
    <t>A) The game ends, B) The scoring team gets a point, C) The opposing team gets a point, D) The ball is replaced</t>
  </si>
  <si>
    <t>B) The scoring team gets a point</t>
  </si>
  <si>
    <t>When a goal is scored, the scoring team is awarded a point, and the game continues.</t>
  </si>
  <si>
    <t>Which of the following was an early version of Cuju's goal?</t>
  </si>
  <si>
    <t>A) A tree, B) A wooden hoop, C) A stone pillar, D) A metal cage</t>
  </si>
  <si>
    <t>B) A wooden hoop</t>
  </si>
  <si>
    <t>In ancient Cuju, a wooden hoop was often used as the goal.</t>
  </si>
  <si>
    <t>What does the term 'Cu' mean in Cuju?</t>
  </si>
  <si>
    <t>A) Ball, B) Kick, C) Goal, D) Game</t>
  </si>
  <si>
    <t>B) Kick</t>
  </si>
  <si>
    <t>Cu' in Cuju refers to the act of kicking, highlighting the importance of foot skills in the game.</t>
  </si>
  <si>
    <t>What type of footwear is typically worn in Cuju?</t>
  </si>
  <si>
    <t>A) Sandals, B) Barefoot, C) Cleats, D) Boots</t>
  </si>
  <si>
    <t>B) Barefoot</t>
  </si>
  <si>
    <t>Cuju was traditionally played barefoot, though modern versions may use light footwear.</t>
  </si>
  <si>
    <t>What is the primary skill required for Cuju?</t>
  </si>
  <si>
    <t>A) Strength, B) Agility, C) Speed, D) Balance</t>
  </si>
  <si>
    <t>B) Agility</t>
  </si>
  <si>
    <t>Agility is key in Cuju, as players need to move quickly and control the ball with precision.</t>
  </si>
  <si>
    <t>How is Cuju similar to modern soccer?</t>
  </si>
  <si>
    <t>A) It involves running and dribbling, B) It uses a round ball, C) It has a goal and teams, D) All of the above</t>
  </si>
  <si>
    <t>D) All of the above</t>
  </si>
  <si>
    <t>Cuju shares many similarities with modern soccer, including the use of a round ball, goals, and teams.</t>
  </si>
  <si>
    <t>How many players can substitute in a Cuju game?</t>
  </si>
  <si>
    <t>A) 1, B) 2, C) 3, D) No substitutions</t>
  </si>
  <si>
    <t>D) No substitutions</t>
  </si>
  <si>
    <t>In traditional Cuju, there were no substitutions during a game.</t>
  </si>
  <si>
    <t>How is Cuju typically scored?</t>
  </si>
  <si>
    <t>A) By hitting a target, B) By getting the ball into the opponent's goal, C) By accumulating points through passes, D) By capturing the ball</t>
  </si>
  <si>
    <t>B) By getting the ball into the opponent's goal</t>
  </si>
  <si>
    <t>In Cuju, a point is scored when the ball is kicked into the opponent's goal.</t>
  </si>
  <si>
    <t>What does the word 'Ju' refer to in Cuju?</t>
  </si>
  <si>
    <t>A) Ball, B) Game, C) Goal, D) Foot</t>
  </si>
  <si>
    <t>A) Ball</t>
  </si>
  <si>
    <t>Ju' in Cuju refers to the ball, which is central to the game.</t>
  </si>
  <si>
    <t>What is one of the most common offensive strategies in Cuju?</t>
  </si>
  <si>
    <t>A) Passing the ball across the field, B) Kicking the ball over the net, C) Kicking the ball into the goal directly, D) Running with the ball</t>
  </si>
  <si>
    <t>C) Kicking the ball into the goal directly</t>
  </si>
  <si>
    <t>The most common offensive strategy in Cuju is kicking the ball directly into the opponent's goal.</t>
  </si>
  <si>
    <t>Which of the following statements about Cuju is true?</t>
  </si>
  <si>
    <t>A) It is a team sport played with hands, B) It is played using a leather ball, C) It is played with a square-shaped ball, D) It is a sport played only in China</t>
  </si>
  <si>
    <t>B) It is played using a leather ball</t>
  </si>
  <si>
    <t>Cuju is played with a leather ball, often filled with feathers or hair.</t>
  </si>
  <si>
    <t>What aspect of Cuju makes it similar to modern soccer?</t>
  </si>
  <si>
    <t>A) The emphasis on kicking, B) The use of two goals, C) The objective of scoring, D) All of the above</t>
  </si>
  <si>
    <t>Cuju shares all of these aspects with modern soccer, from the kicking emphasis to the goal-based scoring system.</t>
  </si>
  <si>
    <t>In Cuju, how many goals are needed to win a match?</t>
  </si>
  <si>
    <t>A) 1, B) 3, C) 5, D) 10</t>
  </si>
  <si>
    <t>C) 5</t>
  </si>
  <si>
    <t>In traditional Cuju, a match ends when a team scores five goals.</t>
  </si>
  <si>
    <t>What is the name of the playing area in Cuju?</t>
  </si>
  <si>
    <t>A) Field, B) Court, C) Arena, D) Pitch</t>
  </si>
  <si>
    <t>A) Field</t>
  </si>
  <si>
    <t>The playing area in Cuju is referred to as the field.</t>
  </si>
  <si>
    <t>What type of defense is typically used in Cuju?</t>
  </si>
  <si>
    <t>A) Blocking, B) Dribbling, C) Tackling, D) Passing</t>
  </si>
  <si>
    <t>C) Tackling</t>
  </si>
  <si>
    <t>In Cuju, players often use tackling to prevent the opposing team from scoring.</t>
  </si>
  <si>
    <t>What is the primary role of the goalkeeper in Cuju?</t>
  </si>
  <si>
    <t>A) To score goals, B) To prevent the opposing team from scoring, C) To pass the ball, D) To set up attacks</t>
  </si>
  <si>
    <t>B) To prevent the opposing team from scoring</t>
  </si>
  <si>
    <t>The goalkeeper's main role in Cuju is to defend the goal and stop the opponent from scoring.</t>
  </si>
  <si>
    <t>How is Cuju played in terms of player positions?</t>
  </si>
  <si>
    <t>A) Fixed positions, B) Fluid positions, C) Defensive and offensive roles only, D) Two goalkeepers</t>
  </si>
  <si>
    <t>B) Fluid positions</t>
  </si>
  <si>
    <t>Players in Cuju often change positions fluidly, playing both offensive and defensive roles.</t>
  </si>
  <si>
    <t>Which of the following is true about the Cuju ball?</t>
  </si>
  <si>
    <t>A) It is square-shaped, B) It is light and hard, C) It is large and soft, D) It is designed for hand use</t>
  </si>
  <si>
    <t>B) It is light and hard</t>
  </si>
  <si>
    <t>The Cuju ball is light and hard, designed to be kicked efficiently.</t>
  </si>
  <si>
    <t>What kind of skills are most valued in a Cuju player?</t>
  </si>
  <si>
    <t>A) Speed and strength, B) Kicking precision and agility, C) Team coordination, D) Passing accuracy</t>
  </si>
  <si>
    <t>B) Kicking precision and agility</t>
  </si>
  <si>
    <t>Cuju players are valued for their kicking precision and agility to control the ball effectively.</t>
  </si>
  <si>
    <t>What part of the body is most commonly used to strike the ball in Cuju?</t>
  </si>
  <si>
    <t>B) Feet</t>
  </si>
  <si>
    <t>In Cuju, players use their feet to strike the ball, just like in modern soccer.</t>
  </si>
  <si>
    <t>How is a match initiated in Cuju?</t>
  </si>
  <si>
    <t>A) By a coin toss, B) By a kick-off, C) By a throw-in, D) By a jump ball</t>
  </si>
  <si>
    <t>B) By a kick-off</t>
  </si>
  <si>
    <t>A Cuju match starts with a kick-off, where one team kicks the ball to begin the game.</t>
  </si>
  <si>
    <t>What happens if the ball goes out of bounds in Cuju?</t>
  </si>
  <si>
    <t>A) The game ends, B) The game continues, C) A goal is awarded, D) A throw-in is given to the opposing team</t>
  </si>
  <si>
    <t>D) A throw-in is given to the opposing team</t>
  </si>
  <si>
    <t>When the ball goes out of bounds, the opposing team is awarded a throw-in to restart play.</t>
  </si>
  <si>
    <t>What type of attack strategy is employed in Cuju?</t>
  </si>
  <si>
    <t>A) Fast-paced direct shots, B) Long-distance passes, C) Set plays, D) Passing and dribbling</t>
  </si>
  <si>
    <t>A) Fast-paced direct shots</t>
  </si>
  <si>
    <t>Attacking teams in Cuju often use fast-paced direct shots to score goals quickly.</t>
  </si>
  <si>
    <t>How are Cuju players typically rewarded after a match?</t>
  </si>
  <si>
    <t>A) With medals, B) With monetary prizes, C) With prestige and honor, D) With trophies</t>
  </si>
  <si>
    <t>C) With prestige and honor</t>
  </si>
  <si>
    <t>In ancient China, players of Cuju were often rewarded with prestige and honor, rather than material prizes.</t>
  </si>
  <si>
    <t>What is the term used for the action of scoring a goal in Cuju?</t>
  </si>
  <si>
    <t>A) Striking, B) Kicking, C) Hitting, D) Goal shooting</t>
  </si>
  <si>
    <t>B) Kicking</t>
  </si>
  <si>
    <t>The act of scoring in Cuju is referred to as kicking the ball into the opponent's goal.</t>
  </si>
  <si>
    <t>What were Cuju balls often filled with?</t>
  </si>
  <si>
    <t>A) Water, B) Feathers, C) Stones, D) Sand</t>
  </si>
  <si>
    <t>B) Feathers</t>
  </si>
  <si>
    <t>Cuju balls were traditionally filled with feathers to make them lighter and easier to kick.</t>
  </si>
  <si>
    <t>What was the role of the Cuju coach?</t>
  </si>
  <si>
    <t>A) To organize the team, B) To referee the game, C) To provide medical care, D) To maintain the field</t>
  </si>
  <si>
    <t>A) To organize the team</t>
  </si>
  <si>
    <t>In Cuju, the coach's main role was to organize the team and develop strategies for winning.</t>
  </si>
  <si>
    <t>What does 'Cuju' literally translate to in English?</t>
  </si>
  <si>
    <t>A) Kick ball, B) Ancient soccer, C) Goal sport, D) Ball fight</t>
  </si>
  <si>
    <t>A) Kick ball</t>
  </si>
  <si>
    <t>The name 'Cuju' literally translates to 'kick ball' in English.</t>
  </si>
  <si>
    <t>Which of the following is prohibited in Cuju?</t>
  </si>
  <si>
    <t>A) Kicking the ball, B) Using hands, C) Dribbling, D) Passing</t>
  </si>
  <si>
    <t>B) Using hands</t>
  </si>
  <si>
    <t>In Cuju, players are prohibited from using their hands to touch the ball.</t>
  </si>
  <si>
    <t>What skill does Cuju help to develop in players?</t>
  </si>
  <si>
    <t>A) Strength, B) Agility and balance, C) Jumping ability, D) Speed</t>
  </si>
  <si>
    <t>B) Agility and balance</t>
  </si>
  <si>
    <t>Cuju helps players develop agility and balance, key skills for effective ball control.</t>
  </si>
  <si>
    <t>How does the scoring work in Cuju?</t>
  </si>
  <si>
    <t>A) One point per goal, B) Points based on distance, C) Points for passes, D) Points for tackles</t>
  </si>
  <si>
    <t>A) One point per goal</t>
  </si>
  <si>
    <t>In Cuju, each goal is worth one point.</t>
  </si>
  <si>
    <t>How are Cuju matches typically concluded?</t>
  </si>
  <si>
    <t>A) By a referee's decision, B) By the first team to score, C) After five goals are scored, D) When time runs out</t>
  </si>
  <si>
    <t>C) After five goals are scored</t>
  </si>
  <si>
    <t>Cuju matches traditionally end when a team scores five goals.</t>
  </si>
  <si>
    <t>What is a key difference between Cuju and modern soccer?</t>
  </si>
  <si>
    <t>A) Cuju has more rules, B) Cuju is played with the hands, C) Cuju has no offside rule, D) Cuju uses a round ball</t>
  </si>
  <si>
    <t>C) Cuju has no offside rule</t>
  </si>
  <si>
    <t>Cuju does not have an offside rule, which is a key difference from modern soccer.</t>
  </si>
  <si>
    <t>What is the maximum number of players per team in Cuju?</t>
  </si>
  <si>
    <t>A) 5, B) 10, C) 12, D) 15</t>
  </si>
  <si>
    <t>B) 10</t>
  </si>
  <si>
    <t>Cuju typically has up to 10 players per team, similar to a small-sided football game.</t>
  </si>
  <si>
    <t>What is the historical significance of Cuju?</t>
  </si>
  <si>
    <t>A) It was the first competitive sport, B) It influenced modern soccer, C) It was a military sport, D) It was played only by royalty</t>
  </si>
  <si>
    <t>B) It influenced modern soccer</t>
  </si>
  <si>
    <t>Cuju is considered one of the earliest sports that influenced the development of modern soccer.</t>
  </si>
  <si>
    <t>What was one of the main tools used in ancient Cuju for marking the field?</t>
  </si>
  <si>
    <t>A) Stones, B) Wooden stakes, C) Chalk, D) Ropes</t>
  </si>
  <si>
    <t>B) Wooden stakes</t>
  </si>
  <si>
    <t>In ancient Cuju, wooden stakes were used to mark the boundaries of the playing field.</t>
  </si>
  <si>
    <t>What is the role of the 'goalkeeper' in Cuju?</t>
  </si>
  <si>
    <t>A) To score goals, B) To stop the ball from entering the goal, C) To organize defense, D) To handle the ball</t>
  </si>
  <si>
    <t>B) To stop the ball from entering the goal</t>
  </si>
  <si>
    <t>The goalkeeper in Cujuâ€™s primary role is to stop the ball from entering the goal, similar to modern soccer.</t>
  </si>
  <si>
    <t>Which of the following is allowed in Cuju?</t>
  </si>
  <si>
    <t>A) Using hands to touch the ball, B) Dribbling with the feet, C) Throwing the ball, D) Using the head to score</t>
  </si>
  <si>
    <t>B) Dribbling with the feet</t>
  </si>
  <si>
    <t>Dribbling with the feet is an essential part of Cuju, unlike using hands or other body parts.</t>
  </si>
  <si>
    <t>Which of the following was a feature of the game of Cuju?</t>
  </si>
  <si>
    <t>A) Use of hands, B) Kicking the ball, C) Running with the ball, D) No goal posts</t>
  </si>
  <si>
    <t>B) Kicking the ball</t>
  </si>
  <si>
    <t>Cuju was a game in which the ball was kicked, similar to modern soccer, without using hands.</t>
  </si>
  <si>
    <t>What did the goalposts for Cuju games typically look like?</t>
  </si>
  <si>
    <t>A) Square, B) Circular, C) Rectangular, D) Triangular</t>
  </si>
  <si>
    <t>C) Rectangular</t>
  </si>
  <si>
    <t>The goalposts in Cuju were rectangular in shape, resembling early soccer goals.</t>
  </si>
  <si>
    <t>What was the main objective of the game Cuju?</t>
  </si>
  <si>
    <t>A) To score by throwing the ball into a hoop, B) To kick the ball into a net, C) To carry the ball across a line, D) To score by landing the ball in a basket</t>
  </si>
  <si>
    <t>B) To kick the ball into a net</t>
  </si>
  <si>
    <t>The main goal of Cuju was to kick a ball into a net, similar to soccer today.</t>
  </si>
  <si>
    <t>Which type of ball was used in the game of Cuju?</t>
  </si>
  <si>
    <t>A) Wooden ball, B) Leather ball, C) Stone ball, D) Inflated leather ball</t>
  </si>
  <si>
    <t>D) Inflated leather ball</t>
  </si>
  <si>
    <t>The ball used in Cuju was made of leather and was inflated to make it easier to kick.</t>
  </si>
  <si>
    <t>What material was typically used for the net in Cuju games?</t>
  </si>
  <si>
    <t>A) Silk, B) Bamboo, C) Leather, D) Cotton</t>
  </si>
  <si>
    <t>B) Bamboo</t>
  </si>
  <si>
    <t>The goals in Cuju games were often marked with nets made of bamboo.</t>
  </si>
  <si>
    <t>Which of the following was a feature of the Cuju game?</t>
  </si>
  <si>
    <t>A) Use of hands, B) Kicking with feet, C) Use of sticks, D) Running with the ball</t>
  </si>
  <si>
    <t>B) Kicking with feet</t>
  </si>
  <si>
    <t>Cuju was a foot-based game where players kicked a ball to score goals.</t>
  </si>
  <si>
    <t>Which of the following is NOT a traditional Cuju rule?</t>
  </si>
  <si>
    <t>A) Players must kick the ball with their feet, B) Players can use their heads to strike the ball, C) Players can catch the ball with their hands, D) Teams compete to score goals</t>
  </si>
  <si>
    <t>C) Players can catch the ball with their hands</t>
  </si>
  <si>
    <t>In Cuju, players are not allowed to use their hands to catch the ball. They must use their feet or other parts of the body to play the game.</t>
  </si>
  <si>
    <t>In Cuju, when is a free kick typically awarded?</t>
  </si>
  <si>
    <t>A) After a successful goal, B) After an offside violation, C) After a foul or misconduct, D) After a player is substituted</t>
  </si>
  <si>
    <t>C) After a foul or misconduct</t>
  </si>
  <si>
    <t>A free kick is awarded when a player commits a foul or misconduct, providing the other team with a chance to restart play.</t>
  </si>
  <si>
    <t>In Cuju, which of the following is a critical factor that differentiates it from other foot-based sports like soccer?</t>
  </si>
  <si>
    <t>A) The use of hands is allowed, B) The goalposts are smaller, C) The field is smaller, D) The ball used in Cuju is lighter and filled with feathers</t>
  </si>
  <si>
    <t>D) The ball used in Cuju is lighter and filled with feathers</t>
  </si>
  <si>
    <t>The Cuju ball is lighter and traditionally filled with feathers, which makes it different from the heavier, solid balls used in soccer.</t>
  </si>
  <si>
    <t>In a modern Cuju-style game, what is the primary goal for a team?</t>
  </si>
  <si>
    <t>A) To pass the ball to all team members, B) To score goals by kicking the ball into the opposing team's goal, C) To hold the ball for the longest period, D) To prevent the opposing team from scoring</t>
  </si>
  <si>
    <t>B) To score goals by kicking the ball into the opposing team's goal</t>
  </si>
  <si>
    <t>The main objective of Cuju, both historically and in modern adaptations, is to score goals by kicking the ball into the opponent's goal.</t>
  </si>
  <si>
    <t>In a Cuju match, what happens if a player kicks the ball out of bounds on the sideline?</t>
  </si>
  <si>
    <t>A) The other team gets possession, B) The game restarts with a throw-in, C) The team that kicked the ball out receives a free kick, D) The ball is returned to the center circle</t>
  </si>
  <si>
    <t>B) The game restarts with a throw-in</t>
  </si>
  <si>
    <t>When the ball goes out of bounds on the sideline, the game restarts with a throw-in from the team that did not touch the ball last.</t>
  </si>
  <si>
    <t>How many players are typically on a Cuju team?</t>
  </si>
  <si>
    <t>A) 11 B) 7 C) 5 D) 9</t>
  </si>
  <si>
    <t>A) 11</t>
  </si>
  <si>
    <t>What is the primary objective in Cuju?</t>
  </si>
  <si>
    <t>A) Kick the ball into the goal B) Throw the ball C) Hit the opponent D) Score with hands</t>
  </si>
  <si>
    <t>A) Kick the ball into the goal</t>
  </si>
  <si>
    <t>In Cuju, which body part is not allowed to touch the ball?</t>
  </si>
  <si>
    <t>A) Hands B) Feet C) Legs D) Head</t>
  </si>
  <si>
    <t>How is a match in Cuju started?</t>
  </si>
  <si>
    <t>A) Kick-off B) Toss C) Referee signal D) Player agreement</t>
  </si>
  <si>
    <t>A) Kick-off</t>
  </si>
  <si>
    <t>How many points are awarded for a goal in Cuju?</t>
  </si>
  <si>
    <t>A) 1 B) 2 C) 3 D) 5</t>
  </si>
  <si>
    <t>A) 1</t>
  </si>
  <si>
    <t>What happens if a player touches the ball with their hand?</t>
  </si>
  <si>
    <t>A) Foul B) Goal C) Free kick D) Nothing</t>
  </si>
  <si>
    <t>A) Foul</t>
  </si>
  <si>
    <t>How long does a typical Cuju match last?</t>
  </si>
  <si>
    <t>A) 90 minutes B) 60 minutes C) 45 minutes D) 120 minutes</t>
  </si>
  <si>
    <t>A) 90 minutes</t>
  </si>
  <si>
    <t>Cuju was played with what type of ball?</t>
  </si>
  <si>
    <t>A) Leather ball B) Rubber ball C) Wooden ball D) Cloth ball</t>
  </si>
  <si>
    <t>A) Leather ball</t>
  </si>
  <si>
    <t>What is the minimum number of referees in Cuju?</t>
  </si>
  <si>
    <t>A) 1 B) 2 C) 3 D) 4</t>
  </si>
  <si>
    <t>A “goal kick” occurs when:</t>
  </si>
  <si>
    <t>A) Ball crosses the goal line last touched by defender B) Ball crosses midfield C) Player scores D) Ball goes out of bounds</t>
  </si>
  <si>
    <t>A) Ball crosses the goal line last touched by defender</t>
  </si>
  <si>
    <t>Cuju is an ancient form of which modern sport?</t>
  </si>
  <si>
    <t>A) Soccer B) Volleyball C) Basketball D) Rugby</t>
  </si>
  <si>
    <t>A) Soccer</t>
  </si>
  <si>
    <t>What is considered a foul in Cuju?</t>
  </si>
  <si>
    <t>A) Handling the ball B) Tripping an opponent C) Dangerous play D) All of the above</t>
  </si>
  <si>
    <t>How is a tie resolved in Cuju historically?</t>
  </si>
  <si>
    <t>A) Replay match B) Extra time C) Penalty kicks D) Coin toss</t>
  </si>
  <si>
    <t>A) Replay match</t>
  </si>
  <si>
    <t>Where was Cuju originally played?</t>
  </si>
  <si>
    <t>A) China B) Japan C) Korea D) India</t>
  </si>
  <si>
    <t>A) China</t>
  </si>
  <si>
    <t>In Cuju, the goal is:</t>
  </si>
  <si>
    <t>A) Circular net B) Rectangular goal C) Square area D) Open space</t>
  </si>
  <si>
    <t>A) Circular net</t>
  </si>
  <si>
    <t>Cuju matches were played on:</t>
  </si>
  <si>
    <t>A) Grass fields B) Sand Dunes C) Wooden floors D) Pavement</t>
  </si>
  <si>
    <t>A) Grass fields</t>
  </si>
  <si>
    <t>Which action is illegal in Cuju?</t>
  </si>
  <si>
    <t>A) Catching the ball B) Kicking the ball C) Passing the ball D) Dribbling</t>
  </si>
  <si>
    <t>A) Catching the ball</t>
  </si>
  <si>
    <t>What is a free kick in Cuju awarded for?</t>
  </si>
  <si>
    <t>A) Foul B) Scoring C) Goalkeeper error D) Timeout</t>
  </si>
  <si>
    <t>How is the ball moved in Cuju?</t>
  </si>
  <si>
    <t>A) Kicking and passing B) Throwing C) Hand dribbling D) Head only</t>
  </si>
  <si>
    <t>A) Kicking and passing</t>
  </si>
  <si>
    <t>Cuju players traditionally wore:</t>
  </si>
  <si>
    <t>A) Light armor B) Cloth robes C) Sports uniforms D) No clothing</t>
  </si>
  <si>
    <t>B) Cloth robes</t>
  </si>
  <si>
    <t>Can Cuju be played indoors?</t>
  </si>
  <si>
    <t>A) No B) Yes C) Sometimes D) Only with small teams</t>
  </si>
  <si>
    <t>B) Yes</t>
  </si>
  <si>
    <t>What signals the end of a Cuju match?</t>
  </si>
  <si>
    <t>A) Referee whistle B) Score reached C) Sunset D) Player agreement</t>
  </si>
  <si>
    <t>A) Referee whistle</t>
  </si>
  <si>
    <t>How is a corner kick awarded in Cuju?</t>
  </si>
  <si>
    <t>A) Ball crosses goal line last touched by defender B) Ball crosses midfield C) Player scores D) Foul in midfield</t>
  </si>
  <si>
    <t>A) Ball crosses goal line last touched by defender</t>
  </si>
  <si>
    <t>What is the traditional Cuju ball made of?</t>
  </si>
  <si>
    <t>A) Leather stuffed with feathers B) Rubber C) Wood D) Cloth</t>
  </si>
  <si>
    <t>A) Leather stuffed with feathers</t>
  </si>
  <si>
    <t>What is the main goal in Cuju strategy?</t>
  </si>
  <si>
    <t>A) Score goals B) Defend C) Maintain possession D) All of the above</t>
  </si>
  <si>
    <t>Cuju players were historically allowed to:</t>
  </si>
  <si>
    <t>A) Kick with feet B) Handle the ball C) Use sticks D) Use heads only</t>
  </si>
  <si>
    <t>A) Kick with feet</t>
  </si>
  <si>
    <t>What counts as a goal in Cuju?</t>
  </si>
  <si>
    <t>A) Ball crosses the circular net B) Ball hits the fence C) Ball touches ground D) Ball is thrown</t>
  </si>
  <si>
    <t>A) Ball crosses the circular net</t>
  </si>
  <si>
    <t>How is possession decided at kick-off?</t>
  </si>
  <si>
    <t>A) Coin toss B) Drawing lots C) Referee decision D) Player agreement</t>
  </si>
  <si>
    <t>A) Coin toss</t>
  </si>
  <si>
    <t>What is the penalty for repeated fouls in Cuju?</t>
  </si>
  <si>
    <t>A) Free kick B) Expulsion C) Warning D) All of the above</t>
  </si>
  <si>
    <t>B) Expulsion</t>
  </si>
  <si>
    <t>Cuju is often referred to as:</t>
  </si>
  <si>
    <t>A) Ancient Chinese football B) Old volleyball C) Traditional basketball D) Ancient rugby</t>
  </si>
  <si>
    <t>A) Ancient Chinese football</t>
  </si>
  <si>
    <t>What determines a corner in Cuju?</t>
  </si>
  <si>
    <t>A) Ball last touched by defender crossing goal line B) Ball out of bounds C) Foul in midfield D) Goalkeeper miss</t>
  </si>
  <si>
    <t>A) Ball last touched by defender crossing goal line</t>
  </si>
  <si>
    <t>How many goals are scored to win in traditional Cuju?</t>
  </si>
  <si>
    <t>A) Highest number after full time B) 1 C) 3 D) 5</t>
  </si>
  <si>
    <t>A) Highest number after full time</t>
  </si>
  <si>
    <t>Cuju players can pass using:</t>
  </si>
  <si>
    <t>A) Feet only B) Hands C) Head D) Arms</t>
  </si>
  <si>
    <t>A) Feet only</t>
  </si>
  <si>
    <t>Cuju field dimensions were historically:</t>
  </si>
  <si>
    <t>A) Varied, roughly rectangular B) Fixed C) Circular D) Square</t>
  </si>
  <si>
    <t>A) Varied, roughly rectangular</t>
  </si>
  <si>
    <t>What is the role of a goalkeeper in Cuju?</t>
  </si>
  <si>
    <t>A) Prevent goals B) Kick-off only C) Pass the ball D) Score</t>
  </si>
  <si>
    <t>A) Prevent goals</t>
  </si>
  <si>
    <t>Cuju matches historically included:</t>
  </si>
  <si>
    <t>A) Team strategy B) Individual skill C) Both A and B D) None</t>
  </si>
  <si>
    <t>C) Both A and B</t>
  </si>
  <si>
    <t>What is an indirect free kick in Cuju?</t>
  </si>
  <si>
    <t>A) Ball must touch another player before goal B) Direct to goal C) Throw-in D) Corner</t>
  </si>
  <si>
    <t>A) Ball must touch another player before goal</t>
  </si>
  <si>
    <t>Cuju was often played during:</t>
  </si>
  <si>
    <t>A) Festivals B) Wars C) Military training D) All of the above</t>
  </si>
  <si>
    <t>Cuju balls could be kicked:</t>
  </si>
  <si>
    <t>A) With both feet B) Hands only C) Head only D) Stick only</t>
  </si>
  <si>
    <t>A) With both feet</t>
  </si>
  <si>
    <t>Which of these is illegal in Cuju?</t>
  </si>
  <si>
    <t>A) Handling the ball B) Tripping C) Dangerous play D) All of the above</t>
  </si>
  <si>
    <t>Cuju referees controlled:</t>
  </si>
  <si>
    <t>A) Fouls B) Time C) Goal validation D) All of the above</t>
  </si>
  <si>
    <t>The circular goal in Cuju was called:</t>
  </si>
  <si>
    <t>A) Zhuozi B) Net C) Hoop D) Gate</t>
  </si>
  <si>
    <t>A) Zhuozi</t>
  </si>
  <si>
    <t>Cuju matches were played for:</t>
  </si>
  <si>
    <t>A) Entertainment B) Training C) Ceremony D) All of the above</t>
  </si>
  <si>
    <t>Cuju historically used what type of ball stuffing?</t>
  </si>
  <si>
    <t>A) Feathers B) Sand C) Rubber D) Cloth</t>
  </si>
  <si>
    <t>A) Feathers</t>
  </si>
  <si>
    <t>Cuju encourages which skill most?</t>
  </si>
  <si>
    <t>A) Kicking accuracy B) Throwing C) Acrobatics D) Hand coordination</t>
  </si>
  <si>
    <t>A) Kicking accuracy</t>
  </si>
  <si>
    <t>Cuju’s historical rules were standardized in which dynasty?</t>
  </si>
  <si>
    <t>A) Han B) Tang C) Song D) Ming</t>
  </si>
  <si>
    <t>B) Tang</t>
  </si>
  <si>
    <t>Cuju team sizes varied depending on:</t>
  </si>
  <si>
    <t>A) Field size B) Number of spectators C) Goal height D) Ball type</t>
  </si>
  <si>
    <t>A) Field size</t>
  </si>
  <si>
    <t>What is a penalty kick in Cuju?</t>
  </si>
  <si>
    <t>A) Awarded after a foul B) Awarded after goal C) Awarded at half-time D) Awarded after coin toss</t>
  </si>
  <si>
    <t>A) Awarded after a foul</t>
  </si>
  <si>
    <t>Cuju strategy emphasized:</t>
  </si>
  <si>
    <t>A) Passing B) Kicking accuracy C) Goal defense D) All of the above</t>
  </si>
  <si>
    <t>Cuju rules forbade:</t>
  </si>
  <si>
    <t>A) Ball handling B) Physical contact C) Dangerous play D) All of the above</t>
  </si>
  <si>
    <t>How did referees signal a foul in Cuju?</t>
  </si>
  <si>
    <t>A) Whistle B) Flag C) Shout D) Hand gesture</t>
  </si>
  <si>
    <t>A) Whistle</t>
  </si>
  <si>
    <t>Cuju matches could last:</t>
  </si>
  <si>
    <t>A) 30–90 minutes B) 10–20 minutes C) 2–3 hours D) 120 minutes</t>
  </si>
  <si>
    <t>A) 30–90 minutes</t>
  </si>
  <si>
    <t>Cuju’s circular goal height:</t>
  </si>
  <si>
    <t>A) About 1.5 meters B) 1 meter C) 2 meters D) 0.5 meters</t>
  </si>
  <si>
    <t>A) About 1.5 meters</t>
  </si>
  <si>
    <t>What happens when the ball goes out of bounds?</t>
  </si>
  <si>
    <t>A) Throw-in or kick-in B) Goal C) Penalty D) Restart</t>
  </si>
  <si>
    <t>A) Throw-in or kick-in</t>
  </si>
  <si>
    <t>Cuju emphasizes which skill?</t>
  </si>
  <si>
    <t>A) Foot-eye coordination B) Hand strength C) Acrobatics D) Swimming</t>
  </si>
  <si>
    <t>A) Foot-eye coordination</t>
  </si>
  <si>
    <t>Cuju ball could be kicked to:</t>
  </si>
  <si>
    <t>A) Score goal B) Pass C) Defend D) All of the above</t>
  </si>
  <si>
    <t>Cuju was often used for:</t>
  </si>
  <si>
    <t>A) Military training B) Festivals C) Social gatherings D) All of the above</t>
  </si>
  <si>
    <t>Cuju teams wore:</t>
  </si>
  <si>
    <t>A) Traditional robes B) Armor C) Modern uniforms D) No clothing</t>
  </si>
  <si>
    <t>A) Traditional robes</t>
  </si>
  <si>
    <t>Cuju’s main scoring method:</t>
  </si>
  <si>
    <t>A) Kick ball through goal B) Hand ball C) Throw ball D) Hit opponent</t>
  </si>
  <si>
    <t>A) Kick ball through goal</t>
  </si>
  <si>
    <t>What is a throw-in equivalent in Cuju?</t>
  </si>
  <si>
    <t>A) Kick from boundary B) Hand pass C) Ball rebound D) Goalkeeper restart</t>
  </si>
  <si>
    <t>A) Kick from boundary</t>
  </si>
  <si>
    <t>Cuju is considered the earliest form of:</t>
  </si>
  <si>
    <t>A) Football (soccer) B) Basketball C) Volleyball D) Rugby</t>
  </si>
  <si>
    <t>A) Football (soccer)</t>
  </si>
  <si>
    <t>Cuju rules included:</t>
  </si>
  <si>
    <t>A) Fouls B) Free kicks C) Corners D) All of the above</t>
  </si>
  <si>
    <t>Cuju encourages:</t>
  </si>
  <si>
    <t>A) Teamwork B) Individual skill C) Strategy D) All of the above</t>
  </si>
  <si>
    <t>Cuju matches were officiated by:</t>
  </si>
  <si>
    <t>A) Referee B) Player C) Captain D) Spectators</t>
  </si>
  <si>
    <t>A) Referee</t>
  </si>
  <si>
    <t>Cuju goals were traditionally:</t>
  </si>
  <si>
    <t>A) Circular nets B) Rectangular posts C) Flags D) Cones</t>
  </si>
  <si>
    <t>A) Circular nets</t>
  </si>
  <si>
    <t>Cuju field length:</t>
  </si>
  <si>
    <t>A) 50–100 meters B) 30 meters C) 200 meters D) 10 meters</t>
  </si>
  <si>
    <t>A) 50–100 meters</t>
  </si>
  <si>
    <t>In Cuju, a ball passing outside the goal line results in:</t>
  </si>
  <si>
    <t>A) Throw-in from boundary B) Goal C) Free kick D) Match stoppage</t>
  </si>
  <si>
    <t>A) Throw-in from boundary</t>
  </si>
  <si>
    <t>Cuju matches allowed how many substitutions per team?</t>
  </si>
  <si>
    <t>A) 3 B) 1 C) 5 D) Unlimited</t>
  </si>
  <si>
    <t>A) 3</t>
  </si>
  <si>
    <t>How is a tie resolved in traditional Cuju tournaments?</t>
  </si>
  <si>
    <t>A) Replay match B) Extra time C) Penalty kick D) Coin toss</t>
  </si>
  <si>
    <t>Cuju players were prohibited from:</t>
  </si>
  <si>
    <t>A) Touching the ball with hands B) Passing C) Kicking D) Defending</t>
  </si>
  <si>
    <t>A) Touching the ball with hands</t>
  </si>
  <si>
    <t>What is the function of corner kicks in Cuju?</t>
  </si>
  <si>
    <t>A) Restart play after ball crosses goal line B) Score directly C) Foul penalty D) Throw-in alternative</t>
  </si>
  <si>
    <t>A) Restart play after ball crosses goal line</t>
  </si>
  <si>
    <t>Cuju balls were traditionally inflated using:</t>
  </si>
  <si>
    <t>A) Animal bladder B) Rubber pump C) Cloth stuffing D) Air pressure</t>
  </si>
  <si>
    <t>A) Animal bladder</t>
  </si>
  <si>
    <t>Which dynasty standardized Cuju rules?</t>
  </si>
  <si>
    <t>A) Tang B) Ming C) Han D) Song</t>
  </si>
  <si>
    <t>A) Tang</t>
  </si>
  <si>
    <t>Cuju emphasizes what type of teamwork?</t>
  </si>
  <si>
    <t>A) Passing and positioning B) Individual kicks only C) Acrobatics D) Weapon use</t>
  </si>
  <si>
    <t>A) Passing and positioning</t>
  </si>
  <si>
    <t>Cuju players historically trained to:</t>
  </si>
  <si>
    <t>A) Kick accurately B) Defend C) Coordinate with team D) All of the above</t>
  </si>
  <si>
    <t>Cuju is primarily played with which body part?</t>
  </si>
  <si>
    <t>A) Feet B) Hands C) Head D) Both hands and feet</t>
  </si>
  <si>
    <t>A) Feet</t>
  </si>
  <si>
    <t>Fouls in Cuju are signaled by:</t>
  </si>
  <si>
    <t>A) Referee whistle B) Flag C) Player shout D) Bell</t>
  </si>
  <si>
    <t>Cuju matches were historically used for:</t>
  </si>
  <si>
    <t>A) Entertainment B) Military training C) Festivals D) All of the above</t>
  </si>
  <si>
    <t>What happens after a goal is scored in Cuju?</t>
  </si>
  <si>
    <t>A) Kick-off by conceding team B) Free kick C) Match ends D) Restart by scoring team</t>
  </si>
  <si>
    <t>A) Kick-off by conceding team</t>
  </si>
  <si>
    <t>A) Kick with both feet B) Handle the ball C) Use sticks D) Head only</t>
  </si>
  <si>
    <t>A) Kick with both feet</t>
  </si>
  <si>
    <t>The goal in Cuju was positioned:</t>
  </si>
  <si>
    <t>A) At either end of the field B) Anywhere on field C) Center of field D) Random location</t>
  </si>
  <si>
    <t>A) At either end of the field</t>
  </si>
  <si>
    <t>Cuju field boundaries were marked by:</t>
  </si>
  <si>
    <t>A) Lines or ropes B) Flags only C) Cones D) None</t>
  </si>
  <si>
    <t>A) Lines or ropes</t>
  </si>
  <si>
    <t>Cuju’s primary scoring action is:</t>
  </si>
  <si>
    <t>A) Kicking ball into circular goal B) Throwing C) Hitting opponent D) Dribbling</t>
  </si>
  <si>
    <t>A) Kicking ball into circular goal</t>
  </si>
  <si>
    <t>Cuju was played by which gender historically?</t>
  </si>
  <si>
    <t>A) Men B) Women C) Both D) Only royalty</t>
  </si>
  <si>
    <t>C) Both</t>
  </si>
  <si>
    <t>Cuju tournaments were often held during:</t>
  </si>
  <si>
    <t>A) Festivals B) Harvest season C) Winter D) Summer only</t>
  </si>
  <si>
    <t>A) Festivals</t>
  </si>
  <si>
    <t>A) Soccer (football) B) Basketball C) Volleyball D) Rugby</t>
  </si>
  <si>
    <t>A) Soccer (football)</t>
  </si>
  <si>
    <t>How is offside determined in Cuju?</t>
  </si>
  <si>
    <t>A) No offside rules B) Player position C) Ball height D) Goalkeeper position</t>
  </si>
  <si>
    <t>A) No offside rules</t>
  </si>
  <si>
    <t>Cuju free kicks can be:</t>
  </si>
  <si>
    <t>A) Direct or indirect B) Only direct C) Only indirect D) Not allowed</t>
  </si>
  <si>
    <t>A) Direct or indirect</t>
  </si>
  <si>
    <t>Cuju players were traditionally trained to:</t>
  </si>
  <si>
    <t>A) Maintain stamina B) Kick accurately C) Pass effectively D) All of the above</t>
  </si>
  <si>
    <t>How many paddlers typically row a dragon boat?</t>
  </si>
  <si>
    <t>A) 8, B) 10, C) 12, D) 20</t>
  </si>
  <si>
    <t>C) 12</t>
  </si>
  <si>
    <t>A standard dragon boat has 12 paddlers, though the number can vary.</t>
  </si>
  <si>
    <t>What does the drum in a dragon boat race signify?</t>
  </si>
  <si>
    <t>A) To keep time, B) To signal the start, C) To intimidate opponents, D) To cheer the team</t>
  </si>
  <si>
    <t>A) To keep time</t>
  </si>
  <si>
    <t>The drummer sets the rhythm and pace for the paddlers to follow.</t>
  </si>
  <si>
    <t>What is the typical material of a dragon boat?</t>
  </si>
  <si>
    <t>A) Wood, B) Metal, C) Fiberglass, D) Plastic</t>
  </si>
  <si>
    <t>A) Wood</t>
  </si>
  <si>
    <t>Traditional dragon boats are made from wood, although modern boats often use fiberglass.</t>
  </si>
  <si>
    <t>How many people typically make up a full dragon boat crew?</t>
  </si>
  <si>
    <t>A) 10, B) 20, C) 30, D) 40</t>
  </si>
  <si>
    <t>B) 20</t>
  </si>
  <si>
    <t>A standard dragon boat racing crew consists of 20 paddlers.</t>
  </si>
  <si>
    <t>What does the dragon boat paddle look like?</t>
  </si>
  <si>
    <t>A) Straight, B) Bent at an angle, C) With a flat blade, D) Circular</t>
  </si>
  <si>
    <t>C) With a flat blade</t>
  </si>
  <si>
    <t>Dragon boat paddles have a flat blade to maximize efficiency in the water.</t>
  </si>
  <si>
    <t>Who sits at the front of the dragon boat during a race?</t>
  </si>
  <si>
    <t>A) The paddler, B) The coach, C) The drummer, D) The steerer</t>
  </si>
  <si>
    <t>D) The steerer</t>
  </si>
  <si>
    <t>The steerer controls the boat's direction and is positioned at the front of the dragon boat.</t>
  </si>
  <si>
    <t>What type of race format is most common in dragon boat racing?</t>
  </si>
  <si>
    <t>A) Sprints, B) Marathons, C) Relay, D) Team event</t>
  </si>
  <si>
    <t>A) Sprints</t>
  </si>
  <si>
    <t>Dragon boat races are typically sprint events, focusing on speed and teamwork.</t>
  </si>
  <si>
    <t>What is a typical race distance in dragon boat racing?</t>
  </si>
  <si>
    <t>A) 100 meters, B) 200 meters, C) 500 meters, D) 1000 meters</t>
  </si>
  <si>
    <t>C) 500 meters</t>
  </si>
  <si>
    <t>The typical race distance in dragon boat racing is 500 meters, though it can vary.</t>
  </si>
  <si>
    <t>Which of the following is a key element in dragon boat racing technique?</t>
  </si>
  <si>
    <t>A) Synchronization, B) Strength, C) Stamina, D) Speed</t>
  </si>
  <si>
    <t>A) Synchronization</t>
  </si>
  <si>
    <t>Successful dragon boat racing requires perfect synchronization between all paddlers.</t>
  </si>
  <si>
    <t>How do teams typically signal the start of a dragon boat race?</t>
  </si>
  <si>
    <t>A) Whistle, B) Drum, C) Horn, D) Flag</t>
  </si>
  <si>
    <t>B) Drum</t>
  </si>
  <si>
    <t>The race starts when the drum beats the signal for the paddlers to begin.</t>
  </si>
  <si>
    <t>What is the term for the small boats used in dragon boat races?</t>
  </si>
  <si>
    <t>A) Dinghy, B) Sampan, C) Canoe, D) Dragon boat</t>
  </si>
  <si>
    <t>D) Dragon boat</t>
  </si>
  <si>
    <t>The boats used in the races are called dragon boats, designed specifically for this sport.</t>
  </si>
  <si>
    <t>What is the dragon boat steerer responsible for?</t>
  </si>
  <si>
    <t>A) Paddling, B) Drumming, C) Steering the boat, D) Coaching</t>
  </si>
  <si>
    <t>C) Steering the boat</t>
  </si>
  <si>
    <t>The steerer is responsible for navigating the boat through the race course.</t>
  </si>
  <si>
    <t>Which of the following is the most important factor for success in dragon boat racing?</t>
  </si>
  <si>
    <t>A) Speed, B) Endurance, C) Teamwork, D) Strength</t>
  </si>
  <si>
    <t>C) Teamwork</t>
  </si>
  <si>
    <t>Dragon boat racing requires impeccable teamwork and coordination among all paddlers.</t>
  </si>
  <si>
    <t>How are the results of a dragon boat race typically determined?</t>
  </si>
  <si>
    <t>A) By time, B) By speed, C) By technique, D) By endurance</t>
  </si>
  <si>
    <t>A) By time</t>
  </si>
  <si>
    <t>The winner of a dragon boat race is determined by the fastest time to complete the course.</t>
  </si>
  <si>
    <t>Which body of water is most commonly used for dragon boat races?</t>
  </si>
  <si>
    <t>A) Rivers, B) Lakes, C) Oceans, D) Pools</t>
  </si>
  <si>
    <t>B) Lakes</t>
  </si>
  <si>
    <t>Dragon boat races are most commonly held on calm lakes or rivers for better control.</t>
  </si>
  <si>
    <t>What was the original purpose of the dragon boat races?</t>
  </si>
  <si>
    <t>A) To celebrate the harvest, B) To honor ancestors, C) To find Qu Yuan's body, D) To compete for glory</t>
  </si>
  <si>
    <t>C) To find Qu Yuan's body</t>
  </si>
  <si>
    <t>Dragon boat races originated as a way to attempt to retrieve the body of Qu Yuan, who drowned himself in protest.</t>
  </si>
  <si>
    <t>What is the role of the drummer in a dragon boat race?</t>
  </si>
  <si>
    <t>A) To steer the boat, B) To maintain rhythm for paddlers, C) To signal the start, D) To cheer on the crew</t>
  </si>
  <si>
    <t>B) To maintain rhythm for paddlers</t>
  </si>
  <si>
    <t>The drummer sets the pace by maintaining rhythm, ensuring synchronized paddling among the crew.</t>
  </si>
  <si>
    <t>What type of race is most common in dragon boat racing?</t>
  </si>
  <si>
    <t>A) Sprint, B) Marathon, C) Relay, D) Cross-country</t>
  </si>
  <si>
    <t>A) Sprint</t>
  </si>
  <si>
    <t>Dragon boat racing is typically conducted as a sprint, emphasizing speed and synchronization.</t>
  </si>
  <si>
    <t>How many paddlers are there in a 10-man dragon boat team?</t>
  </si>
  <si>
    <t>A) 5, B) 8, C) 10, D) 12</t>
  </si>
  <si>
    <t>C) 10</t>
  </si>
  <si>
    <t>A standard 10-man dragon boat team consists of 10 paddlers.</t>
  </si>
  <si>
    <t>What is the dragon boat race's main objective?</t>
  </si>
  <si>
    <t>A) To reach the finish line first, B) To honor a cultural practice, C) To demonstrate strength, D) To entertain spectators</t>
  </si>
  <si>
    <t>A) To reach the finish line first</t>
  </si>
  <si>
    <t>The primary goal in dragon boat racing is to cross the finish line before your competitors.</t>
  </si>
  <si>
    <t>What does the dragon symbolize in the context of dragon boat racing?</t>
  </si>
  <si>
    <t>A) Strength and power, B) Good fortune, C) Speed, D) Unity</t>
  </si>
  <si>
    <t>A) Strength and power</t>
  </si>
  <si>
    <t>In dragon boat racing, the dragon symbolizes strength and power, which are critical attributes for success.</t>
  </si>
  <si>
    <t>What kind of material are modern dragon boats usually made of?</t>
  </si>
  <si>
    <t>A) Wood, B) Metal, C) Plastic, D) Carbon fiber</t>
  </si>
  <si>
    <t>D) Carbon fiber</t>
  </si>
  <si>
    <t>Modern dragon boats are often made from lightweight, durable carbon fiber for enhanced performance.</t>
  </si>
  <si>
    <t>What is the role of the steerer in a dragon boat race?</t>
  </si>
  <si>
    <t>A) To paddle, B) To signal the start, C) To maintain rhythm, D) To control the boat's direction</t>
  </si>
  <si>
    <t>D) To control the boat's direction</t>
  </si>
  <si>
    <t>The steerer is responsible for guiding the boat along the race course.</t>
  </si>
  <si>
    <t>How many people are on a full-length dragon boat crew?</t>
  </si>
  <si>
    <t>A) 16, B) 20, C) 22, D) 24</t>
  </si>
  <si>
    <t>A full-length dragon boat crew typically consists of 20 paddlers, along with a drummer and steerer.</t>
  </si>
  <si>
    <t>What does the number of paddlers in a dragon boat crew affect?</t>
  </si>
  <si>
    <t>A) Boat speed, B) Boat stability, C) Synchronization, D) All of the above</t>
  </si>
  <si>
    <t>The number of paddlers impacts boat speed, stability, and synchronization in dragon boat racing.</t>
  </si>
  <si>
    <t>What is the paddling technique used in dragon boat racing?</t>
  </si>
  <si>
    <t>A) Alternating paddles, B) Double strokes, C) Single stroke, D) Continuous paddling</t>
  </si>
  <si>
    <t>A) Alternating paddles</t>
  </si>
  <si>
    <t>Paddlers use an alternating stroke to maximize the boat's speed and efficiency.</t>
  </si>
  <si>
    <t>What does the competition between teams in dragon boat racing symbolize?</t>
  </si>
  <si>
    <t>A) Conflict, B) Brotherhood, C) Survival, D) Celebration</t>
  </si>
  <si>
    <t>B) Brotherhood</t>
  </si>
  <si>
    <t>Dragon boat racing emphasizes teamwork and unity among crew members.</t>
  </si>
  <si>
    <t>Which of the following is NOT a standard part of a dragon boat team?</t>
  </si>
  <si>
    <t>A) Paddlers, B) Drummer, C) Steerer, D) Coach</t>
  </si>
  <si>
    <t>D) Coach</t>
  </si>
  <si>
    <t>While coaches may be present, they are not an official part of the boat crew, unlike paddlers, drummers, and the steerer.</t>
  </si>
  <si>
    <t>Which of the following is a key factor for a successful dragon boat race?</t>
  </si>
  <si>
    <t>A) Individual strength, B) Speed of the boat, C) Synchronization of paddlers, D) Strength of the steerer</t>
  </si>
  <si>
    <t>C) Synchronization of paddlers</t>
  </si>
  <si>
    <t>The key to success in dragon boat racing is the perfect synchronization of all paddlers.</t>
  </si>
  <si>
    <t>What must dragon boat teams do before starting a race?</t>
  </si>
  <si>
    <t>A) Chant a prayer, B) Perform a ritual, C) Warm up, D) Set the boat on fire</t>
  </si>
  <si>
    <t>C) Warm up</t>
  </si>
  <si>
    <t>Teams must warm up to ensure their muscles are ready and to reduce the risk of injury during the race.</t>
  </si>
  <si>
    <t>What does the start of a dragon boat race often involve?</t>
  </si>
  <si>
    <t>A) A parade, B) A boat blessing, C) A cannon firing, D) A whistle blow</t>
  </si>
  <si>
    <t>D) A whistle blow</t>
  </si>
  <si>
    <t>The start of a dragon boat race is usually marked by a whistle blow to signal the beginning.</t>
  </si>
  <si>
    <t>In dragon boat racing, what does the term 'strokes' refer to?</t>
  </si>
  <si>
    <t>A) Paddling movements, B) The number of boats in a race, C) Types of races, D) Distances raced</t>
  </si>
  <si>
    <t>A) Paddling movements</t>
  </si>
  <si>
    <t>In dragon boat racing, 'strokes' refers to the paddling movements made by each paddler.</t>
  </si>
  <si>
    <t>Which of the following is a major international competition for dragon boat racing?</t>
  </si>
  <si>
    <t>A) Dragon Boat World Cup, B) World Dragon Boat Championship, C) International Paddling Tournament, D) Asian Dragon Boat Games</t>
  </si>
  <si>
    <t>B) World Dragon Boat Championship</t>
  </si>
  <si>
    <t>The World Dragon Boat Championship is one of the major international competitions for the sport.</t>
  </si>
  <si>
    <t>How are dragon boat races typically started?</t>
  </si>
  <si>
    <t>A) With a whistle blast, B) With a flag, C) With a horn, D) With the beat of the drum</t>
  </si>
  <si>
    <t>A) With a whistle blast</t>
  </si>
  <si>
    <t>Races usually begin with a whistle blast to signal the start of the competition.</t>
  </si>
  <si>
    <t>What happens if a team jumps the start line in a dragon boat race?</t>
  </si>
  <si>
    <t>A) The team wins, B) The race is reset, C) The team is disqualified, D) The team gets a time penalty</t>
  </si>
  <si>
    <t>C) The team is disqualified</t>
  </si>
  <si>
    <t>Jumping the start line leads to disqualification to maintain fairness in the race.</t>
  </si>
  <si>
    <t>How many people typically steer a dragon boat during a race?</t>
  </si>
  <si>
    <t>A) One, B) Two, C) Three, D) Four</t>
  </si>
  <si>
    <t>A) One</t>
  </si>
  <si>
    <t>Usually, only one person steers the boat, located at the stern, to guide it along the racecourse.</t>
  </si>
  <si>
    <t>What is the most important quality required for paddlers in dragon boat racing?</t>
  </si>
  <si>
    <t>A) Strength, B) Stamina, C) Synchronization, D) Speed</t>
  </si>
  <si>
    <t>C) Synchronization</t>
  </si>
  <si>
    <t>Perfect synchronization among the paddlers is the most important factor in winning a dragon boat race.</t>
  </si>
  <si>
    <t>How is the dragon boat typically propelled forward?</t>
  </si>
  <si>
    <t>A) By paddlers' strokes, B) By wind, C) By an engine, D) By the drummer's signals</t>
  </si>
  <si>
    <t>A) By paddlers' strokes</t>
  </si>
  <si>
    <t>The boat is propelled by the synchronized strokes of the paddlers, who generate the forward movement.</t>
  </si>
  <si>
    <t>What is a 'drummer's role' in a dragon boat?</t>
  </si>
  <si>
    <t>A) To control the boat's direction, B) To ensure synchronization, C) To keep time with the paddlers, D) To compete against other teams</t>
  </si>
  <si>
    <t>B) To ensure synchronization</t>
  </si>
  <si>
    <t>The drummer is responsible for setting the rhythm, helping paddlers maintain synchronization.</t>
  </si>
  <si>
    <t>What is the primary color of the dragon head on the boat?</t>
  </si>
  <si>
    <t>A) Red, B) Gold, C) Green, D) Blue</t>
  </si>
  <si>
    <t>B) Gold</t>
  </si>
  <si>
    <t>The dragon head is typically gold, symbolizing strength and power in Chinese culture.</t>
  </si>
  <si>
    <t>How many paddlers are typically in a dragon boat team?</t>
  </si>
  <si>
    <t>A) 20 B) 10 C) 50 D) 5</t>
  </si>
  <si>
    <t>A) 20</t>
  </si>
  <si>
    <t>What is the role of the drummer in dragon boat racing?</t>
  </si>
  <si>
    <t>A) Keep pace B) Paddle C) Steer D) Coach</t>
  </si>
  <si>
    <t>A) Keep pace</t>
  </si>
  <si>
    <t>How is the boat steered in dragon boat racing?</t>
  </si>
  <si>
    <t>A) Using a rudder or sweep oar B) By paddlers only C) By drummer D) Automatic</t>
  </si>
  <si>
    <t>A) Using a rudder or sweep oar</t>
  </si>
  <si>
    <t>Dragon boat racing races usually cover what distance?</t>
  </si>
  <si>
    <t>A) 200–500 meters B) 50 meters C) 1000 meters D) 5 km</t>
  </si>
  <si>
    <t>A) 200–500 meters</t>
  </si>
  <si>
    <t>What is the minimum number of paddlers required for an official dragon boat?</t>
  </si>
  <si>
    <t>A) 10 B) 5 C) 20 D) 30</t>
  </si>
  <si>
    <t>A) 10</t>
  </si>
  <si>
    <t>What is a “stroke rate” in dragon boat racing?</t>
  </si>
  <si>
    <t>A) Number of paddle strokes per minute B) Heart rate C) Boat speed D) Number of turns</t>
  </si>
  <si>
    <t>A) Number of paddle strokes per minute</t>
  </si>
  <si>
    <t>Who usually starts the race in dragon boat competitions?</t>
  </si>
  <si>
    <t>A) Starter/official B) Drummer C) Captain D) First paddler</t>
  </si>
  <si>
    <t>A) Starter/official</t>
  </si>
  <si>
    <t>What happens if a boat crosses the lane line?</t>
  </si>
  <si>
    <t>A) Penalty B) No effect C) Restart D) Disqualification</t>
  </si>
  <si>
    <t>A) Penalty</t>
  </si>
  <si>
    <t>The person at the rear of the boat is called?</t>
  </si>
  <si>
    <t>A) Steerer/sweep B) Drummer C) Bow paddler D) Captain</t>
  </si>
  <si>
    <t>A) Steerer/sweep</t>
  </si>
  <si>
    <t>The drummer signals the paddlers to:</t>
  </si>
  <si>
    <t>A) Synchronize strokes B) Stop paddling C) Steer D) Jump</t>
  </si>
  <si>
    <t>A) Synchronize strokes</t>
  </si>
  <si>
    <t>Dragon boat racing originated in which country?</t>
  </si>
  <si>
    <t>A) China B) Japan C) Korea D) Vietnam</t>
  </si>
  <si>
    <t>The dragon boat’s front is decorated with:</t>
  </si>
  <si>
    <t>A) Dragon head B) Phoenix C) Lion D) Fish</t>
  </si>
  <si>
    <t>A) Dragon head</t>
  </si>
  <si>
    <t>Dragon boat races are traditionally held during:</t>
  </si>
  <si>
    <t>A) Dragon Boat Festival B) Lunar New Year C) Mid-Autumn Festival D) Winter Solstice</t>
  </si>
  <si>
    <t>A) Dragon Boat Festival</t>
  </si>
  <si>
    <t>The captain or “caller” in some teams is responsible for:</t>
  </si>
  <si>
    <t>A) Strategy and coordination B) Drumming C) Steering D) Cooking</t>
  </si>
  <si>
    <t>A) Strategy and coordination</t>
  </si>
  <si>
    <t>A false start in dragon boat racing results in:</t>
  </si>
  <si>
    <t>A) Warning or restart B) Immediate disqualification C) Time penalty D) Extra strokes</t>
  </si>
  <si>
    <t>A) Warning or restart</t>
  </si>
  <si>
    <t>Which side of the boat is usually paddled first in synchronization?</t>
  </si>
  <si>
    <t>A) Left or right alternating B) Only left C) Only right D) Depends on wind</t>
  </si>
  <si>
    <t>A) Left or right alternating</t>
  </si>
  <si>
    <t>What is the maximum crew size for standard dragon boats?</t>
  </si>
  <si>
    <t>A) 20–22 B) 10 C) 50 D) 5</t>
  </si>
  <si>
    <t>A) 20–22</t>
  </si>
  <si>
    <t>What is a “power stroke” in dragon boat racing?</t>
  </si>
  <si>
    <t>A) Strong, full paddle stroke B) Gentle stroke C) Drummer’s beat D) Steering stroke</t>
  </si>
  <si>
    <t>A) Strong, full paddle stroke</t>
  </si>
  <si>
    <t>Paddlers must remain seated because:</t>
  </si>
  <si>
    <t>A) Stability and safety B) Tradition C) Drummer’s rules D) Speed advantage</t>
  </si>
  <si>
    <t>A) Stability and safety</t>
  </si>
  <si>
    <t>What is a “sprint start”?</t>
  </si>
  <si>
    <t>A) Maximum effort at start B) Slow start C) Paddle only one side D) Drummer paddles</t>
  </si>
  <si>
    <t>A) Maximum effort at start</t>
  </si>
  <si>
    <t>Which action is prohibited during a race?</t>
  </si>
  <si>
    <t>A) Leaning out of the boat B) Paddling C) Drumming D) Steering</t>
  </si>
  <si>
    <t>A) Leaning out of the boat</t>
  </si>
  <si>
    <t>How is boat speed increased?</t>
  </si>
  <si>
    <t>A) Faster, synchronized strokes B) Leaning forward C) Lifting boat D) Jumping in water</t>
  </si>
  <si>
    <t>A) Faster, synchronized strokes</t>
  </si>
  <si>
    <t>What does the drummer do at the finish line?</t>
  </si>
  <si>
    <t>A) Stops drumming B) Keeps drumming C) Steers D) Jumps</t>
  </si>
  <si>
    <t>A) Stops drumming</t>
  </si>
  <si>
    <t>Dragon boat paddlers usually use which type of paddle?</t>
  </si>
  <si>
    <t>A) Single-bladed B) Double-bladed C) Oar D) Spoon</t>
  </si>
  <si>
    <t>A) Single-bladed</t>
  </si>
  <si>
    <t>Proper paddle technique involves:</t>
  </si>
  <si>
    <t>A) Full reach, consistent stroke B) Short jerky strokes C) Hands only D) Random strokes</t>
  </si>
  <si>
    <t>A) Full reach, consistent stroke</t>
  </si>
  <si>
    <t>What is a “catch” in dragon boat terms?</t>
  </si>
  <si>
    <t>A) Initial water entry of paddle B) Boat collision C) Paddle lift D) Finish line</t>
  </si>
  <si>
    <t>A) Initial water entry of paddle</t>
  </si>
  <si>
    <t>What is a “release” in dragon boat technique?</t>
  </si>
  <si>
    <t>A) Removing paddle from water B) Boat stop C) Jumping out D) Steering</t>
  </si>
  <si>
    <t>A) Removing paddle from water</t>
  </si>
  <si>
    <t>Who coordinates the team’s rhythm?</t>
  </si>
  <si>
    <t>A) Drummer B) Captain C) Steerer D) First paddler</t>
  </si>
  <si>
    <t>A) Drummer</t>
  </si>
  <si>
    <t>Safety rules require:</t>
  </si>
  <si>
    <t>A) Life jackets for all paddlers B) Helmets C) Shoes only D) Gloves</t>
  </si>
  <si>
    <t>A) Life jackets for all paddlers</t>
  </si>
  <si>
    <t>The bow paddler’s role includes:</t>
  </si>
  <si>
    <t>A) Following drummer’s rhythm B) Steering C) Drumming D) Coach assistant</t>
  </si>
  <si>
    <t>A) Following drummer’s rhythm</t>
  </si>
  <si>
    <t>Dragon boat races may include:</t>
  </si>
  <si>
    <t>A) Heats and finals B) Only one race C) Timed trials D) Practice only</t>
  </si>
  <si>
    <t>A) Heats and finals</t>
  </si>
  <si>
    <t>A disqualification can occur for:</t>
  </si>
  <si>
    <t>A) Interfering with another boat B) Slow paddling C) Drumming D) Wearing wrong color</t>
  </si>
  <si>
    <t>A) Interfering with another boat</t>
  </si>
  <si>
    <t>What is a “power ten” in dragon boat racing?</t>
  </si>
  <si>
    <t>A) Ten strong, synchronized strokes B) Number of paddlers C) Ten seconds rest D) Ten boat lengths</t>
  </si>
  <si>
    <t>A) Ten strong, synchronized strokes</t>
  </si>
  <si>
    <t>Steerers are responsible for:</t>
  </si>
  <si>
    <t>A) Keeping the boat straight B) Drumming C) Calling strokes D) Paddling only</t>
  </si>
  <si>
    <t>A) Keeping the boat straight</t>
  </si>
  <si>
    <t>Paddlers sit in which arrangement?</t>
  </si>
  <si>
    <t>A) Alternating sides B) All on left C) All on right D) Random</t>
  </si>
  <si>
    <t>A) Alternating sides</t>
  </si>
  <si>
    <t>The finish line is usually marked with:</t>
  </si>
  <si>
    <t>A) Buoys or flags B) Rope C) Shoreline D) Drummer</t>
  </si>
  <si>
    <t>A) Buoys or flags</t>
  </si>
  <si>
    <t>A “lane infringement” penalty occurs when:</t>
  </si>
  <si>
    <t>A) Boat leaves designated lane B) Paddle misses water C) Drummer stops D) Boat leans</t>
  </si>
  <si>
    <t>A) Boat leaves designated lane</t>
  </si>
  <si>
    <t>Drummer’s primary responsibility is:</t>
  </si>
  <si>
    <t>A) Timing strokes B) Steering C) Paddling D) Coaching</t>
  </si>
  <si>
    <t>A) Timing strokes</t>
  </si>
  <si>
    <t>Dragon boat races can be:</t>
  </si>
  <si>
    <t>A) Sprint or long distance B) Only sprint C) Only long distance D) Solo paddling</t>
  </si>
  <si>
    <t>A) Sprint or long distance</t>
  </si>
  <si>
    <t>Crew synchronization affects:</t>
  </si>
  <si>
    <t>A) Boat speed B) Stability C) Efficiency D) All of the above</t>
  </si>
  <si>
    <t>The tail of the boat is called:</t>
  </si>
  <si>
    <t>A) Stern B) Bow C) Midsection D) Drummer position</t>
  </si>
  <si>
    <t>A) Stern</t>
  </si>
  <si>
    <t>Dragon boats can be made of:</t>
  </si>
  <si>
    <t>A) Wood B) Fiberglass C) Carbon fiber D) All of the above</t>
  </si>
  <si>
    <t>How is race order determined?</t>
  </si>
  <si>
    <t>A) Random draw or seeding B) Captain decision C) Drummer D) Boat color</t>
  </si>
  <si>
    <t>A) Random draw or seeding</t>
  </si>
  <si>
    <t>Paddlers’ stroke timing is guided by:</t>
  </si>
  <si>
    <t>A) Drummer B) Steerer C) Captain D) First paddler</t>
  </si>
  <si>
    <t>Paddle length is determined by:</t>
  </si>
  <si>
    <t>A) Paddler height and boat size B) Tradition C) Race type D) Boat color</t>
  </si>
  <si>
    <t>A) Paddler height and boat size</t>
  </si>
  <si>
    <t>Which of these is not allowed?</t>
  </si>
  <si>
    <t>A) Standing while paddling B) Seated paddling C) Paddle synchronization D) Drummer call</t>
  </si>
  <si>
    <t>A) Standing while paddling</t>
  </si>
  <si>
    <t>Race officials enforce rules on:</t>
  </si>
  <si>
    <t>A) Lane, start, finish, safety B) Paddling style only C) Boat decoration D) Drummer position</t>
  </si>
  <si>
    <t>A) Lane, start, finish, safety</t>
  </si>
  <si>
    <t>Dragon boat races usually start with:</t>
  </si>
  <si>
    <t>A) Whistle or horn B) Paddler signal C) Drummer start D) Captain shout</t>
  </si>
  <si>
    <t>A) Whistle or horn</t>
  </si>
  <si>
    <t>Which factor affects boat speed most?</t>
  </si>
  <si>
    <t>A) Paddle synchronization B) Weight of boat C) Water temperature D) Drummer position</t>
  </si>
  <si>
    <t>A) Paddle synchronization</t>
  </si>
  <si>
    <t>How is a tie resolved?</t>
  </si>
  <si>
    <t>A) Photo finish, replay, or timing B) Coin toss C) Extra drumming D) Audience vote</t>
  </si>
  <si>
    <t>A) Photo finish, replay, or timing</t>
  </si>
  <si>
    <t>Safety equipment includes:</t>
  </si>
  <si>
    <t>A) Life jackets B) Helmets C) Knee pads D) Gloves</t>
  </si>
  <si>
    <t>A) Life jackets</t>
  </si>
  <si>
    <t>Boats must stay in:</t>
  </si>
  <si>
    <t>A) Assigned lanes B) Any lane C) Outside lanes D) Shoreline</t>
  </si>
  <si>
    <t>A) Assigned lanes</t>
  </si>
  <si>
    <t>Drummer uses which tool to set pace?</t>
  </si>
  <si>
    <t>A) Drum B) Flag C) Paddle D) Whistle</t>
  </si>
  <si>
    <t>A) Drum</t>
  </si>
  <si>
    <t>Boat captain coordinates with:</t>
  </si>
  <si>
    <t>A) Drummer B) Paddlers C) Steerer D) All of the above</t>
  </si>
  <si>
    <t>Dragon boat paddlers should:</t>
  </si>
  <si>
    <t>A) Sit properly B) Paddle in sync C) Follow drummer D) All of the above</t>
  </si>
  <si>
    <t>Races may include how many teams?</t>
  </si>
  <si>
    <t>A) Multiple teams, depending on event B) Two only C) Four only D) One</t>
  </si>
  <si>
    <t>A) Multiple teams, depending on event</t>
  </si>
  <si>
    <t>Drummer signals:</t>
  </si>
  <si>
    <t>A) Start, pace, finish B) Steering C) Boat color D) Team weight</t>
  </si>
  <si>
    <t>A) Start, pace, finish</t>
  </si>
  <si>
    <t>Paddler rotation during long races helps:</t>
  </si>
  <si>
    <t>A) Reduce fatigue B) Speed C) Steering D) Drumming</t>
  </si>
  <si>
    <t>A) Reduce fatigue</t>
  </si>
  <si>
    <t>Boat lane violations can result in:</t>
  </si>
  <si>
    <t>A) Penalties or disqualification B) No effect C) Extra strokes D) Bonus</t>
  </si>
  <si>
    <t>A) Penalties or disqualification</t>
  </si>
  <si>
    <t>Dragon boat races emphasize:</t>
  </si>
  <si>
    <t>A) Team coordination B) Strength C) Endurance D) All of the above</t>
  </si>
  <si>
    <t>Paddle blade should enter water at:</t>
  </si>
  <si>
    <t>A) Proper angle B) Vertical only C) Horizontal only D) Random</t>
  </si>
  <si>
    <t>A) Proper angle</t>
  </si>
  <si>
    <t>Boat steering can be affected by:</t>
  </si>
  <si>
    <t>A) Wind, current, stroke rate B) Boat color C) Drummer’s shoes D) Team cheer</t>
  </si>
  <si>
    <t>A) Wind, current, stroke rate</t>
  </si>
  <si>
    <t>Races are usually timed with:</t>
  </si>
  <si>
    <t>A) Stopwatch or electronic timing B) Drummer count C) Captain’s watch D) Manual flag</t>
  </si>
  <si>
    <t>A) Stopwatch or electronic timing</t>
  </si>
  <si>
    <t>Which type of stroke is most efficient?</t>
  </si>
  <si>
    <t>A) Synchronized, full strokes B) Random C) Short jerky D) Only bow paddler</t>
  </si>
  <si>
    <t>A) Synchronized, full strokes</t>
  </si>
  <si>
    <t>Crew coordination is monitored by:</t>
  </si>
  <si>
    <t>A) Officials B) Drummer C) Steerer D) Captain</t>
  </si>
  <si>
    <t>A) Officials</t>
  </si>
  <si>
    <t>Dragon boat races are part of:</t>
  </si>
  <si>
    <t>A) Festivals and competitions B) Solo training only C) Martial arts D) Swimming events</t>
  </si>
  <si>
    <t>A) Festivals and competitions</t>
  </si>
  <si>
    <t>What is the bow paddler’s role in dragon boat racing?</t>
  </si>
  <si>
    <t>A) Set rhythm with drummer B) Steer the boat C) Coach paddlers D) Maintain boat balance</t>
  </si>
  <si>
    <t>A) Set rhythm with drummer</t>
  </si>
  <si>
    <t>The steerer uses which tool to control the boat?</t>
  </si>
  <si>
    <t>A) Sweep oar B) Paddle C) Drum D) Rope</t>
  </si>
  <si>
    <t>A) Sweep oar</t>
  </si>
  <si>
    <t>What is the primary purpose of a warm-up before a race?</t>
  </si>
  <si>
    <t>A) Prevent injuries B) Decorate boat C) Paddle faster D) Signal start</t>
  </si>
  <si>
    <t>A) Prevent injuries</t>
  </si>
  <si>
    <t>How is the start signaled in official races?</t>
  </si>
  <si>
    <t>A) Whistle or horn B) Drum beat C) Flag D) Captain shout</t>
  </si>
  <si>
    <t>In dragon boat racing, “catching water” refers to:</t>
  </si>
  <si>
    <t>A) Paddle entering water correctly B) Splashing C) Steering D) Drumming</t>
  </si>
  <si>
    <t>A) Paddle entering water correctly</t>
  </si>
  <si>
    <t>What is a “release” stroke?</t>
  </si>
  <si>
    <t>A) Pulling paddle out of water B) Kicking C) Steering D) Jumping</t>
  </si>
  <si>
    <t>A) Pulling paddle out of water</t>
  </si>
  <si>
    <t>Paddlers are seated:</t>
  </si>
  <si>
    <t>A) Alternating sides B) All left C) All right D) Random</t>
  </si>
  <si>
    <t>What happens if a boat collides with another?</t>
  </si>
  <si>
    <t>A) Penalty or disqualification B) Restart C) No effect D) Bonus points</t>
  </si>
  <si>
    <t>A) Penalty or disqualification</t>
  </si>
  <si>
    <t>Crew members must wear:</t>
  </si>
  <si>
    <t>A) Life jackets B) Helmets C) Gloves D) Shoes</t>
  </si>
  <si>
    <t>What determines lane assignment?</t>
  </si>
  <si>
    <t>A) Random draw or seeding B) Captain’s choice C) Drummer D) Paddler height</t>
  </si>
  <si>
    <t>The “power ten” refers to:</t>
  </si>
  <si>
    <t>A) Ten strong synchronized strokes B) Ten paddlers C) Ten minutes D) Ten boats</t>
  </si>
  <si>
    <t>A) Ten strong synchronized strokes</t>
  </si>
  <si>
    <t>Which action is illegal during the race?</t>
  </si>
  <si>
    <t>A) Standing while paddling B) Sitting paddling C) Following drummer D) Steering</t>
  </si>
  <si>
    <t>The drummer’s beat sets:</t>
  </si>
  <si>
    <t>A) Paddle rhythm B) Steering angle C) Boat direction D) Lane choice</t>
  </si>
  <si>
    <t>A) Paddle rhythm</t>
  </si>
  <si>
    <t>The steerer stands at:</t>
  </si>
  <si>
    <t>A) Rear (stern) B) Bow C) Midsection D) Drummer position</t>
  </si>
  <si>
    <t>A) Rear (stern)</t>
  </si>
  <si>
    <t>Boats are usually made of:</t>
  </si>
  <si>
    <t>A) Wood, fiberglass, carbon fiber B) Stone C) Metal only D) Cloth</t>
  </si>
  <si>
    <t>A) Wood, fiberglass, carbon fiber</t>
  </si>
  <si>
    <t>How do paddlers coordinate strokes?</t>
  </si>
  <si>
    <t>A) Follow drummer B) Randomly C) Captain only D) Midsection paddler</t>
  </si>
  <si>
    <t>A) Follow drummer</t>
  </si>
  <si>
    <t>What is the proper paddle technique?</t>
  </si>
  <si>
    <t>A) Full reach, consistent strokes B) Short jerky strokes C) Lift only D) Spin paddle</t>
  </si>
  <si>
    <t>A) Full reach, consistent strokes</t>
  </si>
  <si>
    <t>What happens after a false start?</t>
  </si>
  <si>
    <t>A) Warning or restart B) Immediate disqualification C) Free paddle D) Extra stroke</t>
  </si>
  <si>
    <t>How is the winner determined?</t>
  </si>
  <si>
    <t>A) First to cross finish line B) Most paddles C) Heaviest boat D) Drummer’s call</t>
  </si>
  <si>
    <t>A) First to cross finish line</t>
  </si>
  <si>
    <t>Lane infringement leads to:</t>
  </si>
  <si>
    <t>A) Penalty B) Extra strokes C) Bonus points D) No effect</t>
  </si>
  <si>
    <t>Sprint races usually cover:</t>
  </si>
  <si>
    <t>A) 200–500 meters B) 50 meters C) 1 km D) 2 km</t>
  </si>
  <si>
    <t>Long-distance races are typically:</t>
  </si>
  <si>
    <t>A) 2–5 km B) 200 m C) 500 m D) 50 m</t>
  </si>
  <si>
    <t>A) 2–5 km</t>
  </si>
  <si>
    <t>Paddlers rotate in long races to:</t>
  </si>
  <si>
    <t>A) Reduce fatigue B) Increase boat weight C) Drummer advantage D) Steering ease</t>
  </si>
  <si>
    <t>Who enforces safety rules?</t>
  </si>
  <si>
    <t>A) Officials B) Captain C) Drummer D) Spectators</t>
  </si>
  <si>
    <t>Drummer communicates with:</t>
  </si>
  <si>
    <t>A) All paddlers B) Only steerer C) Only captain D) Audience</t>
  </si>
  <si>
    <t>A) All paddlers</t>
  </si>
  <si>
    <t>Proper stroke angle ensures:</t>
  </si>
  <si>
    <t>A) Maximum propulsion B) Boat tilting C) Drummer advantage D) Lane change</t>
  </si>
  <si>
    <t>A) Maximum propulsion</t>
  </si>
  <si>
    <t>Boats must remain in:</t>
  </si>
  <si>
    <t>A) Assigned lanes B) Any lane C) Outside lanes D) Mid-lake</t>
  </si>
  <si>
    <t>A) Maximum effort at start B) Slow paddle C) Drummer only D) Steerer only</t>
  </si>
  <si>
    <t>Paddlers’ seating is designed for:</t>
  </si>
  <si>
    <t>A) Balance and coordination B) Comfort only C) Random placement D) Tradition</t>
  </si>
  <si>
    <t>A) Balance and coordination</t>
  </si>
  <si>
    <t>Boats are steered using:</t>
  </si>
  <si>
    <t>A) Sweep oar B) Hands only C) Paddle D) Rope</t>
  </si>
  <si>
    <t>Drummer signals when:</t>
  </si>
  <si>
    <t>A) Start, pace, finish B) Boat color C) Lane D) Paddler change</t>
  </si>
  <si>
    <t>Crew members must avoid:</t>
  </si>
  <si>
    <t>A) Leaning out of the boat B) Seated paddling C) Drummer coordination D) Stroke timing</t>
  </si>
  <si>
    <t>Race officials check for:</t>
  </si>
  <si>
    <t>A) Lane, start, finish, safety B) Only paddling C) Boat decoration D) Drummer beat</t>
  </si>
  <si>
    <t>Paddle synchronization affects:</t>
  </si>
  <si>
    <t>A) Speed, efficiency, stability B) Drummer position C) Boat color D) Paddle height</t>
  </si>
  <si>
    <t>A) Speed, efficiency, stability</t>
  </si>
  <si>
    <t>Life jackets are mandatory because:</t>
  </si>
  <si>
    <t>A) Safety B) Tradition C) Weight D) Style</t>
  </si>
  <si>
    <t>A) Safety</t>
  </si>
  <si>
    <t>Boats are finished with:</t>
  </si>
  <si>
    <t>A) Buoys or flags B) Rope C) Drummer D) Captain</t>
  </si>
  <si>
    <t>In Go, how many types of stones are there?</t>
  </si>
  <si>
    <t>A) 1, B) 2, C) 3, D) 4</t>
  </si>
  <si>
    <t>B) 2</t>
  </si>
  <si>
    <t>Go is played with two types of stones: black and white.</t>
  </si>
  <si>
    <t>What is the primary objective in a game of Go?</t>
  </si>
  <si>
    <t>A) Capture the opponent's pieces, B) Create the largest area of territory, C) Eliminate the opponent's stones, D) Create the most groups</t>
  </si>
  <si>
    <t>B) Create the largest area of territory</t>
  </si>
  <si>
    <t>The main goal of Go is to control the largest territory on the board.</t>
  </si>
  <si>
    <t>What shape is the standard Go board?</t>
  </si>
  <si>
    <t>A) Square, B) Circular, C) Triangular, D) Rectangular</t>
  </si>
  <si>
    <t>A) Square</t>
  </si>
  <si>
    <t>The standard Go board is square-shaped, typically 19x19 grid.</t>
  </si>
  <si>
    <t>In Go, what is the term for a single stone or group of stones surrounded by the opponent's stones?</t>
  </si>
  <si>
    <t>A) Liberty, B) Group, C) Territory, D) Atari</t>
  </si>
  <si>
    <t>D) Atari</t>
  </si>
  <si>
    <t>Atari is the term for a group of stones that are one move away from being captured.</t>
  </si>
  <si>
    <t>What does the term 'ko' refer to in Go?</t>
  </si>
  <si>
    <t>A) A captured group, B) A dead stone, C) A repeating capture situation, D) A winning strategy</t>
  </si>
  <si>
    <t>C) A repeating capture situation</t>
  </si>
  <si>
    <t>Ko refers to a situation where a move can be immediately reversed, creating an infinite loop unless prevented.</t>
  </si>
  <si>
    <t>What is the term used for an area controlled by one player's stones in Go?</t>
  </si>
  <si>
    <t>A) Eye, B) Group, C) Territory, D) Capture</t>
  </si>
  <si>
    <t>C) Territory</t>
  </si>
  <si>
    <t>Territory refers to the empty spaces surrounded by a player's stones.</t>
  </si>
  <si>
    <t>How do you determine the winner in Go?</t>
  </si>
  <si>
    <t>A) The player who captures the most stones, B) The player with the most territory, C) The player with more groups, D) The player who completes the most moves</t>
  </si>
  <si>
    <t>B) The player with the most territory</t>
  </si>
  <si>
    <t>The winner is the player with the most controlled territory at the end of the game.</t>
  </si>
  <si>
    <t>What does it mean to 'fill a liberty' in Go?</t>
  </si>
  <si>
    <t>A) Placing a stone inside a group, B) Removing a stone from the board, C) Placing a stone next to an opponent's group, D) Removing liberties from an opponent's stone</t>
  </si>
  <si>
    <t>C) Placing a stone next to an opponent's group</t>
  </si>
  <si>
    <t>Filling a liberty means placing a stone adjacent to an opponent's group to reduce its liberties.</t>
  </si>
  <si>
    <t>In Go, what is the minimum number of stones needed to form a group?</t>
  </si>
  <si>
    <t>A group is formed by connecting two or more stones horizontally or vertically.</t>
  </si>
  <si>
    <t>What does 'sente' refer to in Go?</t>
  </si>
  <si>
    <t>A) A captured stone, B) The player who moves first, C) A defensive move, D) A player in control of the game</t>
  </si>
  <si>
    <t>D) A player in control of the game</t>
  </si>
  <si>
    <t>Sente refers to the player who has the initiative and forces the opponent to respond.</t>
  </si>
  <si>
    <t>What is a 'ko fight' in Go?</t>
  </si>
  <si>
    <t>A) A contest for capturing a large group, B) A sequence of moves involving a repeating capture, C) A dispute over territory, D) A series of forced moves</t>
  </si>
  <si>
    <t>B) A sequence of moves involving a repeating capture</t>
  </si>
  <si>
    <t>A ko fight occurs when a capture creates a situation where the same capture could be made repeatedly.</t>
  </si>
  <si>
    <t>What is the 'eye' in Go?</t>
  </si>
  <si>
    <t>A) A single stone, B) A group with no liberties, C) A space surrounded by stones, D) A stone in atari</t>
  </si>
  <si>
    <t>C) A space surrounded by stones</t>
  </si>
  <si>
    <t>An eye is an empty space surrounded by a player's own stones, which is necessary for a group's survival.</t>
  </si>
  <si>
    <t>What is a 'life' in Go?</t>
  </si>
  <si>
    <t>A) A single group of stones, B) A group of stones that cannot be captured, C) A piece of territory, D) A move that ensures victory</t>
  </si>
  <si>
    <t>B) A group of stones that cannot be captured</t>
  </si>
  <si>
    <t>A life is a group that has at least two eyes and is thus impossible to capture.</t>
  </si>
  <si>
    <t>In Go, how is a dead stone handled?</t>
  </si>
  <si>
    <t>A) It remains on the board, B) It is captured and removed from the board, C) It becomes part of the territory, D) It turns into a living group</t>
  </si>
  <si>
    <t>B) It is captured and removed from the board</t>
  </si>
  <si>
    <t>Dead stones are captured and removed by the opponent after determining they cannot avoid capture.</t>
  </si>
  <si>
    <t>Which of the following is a valid Go move?</t>
  </si>
  <si>
    <t>A) Placing a stone on a point already occupied by another stone, B) Placing a stone in an area with no liberties, C) Placing a stone on an empty intersection, D) Placing a stone in a captured group</t>
  </si>
  <si>
    <t>C) Placing a stone on an empty intersection</t>
  </si>
  <si>
    <t>A stone is placed on an empty intersection that does not violate the rules of capture.</t>
  </si>
  <si>
    <t>In Go, what does 'gote' refer to?</t>
  </si>
  <si>
    <t>A) The player who moves second, B) The player who has no liberty left, C) A forced move by the opponent, D) A sequence of moves controlling the game</t>
  </si>
  <si>
    <t>A) The player who moves second</t>
  </si>
  <si>
    <t>Gote refers to the player who is forced to respond to the opponent's moves.</t>
  </si>
  <si>
    <t>What is the name of the Japanese professional Go organization?</t>
  </si>
  <si>
    <t>A) Nihon Ki-in, B) Go Association, C) Kisei Club, D) Go Master</t>
  </si>
  <si>
    <t>A) Nihon Ki-in</t>
  </si>
  <si>
    <t>Nihon Ki-in is the main professional Go organization in Japan.</t>
  </si>
  <si>
    <t>What does 'dan' refer to in Go?</t>
  </si>
  <si>
    <t>A) The highest rank, B) The lowest rank, C) A professional title, D) A type of move</t>
  </si>
  <si>
    <t>A) The highest rank</t>
  </si>
  <si>
    <t>Dan is the term used for high-ranking players in Go, above the kyu ranks.</t>
  </si>
  <si>
    <t>What is a typical Go board size for beginners?</t>
  </si>
  <si>
    <t>A) 9x9, B) 13x13, C) 19x19, D) 25x25</t>
  </si>
  <si>
    <t>A) 9x9</t>
  </si>
  <si>
    <t>Beginners often use a 9x9 board for easier learning and faster games.</t>
  </si>
  <si>
    <t>What does the term 'capture' mean in Go?</t>
  </si>
  <si>
    <t>A) Removing a stone after it is surrounded, B) Controlling a territory, C) Gaining points, D) Moving a stone to another place</t>
  </si>
  <si>
    <t>A) Removing a stone after it is surrounded</t>
  </si>
  <si>
    <t>Capture occurs when a group of stones is surrounded and has no liberties left, causing it to be removed.</t>
  </si>
  <si>
    <t>Which of the following is a prohibited move in Go?</t>
  </si>
  <si>
    <t>A) Placing a stone that repeats the previous move, B) Placing a stone on an empty intersection, C) Capturing a group, D) Adding a stone to an open space</t>
  </si>
  <si>
    <t>A) Placing a stone that repeats the previous move</t>
  </si>
  <si>
    <t>A move that would repeat the same board position as the previous one is prohibited in Go to avoid infinite loops.</t>
  </si>
  <si>
    <t>What is 'fuseki' in Go?</t>
  </si>
  <si>
    <t>A) A type of group, B) A term for the endgame, C) The opening phase of the game, D) A defensive strategy</t>
  </si>
  <si>
    <t>C) The opening phase of the game</t>
  </si>
  <si>
    <t>Fuseki refers to the opening phase of the Go game where players position their stones.</t>
  </si>
  <si>
    <t>In Go, what is the 'middle game'?</t>
  </si>
  <si>
    <t>A) The final stage of the game, B) The stage when capturing is no longer possible, C) The phase where players fight for territory, D) The stage before the game starts</t>
  </si>
  <si>
    <t>C) The phase where players fight for territory</t>
  </si>
  <si>
    <t>The middle game involves fighting for control of territory and capturing groups.</t>
  </si>
  <si>
    <t>What is a 'double ko' in Go?</t>
  </si>
  <si>
    <t>A) A situation where both players capture a group at the same time, B) A repeating capture situation involving two groups, C) A type of move made by both players simultaneously, D) A strategy for gaining points</t>
  </si>
  <si>
    <t>B) A repeating capture situation involving two groups</t>
  </si>
  <si>
    <t>A double ko occurs when two ko situations are created simultaneously, each causing a repeated capture loop.</t>
  </si>
  <si>
    <t>What is the primary rule for determining whether a stone is captured in Go?</t>
  </si>
  <si>
    <t>A) If the stone is surrounded with no liberties left, B) If the stone is in the corner, C) If the stone is surrounded by the same color, D) If the stone moves too far from its original spot</t>
  </si>
  <si>
    <t>A) If the stone is surrounded with no liberties left</t>
  </si>
  <si>
    <t>A stone is captured when it is surrounded and has no liberties remaining.</t>
  </si>
  <si>
    <t>In Go, what is 'territory'?</t>
  </si>
  <si>
    <t>A) A group of stones, B) The area occupied by captured stones, C) An area surrounded by a player's stones, D) The number of moves a player makes</t>
  </si>
  <si>
    <t>C) An area surrounded by a player's stones</t>
  </si>
  <si>
    <t>Territory is the empty space that is surrounded by a player's stones and counted for scoring.</t>
  </si>
  <si>
    <t>How is scoring done in Go?</t>
  </si>
  <si>
    <t>A) By counting captured stones only, B) By counting territory and captured stones, C) By counting the number of moves, D) By counting groups of stones</t>
  </si>
  <si>
    <t>B) By counting territory and captured stones</t>
  </si>
  <si>
    <t>Scoring in Go involves adding the number of controlled territory points and the stones captured.</t>
  </si>
  <si>
    <t>What is the standard grid size of a professional Go board?</t>
  </si>
  <si>
    <t>A) 13x13, B) 15x15, C) 19x19, D) 21x21</t>
  </si>
  <si>
    <t>C) 19x19</t>
  </si>
  <si>
    <t>Professional Go games are played on a 19x19 grid board.</t>
  </si>
  <si>
    <t>How are liberties defined in Go?</t>
  </si>
  <si>
    <t>A) Empty points adjacent to a stone, B) Captured points, C) Dead stones, D) Territory spaces</t>
  </si>
  <si>
    <t>A) Empty points adjacent to a stone</t>
  </si>
  <si>
    <t>Liberties are empty points around a stone that determine its survival.</t>
  </si>
  <si>
    <t>What is the term for the starting moves of a Go game?</t>
  </si>
  <si>
    <t>A) Fuseki, B) Yose, C) Ko, D) Atari</t>
  </si>
  <si>
    <t>A) Fuseki</t>
  </si>
  <si>
    <t>Fuseki refers to the opening phase of Go, where the initial positions are set.</t>
  </si>
  <si>
    <t>What is the purpose of the 'handicap' in Go?</t>
  </si>
  <si>
    <t>A) To make the game shorter, B) To balance skill levels, C) To train beginners, D) To increase territory</t>
  </si>
  <si>
    <t>B) To balance skill levels</t>
  </si>
  <si>
    <t>Handicap stones are used to give weaker players an advantage.</t>
  </si>
  <si>
    <t>What is a 'ladder' in Go?</t>
  </si>
  <si>
    <t>A) A way to create territory, B) A series of atari moves leading to capture, C) A defensive structure, D) A stone pattern</t>
  </si>
  <si>
    <t>B) A series of atari moves leading to capture</t>
  </si>
  <si>
    <t>A ladder traps a group in a repetitive pattern, leading to its capture.</t>
  </si>
  <si>
    <t>What does the term 'tenuki' mean in Go?</t>
  </si>
  <si>
    <t>A) Playing away from the local area, B) Capturing a group, C) Making a defensive move, D) Placing handicap stones</t>
  </si>
  <si>
    <t>A) Playing away from the local area</t>
  </si>
  <si>
    <t>Tenuki refers to ignoring the opponent's local move to play elsewhere.</t>
  </si>
  <si>
    <t>In Go, what is a 'hane'?</t>
  </si>
  <si>
    <t>A) A diagonal move, B) A connecting move, C) A move bending around an opponent's stone, D) A capturing move</t>
  </si>
  <si>
    <t>C) A move bending around an opponent's stone</t>
  </si>
  <si>
    <t>Hane is a move that bends around an opponent's stone, gaining control.</t>
  </si>
  <si>
    <t>What does 'yose' refer to in Go?</t>
  </si>
  <si>
    <t>A) The opening phase, B) The middle game, C) The endgame, D) A capturing tactic</t>
  </si>
  <si>
    <t>C) The endgame</t>
  </si>
  <si>
    <t>Yose is the endgame phase where players finalize their territory.</t>
  </si>
  <si>
    <t>What is the function of 'komi' in Go?</t>
  </si>
  <si>
    <t>A) To break ties, B) To give black an advantage, C) To balance first-move advantage, D) To capture stones</t>
  </si>
  <si>
    <t>C) To balance first-move advantage</t>
  </si>
  <si>
    <t>Komi are extra points given to white to offset black's first-move advantage.</t>
  </si>
  <si>
    <t>What is the term for connecting stones across empty spaces?</t>
  </si>
  <si>
    <t>A) Ladder, B) Kosumi, C) Bridge, D) Tiger's Mouth</t>
  </si>
  <si>
    <t>C) Bridge</t>
  </si>
  <si>
    <t>A bridge connects stones across empty points for reinforcement.</t>
  </si>
  <si>
    <t>What is the name of the central point on a Go board?</t>
  </si>
  <si>
    <t>A) Eye, B) Star Point, C) Tengen, D) Hoshi</t>
  </si>
  <si>
    <t>C) Tengen</t>
  </si>
  <si>
    <t>Tengen is the central point of the Go board and often a strategic spot.</t>
  </si>
  <si>
    <t>In Go, what is a 'kosumi'?</t>
  </si>
  <si>
    <t>A) A diagonal move, B) A straight move, C) A capture move, D) A connecting move</t>
  </si>
  <si>
    <t>A) A diagonal move</t>
  </si>
  <si>
    <t>Kosumi is a diagonal move that connects stones strategically.</t>
  </si>
  <si>
    <t>How is 'atari' declared in Go?</t>
  </si>
  <si>
    <t>A) By capturing a group, B) By warning that a group is about to be captured, C) By forming a territory, D) By placing a handicap</t>
  </si>
  <si>
    <t>B) By warning that a group is about to be captured</t>
  </si>
  <si>
    <t>Atari is a term used to indicate that a stone or group is one move from capture.</t>
  </si>
  <si>
    <t>What is a 'pincer' attack in Go?</t>
  </si>
  <si>
    <t>A) Surrounding an opponent's group, B) Reducing liberties from two sides, C) A diagonal connection, D) A counter-attack strategy</t>
  </si>
  <si>
    <t>B) Reducing liberties from two sides</t>
  </si>
  <si>
    <t>A pincer attack targets an opponent's group from both sides, limiting movement.</t>
  </si>
  <si>
    <t>In Go, what does 'ladder breaker' mean?</t>
  </si>
  <si>
    <t>A) A move that stops a ladder, B) A stone placed in a corner, C) A strategy to block territory, D) A central move</t>
  </si>
  <si>
    <t>A) A move that stops a ladder</t>
  </si>
  <si>
    <t>A ladder breaker disrupts the repetitive capture sequence of a ladder.</t>
  </si>
  <si>
    <t>What is the term for empty space left to form eyes?</t>
  </si>
  <si>
    <t>A) Komi, B) Sente, C) Miai, D) Dead Space</t>
  </si>
  <si>
    <t>C) Miai</t>
  </si>
  <si>
    <t>Miai refers to pairs of points that can be alternately played to form eyes.</t>
  </si>
  <si>
    <t>What is the shape of a 'tiger's mouth' in Go?</t>
  </si>
  <si>
    <t>A) Diagonal connection, B) L-shape, C) Arc of stones, D) Small gap between two stones</t>
  </si>
  <si>
    <t>D) Small gap between two stones</t>
  </si>
  <si>
    <t>The tiger's mouth is a small gap that protects a connection from being cut.</t>
  </si>
  <si>
    <t>What is the purpose of a 'sente' move?</t>
  </si>
  <si>
    <t>A) To gain liberties, B) To force the opponent to respond, C) To capture stones, D) To reinforce territory</t>
  </si>
  <si>
    <t>B) To force the opponent to respond</t>
  </si>
  <si>
    <t>Sente moves compel the opponent to make a defensive response.</t>
  </si>
  <si>
    <t>What does the term 'gote' signify in Go?</t>
  </si>
  <si>
    <t>A) A move that forces a response, B) A move that leaves the initiative to the opponent, C) A defensive strategy, D) A ladder move</t>
  </si>
  <si>
    <t>B) A move that leaves the initiative to the opponent</t>
  </si>
  <si>
    <t>Gote refers to moves where the player loses initiative, allowing the opponent control.</t>
  </si>
  <si>
    <t>What does a player's 'rank' signify in Go?</t>
  </si>
  <si>
    <t>A) The number of games won, B) Their skill level, C) The size of territory controlled, D) The number of stones captured</t>
  </si>
  <si>
    <t>B) Their skill level</t>
  </si>
  <si>
    <t>Go ranks reflect a player's skill level, divided into kyu and dan levels.</t>
  </si>
  <si>
    <t>What is the term for a solidly connected group of stones?</t>
  </si>
  <si>
    <t>A) Chain, B) Cluster, C) Line, D) Unit</t>
  </si>
  <si>
    <t>A) Chain</t>
  </si>
  <si>
    <t>A chain is a connected sequence of stones sharing liberties.</t>
  </si>
  <si>
    <t>In Go, what is the main objective of the game?</t>
  </si>
  <si>
    <t>A) Capture the opponent's king, B) Surround the most territory, C) Capture the most stones, D) Form a specific pattern</t>
  </si>
  <si>
    <t>B) Surround the most territory</t>
  </si>
  <si>
    <t>The primary goal in Go is to control more territory than the opponent.</t>
  </si>
  <si>
    <t>What are 'hoshi' points on a Go board?</t>
  </si>
  <si>
    <t>A) Starting points for black, B) Handicap points, C) Star points, D) Territory markers</t>
  </si>
  <si>
    <t>C) Star points</t>
  </si>
  <si>
    <t>Hoshi points, or star points, are marked intersections on the Go board for reference.</t>
  </si>
  <si>
    <t>In Go, what does 'playing with sente' mean?</t>
  </si>
  <si>
    <t>A) Leading the opponent, B) Passing a turn, C) Making a territorial move, D) Blocking an opponent's move</t>
  </si>
  <si>
    <t>A) Leading the opponent</t>
  </si>
  <si>
    <t>Playing with sente means making moves that force the opponent to respond.</t>
  </si>
  <si>
    <t>What does a player's kyu rank signify?</t>
  </si>
  <si>
    <t>A) Beginner level, B) Intermediate level, C) Advanced level, D) Expert level</t>
  </si>
  <si>
    <t>A) Beginner level</t>
  </si>
  <si>
    <t>Kyu ranks indicate beginner to intermediate levels, with higher numbers being less skilled.</t>
  </si>
  <si>
    <t>What does 'endgame' refer to in Go?</t>
  </si>
  <si>
    <t>A) Opening moves, B) Middle moves, C) Final moves, D) Resignation</t>
  </si>
  <si>
    <t>C) Final moves</t>
  </si>
  <si>
    <t>Endgame, or yose, refers to the phase where players secure final territories.</t>
  </si>
  <si>
    <t>Which of these moves helps secure borders in Go?</t>
  </si>
  <si>
    <t>A) Atari, B) Extension, C) Connect, D) Ladder</t>
  </si>
  <si>
    <t>B) Extension</t>
  </si>
  <si>
    <t>An extension move helps secure territory by expanding groups outward.</t>
  </si>
  <si>
    <t>What does 'dan' rank signify in Go?</t>
  </si>
  <si>
    <t>A) Beginner, B) Intermediate, C) Advanced, D) Novice</t>
  </si>
  <si>
    <t>C) Advanced</t>
  </si>
  <si>
    <t>Dan ranks indicate advanced levels in Go, starting from 1 dan upwards.</t>
  </si>
  <si>
    <t>The modern Go board consists of how many intersections?</t>
  </si>
  <si>
    <t>A) 181, B) 199, C) 361, D) 441</t>
  </si>
  <si>
    <t>C) 361</t>
  </si>
  <si>
    <t>A standard Go board consists of 361 intersections, with a 19x19 grid of lines.</t>
  </si>
  <si>
    <t>Which Go strategy involves surrounding your opponent's stones to capture them?</t>
  </si>
  <si>
    <t>A) Atari, B) Ko, C) Sente, D) Tesuji</t>
  </si>
  <si>
    <t>A) Atari</t>
  </si>
  <si>
    <t>Atari is a Go strategy where a player's stones are surrounded and on the verge of being captured.</t>
  </si>
  <si>
    <t>What does the term 'Hoshi' refer to in Go?</t>
  </si>
  <si>
    <t>A) A specific type of move, B) A star point on the board, C) A type of strategy, D) A capturing technique</t>
  </si>
  <si>
    <t>B) A star point on the board</t>
  </si>
  <si>
    <t>Hoshi refers to the marked points on a Go board, usually located at the intersections of the 4th and 10th lines.</t>
  </si>
  <si>
    <t>What does the term 'Sente' mean in Go?</t>
  </si>
  <si>
    <t>A) A defensive position, B) The initiative, C) A captured group, D) A form of scoring</t>
  </si>
  <si>
    <t>B) The initiative</t>
  </si>
  <si>
    <t>Sente refers to having the initiative in Go, meaning the player is in control of the game flow and forces the opponent to respond.</t>
  </si>
  <si>
    <t>Which type of Go board is most commonly used in professional tournaments today?</t>
  </si>
  <si>
    <t>A) 19x19, B) 9x9, C) 13x13, D) 11x11</t>
  </si>
  <si>
    <t>A) 19x19</t>
  </si>
  <si>
    <t>The 19x19 Go board is the standard board size used in professional tournaments worldwide.</t>
  </si>
  <si>
    <t>Which Go strategy involves creating two groups of stones that are difficult to capture?</t>
  </si>
  <si>
    <t>A) Tesuji, B) Ko, C) Life and Death, D) Sacrifice</t>
  </si>
  <si>
    <t>C) Life and Death</t>
  </si>
  <si>
    <t>In Go, Life and Death is a strategy focused on creating groups of stones that are difficult for the opponent to capture.</t>
  </si>
  <si>
    <t>What does the term 'Tesuji' mean in Go?</t>
  </si>
  <si>
    <t>A) A type of attack, B) A tactical move, C) A corner strategy, D) A capture technique</t>
  </si>
  <si>
    <t>B) A tactical move</t>
  </si>
  <si>
    <t>Tesuji refers to an optimal or clever tactical move in Go that can help to achieve a local advantage.</t>
  </si>
  <si>
    <t>Which Go move, famous for its subtlety, allows a player to capture an entire group of stones?</t>
  </si>
  <si>
    <t>A) Sacrifice, B) Sente, C) Ko, D) Atarime</t>
  </si>
  <si>
    <t>A) Sacrifice</t>
  </si>
  <si>
    <t>Sacrifice in Go is a strategy where a player intentionally gives up stones to capture a larger group of the opponent's stones.</t>
  </si>
  <si>
    <t>What term refers to the empty spaces around a group of stones in Go?</t>
  </si>
  <si>
    <t>A) Liberties, B) Eye, C) Aji, D) Seki</t>
  </si>
  <si>
    <t>A) Liberties</t>
  </si>
  <si>
    <t>Liberties are the empty points adjacent to a group of stones in Go; a group is captured when it loses all its liberties.</t>
  </si>
  <si>
    <t>What is the standard board size in Go?</t>
  </si>
  <si>
    <t>A) 19x19 B) 15x15 C) 13x13 D) 17x17</t>
  </si>
  <si>
    <t>How many players participate in a standard Go game?</t>
  </si>
  <si>
    <t>A) 2 B) 3 C) 4 D) 5</t>
  </si>
  <si>
    <t>A) 2</t>
  </si>
  <si>
    <t>What color stones does the first player use?</t>
  </si>
  <si>
    <t>A) Black B) White C) Red D) Blue</t>
  </si>
  <si>
    <t>A) Black</t>
  </si>
  <si>
    <t>The main objective in Go is to:</t>
  </si>
  <si>
    <t>A) Control territory B) Capture all stones C) Knock opponent’s stones D) Reach center</t>
  </si>
  <si>
    <t>A) Control territory</t>
  </si>
  <si>
    <t>Stones are placed on:</t>
  </si>
  <si>
    <t>A) Intersections B) Squares C) Circles D) Triangles</t>
  </si>
  <si>
    <t>A) Intersections</t>
  </si>
  <si>
    <t>A stone or group of stones is captured when:</t>
  </si>
  <si>
    <t>A) All liberties are removed B) It is touched by hand C) Opponent jumps over D) Player says “capture”</t>
  </si>
  <si>
    <t>A) All liberties are removed</t>
  </si>
  <si>
    <t>What is a “liberty” in Go?</t>
  </si>
  <si>
    <t>A) Empty point next to a stone B) Captured stone C) Player’s turn D) Special rule</t>
  </si>
  <si>
    <t>A) Empty point next to a stone</t>
  </si>
  <si>
    <t>How does a game of Go end?</t>
  </si>
  <si>
    <t>A) Both players pass consecutively B) Board full C) One player resigns D) All of the above</t>
  </si>
  <si>
    <t>A “ko” rule prevents:</t>
  </si>
  <si>
    <t>A) Repetition of same board position B) Illegal moves C) Captures D) Passing</t>
  </si>
  <si>
    <t>A) Repetition of same board position</t>
  </si>
  <si>
    <t>The standard Go board is called a:</t>
  </si>
  <si>
    <t>A) Goban B) Chessboard C) Shogi board D) Mahjong table</t>
  </si>
  <si>
    <t>A) Goban</t>
  </si>
  <si>
    <t>“Handicap stones” are used to:</t>
  </si>
  <si>
    <t>A) Balance skill levels B) Start first C) Capture faster D) Make board larger</t>
  </si>
  <si>
    <t>A) Balance skill levels</t>
  </si>
  <si>
    <t>A “seki” refers to:</t>
  </si>
  <si>
    <t>A) Mutual life B) Capture C) Resignation D) Handicap</t>
  </si>
  <si>
    <t>A) Mutual life</t>
  </si>
  <si>
    <t>The “territory” is:</t>
  </si>
  <si>
    <t>A) Empty points surrounded by stones B) Captured stones C) Player’s hand D) Board edge</t>
  </si>
  <si>
    <t>A) Empty points surrounded by stones</t>
  </si>
  <si>
    <t>Players alternate turns by:</t>
  </si>
  <si>
    <t>A) Placing one stone at a time B) Placing multiple stones C) Removing stones D) Moving stones</t>
  </si>
  <si>
    <t>A) Placing one stone at a time</t>
  </si>
  <si>
    <t>A “joseki” is:</t>
  </si>
  <si>
    <t>A) Standard corner sequence B) Endgame rule C) Handicap stone D) Captured area</t>
  </si>
  <si>
    <t>A) Standard corner sequence</t>
  </si>
  <si>
    <t>A “ladder” tactic is used to:</t>
  </si>
  <si>
    <t>A) Capture stones in a sequence B) Make territory C) Endgame scoring D) Place handicap</t>
  </si>
  <si>
    <t>A) Capture stones in a sequence</t>
  </si>
  <si>
    <t>“Atari” indicates:</t>
  </si>
  <si>
    <t>A) Stone or group in danger of capture B) Capture made C) Territory gained D) Game end</t>
  </si>
  <si>
    <t>A) Stone or group in danger of capture</t>
  </si>
  <si>
    <t>A “chain” is:</t>
  </si>
  <si>
    <t>A) Connected stones of the same color B) Captured stones C) Player’s turn D) Handicaps</t>
  </si>
  <si>
    <t>A) Connected stones of the same color</t>
  </si>
  <si>
    <t>When scoring, captured stones are:</t>
  </si>
  <si>
    <t>A) Added to opponent’s total B) Removed C) Ignored D) Returned to board</t>
  </si>
  <si>
    <t>A) Added to opponent’s total</t>
  </si>
  <si>
    <t>What is a “fuseki”?</t>
  </si>
  <si>
    <t>A) Opening game strategy B) Endgame C) Capture D) Handicap</t>
  </si>
  <si>
    <t>A) Opening game strategy</t>
  </si>
  <si>
    <t>How is a draw determined in Go?</t>
  </si>
  <si>
    <t>A) Rare; usually by score B) Resignation C) Board full D) Both pass</t>
  </si>
  <si>
    <t>A) Rare; usually by score</t>
  </si>
  <si>
    <t>Stones must be placed:</t>
  </si>
  <si>
    <t>A) On empty intersections B) On squares C) Anywhere D) On edge only</t>
  </si>
  <si>
    <t>A) On empty intersections</t>
  </si>
  <si>
    <t>Players may pass when:</t>
  </si>
  <si>
    <t>A) No beneficial move exists B) Board full C) Capturing D) Handicap placed</t>
  </si>
  <si>
    <t>A) No beneficial move exists</t>
  </si>
  <si>
    <t>The “middle game” occurs:</t>
  </si>
  <si>
    <t>A) After opening, before endgame B) Start of game C) Last moves D) During scoring</t>
  </si>
  <si>
    <t>A) After opening, before endgame</t>
  </si>
  <si>
    <t>“Endgame” in Go refers to:</t>
  </si>
  <si>
    <t>A) Closing moves and territory calculation B) Opening moves C) Middle game D) Handicap placement</t>
  </si>
  <si>
    <t>A) Closing moves and territory calculation</t>
  </si>
  <si>
    <t>“Miai” refers to:</t>
  </si>
  <si>
    <t>A) Two points of equal value B) Captured stones C) Passing D) Chain connection</t>
  </si>
  <si>
    <t>A) Two points of equal value</t>
  </si>
  <si>
    <t>A “snapback” occurs when:</t>
  </si>
  <si>
    <t>A) Captured stone is immediately recaptured B) Stones removed C) Game ends D) Score tallied</t>
  </si>
  <si>
    <t>A) Captured stone is immediately recaptured</t>
  </si>
  <si>
    <t>The purpose of “komi” is:</t>
  </si>
  <si>
    <t>A) Compensate white for second move B) Handicap C) Capture extra stones D) Count territory</t>
  </si>
  <si>
    <t>A) Compensate white for second move</t>
  </si>
  <si>
    <t>Komi is usually how many points?</t>
  </si>
  <si>
    <t>A) 6.5–7.5 B) 3 C) 10 D) 1</t>
  </si>
  <si>
    <t>A) 6.5–7.5</t>
  </si>
  <si>
    <t>A “thickness” refers to:</t>
  </si>
  <si>
    <t>A) Strong, influential formation B) Weak stones C) Edge play D) Capture</t>
  </si>
  <si>
    <t>A) Strong, influential formation</t>
  </si>
  <si>
    <t>“Cutting” is used to:</t>
  </si>
  <si>
    <t>A) Separate opponent stones B) Connect stones C) Capture D) Pass turn</t>
  </si>
  <si>
    <t>A) Separate opponent stones</t>
  </si>
  <si>
    <t>“Connecting” ensures:</t>
  </si>
  <si>
    <t>A) Stones of same color stay linked B) Capture D) Endgame C) Score</t>
  </si>
  <si>
    <t>A) Stones of same color stay linked</t>
  </si>
  <si>
    <t>A “dead stone” is:</t>
  </si>
  <si>
    <t>A) Cannot avoid capture B) Safe stone C) Edge stone D) Handicap</t>
  </si>
  <si>
    <t>A) Cannot avoid capture</t>
  </si>
  <si>
    <t>A “living group” is:</t>
  </si>
  <si>
    <t>A) Cannot be captured B) Dead stone C) Resigned stone D) Empty point</t>
  </si>
  <si>
    <t>A) Cannot be captured</t>
  </si>
  <si>
    <t>“Ko threat” is:</t>
  </si>
  <si>
    <t>A) Move to prevent immediate recapture B) Endgame C) Handicap D) Passing</t>
  </si>
  <si>
    <t>A) Move to prevent immediate recapture</t>
  </si>
  <si>
    <t>A “sente” move means:</t>
  </si>
  <si>
    <t>A) Forces opponent to respond B) Pass C) Endgame D) Capture</t>
  </si>
  <si>
    <t>A) Forces opponent to respond</t>
  </si>
  <si>
    <t>A “gote” move means:</t>
  </si>
  <si>
    <t>A) Player responds to opponent B) Start of game C) Capture D) Handicap</t>
  </si>
  <si>
    <t>A) Player responds to opponent</t>
  </si>
  <si>
    <t>“Hane” is a move where:</t>
  </si>
  <si>
    <t>A) Stone bends around another B) Capture C) Pass D) Endgame</t>
  </si>
  <si>
    <t>A) Stone bends around another</t>
  </si>
  <si>
    <t>“Bamboo joint” is:</t>
  </si>
  <si>
    <t>A) Strong connection pattern B) Dead stone C) Handicap D) Opening move</t>
  </si>
  <si>
    <t>A) Strong connection pattern</t>
  </si>
  <si>
    <t>“Tiger’s mouth” refers to:</t>
  </si>
  <si>
    <t>A) Shape formed by stones for defense B) Captured stone C) Edge D) Handicap</t>
  </si>
  <si>
    <t>A) Shape formed by stones for defense</t>
  </si>
  <si>
    <t>“One-point jump” is:</t>
  </si>
  <si>
    <t>A) Stone placed one point away B) Capture C) Pass D) Ladder</t>
  </si>
  <si>
    <t>A) Stone placed one point away</t>
  </si>
  <si>
    <t>“Two-point jump” is:</t>
  </si>
  <si>
    <t>A) Stone placed two points away B) Capture C) Pass D) Ladder</t>
  </si>
  <si>
    <t>A) Stone placed two points away</t>
  </si>
  <si>
    <t>“Corner enclosure” is:</t>
  </si>
  <si>
    <t>A) Securing a corner territory B) Ladder C) Opening D) Capture</t>
  </si>
  <si>
    <t>A) Securing a corner territory</t>
  </si>
  <si>
    <t>“Side extension” refers to:</t>
  </si>
  <si>
    <t>A) Expanding along board edge B) Corner play C) Capture D) Pass</t>
  </si>
  <si>
    <t>A) Expanding along board edge</t>
  </si>
  <si>
    <t>“Center influence” means:</t>
  </si>
  <si>
    <t>A) Control over central points B) Capture C) Opening D) Endgame</t>
  </si>
  <si>
    <t>A) Control over central points</t>
  </si>
  <si>
    <t>“Sacrifice” in Go is:</t>
  </si>
  <si>
    <t>A) Intentionally losing stones for advantage B) Capture C) Passing D) Ko</t>
  </si>
  <si>
    <t>A) Intentionally losing stones for advantage</t>
  </si>
  <si>
    <t>“Tenuki” means:</t>
  </si>
  <si>
    <t>A) Play elsewhere on board B) Capture C) Endgame D) Pass</t>
  </si>
  <si>
    <t>A) Play elsewhere on board</t>
  </si>
  <si>
    <t>“Endgame tesuji” refers to:</t>
  </si>
  <si>
    <t>A) Skillful closing move B) Capture C) Handicap D) Pass</t>
  </si>
  <si>
    <t>A) Skillful closing move</t>
  </si>
  <si>
    <t>“Moyo” is:</t>
  </si>
  <si>
    <t>A) Potential territorial framework B) Dead stones C) Ko threat D) Sente</t>
  </si>
  <si>
    <t>A) Potential territorial framework</t>
  </si>
  <si>
    <t>“Invasion” refers to:</t>
  </si>
  <si>
    <t>A) Entering opponent’s moyo B) Capture C) Pass D) Ko threat</t>
  </si>
  <si>
    <t>A) Entering opponent’s moyo</t>
  </si>
  <si>
    <t>“Reduction” means:</t>
  </si>
  <si>
    <t>A) Shrinking opponent’s moyo B) Capture C) Pass D) Handicap</t>
  </si>
  <si>
    <t>A) Shrinking opponent’s moyo</t>
  </si>
  <si>
    <t>“Count” in scoring means:</t>
  </si>
  <si>
    <t>A) Number of points/territory B) Stones captured C) Handicap D) Ko threat</t>
  </si>
  <si>
    <t>A) Number of points/territory</t>
  </si>
  <si>
    <t>Players may resign when:</t>
  </si>
  <si>
    <t>A) Losing advantage is clear B) Board full C) Score equal D) Handicap</t>
  </si>
  <si>
    <t>A) Losing advantage is clear</t>
  </si>
  <si>
    <t>Illegal moves in Go are:</t>
  </si>
  <si>
    <t>A) Placing stone where it has no liberties (suicide) B) Capturing C) Passing D) Connecting</t>
  </si>
  <si>
    <t>A) Placing stone where it has no liberties (suicide)</t>
  </si>
  <si>
    <t>Rules prohibit:</t>
  </si>
  <si>
    <t>A) Repeating same board position (Ko) B) Capturing C) Passing D) Connecting</t>
  </si>
  <si>
    <t>A) Repeating same board position (Ko)</t>
  </si>
  <si>
    <t>Handicap stones are placed:</t>
  </si>
  <si>
    <t>A) Before first move of stronger player B) After first move C) Random D) During game</t>
  </si>
  <si>
    <t>A) Before first move of stronger player</t>
  </si>
  <si>
    <t>Go games are scored by:</t>
  </si>
  <si>
    <t>A) Territory + captured stones B) Time only C) Number of moves D) Stones on edge</t>
  </si>
  <si>
    <t>A) Territory + captured stones</t>
  </si>
  <si>
    <t>The “Chinese rules” differ from “Japanese rules” mainly in:</t>
  </si>
  <si>
    <t>A) Scoring method B) Board size C) Stone color D) Number of players</t>
  </si>
  <si>
    <t>A) Scoring method</t>
  </si>
  <si>
    <t>Go etiquette includes:</t>
  </si>
  <si>
    <t>A) Not distracting opponent B) Capturing C) Using extra stones D) Ko threats</t>
  </si>
  <si>
    <t>A) Not distracting opponent</t>
  </si>
  <si>
    <t>Players should:</t>
  </si>
  <si>
    <t>A) Keep hands off board except placing stones B) Touch opponent’s stones C) Move opponent’s stones D) Pass stones</t>
  </si>
  <si>
    <t>A) Keep hands off board except placing stones</t>
  </si>
  <si>
    <t>Time control in official Go games:</t>
  </si>
  <si>
    <t>A) By clock (main time + byo-yomi) B) No timing C) Drummer only D) Stopwatch optional</t>
  </si>
  <si>
    <t>A) By clock (main time + byo-yomi)</t>
  </si>
  <si>
    <t>“Byo-yomi” refers to:</t>
  </si>
  <si>
    <t>A) Overtime periods B) Opening C) Capture D) Handicap</t>
  </si>
  <si>
    <t>A) Overtime periods</t>
  </si>
  <si>
    <t>Go rules require captured stones to be:</t>
  </si>
  <si>
    <t>A) Removed from board and counted B) Left on board C) Moved D) Replaced</t>
  </si>
  <si>
    <t>A) Removed from board and counted</t>
  </si>
  <si>
    <t>Players must pass when:</t>
  </si>
  <si>
    <t>A) No useful moves remain B) Board full C) Ko threat D) Handicap used</t>
  </si>
  <si>
    <t>A) No useful moves remain</t>
  </si>
  <si>
    <t>Proper etiquette includes:</t>
  </si>
  <si>
    <t>A) Shaking hands B) Capturing C) Placing stones D) Ignoring opponent</t>
  </si>
  <si>
    <t>A) Shaking hands</t>
  </si>
  <si>
    <t>What happens if a player plays a stone with no liberties and it does not capture?</t>
  </si>
  <si>
    <t>A) Ko violation B) Illegal move (suicide) C) Territory gain D) Pass</t>
  </si>
  <si>
    <t>B) Illegal move (suicide)</t>
  </si>
  <si>
    <t>What is a “snapback” in Go?</t>
  </si>
  <si>
    <t>A) A stone returned to hand B) Captured stone immediately recaptured C) Territory reduction D) Sente move</t>
  </si>
  <si>
    <t>B) Captured stone immediately recaptured</t>
  </si>
  <si>
    <t>How many handicap stones are commonly used for a 2-rank difference?</t>
  </si>
  <si>
    <t>What is the “corner first” principle in opening strategy?</t>
  </si>
  <si>
    <t>A) Secure corners first B) Secure sides first C) Place stones randomly D) Capture opponent stones</t>
  </si>
  <si>
    <t>A) Secure corners first</t>
  </si>
  <si>
    <t>Which move type is considered “gote”?</t>
  </si>
  <si>
    <t>A) Forcing opponent to respond B) Non-forcing move C) Capture move D) Sente move</t>
  </si>
  <si>
    <t>B) Non-forcing move</t>
  </si>
  <si>
    <t>What is a “miai” in Go?</t>
  </si>
  <si>
    <t>A) Two points of equal value B) Ladder tactic C) Captured stones D) Ko threat</t>
  </si>
  <si>
    <t>What is the purpose of a “joseki”?</t>
  </si>
  <si>
    <t>A) Standardized corner sequences B) Endgame scoring C) Passing move D) Stealing territory</t>
  </si>
  <si>
    <t>A) Standardized corner sequences</t>
  </si>
  <si>
    <t>How is a “ladder” used strategically?</t>
  </si>
  <si>
    <t>A) Capturing stones in sequence B) Expanding territory C) Scoring endgame D) Placing handicap</t>
  </si>
  <si>
    <t>A) Capturing stones in sequence</t>
  </si>
  <si>
    <t>When can a player legally pass?</t>
  </si>
  <si>
    <t>A) Only once B) Anytime C) Only in ko D) When no useful move exists</t>
  </si>
  <si>
    <t>D) When no useful move exists</t>
  </si>
  <si>
    <t>How is “territory” counted in Japanese rules?</t>
  </si>
  <si>
    <t>A) Stones on board B) Empty points surrounded + captured stones C) Only captured stones D) Edge points</t>
  </si>
  <si>
    <t>B) Empty points surrounded + captured stones</t>
  </si>
  <si>
    <t>What is “seki”?</t>
  </si>
  <si>
    <t>A) Mutual life B) Captured stones C) Opening move D) Ko threat</t>
  </si>
  <si>
    <t>What is the purpose of “komi”?</t>
  </si>
  <si>
    <t>A) Compensate white for playing second B) Force resignation C) Increase territory D) Create ko</t>
  </si>
  <si>
    <t>A) Compensate white for playing second</t>
  </si>
  <si>
    <t>In Jianzi, what is the primary object used during the game?</t>
  </si>
  <si>
    <t>A) Ball, B) Shuttlecock, C) Frisbee, D) Stick</t>
  </si>
  <si>
    <t>B) Shuttlecock</t>
  </si>
  <si>
    <t>Jianzi involves using a weighted shuttlecock that players keep in the air using their feet.</t>
  </si>
  <si>
    <t>What is the primary body part used to play Jianzi?</t>
  </si>
  <si>
    <t>A) Hands, B) Feet, C) Head, D) Elbows</t>
  </si>
  <si>
    <t>Players predominantly use their feet to keep the shuttlecock in the air.</t>
  </si>
  <si>
    <t>Which of the following is NOT allowed in Jianzi?</t>
  </si>
  <si>
    <t>A) Using hands, B) Using feet, C) Using head, D) Playing barefoot</t>
  </si>
  <si>
    <t>A) Using hands</t>
  </si>
  <si>
    <t>Players are not allowed to touch the shuttlecock with their hands.</t>
  </si>
  <si>
    <t>What is the main goal of Jianzi?</t>
  </si>
  <si>
    <t>A) Scoring goals, B) Keeping the shuttlecock in the air, C) Hitting targets, D) Passing the shuttlecock</t>
  </si>
  <si>
    <t>B) Keeping the shuttlecock in the air</t>
  </si>
  <si>
    <t>The primary aim is to prevent the shuttlecock from touching the ground.</t>
  </si>
  <si>
    <t>What is the standard diameter of the shuttlecock used in Jianzi?</t>
  </si>
  <si>
    <t>A) 12 cm, B) 15 cm, C) 10 cm, D) 8 cm</t>
  </si>
  <si>
    <t>A) 12 cm</t>
  </si>
  <si>
    <t>The shuttlecock typically has a diameter of about 12 cm for standardized play.</t>
  </si>
  <si>
    <t>Which material is commonly used for the base of the Jianzi shuttlecock?</t>
  </si>
  <si>
    <t>A) Wood, B) Plastic, C) Metal, D) Feather</t>
  </si>
  <si>
    <t>C) Metal</t>
  </si>
  <si>
    <t>The base of the shuttlecock is often made of metal for weight and balance.</t>
  </si>
  <si>
    <t>What is the maximum number of players allowed in a Jianzi doubles team?</t>
  </si>
  <si>
    <t>A) 2, B) 3, C) 4, D) 5</t>
  </si>
  <si>
    <t>Doubles matches in Jianzi consist of two players per team.</t>
  </si>
  <si>
    <t>What is the court size for competitive Jianzi games?</t>
  </si>
  <si>
    <t>A) 5x10 meters, B) 6x11 meters, C) 6x12 meters, D) 7x13 meters</t>
  </si>
  <si>
    <t>B) 6x11 meters</t>
  </si>
  <si>
    <t>The official court size for competitive Jianzi is 6x11 meters.</t>
  </si>
  <si>
    <t>In Jianzi, how many points are required to win a set in competitive play?</t>
  </si>
  <si>
    <t>A) 15, B) 21, C) 25, D) 30</t>
  </si>
  <si>
    <t>B) 21</t>
  </si>
  <si>
    <t>Competitive Jianzi games are played to 21 points per set.</t>
  </si>
  <si>
    <t>What happens if the shuttlecock touches the ground in Jianzi?</t>
  </si>
  <si>
    <t>A) The rally continues, B) The point is lost, C) A penalty is given, D) The game restarts</t>
  </si>
  <si>
    <t>B) The point is lost</t>
  </si>
  <si>
    <t>If the shuttlecock touches the ground, the player or team loses the point.</t>
  </si>
  <si>
    <t>Which of the following skills is most crucial in Jianzi?</t>
  </si>
  <si>
    <t>A) Kicking, B) Throwing, C) Catching, D) Jumping</t>
  </si>
  <si>
    <t>A) Kicking</t>
  </si>
  <si>
    <t>Kicking is essential for controlling and propelling the shuttlecock.</t>
  </si>
  <si>
    <t>What is the maximum number of touches allowed per player per turn in Jianzi doubles?</t>
  </si>
  <si>
    <t>A) 1, B) 2, C) 3, D) Unlimited</t>
  </si>
  <si>
    <t>In doubles, each player can touch the shuttlecock only once per turn.</t>
  </si>
  <si>
    <t>What is the minimum height requirement for the net in competitive Jianzi?</t>
  </si>
  <si>
    <t>A) 1 meter, B) 1.5 meters, C) 1.7 meters, D) 2 meters</t>
  </si>
  <si>
    <t>C) 1.7 meters</t>
  </si>
  <si>
    <t>The net is set at a minimum height of 1.7 meters in competitive play.</t>
  </si>
  <si>
    <t>What is the penalty for stepping out of bounds in Jianzi?</t>
  </si>
  <si>
    <t>A) Restart the rally, B) Point loss, C) Warning, D) No penalty</t>
  </si>
  <si>
    <t>B) Point loss</t>
  </si>
  <si>
    <t>Stepping out of bounds results in a loss of the point.</t>
  </si>
  <si>
    <t>How is the serve decided in a Jianzi match?</t>
  </si>
  <si>
    <t>A) Coin toss, B) Previous set winner, C) Rock-paper-scissors, D) Refereeâ€™s choice</t>
  </si>
  <si>
    <t>The serve is usually decided by a coin toss in official games.</t>
  </si>
  <si>
    <t>Which of these is NOT a variation of Jianzi?</t>
  </si>
  <si>
    <t>A) Circle Jianzi, B) Singles Jianzi, C) Jianzi Football, D) Jianzi Baseball</t>
  </si>
  <si>
    <t>D) Jianzi Baseball</t>
  </si>
  <si>
    <t>While Jianzi has many variations, baseball is not one of them.</t>
  </si>
  <si>
    <t>What is the role of the referee in a Jianzi game?</t>
  </si>
  <si>
    <t>A) To keep score, B) To enforce rules, C) To manage time, D) All of the above</t>
  </si>
  <si>
    <t>The referee is responsible for scoring, enforcing rules, and managing the game time.</t>
  </si>
  <si>
    <t>What is the primary scoring method in competitive Jianzi?</t>
  </si>
  <si>
    <t>A) Goals scored, B) Opponent errors, C) Timed performance, D) Number of kicks</t>
  </si>
  <si>
    <t>B) Opponent errors</t>
  </si>
  <si>
    <t>Points are scored when the opposing team fails to return the shuttlecock correctly.</t>
  </si>
  <si>
    <t>In Jianzi doubles, how many players are on the court in total?</t>
  </si>
  <si>
    <t>A) 2, B) 3, C) 4, D) 6</t>
  </si>
  <si>
    <t>C) 4</t>
  </si>
  <si>
    <t>A doubles match consists of two players on each side, totaling four players.</t>
  </si>
  <si>
    <t>Which action is considered a fault in Jianzi?</t>
  </si>
  <si>
    <t>A) Kicking the shuttlecock, B) Using hands, C) Using head, D) Jumping</t>
  </si>
  <si>
    <t>Using hands to touch the shuttlecock is against the rules in Jianzi.</t>
  </si>
  <si>
    <t>What is the weight range of a standard Jianzi shuttlecock?</t>
  </si>
  <si>
    <t>A) 5-10 grams, B) 10-20 grams, C) 20-30 grams, D) 30-40 grams</t>
  </si>
  <si>
    <t>B) 10-20 grams</t>
  </si>
  <si>
    <t>Standard Jianzi shuttlecocks weigh between 10 and 20 grams.</t>
  </si>
  <si>
    <t>How many sets are typically played in a competitive Jianzi match?</t>
  </si>
  <si>
    <t>A) 1, B) 2, C) 3, D) 5</t>
  </si>
  <si>
    <t>C) 3</t>
  </si>
  <si>
    <t>Most competitive Jianzi matches are played in a best-of-three sets format.</t>
  </si>
  <si>
    <t>What is the maximum duration of a competitive Jianzi match?</t>
  </si>
  <si>
    <t>A) 30 minutes, B) 45 minutes, C) 60 minutes, D) No limit</t>
  </si>
  <si>
    <t>C) 60 minutes</t>
  </si>
  <si>
    <t>Competitive Jianzi matches are usually limited to 60 minutes.</t>
  </si>
  <si>
    <t>In Jianzi, which technique is used to serve the shuttlecock?</t>
  </si>
  <si>
    <t>A) Drop kick, B) Side kick, C) Heel kick, D) Underhand kick</t>
  </si>
  <si>
    <t>A) Drop kick</t>
  </si>
  <si>
    <t>A drop kick is a common technique for serving the shuttlecock in Jianzi.</t>
  </si>
  <si>
    <t>What is the maximum number of touches allowed per team before returning the shuttlecock?</t>
  </si>
  <si>
    <t>Each team is allowed up to three touches before returning the shuttlecock.</t>
  </si>
  <si>
    <t>What is the height of the shuttlecock net in mixed-gender competitive Jianzi?</t>
  </si>
  <si>
    <t>A) 1.6 meters, B) 1.7 meters, C) 1.8 meters, D) 2 meters</t>
  </si>
  <si>
    <t>B) 1.7 meters</t>
  </si>
  <si>
    <t>The net height for mixed-gender matches is set at 1.7 meters.</t>
  </si>
  <si>
    <t>What is the term for keeping the shuttlecock in the air without passing it?</t>
  </si>
  <si>
    <t>A) Freestyle, B) Solo juggling, C) Continuous play, D) Self-kicking</t>
  </si>
  <si>
    <t>B) Solo juggling</t>
  </si>
  <si>
    <t>Solo juggling refers to maintaining control of the shuttlecock without passing.</t>
  </si>
  <si>
    <t>Which variation of Jianzi focuses on performing tricks and skills?</t>
  </si>
  <si>
    <t>A) Circle Jianzi, B) Net Jianzi, C) Freestyle Jianzi, D) Relay Jianzi</t>
  </si>
  <si>
    <t>C) Freestyle Jianzi</t>
  </si>
  <si>
    <t>Freestyle Jianzi emphasizes creative tricks and skillful maneuvers.</t>
  </si>
  <si>
    <t>In Circle Jianzi, how is the winner determined?</t>
  </si>
  <si>
    <t>A) Most points, B) Fewest errors, C) Longest rally, D) Total kicks</t>
  </si>
  <si>
    <t>D) Total kicks</t>
  </si>
  <si>
    <t>In Circle Jianzi, the player with the highest number of kicks wins.</t>
  </si>
  <si>
    <t>What is the primary benefit of playing Jianzi?</t>
  </si>
  <si>
    <t>A) Builds strength, B) Improves balance, C) Enhances teamwork, D) All of the above</t>
  </si>
  <si>
    <t>Jianzi improves physical fitness, balance, and teamwork skills.</t>
  </si>
  <si>
    <t>In competitive Jianzi, how wide is the service area?</t>
  </si>
  <si>
    <t>A) 1 meter, B) 1.5 meters, C) 2 meters, D) 2.5 meters</t>
  </si>
  <si>
    <t>C) 2 meters</t>
  </si>
  <si>
    <t>The service area in competitive Jianzi is 2 meters wide.</t>
  </si>
  <si>
    <t>What is the penalty for a double touch by a single player in a rally?</t>
  </si>
  <si>
    <t>A) Replay the rally, B) Loss of point, C) Warning, D) No penalty</t>
  </si>
  <si>
    <t>B) Loss of point</t>
  </si>
  <si>
    <t>A double touch by a single player results in a loss of the point.</t>
  </si>
  <si>
    <t>What is the main objective in a game of Jianzi?</t>
  </si>
  <si>
    <t>A) To score goals, B) To keep the shuttlecock in play, C) To eliminate opponents, D) To catch the shuttlecock</t>
  </si>
  <si>
    <t>B) To keep the shuttlecock in play</t>
  </si>
  <si>
    <t>The primary aim of Jianzi is to prevent the shuttlecock from touching the ground.</t>
  </si>
  <si>
    <t>Which body part is most commonly used to hit the Jianzi shuttlecock?</t>
  </si>
  <si>
    <t>Players predominantly use their feet to strike the shuttlecock in Jianzi.</t>
  </si>
  <si>
    <t>What is the diameter of the standard Jianzi court for net-based games?</t>
  </si>
  <si>
    <t>A) 5 meters, B) 6.1 meters, C) 7.3 meters, D) 8.2 meters</t>
  </si>
  <si>
    <t>C) 7.3 meters</t>
  </si>
  <si>
    <t>The official diameter for a Jianzi court is 7.3 meters.</t>
  </si>
  <si>
    <t>In Jianzi, how many points are typically required to win a set?</t>
  </si>
  <si>
    <t>A) 11, B) 15, C) 21, D) 25</t>
  </si>
  <si>
    <t>C) 21</t>
  </si>
  <si>
    <t>Players or teams must score 21 points to win a set in competitive Jianzi.</t>
  </si>
  <si>
    <t>What is the maximum number of players allowed in Circle Jianzi?</t>
  </si>
  <si>
    <t>A) 6, B) 8, C) 10, D) Unlimited</t>
  </si>
  <si>
    <t>D) Unlimited</t>
  </si>
  <si>
    <t>Circle Jianzi can accommodate any number of players as long as they form a circle.</t>
  </si>
  <si>
    <t>What type of footwear is recommended for Jianzi?</t>
  </si>
  <si>
    <t>A) Cleats, B) Sneakers, C) Barefoot, D) Sandals</t>
  </si>
  <si>
    <t>B) Sneakers</t>
  </si>
  <si>
    <t>Sneakers provide the necessary grip and support for Jianzi.</t>
  </si>
  <si>
    <t>What is the primary material of the Jianzi shuttlecock base?</t>
  </si>
  <si>
    <t>A) Plastic, B) Rubber, C) Metal, D) Wood</t>
  </si>
  <si>
    <t>B) Rubber</t>
  </si>
  <si>
    <t>The base of the Jianzi shuttlecock is typically made of rubber for stability.</t>
  </si>
  <si>
    <t>Which type of court surface is ideal for competitive Jianzi?</t>
  </si>
  <si>
    <t>A) Sand, B) Grass, C) Wooden, D) Concrete</t>
  </si>
  <si>
    <t>C) Wooden</t>
  </si>
  <si>
    <t>A wooden court is preferred for its smooth and consistent playing surface.</t>
  </si>
  <si>
    <t>What is a critical skill for mastering Jianzi?</t>
  </si>
  <si>
    <t>A) Hand strength, B) Coordination, C) Speed, D) Stamina</t>
  </si>
  <si>
    <t>B) Coordination</t>
  </si>
  <si>
    <t>Coordination is essential for controlling and passing the shuttlecock effectively.</t>
  </si>
  <si>
    <t>What is the standard time duration for a single Jianzi match?</t>
  </si>
  <si>
    <t>A) 30 minutes, B) 45 minutes, C) 60 minutes, D) 90 minutes</t>
  </si>
  <si>
    <t>A competitive Jianzi match is typically limited to 60 minutes.</t>
  </si>
  <si>
    <t>What is the penalty for stepping out of bounds during a rally?</t>
  </si>
  <si>
    <t>A) Replay the rally, B) Loss of point, C) Warning, D) Opponent serves</t>
  </si>
  <si>
    <t>Stepping out of bounds results in the loss of the point for the offending player.</t>
  </si>
  <si>
    <t>Which motion is prohibited in Jianzi?</t>
  </si>
  <si>
    <t>A) Jumping, B) Spinning, C) Hitting with hands, D) Passing</t>
  </si>
  <si>
    <t>C) Hitting with hands</t>
  </si>
  <si>
    <t>Using hands to hit the shuttlecock is not allowed in Jianzi.</t>
  </si>
  <si>
    <t>What is the name of the competitive variation of Jianzi?</t>
  </si>
  <si>
    <t>A) Jianzi Net, B) Ti Jianzi, C) Shuttle Net, D) Jianqi</t>
  </si>
  <si>
    <t>B) Ti Jianzi</t>
  </si>
  <si>
    <t>Ti Jianzi is the competitive version of the sport played with specific rules.</t>
  </si>
  <si>
    <t>How many consecutive kicks are allowed by one player in Circle Jianzi?</t>
  </si>
  <si>
    <t>A player can kick the shuttlecock up to three times consecutively in Circle Jianzi.</t>
  </si>
  <si>
    <t>Which of these moves is considered advanced in Jianzi?</t>
  </si>
  <si>
    <t>A) Simple kick, B) Side kick, C) Backward flip kick, D) Forward kick</t>
  </si>
  <si>
    <t>C) Backward flip kick</t>
  </si>
  <si>
    <t>The backward flip kick is an advanced and skillful maneuver in Jianzi.</t>
  </si>
  <si>
    <t>What type of attire is recommended for Jianzi players?</t>
  </si>
  <si>
    <t>A) Loose and light clothing, B) Tight sportswear, C) Traditional robes, D) Jeans and T-shirt</t>
  </si>
  <si>
    <t>A) Loose and light clothing</t>
  </si>
  <si>
    <t>Loose and light clothing allows better movement and comfort for players.</t>
  </si>
  <si>
    <t>In Jianzi, what is the preferred way to keep the shuttlecock in the air?</t>
  </si>
  <si>
    <t>A) Using hands, B) Using feet, C) Using elbows, D) Using a racket</t>
  </si>
  <si>
    <t>B) Using feet</t>
  </si>
  <si>
    <t>The shuttlecock is mainly kept in the air by striking it with the feet.</t>
  </si>
  <si>
    <t>What is the primary skill involved in playing Jianzi?</t>
  </si>
  <si>
    <t>A) Kicking, B) Running, C) Catching, D) Throwing</t>
  </si>
  <si>
    <t>Jianzi is primarily played by kicking the shuttlecock using different parts of the body.</t>
  </si>
  <si>
    <t>Which part of the body is most commonly used to strike the shuttlecock in Jianzi?</t>
  </si>
  <si>
    <t>A) Hands, B) Feet, C) Elbows, D) Knees</t>
  </si>
  <si>
    <t>Players primarily use their feet to keep the shuttlecock in the air.</t>
  </si>
  <si>
    <t>What is the primary objective of playing Jianzi?</t>
  </si>
  <si>
    <t>A) To keep the shuttlecock off the ground, B) To score points, C) To kick the shuttlecock into a goal, D) To catch the shuttlecock</t>
  </si>
  <si>
    <t>A) To keep the shuttlecock off the ground</t>
  </si>
  <si>
    <t>The main goal in Jianzi is to keep the shuttlecock in the air without it touching the ground.</t>
  </si>
  <si>
    <t>What material is typically used to make the shuttlecock in Jianzi?</t>
  </si>
  <si>
    <t>A) Wood, B) Plastic, C) Feathers, D) Rubber</t>
  </si>
  <si>
    <t>C) Feathers</t>
  </si>
  <si>
    <t>Traditional Jianzi shuttlecocks are made of feathers and a metal or plastic base.</t>
  </si>
  <si>
    <t>In Jianzi, what is considered a successful play?</t>
  </si>
  <si>
    <t>A) Kicking the shuttlecock once, B) Keeping the shuttlecock in the air for a long time, C) Kicking the shuttlecock into a goal, D) Passing the shuttlecock to another player</t>
  </si>
  <si>
    <t>B) Keeping the shuttlecock in the air for a long time</t>
  </si>
  <si>
    <t>A successful play involves keeping the shuttlecock off the ground by kicking it repeatedly.</t>
  </si>
  <si>
    <t>Which sport is most similar to Jianzi in terms of skill and technique?</t>
  </si>
  <si>
    <t>A) Soccer, B) Volleyball, C) Badminton, D) Football</t>
  </si>
  <si>
    <t>C) Badminton</t>
  </si>
  <si>
    <t>Jianzi shares similar footwork techniques with badminton, particularly in kicking and controlling a shuttlecock.</t>
  </si>
  <si>
    <t>What is the name of the typical footwork technique used in Jianzi?</t>
  </si>
  <si>
    <t>A) Foot dribbling, B) Shuttle kicking, C) Juggling, D) Flip kick</t>
  </si>
  <si>
    <t>C) Juggling</t>
  </si>
  <si>
    <t>The footwork in Jianzi is often referred to as juggling, where players use their feet to control the shuttlecock.</t>
  </si>
  <si>
    <t>How is Jianzi typically played in modern times?</t>
  </si>
  <si>
    <t>A) As an individual sport, B) As a team sport, C) As a fitness activity, D) As a competitive event</t>
  </si>
  <si>
    <t>B) As a team sport</t>
  </si>
  <si>
    <t>Modern Jianzi is often played in teams, where players take turns kicking the shuttlecock.</t>
  </si>
  <si>
    <t>What type of competitions are common in Jianzi today?</t>
  </si>
  <si>
    <t>A) Solo performances, B) Juggling contests, C) Team relay races, D) Kicking accuracy contests</t>
  </si>
  <si>
    <t>D) Kicking accuracy contests</t>
  </si>
  <si>
    <t>Modern Jianzi competitions often focus on kicking accuracy and style.</t>
  </si>
  <si>
    <t>What is the primary objective in Jianzi?</t>
  </si>
  <si>
    <t>A) To score goals, B) To kick the shuttlecock the longest distance, C) To keep the shuttlecock in the air, D) To pass the shuttlecock to others</t>
  </si>
  <si>
    <t>C) To keep the shuttlecock in the air</t>
  </si>
  <si>
    <t>The main goal of Jianzi is to prevent the shuttlecock from touching the ground.</t>
  </si>
  <si>
    <t>Which part of the body is least used in playing Jianzi?</t>
  </si>
  <si>
    <t>A) Feet, B) Head, C) Hands, D) Knees</t>
  </si>
  <si>
    <t>C) Hands</t>
  </si>
  <si>
    <t>While hands are typically not used in Jianzi, players use their feet, head, and even knees to control the shuttlecock.</t>
  </si>
  <si>
    <t>Which aspect of footwork is emphasized in playing Jianzi?</t>
  </si>
  <si>
    <t>A) Agility, B) Speed, C) Power, D) Strength</t>
  </si>
  <si>
    <t>A) Agility</t>
  </si>
  <si>
    <t>Jianzi emphasizes agility, as players must move quickly and precisely to control the shuttlecock.</t>
  </si>
  <si>
    <t>What is the most common form of play in modern Jianzi competitions?</t>
  </si>
  <si>
    <t>A) Solo performances, B) Group competitions, C) Relay races, D) Kicking accuracy contests</t>
  </si>
  <si>
    <t>B) Group competitions</t>
  </si>
  <si>
    <t>Modern Jianzi competitions are typically played in groups, with players taking turns to keep the shuttlecock in the air.</t>
  </si>
  <si>
    <t>What type of footwear is typically worn while playing Jianzi?</t>
  </si>
  <si>
    <t>A) Barefoot, B) Sports shoes, C) Sandals, D) Boots</t>
  </si>
  <si>
    <t>A) Barefoot</t>
  </si>
  <si>
    <t>Players often play Jianzi barefoot to enhance their footwork and agility.</t>
  </si>
  <si>
    <t>What is a common term used to describe the kicking techniques in Jianzi?</t>
  </si>
  <si>
    <t>A) Juggling, B) Dribbling, C) Flicking, D) Spiking</t>
  </si>
  <si>
    <t>A) Juggling</t>
  </si>
  <si>
    <t>The kicking techniques in Jianzi are often referred to as juggling, as the player continuously keeps the shuttlecock in the air.</t>
  </si>
  <si>
    <t>Which type of Jianzi competition involves players trying to perform complex tricks and stunts?</t>
  </si>
  <si>
    <t>A) Freestyle competitions, B) Kicking accuracy, C) Team relay, D) Speed competitions</t>
  </si>
  <si>
    <t>A) Freestyle competitions</t>
  </si>
  <si>
    <t>Freestyle Jianzi competitions focus on players performing complex tricks and stunts with the shuttlecock.</t>
  </si>
  <si>
    <t>What makes Jianzi unique compared to other shuttlecock sports like badminton?</t>
  </si>
  <si>
    <t>A) It is played outdoors, B) Players use their heads and feet, C) It is played with a net, D) It uses a larger shuttlecock</t>
  </si>
  <si>
    <t>B) Players use their heads and feet</t>
  </si>
  <si>
    <t>Jianzi is unique because players use their feet, knees, and even heads to control the shuttlecock.</t>
  </si>
  <si>
    <t>What is the traditional term for a Jianzi game played without a net?</t>
  </si>
  <si>
    <t>A) Freestyle Jianzi, B) Circle Jianzi, C) Open Jianzi, D) Field Jianzi</t>
  </si>
  <si>
    <t>B) Circle Jianzi</t>
  </si>
  <si>
    <t>Circle Jianzi is played without a net, often focusing on endurance and skill.</t>
  </si>
  <si>
    <t>How many players usually play Jianzi in a standard game?</t>
  </si>
  <si>
    <t>A) 1 B) 2 C) 4 D) 6</t>
  </si>
  <si>
    <t>What is the main objective in Jianzi?</t>
  </si>
  <si>
    <t>A) Keep the shuttle in the air B) Score goals C) Capture opponent D) Tag player</t>
  </si>
  <si>
    <t>A) Keep the shuttle in the air</t>
  </si>
  <si>
    <t>Which part of the foot is most commonly used to strike the Jianzi?</t>
  </si>
  <si>
    <t>A) Heel B) Instep C) Toes D) Ankle</t>
  </si>
  <si>
    <t>B) Instep</t>
  </si>
  <si>
    <t>How many touches are allowed per player before passing the Jianzi?</t>
  </si>
  <si>
    <t>A) 1 B) 2 C) 3 D) Unlimited</t>
  </si>
  <si>
    <t>What is considered a foul in Jianzi?</t>
  </si>
  <si>
    <t>A) Using hands B) Missing shuttle C) Double touch D) All of the above</t>
  </si>
  <si>
    <t>How is the game started?</t>
  </si>
  <si>
    <t>A) Toss B) Drop shuttle C) Kick off D) Drummer signal</t>
  </si>
  <si>
    <t>B) Drop shuttle</t>
  </si>
  <si>
    <t>In a team game, how many players are on each side?</t>
  </si>
  <si>
    <t>A) 2–4 B) 3–5 C) 5–7 D) 4–6</t>
  </si>
  <si>
    <t>D) 4–6</t>
  </si>
  <si>
    <t>What is the “ground rule” in Jianzi?</t>
  </si>
  <si>
    <t>A) Shuttle must not touch ground B) No running C) No kicking D) No passing</t>
  </si>
  <si>
    <t>A) Shuttle must not touch ground</t>
  </si>
  <si>
    <t>Which movement is illegal in Jianzi?</t>
  </si>
  <si>
    <t>A) Striking with hand B) Kicking C) Jumping D) Passing</t>
  </si>
  <si>
    <t>A) Striking with hand</t>
  </si>
  <si>
    <t>How is scoring done in competitive Jianzi?</t>
  </si>
  <si>
    <t>A) By consecutive successful kicks B) By passes C) By time D) By number of players</t>
  </si>
  <si>
    <t>A) By consecutive successful kicks</t>
  </si>
  <si>
    <t>What is a “serve” in Jianzi?</t>
  </si>
  <si>
    <t>A) First kick to start rally B) Hand touch C) Toss D) Jump kick</t>
  </si>
  <si>
    <t>A) First kick to start rally</t>
  </si>
  <si>
    <t>How is a rally ended?</t>
  </si>
  <si>
    <t>A) Shuttle touches ground B) Player touches shuttle with hand C) Shuttle out of bounds D) Any of the above</t>
  </si>
  <si>
    <t>D) Any of the above</t>
  </si>
  <si>
    <t>Which is a common Jianzi technique?</t>
  </si>
  <si>
    <t>A) Inside kick B) Hand flick C) Head hit D) Throw</t>
  </si>
  <si>
    <t>A) Inside kick</t>
  </si>
  <si>
    <t>How should a player strike the shuttle?</t>
  </si>
  <si>
    <t>A) Smoothly with controlled force B) Any random way C) Slap D) Throw</t>
  </si>
  <si>
    <t>A) Smoothly with controlled force</t>
  </si>
  <si>
    <t>What is considered an “out-of-bounds” in Jianzi?</t>
  </si>
  <si>
    <t>A) Shuttle lands outside marked area B) Shuttle hits player C) Shuttle touches net D) Shuttle bounces</t>
  </si>
  <si>
    <t>A) Shuttle lands outside marked area</t>
  </si>
  <si>
    <t>Which part of the body is forbidden to touch the shuttle?</t>
  </si>
  <si>
    <t>A) Hands B) Feet C) Knees D) Head</t>
  </si>
  <si>
    <t>How long is a typical match in points?</t>
  </si>
  <si>
    <t>A) 15 B) 21 C) 11 D) 10</t>
  </si>
  <si>
    <t>A) First to reach target points B) By rally count C) By shuttle height D) By player turns</t>
  </si>
  <si>
    <t>A) First to reach target points</t>
  </si>
  <si>
    <t>What is a “combo” in Jianzi?</t>
  </si>
  <si>
    <t>A) Multiple kicks without dropping shuttle B) Team strategy C) Pass D) Jump</t>
  </si>
  <si>
    <t>A) Multiple kicks without dropping shuttle</t>
  </si>
  <si>
    <t>How are teams separated in official matches?</t>
  </si>
  <si>
    <t>A) By a marked line B) By shuttle toss C) Randomly D) By color</t>
  </si>
  <si>
    <t>A) By a marked line</t>
  </si>
  <si>
    <t>Which skill is crucial in Jianzi?</t>
  </si>
  <si>
    <t>A) Balance B) Strength C) Sprint D) Throw</t>
  </si>
  <si>
    <t>A) Balance</t>
  </si>
  <si>
    <t>What is an “overhead kick”?</t>
  </si>
  <si>
    <t>A) Kicking shuttle above head B) Kicking shuttle sideways C) Passing D) Drop kick</t>
  </si>
  <si>
    <t>A) Kicking shuttle above head</t>
  </si>
  <si>
    <t>Can players use their knees in Jianzi?</t>
  </si>
  <si>
    <t>A) Yes B) No C) Only in friendly D) Only during serve</t>
  </si>
  <si>
    <t>A) Yes</t>
  </si>
  <si>
    <t>What happens if the shuttle touches the ground?</t>
  </si>
  <si>
    <t>A) Rally ends B) Point deducted C) Match resets D) No effect</t>
  </si>
  <si>
    <t>A) Rally ends</t>
  </si>
  <si>
    <t>How is a tie resolved in competitive Jianzi?</t>
  </si>
  <si>
    <t>A) Extra rally B) Coin toss C) Replay match D) Judge decision</t>
  </si>
  <si>
    <t>A) Extra rally</t>
  </si>
  <si>
    <t>What is the main focus during practice?</t>
  </si>
  <si>
    <t>A) Accuracy and control B) Speed only C) Power D) Jump height</t>
  </si>
  <si>
    <t>A) Accuracy and control</t>
  </si>
  <si>
    <t>Can players run with the shuttle in Jianzi?</t>
  </si>
  <si>
    <t>A) No B) Yes C) Only during serve D) Only in friendly games</t>
  </si>
  <si>
    <t>A) No</t>
  </si>
  <si>
    <t>What is “foot control” in Jianzi?</t>
  </si>
  <si>
    <t>A) Precision in striking shuttle B) Strength C) Jump height D) Hand motion</t>
  </si>
  <si>
    <t>A) Precision in striking shuttle</t>
  </si>
  <si>
    <t>How many referees are typically present in an official match?</t>
  </si>
  <si>
    <t>A) 1–2 B) 3–4 C) 5 D) None</t>
  </si>
  <si>
    <t>A) 1–2</t>
  </si>
  <si>
    <t>Which is a common defensive move in Jianzi?</t>
  </si>
  <si>
    <t>A) Soft trap B) Pass C) Throw D) Hand block</t>
  </si>
  <si>
    <t>A) Soft trap</t>
  </si>
  <si>
    <t>What is the height rule for the shuttle during rally?</t>
  </si>
  <si>
    <t>A) No restriction B) Must stay below head C) Must go above head D) Must stay below knee</t>
  </si>
  <si>
    <t>A) No restriction</t>
  </si>
  <si>
    <t>How is the serve direction decided?</t>
  </si>
  <si>
    <t>A) Toss B) Pre-decided side C) Opponent choice D) Random kick</t>
  </si>
  <si>
    <t>A) Toss</t>
  </si>
  <si>
    <t>Which is not allowed in team Jianzi?</t>
  </si>
  <si>
    <t>A) Holding shuttle with hands B) Passing with foot C) Striking shuttle D) Jumping</t>
  </si>
  <si>
    <t>A) Holding shuttle with hands</t>
  </si>
  <si>
    <t>How should a player react to a dropped shuttle by opponent?</t>
  </si>
  <si>
    <t>A) Stop rally B) Continue C) Kick D) Hand catch</t>
  </si>
  <si>
    <t>B) Continue</t>
  </si>
  <si>
    <t>What is considered a “clean hit”?</t>
  </si>
  <si>
    <t>A) Striking shuttle without touching ground B) Shuttle bounces C) Hand touch D) Throw</t>
  </si>
  <si>
    <t>A) Striking shuttle without touching ground</t>
  </si>
  <si>
    <t>Can the shuttle touch the player’s head?</t>
  </si>
  <si>
    <t>A) Yes B) No C) Only in friendly D) Only for serve</t>
  </si>
  <si>
    <t>What is the maximum number of consecutive kicks allowed per player?</t>
  </si>
  <si>
    <t>How is the start side chosen?</t>
  </si>
  <si>
    <t>A) Coin toss B) Handshake C) Random D) Referee</t>
  </si>
  <si>
    <t>What type of surface is preferred for official matches?</t>
  </si>
  <si>
    <t>A) Flat, non-slippery B) Grass C) Mud D) Sand</t>
  </si>
  <si>
    <t>A) Flat, non-slippery</t>
  </si>
  <si>
    <t>What is the “low kick” technique?</t>
  </si>
  <si>
    <t>A) Kicking shuttle near ground B) Kicking shuttle high C) Passing D) Jumping</t>
  </si>
  <si>
    <t>A) Kicking shuttle near ground</t>
  </si>
  <si>
    <t>Can the shuttle be hit by both feet simultaneously?</t>
  </si>
  <si>
    <t>A) Yes B) No C) Only during serve D) Only friendly</t>
  </si>
  <si>
    <t>B) No</t>
  </si>
  <si>
    <t>How many points does a player gain per successful rally?</t>
  </si>
  <si>
    <t>What happens in case of an illegal strike?</t>
  </si>
  <si>
    <t>A) Point lost B) No effect C) Match ends D) Re-rally</t>
  </si>
  <si>
    <t>A) Point lost</t>
  </si>
  <si>
    <t>Which type of kick is called “outside kick”?</t>
  </si>
  <si>
    <t>A) Using outside of foot B) Using heel C) Using hand D) Using knee</t>
  </si>
  <si>
    <t>A) Using outside of foot</t>
  </si>
  <si>
    <t>Which is allowed during serve?</t>
  </si>
  <si>
    <t>A) Hand drop only B) Hand strike C) Foot hold D) Knee hit</t>
  </si>
  <si>
    <t>A) Hand drop only</t>
  </si>
  <si>
    <t>How should a team rotate players?</t>
  </si>
  <si>
    <t>A) After each rally B) After each match C) Random D) No rotation</t>
  </si>
  <si>
    <t>A) After each rally</t>
  </si>
  <si>
    <t>How is balance maintained during complex kicks?</t>
  </si>
  <si>
    <t>A) Core stability B) Hand support C) Foot movement D) Random</t>
  </si>
  <si>
    <t>A) Core stability</t>
  </si>
  <si>
    <t>What is a “jump kick” in Jianzi?</t>
  </si>
  <si>
    <t>A) Striking shuttle mid-air B) Foot stomp C) Head hit D) Throw</t>
  </si>
  <si>
    <t>A) Striking shuttle mid-air</t>
  </si>
  <si>
    <t>Which part of the shuttle is hit?</t>
  </si>
  <si>
    <t>A) Feathers B) Base only C) Entire shuttle D) Not touched</t>
  </si>
  <si>
    <t>B) Base only</t>
  </si>
  <si>
    <t>How is fair play enforced?</t>
  </si>
  <si>
    <t>A) Referee B) Opponent C) Team captain D) Crowd</t>
  </si>
  <si>
    <t>Which move is discouraged for beginners?</t>
  </si>
  <si>
    <t>A) Jump kicks B) Basic instep C) Low kick D) Soft trap</t>
  </si>
  <si>
    <t>A) Jump kicks</t>
  </si>
  <si>
    <t>How many shuttles are typically used in a match?</t>
  </si>
  <si>
    <t>A) 1–2 B) 5 C) 3 D) 4</t>
  </si>
  <si>
    <t>How are team points counted?</t>
  </si>
  <si>
    <t>A) By successful consecutive kicks B) By rallies won C) By match duration D) By shuttle height</t>
  </si>
  <si>
    <t>A) By successful consecutive kicks</t>
  </si>
  <si>
    <t>What is the role of team captain?</t>
  </si>
  <si>
    <t>A) Strategy and order B) Only kicks C) Only passes D) Referee</t>
  </si>
  <si>
    <t>A) Strategy and order</t>
  </si>
  <si>
    <t>Can shuttle touch the ground during practice?</t>
  </si>
  <si>
    <t>A) Yes, to restart B) No C) Only for serve D) Only in official match</t>
  </si>
  <si>
    <t>A) Yes, to restart</t>
  </si>
  <si>
    <t>How are disputes resolved?</t>
  </si>
  <si>
    <t>A) Referee decision B) Player agreement C) Coach decision D) Coin toss</t>
  </si>
  <si>
    <t>A) Referee decision</t>
  </si>
  <si>
    <t>What is “feather control”?</t>
  </si>
  <si>
    <t>A) Striking with precision B) Hand touch C) Knee hit D) Jumping</t>
  </si>
  <si>
    <t>A) Striking with precision</t>
  </si>
  <si>
    <t>How many rounds are typical in tournaments?</t>
  </si>
  <si>
    <t>A) 3–5 B) 1 C) 2 D) 6–8</t>
  </si>
  <si>
    <t>A) 3–5</t>
  </si>
  <si>
    <t>Which type of kick increases difficulty?</t>
  </si>
  <si>
    <t>A) Side kick B) Instep C) Toe D) Heel</t>
  </si>
  <si>
    <t>A) Side kick</t>
  </si>
  <si>
    <t>What is a “back kick” in Jianzi?</t>
  </si>
  <si>
    <t>A) Striking shuttle behind body B) Forward kick C) Head strike D) Drop kick</t>
  </si>
  <si>
    <t>A) Striking shuttle behind body</t>
  </si>
  <si>
    <t>How is official match time controlled?</t>
  </si>
  <si>
    <t>A) Stopwatch B) Free play C) Referee whistle D) Clock optional</t>
  </si>
  <si>
    <t>A) Stopwatch</t>
  </si>
  <si>
    <t>Which part of the shuttle is heavier?</t>
  </si>
  <si>
    <t>A) Base B) Feathers C) Tip D) Entire shuttle</t>
  </si>
  <si>
    <t>A) Base</t>
  </si>
  <si>
    <t>What is the key to long rallies?</t>
  </si>
  <si>
    <t>A) Accuracy and timing B) Power C) Speed D) Hand strike</t>
  </si>
  <si>
    <t>A) Accuracy and timing</t>
  </si>
  <si>
    <t>Which kick is used to pass to teammate?</t>
  </si>
  <si>
    <t>A) Forward kick B) Back kick C) Jump kick D) Hand strike</t>
  </si>
  <si>
    <t>A) Forward kick</t>
  </si>
  <si>
    <t>Which action is forbidden in team play?</t>
  </si>
  <si>
    <t>A) Holding shuttle with hands B) Passing C) Foot strike D) Soft trap</t>
  </si>
  <si>
    <t>Which is considered advanced technique?</t>
  </si>
  <si>
    <t>A) Jump kick B) Basic instep C) Low kick D) Soft trap</t>
  </si>
  <si>
    <t>A) Jump kick</t>
  </si>
  <si>
    <t>How should players warm up?</t>
  </si>
  <si>
    <t>A) Light kicks and stretches B) Full jumps C) Hand strike D) Sprint</t>
  </si>
  <si>
    <t>A) Light kicks and stretches</t>
  </si>
  <si>
    <t>How is the shuttle replaced in official games?</t>
  </si>
  <si>
    <t>A) After damage B) Every rally C) Randomly D) Not replaced</t>
  </si>
  <si>
    <t>A) After damage</t>
  </si>
  <si>
    <t>How is fouling penalized?</t>
  </si>
  <si>
    <t>A) Point loss B) Extra kick C) Match stop D) Warning only</t>
  </si>
  <si>
    <t>A) Point loss</t>
  </si>
  <si>
    <t>In Kung Fu, which of the following animals is not typically used as a style inspiration?</t>
  </si>
  <si>
    <t>A) Dragon, B) Monkey, C) Elephant, D) Tiger</t>
  </si>
  <si>
    <t>C) Elephant</t>
  </si>
  <si>
    <t>Kung Fu styles are traditionally inspired by animals like the Dragon, Monkey, and Tiger, but not the Elephant.</t>
  </si>
  <si>
    <t>Which term is often used to describe the internal energy used in Kung Fu?</t>
  </si>
  <si>
    <t>A) Qi, B) Wu, C) Zen, D) Li</t>
  </si>
  <si>
    <t>A) Qi</t>
  </si>
  <si>
    <t>Qi represents the internal energy or life force believed to be essential in many Chinese martial arts, including Kung Fu.</t>
  </si>
  <si>
    <t>Which of these forms is a foundational style in Kung Fu?</t>
  </si>
  <si>
    <t>A) Shaolin, B) Kalaripayattu, C) Judo, D) Karate</t>
  </si>
  <si>
    <t>A) Shaolin</t>
  </si>
  <si>
    <t>Shaolin Kung Fu is one of the oldest and most famous styles, rooted in the Shaolin Temple tradition.</t>
  </si>
  <si>
    <t>What is the main focus of 'Wing Chun,' a style of Kung Fu?</t>
  </si>
  <si>
    <t>A) Powerful kicks, B) Ground combat, C) Close-range combat, D) High jumping</t>
  </si>
  <si>
    <t>C) Close-range combat</t>
  </si>
  <si>
    <t>Wing Chun is a style focused on efficient, close-range combat with an emphasis on defense and quick strikes.</t>
  </si>
  <si>
    <t>Which weapon is commonly associated with Kung Fu training?</t>
  </si>
  <si>
    <t>A) Bo staff, B) Katana, C) Nunchaku, D) Tonfa</t>
  </si>
  <si>
    <t>A) Bo staff</t>
  </si>
  <si>
    <t>The Bo staff is a traditional weapon in Kung Fu, used in various forms and drills for skill development.</t>
  </si>
  <si>
    <t>Which of the following is a primary benefit of practicing Kung Fu?</t>
  </si>
  <si>
    <t>A) Flexibility, B) Wealth, C) Speed in walking, D) Increased height</t>
  </si>
  <si>
    <t>A) Flexibility</t>
  </si>
  <si>
    <t>Kung Fu emphasizes flexibility, strength, and balance as key physical benefits.</t>
  </si>
  <si>
    <t>In the Five Animals system, which animal is known for fluid and adaptable movements?</t>
  </si>
  <si>
    <t>A) Tiger, B) Snake, C) Crane, D) Leopard</t>
  </si>
  <si>
    <t>B) Snake</t>
  </si>
  <si>
    <t>The Snake style emphasizes fluid, flexible movements, symbolizing adaptability and precision.</t>
  </si>
  <si>
    <t>What does 'Kung Fu' literally translate to?</t>
  </si>
  <si>
    <t>A) Martial skill, B) Time and effort, C) Spiritual energy, D) Warrior path</t>
  </si>
  <si>
    <t>B) Time and effort</t>
  </si>
  <si>
    <t>Kung Fu translates to 'time and effort,' reflecting the dedication needed to master the art.</t>
  </si>
  <si>
    <t>Which stance is fundamental in many Kung Fu styles for balance and strength?</t>
  </si>
  <si>
    <t>A) Horse stance, B) Cat stance, C) Crane stance, D) Eagle stance</t>
  </si>
  <si>
    <t>A) Horse stance</t>
  </si>
  <si>
    <t>The Horse stance is a foundational position that builds leg strength and balance.</t>
  </si>
  <si>
    <t>Which philosophy heavily influences Kung Fu practices?</t>
  </si>
  <si>
    <t>A) Confucianism, B) Taoism, C) Buddhism, D) Shinto</t>
  </si>
  <si>
    <t>B) Taoism</t>
  </si>
  <si>
    <t>Taoism's principles, like balance and harmony, deeply influence Kung Fu.</t>
  </si>
  <si>
    <t>What is the primary purpose of meditation in Kung Fu?</t>
  </si>
  <si>
    <t>A) Increasing physical strength, B) Focusing the mind, C) Building endurance, D) Learning forms</t>
  </si>
  <si>
    <t>B) Focusing the mind</t>
  </si>
  <si>
    <t>Meditation in Kung Fu is used to develop concentration and mental clarity.</t>
  </si>
  <si>
    <t>Which Kung Fu style emphasizes imitating the movements of a bird?</t>
  </si>
  <si>
    <t>A) Eagle Claw, B) Snake, C) Tiger, D) Leopard</t>
  </si>
  <si>
    <t>A) Eagle Claw</t>
  </si>
  <si>
    <t>Eagle Claw style uses movements resembling an eagle's claws to grab and control.</t>
  </si>
  <si>
    <t>What is the primary focus of 'Wushu' in modern Kung Fu?</t>
  </si>
  <si>
    <t>A) Combat techniques, B) Performance and acrobatics, C) Meditation, D) Philosophical study</t>
  </si>
  <si>
    <t>B) Performance and acrobatics</t>
  </si>
  <si>
    <t>Wushu emphasizes athletic performance, with an emphasis on forms and acrobatics.</t>
  </si>
  <si>
    <t>In Kung Fu, which animal represents power and strength?</t>
  </si>
  <si>
    <t>A) Leopard, B) Snake, C) Dragon, D) Tiger</t>
  </si>
  <si>
    <t>D) Tiger</t>
  </si>
  <si>
    <t>The Tiger represents raw power and strength in Kung Fu's animal styles.</t>
  </si>
  <si>
    <t>Kung Fu training often involves strengthening which part of the body to increase stability?</t>
  </si>
  <si>
    <t>A) Arms, B) Shoulders, C) Core, D) Legs</t>
  </si>
  <si>
    <t>D) Legs</t>
  </si>
  <si>
    <t>Leg strength is essential for stability and balance in many Kung Fu stances and movements.</t>
  </si>
  <si>
    <t>Which stance is commonly practiced to build endurance in Kung Fu?</t>
  </si>
  <si>
    <t>A) Horse stance, B) Bow stance, C) Crane stance, D) Dragon stance</t>
  </si>
  <si>
    <t>The Horse stance builds lower body endurance and strength.</t>
  </si>
  <si>
    <t>What is a 'form' in Kung Fu practice?</t>
  </si>
  <si>
    <t>A) Weapon, B) Exercise, C) Set of movements, D) Meditation</t>
  </si>
  <si>
    <t>C) Set of movements</t>
  </si>
  <si>
    <t>A form is a sequence of movements that simulate combat and help build technique.</t>
  </si>
  <si>
    <t>Which style is known for its speed and precision in hand techniques?</t>
  </si>
  <si>
    <t>A) Wing Chun, B) Shaolin, C) Praying Mantis, D) Wushu</t>
  </si>
  <si>
    <t>A) Wing Chun</t>
  </si>
  <si>
    <t>Wing Chun emphasizes rapid, precise hand techniques for close-range combat.</t>
  </si>
  <si>
    <t>Kung Fu practitioners use 'Iron Palm' training primarily to strengthen which body part?</t>
  </si>
  <si>
    <t>A) Feet, B) Shoulders, C) Hands, D) Knees</t>
  </si>
  <si>
    <t>Iron Palm training is aimed at strengthening the hands to deliver powerful strikes.</t>
  </si>
  <si>
    <t>Which term is used to refer to a Kung Fu master or teacher?</t>
  </si>
  <si>
    <t>A) Sensei, B) Sifu, C) Shifu, D) Sense</t>
  </si>
  <si>
    <t>B) Sifu</t>
  </si>
  <si>
    <t>Sifu is the Chinese term for a Kung Fu master or teacher.</t>
  </si>
  <si>
    <t>What is the main benefit of practicing Kung Fu's animal styles?</t>
  </si>
  <si>
    <t>A) Gaining physical endurance, B) Increasing energy, C) Developing a variety of combat techniques, D) Improving foot speed</t>
  </si>
  <si>
    <t>C) Developing a variety of combat techniques</t>
  </si>
  <si>
    <t>Animal styles help practitioners learn diverse techniques based on different animals.</t>
  </si>
  <si>
    <t>Which of these is a key characteristic of the Praying Mantis style?</t>
  </si>
  <si>
    <t>A) High kicks, B) Low stances, C) Hook-like hand strikes, D) Powerful palm strikes</t>
  </si>
  <si>
    <t>C) Hook-like hand strikes</t>
  </si>
  <si>
    <t>The Praying Mantis style uses hook-like hand techniques to trap opponents.</t>
  </si>
  <si>
    <t>The phrase 'Kung Fu' can be translated to mean:</t>
  </si>
  <si>
    <t>A) Hard work, B) Combat skill, C) Meditation, D) Balance</t>
  </si>
  <si>
    <t>A) Hard work</t>
  </si>
  <si>
    <t>Kung Fu implies the concept of hard work and dedication to master a skill.</t>
  </si>
  <si>
    <t>Which Kung Fu style was popularized by Bruce Lee?</t>
  </si>
  <si>
    <t>A) Shaolin, B) Wing Chun, C) Tai Chi, D) Jeet Kune Do</t>
  </si>
  <si>
    <t>D) Jeet Kune Do</t>
  </si>
  <si>
    <t>Bruce Lee developed Jeet Kune Do, a style that combines efficiency and minimalism.</t>
  </si>
  <si>
    <t>Which concept in Kung Fu focuses on redirecting an opponent's energy?</t>
  </si>
  <si>
    <t>A) Qi, B) Wu De, C) Push hands, D) Aikido</t>
  </si>
  <si>
    <t>C) Push hands</t>
  </si>
  <si>
    <t>Push hands is a technique that focuses on redirecting the opponent's energy to control them.</t>
  </si>
  <si>
    <t>The Tiger Crane style combines techniques from which two animals?</t>
  </si>
  <si>
    <t>A) Crane and Snake, B) Tiger and Crane, C) Dragon and Crane, D) Monkey and Crane</t>
  </si>
  <si>
    <t>B) Tiger and Crane</t>
  </si>
  <si>
    <t>Tiger Crane style blends the strength of the Tiger with the grace of the Crane.</t>
  </si>
  <si>
    <t>Which animal style in Kung Fu focuses on evasive and agile movements?</t>
  </si>
  <si>
    <t>A) Dragon, B) Snake, C) Monkey, D) Tiger</t>
  </si>
  <si>
    <t>C) Monkey</t>
  </si>
  <si>
    <t>The Monkey style incorporates agility and evasion to overcome opponents.</t>
  </si>
  <si>
    <t>What type of strike is characteristic of the Leopard Kung Fu style?</t>
  </si>
  <si>
    <t>A) Clawing, B) Elbow strikes, C) Palm strikes, D) Knuckle punches</t>
  </si>
  <si>
    <t>D) Knuckle punches</t>
  </si>
  <si>
    <t>Leopard style uses knuckle punches, emphasizing speed and precision.</t>
  </si>
  <si>
    <t>What is the main purpose of breathing techniques in Kung Fu?</t>
  </si>
  <si>
    <t>A) Relaxing the mind, B) Strengthening muscles, C) Boosting endurance, D) Improving Qi flow</t>
  </si>
  <si>
    <t>D) Improving Qi flow</t>
  </si>
  <si>
    <t>Breathing techniques help improve Qi flow, enhancing energy and control.</t>
  </si>
  <si>
    <t>Which of the following is an internal style of Kung Fu?</t>
  </si>
  <si>
    <t>A) Shaolin, B) Praying Mantis, C) Tai Chi, D) Wing Chun</t>
  </si>
  <si>
    <t>C) Tai Chi</t>
  </si>
  <si>
    <t>Tai Chi is considered an internal style, focusing on internal energy and control.</t>
  </si>
  <si>
    <t>Which of the following is a defensive maneuver in Kung Fu?</t>
  </si>
  <si>
    <t>A) Horse stance, B) High kick, C) Open palm block, D) Spinning elbow</t>
  </si>
  <si>
    <t>C) Open palm block</t>
  </si>
  <si>
    <t>The open palm block is a common defensive move to deflect attacks.</t>
  </si>
  <si>
    <t>The term 'Qigong' in Kung Fu refers to:</t>
  </si>
  <si>
    <t>A) Meditative exercises, B) High kicks, C) Elbow strikes, D) Sparring drills</t>
  </si>
  <si>
    <t>A) Meditative exercises</t>
  </si>
  <si>
    <t>Qigong involves meditative exercises focused on controlling and cultivating Qi.</t>
  </si>
  <si>
    <t>Which Kung Fu technique is primarily used to disrupt an opponent's balance?</t>
  </si>
  <si>
    <t>A) Push hands, B) Hammer strike, C) Iron Palm, D) Butterfly kick</t>
  </si>
  <si>
    <t>A) Push hands</t>
  </si>
  <si>
    <t>Push hands is a technique to destabilize and unbalance the opponent.</t>
  </si>
  <si>
    <t>Kung Fu techniques are often categorized into which two main types?</t>
  </si>
  <si>
    <t>A) Light and heavy, B) Fast and slow, C) Hard and soft, D) Inner and outer</t>
  </si>
  <si>
    <t>C) Hard and soft</t>
  </si>
  <si>
    <t>Kung Fu divides techniques into 'hard' (forceful) and 'soft' (yielding) methods.</t>
  </si>
  <si>
    <t>In Kung Fu, 'Drunken Fist' is inspired by what?</t>
  </si>
  <si>
    <t>A) Animal movements, B) Drunken movements, C) Sea waves, D) Falling leaves</t>
  </si>
  <si>
    <t>B) Drunken movements</t>
  </si>
  <si>
    <t>Drunken Fist mimics the unpredictable, staggered motions of an inebriated person.</t>
  </si>
  <si>
    <t>What is the primary focus of the Shaolin Kung Fu style?</t>
  </si>
  <si>
    <t>A) Flexibility, B) Physical strength and speed, C) Meditation, D) Weapon training</t>
  </si>
  <si>
    <t>B) Physical strength and speed</t>
  </si>
  <si>
    <t>Shaolin Kung Fu is known for its emphasis on physical conditioning, strength, and speed.</t>
  </si>
  <si>
    <t>The 'Dragon' style of Kung Fu emphasizes movements that are:</t>
  </si>
  <si>
    <t>A) Fluid and powerful, B) Slow and controlled, C) Erratic, D) Defensive</t>
  </si>
  <si>
    <t>A) Fluid and powerful</t>
  </si>
  <si>
    <t>The Dragon style combines fluid, powerful movements that embody strength and flexibility.</t>
  </si>
  <si>
    <t>Kung Fu students often use what practice to simulate combat scenarios?</t>
  </si>
  <si>
    <t>A) Meditation, B) Sparring, C) Forms, D) Breathing exercises</t>
  </si>
  <si>
    <t>B) Sparring</t>
  </si>
  <si>
    <t>Sparring allows students to apply techniques in a controlled, combat-like environment.</t>
  </si>
  <si>
    <t>What is the purpose of practicing 'stances' in Kung Fu?</t>
  </si>
  <si>
    <t>A) Speed development, B) Building a strong foundation, C) Improving mental focus, D) Weapon control</t>
  </si>
  <si>
    <t>B) Building a strong foundation</t>
  </si>
  <si>
    <t>Stances help build a stable foundation, which is essential for balance and power.</t>
  </si>
  <si>
    <t>The Snake style in Kung Fu emphasizes which type of movement?</t>
  </si>
  <si>
    <t>A) Direct strikes, B) Evasive and fluid motions, C) High kicks, D) Quick hand blocks</t>
  </si>
  <si>
    <t>B) Evasive and fluid motions</t>
  </si>
  <si>
    <t>Snake style incorporates fluid, evasive movements to avoid direct attacks.</t>
  </si>
  <si>
    <t>Which Kung Fu weapon is characterized by its flexibility and length?</t>
  </si>
  <si>
    <t>A) Sword, B) Staff, C) Rope dart, D) Dagger</t>
  </si>
  <si>
    <t>C) Rope dart</t>
  </si>
  <si>
    <t>The rope dart is a flexible, long weapon that allows for dynamic, flowing movements.</t>
  </si>
  <si>
    <t>Kung Fu training often includes 'iron body' training for what purpose?</t>
  </si>
  <si>
    <t>A) Endurance, B) Agility, C) Strengthening body to withstand strikes, D) Meditation</t>
  </si>
  <si>
    <t>C) Strengthening body to withstand strikes</t>
  </si>
  <si>
    <t>Iron body training conditions the body to endure impacts, enhancing resilience.</t>
  </si>
  <si>
    <t>In the Five Animal styles, which animal represents agility and intelligence?</t>
  </si>
  <si>
    <t>A) Monkey, B) Leopard, C) Dragon, D) Snake</t>
  </si>
  <si>
    <t>A) Monkey</t>
  </si>
  <si>
    <t>The Monkey style reflects agility and clever tactics to overcome opponents.</t>
  </si>
  <si>
    <t>What is 'Dim Mak' often referred to in Kung Fu?</t>
  </si>
  <si>
    <t>A) Hand form, B) Breathing technique, C) Pressure-point strike, D) Meditation practice</t>
  </si>
  <si>
    <t>C) Pressure-point strike</t>
  </si>
  <si>
    <t>Dim Mak is the use of precise strikes on pressure points to debilitate an opponent.</t>
  </si>
  <si>
    <t>Which stance is commonly used to practice kicks in Kung Fu?</t>
  </si>
  <si>
    <t>A) Horse stance, B) Bow stance, C) Cat stance, D) Mountain stance</t>
  </si>
  <si>
    <t>C) Cat stance</t>
  </si>
  <si>
    <t>The Cat stance allows flexibility for kicking techniques while maintaining balance.</t>
  </si>
  <si>
    <t>Kung Fu practitioners use breath control techniques primarily to:</t>
  </si>
  <si>
    <t>A) Strengthen muscles, B) Conserve energy, C) Improve flexibility, D) Enhance Qi flow</t>
  </si>
  <si>
    <t>D) Enhance Qi flow</t>
  </si>
  <si>
    <t>Breath control helps regulate Qi, which is believed to boost energy and focus.</t>
  </si>
  <si>
    <t>What is a primary characteristic of the 'Leopard' style in Kung Fu?</t>
  </si>
  <si>
    <t>A) Power, B) Speed and aggression, C) Fluidity, D) Defense</t>
  </si>
  <si>
    <t>B) Speed and aggression</t>
  </si>
  <si>
    <t>Leopard style focuses on quick, aggressive movements and rapid strikes.</t>
  </si>
  <si>
    <t>In Kung Fu, a 'form' is best described as:</t>
  </si>
  <si>
    <t>A) An individual strike, B) A combat tactic, C) A series of movements, D) A mental exercise</t>
  </si>
  <si>
    <t>C) A series of movements</t>
  </si>
  <si>
    <t>Forms are structured sequences that simulate combat situations.</t>
  </si>
  <si>
    <t>What does 'Wushu' mean in the context of Kung Fu?</t>
  </si>
  <si>
    <t>A) Art of peace, B) Military or martial art, C) Healing technique, D) Dance movement</t>
  </si>
  <si>
    <t>B) Military or martial art</t>
  </si>
  <si>
    <t>Wushu translates to 'martial art,' encompassing various styles and disciplines.</t>
  </si>
  <si>
    <t>Kung Fu includes which of the following non-combat practices?</t>
  </si>
  <si>
    <t>A) Visualization, B) Endurance running, C) Martial breathing, D) Meditation</t>
  </si>
  <si>
    <t>D) Meditation</t>
  </si>
  <si>
    <t>Meditation is a key practice to develop mental clarity and focus in Kung Fu.</t>
  </si>
  <si>
    <t>The 'Siu Lim Tau' form is part of which Kung Fu style?</t>
  </si>
  <si>
    <t>A) Shaolin, B) Wing Chun, C) Praying Mantis, D) Wudang</t>
  </si>
  <si>
    <t>B) Wing Chun</t>
  </si>
  <si>
    <t>Siu Lim Tau is the foundational form in Wing Chun, focusing on basic techniques.</t>
  </si>
  <si>
    <t>What is one of the main benefits of practicing Kung Fu forms?</t>
  </si>
  <si>
    <t>A) Meditation improvement, B) Increased Qi flow, C) Muscle endurance, D) Practical self-defense techniques</t>
  </si>
  <si>
    <t>D) Practical self-defense techniques</t>
  </si>
  <si>
    <t>Kung Fu forms simulate defensive and offensive techniques useful in real combat.</t>
  </si>
  <si>
    <t>Which Kung Fu style was developed by the Shaolin monks for self-defense?</t>
  </si>
  <si>
    <t>A) Wing Chun, B) Tai Chi, C) Shaolin Kung Fu, D) Wushu</t>
  </si>
  <si>
    <t>C) Shaolin Kung Fu</t>
  </si>
  <si>
    <t>Shaolin Kung Fu was created to protect the Shaolin Temple from external threats.</t>
  </si>
  <si>
    <t>What does the term 'Kung Fu' literally mean in Chinese?</t>
  </si>
  <si>
    <t>A) Ultimate Strength, B) Fighting Spirit, C) Skill achieved through hard work, D) Martial mastery</t>
  </si>
  <si>
    <t>C) Skill achieved through hard work</t>
  </si>
  <si>
    <t>Kung Fu' refers to mastery or skill acquired through dedication and effort, not just martial arts.</t>
  </si>
  <si>
    <t>What is the name of the Chinese martial art that focuses on soft and internal movements?</t>
  </si>
  <si>
    <t>A) Tai Chi, B) Wing Chun, C) Shaolin Kung Fu, D) Wushu</t>
  </si>
  <si>
    <t>A) Tai Chi</t>
  </si>
  <si>
    <t>Tai Chi is a soft style martial art that emphasizes balance, relaxation, and slow movements.</t>
  </si>
  <si>
    <t>Which form of Kung Fu was developed as a way of promoting health and longevity?</t>
  </si>
  <si>
    <t>A) Tai Chi, B) Wing Chun, C) Wushu, D) Bajiquan</t>
  </si>
  <si>
    <t>Tai Chi was originally practiced for its health benefits, promoting longevity and inner peace.</t>
  </si>
  <si>
    <t>What is the term for the Kung Fu movements or forms that practitioners learn?</t>
  </si>
  <si>
    <t>A) Kata, B) Tachi, C) Quan, D) Kempo</t>
  </si>
  <si>
    <t>C) Quan</t>
  </si>
  <si>
    <t>Quan' refers to the series of movements or forms that are essential in Kung Fu training.</t>
  </si>
  <si>
    <t>What is the primary weapon used in Kung Fu training for defense and attack?</t>
  </si>
  <si>
    <t>A) Sword, B) Nunchaku, C) Staff, D) Boomerang</t>
  </si>
  <si>
    <t>C) Staff</t>
  </si>
  <si>
    <t>The staff, known as the 'bo', is one of the primary weapons used in traditional Kung Fu.</t>
  </si>
  <si>
    <t>What was the purpose of the Shaolin Temple in relation to Kung Fu training?</t>
  </si>
  <si>
    <t>A) Religious refuge, B) Military training, C) Buddhist practice and martial arts, D) Imperial training center</t>
  </si>
  <si>
    <t>C) Buddhist practice and martial arts</t>
  </si>
  <si>
    <t>The Shaolin Temple served both as a place for Buddhist monks and as a hub for martial arts training.</t>
  </si>
  <si>
    <t>What is the name of the martial art system that was developed to combine Kung Fu with acrobatic stunts?</t>
  </si>
  <si>
    <t>A) Wushu, B) Sanda, C) Qigong, D) Kendo</t>
  </si>
  <si>
    <t>A) Wushu</t>
  </si>
  <si>
    <t>Wushu is a performance-oriented martial art that blends Kung Fu with acrobatics and gymnastic-like movements.</t>
  </si>
  <si>
    <t>Which type of Kung Fu is most commonly practiced in modern competitive sports?</t>
  </si>
  <si>
    <t>A) Shaolin Kung Fu, B) Wing Chun, C) Wushu, D) Hung Gar</t>
  </si>
  <si>
    <t>C) Wushu</t>
  </si>
  <si>
    <t>Wushu, with its emphasis on acrobatics and performance, is a modern form of Kung Fu that is popular in competitive sports.</t>
  </si>
  <si>
    <t>Which style of Kung Fu is based on the principles of flexibility, quick strikes, and precision?</t>
  </si>
  <si>
    <t>A) Crane Style, B) Snake Style, C) Monkey Style, D) Dragon Style</t>
  </si>
  <si>
    <t>A) Crane Style</t>
  </si>
  <si>
    <t>The Crane style emphasizes fluid movements, flexibility, and quick strikes aimed at precision.</t>
  </si>
  <si>
    <t>What is the 'Eight Trigram Palm' or 'Bagua Zhang' primarily known for in its Kung Fu practice?</t>
  </si>
  <si>
    <t>A) Using speed to overwhelm opponents, B) A focus on grappling techniques, C) Circular movements and evasion, D) Strong, powerful strikes</t>
  </si>
  <si>
    <t>C) Circular movements and evasion</t>
  </si>
  <si>
    <t>Bagua Zhang is distinguished by its unique emphasis on circular footwork and the ability to avoid attacks.</t>
  </si>
  <si>
    <t>Which animal style of Kung Fu emphasizes evasion and quick footwork?</t>
  </si>
  <si>
    <t>A) Dragon, B) Monkey, C) Snake, D) Tiger</t>
  </si>
  <si>
    <t>B) Monkey</t>
  </si>
  <si>
    <t>Monkey style Kung Fu focuses on agility, unpredictability, and quick evasion techniques.</t>
  </si>
  <si>
    <t>Which of the following Kung Fu techniques is commonly used to deflect an incoming punch?</t>
  </si>
  <si>
    <t>A) Iron Palm, B) Push Hands, C) Single Whip, D) Parry</t>
  </si>
  <si>
    <t>D) Parry</t>
  </si>
  <si>
    <t>A parry involves deflecting an opponent's attack, typically using the arms or hands, to control the opponent's strike and set up a counterattack.</t>
  </si>
  <si>
    <t>In Kung Fu, the concept of 'softness overcoming hardness' is exemplified by which principle?</t>
  </si>
  <si>
    <t>A) Use of force, B) Flexibility and redirection of energy, C) Strength training, D) Aggressive attacks</t>
  </si>
  <si>
    <t>B) Flexibility and redirection of energy</t>
  </si>
  <si>
    <t>Kung Fu teaches that a soft, flexible approach can redirect an opponent's force, using their energy against them instead of relying purely on strength.</t>
  </si>
  <si>
    <t>In Kung Fu, what is the primary role of the 'Tiger Crane' form?</t>
  </si>
  <si>
    <t>A) To train high-speed attacks, B) To combine brute strength with precision, C) To teach balance and agility, D) To improve leg strength</t>
  </si>
  <si>
    <t>B) To combine brute strength with precision</t>
  </si>
  <si>
    <t>The 'Tiger Crane' form integrates the powerful, forceful movements of the tiger with the precision and grace of the crane, providing a balanced approach to combat.</t>
  </si>
  <si>
    <t>In Kung Fu philosophy, the concept of 'Yin' and 'Yang' refers to the balance between which two elements?</t>
  </si>
  <si>
    <t>A) Light and dark, B) Hardness and softness, C) Life and death, D) Speed and power</t>
  </si>
  <si>
    <t>B) Hardness and softness</t>
  </si>
  <si>
    <t>Yin and Yang represent the balance between opposing forces, such as softness and hardness, within Kung Fu techniques and philosophy.</t>
  </si>
  <si>
    <t>In Kung Fu, what is the purpose of practicing 'Chin Na' techniques?</t>
  </si>
  <si>
    <t>A) To improve speed, B) To learn joint locks and pressure point strikes, C) To increase strength, D) To improve balance</t>
  </si>
  <si>
    <t>B) To learn joint locks and pressure point strikes</t>
  </si>
  <si>
    <t>Chin Na involves joint locks, holds, and pressure point strikes to control or incapacitate an opponent, often used in close combat.</t>
  </si>
  <si>
    <t>In Kung Fu, what is the significance of 'Qi' (Chi) and how does it impact a fighter's performance?</t>
  </si>
  <si>
    <t>A) It increases physical strength, B) It helps with faster reflexes, C) It improves mental clarity and focus, D) It has no impact on performance</t>
  </si>
  <si>
    <t>C) It improves mental clarity and focus</t>
  </si>
  <si>
    <t>Qi' refers to the vital energy that flows through the body, and its cultivation can improve focus, mental clarity, and overall performance in combat.</t>
  </si>
  <si>
    <t>In Kung Fu, which of the following describes the 'Snake Style'?</t>
  </si>
  <si>
    <t>A) Aggressive, using powerful strikes, B) Flexible, emphasizing swift strikes and avoidance, C) Slow and deliberate, focusing on defense, D) Focused on long-range weapons</t>
  </si>
  <si>
    <t>B) Flexible, emphasizing swift strikes and avoidance</t>
  </si>
  <si>
    <t>The Snake Style emphasizes fluid movement, quick strikes, and the ability to evade attacks, often focusing on attacking vulnerable points on the body.</t>
  </si>
  <si>
    <t>In Kung Fu, what is the primary goal of a 'low sweep' during a combat situation?</t>
  </si>
  <si>
    <t>A) To deliver a powerful strike, B) To off-balance the opponent, C) To evade an attack, D) To confuse the opponent</t>
  </si>
  <si>
    <t>B) To off-balance the opponent</t>
  </si>
  <si>
    <t>The low sweep is designed to knock the opponent off their feet, making it easier to follow up with a finishing technique.</t>
  </si>
  <si>
    <t>What is the main principle of Kung Fu?</t>
  </si>
  <si>
    <t>A) Strength B) Speed C) Discipline D) Luck</t>
  </si>
  <si>
    <t>C) Discipline</t>
  </si>
  <si>
    <t>Which part of the body is commonly used for strikes?</t>
  </si>
  <si>
    <t>A) Hands B) Feet C) Elbows D) All of the above</t>
  </si>
  <si>
    <t>What is “Qi” in Kung Fu?</t>
  </si>
  <si>
    <t>A) Energy flow B) Kick technique C) Hand strike D) Opponent move</t>
  </si>
  <si>
    <t>A) Energy flow</t>
  </si>
  <si>
    <t>Which style focuses on animal movements?</t>
  </si>
  <si>
    <t>A) Shaolin B) Wing Chun C) Wushu D) Northern Crane</t>
  </si>
  <si>
    <t>D) Northern Crane</t>
  </si>
  <si>
    <t>What is a “kata” in Kung Fu?</t>
  </si>
  <si>
    <t>A) Form or routine B) Kick C) Block D) Grapple</t>
  </si>
  <si>
    <t>A) Form or routine</t>
  </si>
  <si>
    <t>How is a fight scored in competitions?</t>
  </si>
  <si>
    <t>A) Points for strikes and techniques B) Knockouts only C) Time survived D) Audience applause</t>
  </si>
  <si>
    <t>A) Points for strikes and techniques</t>
  </si>
  <si>
    <t>Which stance is considered basic?</t>
  </si>
  <si>
    <t>A) Horse stance B) Crane stance C) Tiger stance D) Dragon stance</t>
  </si>
  <si>
    <t>How long is a typical competition round?</t>
  </si>
  <si>
    <t>A) 2 minutes B) 3 minutes C) 5 minutes D) 10 minutes</t>
  </si>
  <si>
    <t>B) 3 minutes</t>
  </si>
  <si>
    <t>What is the purpose of blocking?</t>
  </si>
  <si>
    <t>A) Defense B) Offense C) Scoring D) Stamina</t>
  </si>
  <si>
    <t>A) Defense</t>
  </si>
  <si>
    <t>Which is an illegal move in competitions?</t>
  </si>
  <si>
    <t>A) Head strike B) Hand strike C) Kick D) Punch to torso</t>
  </si>
  <si>
    <t>A) Head strike</t>
  </si>
  <si>
    <t>What is “Chi Sao” in Wing Chun?</t>
  </si>
  <si>
    <t>A) Sticky hands drill B) High kick C) Punch combo D) Grapple</t>
  </si>
  <si>
    <t>A) Sticky hands drill</t>
  </si>
  <si>
    <t>What is the starting position in forms?</t>
  </si>
  <si>
    <t>A) Ready stance B) Horse stance C) Bow D) Side stance</t>
  </si>
  <si>
    <t>A) Ready stance</t>
  </si>
  <si>
    <t>How should a practitioner breathe?</t>
  </si>
  <si>
    <t>A) Deep and controlled B) Shallow C) Random D) Hold breath</t>
  </si>
  <si>
    <t>A) Deep and controlled</t>
  </si>
  <si>
    <t>Which technique is used to unbalance the opponent?</t>
  </si>
  <si>
    <t>A) Sweep B) Punch C) Kick D) Strike</t>
  </si>
  <si>
    <t>A) Sweep</t>
  </si>
  <si>
    <t>What is a “block and counter” strategy?</t>
  </si>
  <si>
    <t>A) Defend and immediately attack B) Only defend C) Only attack D) Jump away</t>
  </si>
  <si>
    <t>A) Defend and immediately attack</t>
  </si>
  <si>
    <t>Which movement is crucial for speed?</t>
  </si>
  <si>
    <t>A) Footwork B) Stance C) Punch D) Breathing</t>
  </si>
  <si>
    <t>A) Footwork</t>
  </si>
  <si>
    <t>How is sparring conducted safely?</t>
  </si>
  <si>
    <t>A) Protective gear B) Bare hands C) Full force D) Random attacks</t>
  </si>
  <si>
    <t>A) Protective gear</t>
  </si>
  <si>
    <t>Which martial art is a precursor to modern Kung Fu?</t>
  </si>
  <si>
    <t>A) Shaolin Temple training B) Karate C) Taekwondo D) Judo</t>
  </si>
  <si>
    <t>A) Shaolin Temple training</t>
  </si>
  <si>
    <t>How is power generated in a strike?</t>
  </si>
  <si>
    <t>A) Hip rotation B) Arm strength only C) Leg lift D) Shoulder twist</t>
  </si>
  <si>
    <t>A) Hip rotation</t>
  </si>
  <si>
    <t>Which kick targets midsection?</t>
  </si>
  <si>
    <t>A) Front kick B) Roundhouse kick C) Side kick D) Spinning back kick</t>
  </si>
  <si>
    <t>A) Front kick</t>
  </si>
  <si>
    <t>What is “iron shirt” training?</t>
  </si>
  <si>
    <t>A) Body conditioning B) Weapon use C) Meditation D) Forms practice</t>
  </si>
  <si>
    <t>A) Body conditioning</t>
  </si>
  <si>
    <t>How is a high-level form judged?</t>
  </si>
  <si>
    <t>A) Accuracy, flow, strength B) Audience reaction C) Number of jumps D) Speed only</t>
  </si>
  <si>
    <t>A) Accuracy, flow, strength</t>
  </si>
  <si>
    <t>What is the purpose of meditation in Kung Fu?</t>
  </si>
  <si>
    <t>A) Focus and energy control B) Strength building C) Kick technique D) Stamina only</t>
  </si>
  <si>
    <t>A) Focus and energy control</t>
  </si>
  <si>
    <t>How is a roundhouse kick executed?</t>
  </si>
  <si>
    <t>A) Circular leg motion B) Forward thrust C) Side kick D) Back kick</t>
  </si>
  <si>
    <t>A) Circular leg motion</t>
  </si>
  <si>
    <t>Which style emphasizes hand techniques?</t>
  </si>
  <si>
    <t>A) Wing Chun B) Shaolin C) Northern Crane D) Tai Chi</t>
  </si>
  <si>
    <t>How many forms are usually performed in competitions?</t>
  </si>
  <si>
    <t>A) 1–3 B) 5–7 C) 10 D) 8–12</t>
  </si>
  <si>
    <t>A) 1–3</t>
  </si>
  <si>
    <t>What is a “jab” in Kung Fu?</t>
  </si>
  <si>
    <t>A) Quick straight punch B) Roundhouse kick C) Sweep D) Grab</t>
  </si>
  <si>
    <t>A) Quick straight punch</t>
  </si>
  <si>
    <t>How is flexibility trained?</t>
  </si>
  <si>
    <t>A) Stretching B) Punching C) Sparring D) Blocking</t>
  </si>
  <si>
    <t>A) Stretching</t>
  </si>
  <si>
    <t>Which weapon is traditional in Kung Fu?</t>
  </si>
  <si>
    <t>A) Staff B) Sword C) Spear D) All of the above</t>
  </si>
  <si>
    <t>What is the focus of Tai Chi?</t>
  </si>
  <si>
    <t>A) Flow and balance B) Power C) Speed D) Combat only</t>
  </si>
  <si>
    <t>A) Flow and balance</t>
  </si>
  <si>
    <t>How is the horse stance maintained?</t>
  </si>
  <si>
    <t>A) Knees bent, back straight B) Knees locked C) Back curved D) Arms raised</t>
  </si>
  <si>
    <t>A) Knees bent, back straight</t>
  </si>
  <si>
    <t>Which is a common warm-up for Kung Fu?</t>
  </si>
  <si>
    <t>A) Stretching and light kicks B) Running only C) Punching heavy bag D) Sparring</t>
  </si>
  <si>
    <t>A) Stretching and light kicks</t>
  </si>
  <si>
    <t>How is power transmitted in a punch?</t>
  </si>
  <si>
    <t>A) From legs through hips to fist B) Arm only C) Shoulder only D) Back only</t>
  </si>
  <si>
    <t>A) From legs through hips to fist</t>
  </si>
  <si>
    <t>What is the “double palm strike”?</t>
  </si>
  <si>
    <t>A) Two palms pushed forward B) Punch C) Kick D) Sweep</t>
  </si>
  <si>
    <t>A) Two palms pushed forward</t>
  </si>
  <si>
    <t>How is sparring scored?</t>
  </si>
  <si>
    <t>A) Clean strikes B) Audience applause C) Number of flips D) Weapon use</t>
  </si>
  <si>
    <t>A) Clean strikes</t>
  </si>
  <si>
    <t>Which movement builds leg strength?</t>
  </si>
  <si>
    <t>A) Stances B) Punching C) Sparring D) Forms</t>
  </si>
  <si>
    <t>A) Stances</t>
  </si>
  <si>
    <t>What is “Chi Kung” practice?</t>
  </si>
  <si>
    <t>A) Energy cultivation B) High kick C) Punch combo D) Weapon training</t>
  </si>
  <si>
    <t>A) Energy cultivation</t>
  </si>
  <si>
    <t>What is a “flying kick”?</t>
  </si>
  <si>
    <t>A) Jumping forward kick B) Side step C) Punch D) Grapple</t>
  </si>
  <si>
    <t>A) Jumping forward kick</t>
  </si>
  <si>
    <t>How is a round scored in point competition?</t>
  </si>
  <si>
    <t>A) Based on technique execution B) Knockouts only C) Audience reaction D) Flip count</t>
  </si>
  <si>
    <t>A) Based on technique execution</t>
  </si>
  <si>
    <t>Which part of the body is targeted in low kick?</t>
  </si>
  <si>
    <t>A) Legs B) Head C) Torso D) Arms</t>
  </si>
  <si>
    <t>A) Legs</t>
  </si>
  <si>
    <t>What is a “hook punch”?</t>
  </si>
  <si>
    <t>A) Curved arm punch B) Straight punch C) Palm strike D) Elbow strike</t>
  </si>
  <si>
    <t>A) Curved arm punch</t>
  </si>
  <si>
    <t>Which technique is forbidden in competitions?</t>
  </si>
  <si>
    <t>A) Eye strike B) Side kick C) Jab D) Palm strike</t>
  </si>
  <si>
    <t>A) Eye strike</t>
  </si>
  <si>
    <t>How is endurance trained?</t>
  </si>
  <si>
    <t>A) Continuous forms and sparring B) Meditation only C) Stance only D) Weapon practice</t>
  </si>
  <si>
    <t>A) Continuous forms and sparring</t>
  </si>
  <si>
    <t>Which is used for defense against kicks?</t>
  </si>
  <si>
    <t>A) Leg block B) Punch C) Elbow strike D) Palm strike</t>
  </si>
  <si>
    <t>A) Leg block</t>
  </si>
  <si>
    <t>How are weapons stored in school?</t>
  </si>
  <si>
    <t>A) Safe rack B) On floor C) Random D) Handheld</t>
  </si>
  <si>
    <t>A) Safe rack</t>
  </si>
  <si>
    <t>What is the primary goal of forms practice?</t>
  </si>
  <si>
    <t>A) Perfect technique and flow B) Audience show C) Stamina D) Speed only</t>
  </si>
  <si>
    <t>A) Perfect technique and flow</t>
  </si>
  <si>
    <t>How many levels are typical in belt ranking?</t>
  </si>
  <si>
    <t>A) 10 B) 5 C) 8 D) 12</t>
  </si>
  <si>
    <t>C) 8</t>
  </si>
  <si>
    <t>Which kick is used to surprise opponent?</t>
  </si>
  <si>
    <t>A) Side kick B) Front kick C) Roundhouse kick D) Low kick</t>
  </si>
  <si>
    <t>C) Roundhouse kick</t>
  </si>
  <si>
    <t>How is a grappling move executed safely?</t>
  </si>
  <si>
    <t>A) Controlled force B) Full strength C) Random D) Jump kick</t>
  </si>
  <si>
    <t>A) Controlled force</t>
  </si>
  <si>
    <t>Which technique is part of Shaolin style?</t>
  </si>
  <si>
    <t>A) Tiger claw B) Palm block C) Stance only D) Roundhouse kick</t>
  </si>
  <si>
    <t>A) Tiger claw</t>
  </si>
  <si>
    <t>What is the purpose of breathing exercises?</t>
  </si>
  <si>
    <t>A) Focus and power control B) Jump height C) Speed D) Sparring only</t>
  </si>
  <si>
    <t>A) Focus and power control</t>
  </si>
  <si>
    <t>How is balance maintained in high kicks?</t>
  </si>
  <si>
    <t>A) Core engagement B) Hand support C) Opponent touch D) Random</t>
  </si>
  <si>
    <t>A) Core engagement</t>
  </si>
  <si>
    <t>What is a “double kick” in Kung Fu?</t>
  </si>
  <si>
    <t>A) Two consecutive kicks B) Punch C) Elbow D) Palm strike</t>
  </si>
  <si>
    <t>A) Two consecutive kicks</t>
  </si>
  <si>
    <t>Which technique improves reaction time?</t>
  </si>
  <si>
    <t>A) Sparring drills B) Meditation only C) Forms D) Stretching</t>
  </si>
  <si>
    <t>A) Sparring drills</t>
  </si>
  <si>
    <t>How is etiquette maintained in Kung Fu school?</t>
  </si>
  <si>
    <t>A) Bow before and after class B) Shout C) Jump D) Run</t>
  </si>
  <si>
    <t>A) Bow before and after class</t>
  </si>
  <si>
    <t>Which is a high-level weapon in Kung Fu?</t>
  </si>
  <si>
    <t>A) Broadsword B) Stick C) Fan D) Rope dart</t>
  </si>
  <si>
    <t>D) Rope dart</t>
  </si>
  <si>
    <t>How is “Chi flow” enhanced?</t>
  </si>
  <si>
    <t>A) Forms, meditation, breathing B) Sparring only C) Kicks only D) Punching only</t>
  </si>
  <si>
    <t>A) Forms, meditation, breathing</t>
  </si>
  <si>
    <t>What is a “palm strike” used for?</t>
  </si>
  <si>
    <t>A) Control or attack B) Block C) Kick D) Grapple</t>
  </si>
  <si>
    <t>A) Control or attack</t>
  </si>
  <si>
    <t>How is timing trained?</t>
  </si>
  <si>
    <t>A) Drills with partner B) Solo stretching C) Weapon practice D) Meditation only</t>
  </si>
  <si>
    <t>A) Drills with partner</t>
  </si>
  <si>
    <t>Which kick is used in competitions for points?</t>
  </si>
  <si>
    <t>A) Front kick B) Flying kick C) Side kick D) All of the above</t>
  </si>
  <si>
    <t>How is a bow used in training?</t>
  </si>
  <si>
    <t>A) Respect and discipline B) Strike C) Jump D) Kick</t>
  </si>
  <si>
    <t>A) Respect and discipline</t>
  </si>
  <si>
    <t>What is the maximum number of forms per competition?</t>
  </si>
  <si>
    <t>How is a “tiger claw” executed?</t>
  </si>
  <si>
    <t>A) Open hand claw strike B) Punch C) Kick D) Elbow</t>
  </si>
  <si>
    <t>A) Open hand claw strike</t>
  </si>
  <si>
    <t>Which is not a safe practice in Kung Fu?</t>
  </si>
  <si>
    <t>A) Eye gouge B) Stance practice C) Forms D) Controlled sparring</t>
  </si>
  <si>
    <t>A) Eye gouge</t>
  </si>
  <si>
    <t>How is “internal strength” trained?</t>
  </si>
  <si>
    <t>A) Breathing and controlled motion B) Punching C) Kick only D) Weapon use</t>
  </si>
  <si>
    <t>A) Breathing and controlled motion</t>
  </si>
  <si>
    <t>Which is part of Wushu competition?</t>
  </si>
  <si>
    <t>A) Forms and sparring B) Only sparring C) Only forms D) Meditation</t>
  </si>
  <si>
    <t>A) Forms and sparring</t>
  </si>
  <si>
    <t>How is agility improved?</t>
  </si>
  <si>
    <t>A) Footwork drills B) Forms only C) Meditation only D) Jumping only</t>
  </si>
  <si>
    <t>A) Footwork drills</t>
  </si>
  <si>
    <t>Which movement is used to avoid strikes?</t>
  </si>
  <si>
    <t>A) Evasion B) Block C) Grapple D) Palm strike</t>
  </si>
  <si>
    <t>A) Evasion</t>
  </si>
  <si>
    <t>Which hand movement is commonly used in Tai Chi as a form of 'warding off'?</t>
  </si>
  <si>
    <t>A) Grasping the Bird's Tail, B) Cloud Hands, C) Push, D) Parting the Horse's Mane</t>
  </si>
  <si>
    <t>A) Grasping the Bird's Tail</t>
  </si>
  <si>
    <t>Grasping the Bird's Tail' is a fundamental defensive movement in Tai Chi.</t>
  </si>
  <si>
    <t>In Tai Chi, how is the concept of 'qi' best described?</t>
  </si>
  <si>
    <t>A) Physical strength, B) Internal energy, C) Speed, D) Muscle memory</t>
  </si>
  <si>
    <t>B) Internal energy</t>
  </si>
  <si>
    <t>Qi is the life energy that flows through the body, central to Tai Chi practice.</t>
  </si>
  <si>
    <t>How many basic forms are typically practiced in the Yang style of Tai Chi?</t>
  </si>
  <si>
    <t>A) 8, B) 16, C) 24, D) 36</t>
  </si>
  <si>
    <t>C) 24</t>
  </si>
  <si>
    <t>The 24-form is the most common sequence in Yang-style Tai Chi.</t>
  </si>
  <si>
    <t>What is the main focus of Tai Chi's 'push hands' exercise?</t>
  </si>
  <si>
    <t>A) Speed, B) Reflexes, C) Stability and balance, D) Strength</t>
  </si>
  <si>
    <t>C) Stability and balance</t>
  </si>
  <si>
    <t>Push hands help practitioners learn balance and sensitivity to energy.</t>
  </si>
  <si>
    <t>What is the significance of 'rooting' in Tai Chi practice?</t>
  </si>
  <si>
    <t>A) Increasing flexibility, B) Maintaining a stable connection with the ground, C) Building speed, D) Improving breathing</t>
  </si>
  <si>
    <t>B) Maintaining a stable connection with the ground</t>
  </si>
  <si>
    <t>Rooting helps Tai Chi practitioners maintain balance and resist external forces.</t>
  </si>
  <si>
    <t>In Tai Chi, what does the term 'yielding' refer to?</t>
  </si>
  <si>
    <t>A) Avoiding confrontation, B) Going against force, C) Following an opponent's energy, D) Moving faster</t>
  </si>
  <si>
    <t>C) Following an opponent's energy</t>
  </si>
  <si>
    <t>Yielding allows the practitioner to redirect the opponent's force effortlessly.</t>
  </si>
  <si>
    <t>Which of the following is not a style of Tai Chi?</t>
  </si>
  <si>
    <t>A) Yang, B) Shaolin, C) Sun, D) Wu</t>
  </si>
  <si>
    <t>B) Shaolin</t>
  </si>
  <si>
    <t>Shaolin is a martial arts style distinct from Tai Chi, which emphasizes internal energy.</t>
  </si>
  <si>
    <t>What does Tai Chi's concept of 'sinking' involve?</t>
  </si>
  <si>
    <t>A) Lowering the center of gravity, B) Slowing down movements, C) Expanding the chest, D) Increasing foot pressure</t>
  </si>
  <si>
    <t>A) Lowering the center of gravity</t>
  </si>
  <si>
    <t>Sinking helps practitioners stay grounded and balanced during movements.</t>
  </si>
  <si>
    <t>In Tai Chi, what is the purpose of circular movements?</t>
  </si>
  <si>
    <t>A) Enhancing speed, B) Conserving energy, C) Facilitating fluid motion, D) Strengthening muscles</t>
  </si>
  <si>
    <t>C) Facilitating fluid motion</t>
  </si>
  <si>
    <t>Circular movements allow a smooth transfer of energy without interruptions.</t>
  </si>
  <si>
    <t>In which style of Tai Chi are small, close-range movements most emphasized?</t>
  </si>
  <si>
    <t>A) Yang, B) Wu, C) Chen, D) Sun</t>
  </si>
  <si>
    <t>B) Wu</t>
  </si>
  <si>
    <t>Wu style focuses on compact, close-range movements and balance.</t>
  </si>
  <si>
    <t>Which is a characteristic feature of the Sun style of Tai Chi?</t>
  </si>
  <si>
    <t>A) Slow, even movements, B) Short, small steps, C) Wide, sweeping movements, D) Fast, forceful strikes</t>
  </si>
  <si>
    <t>B) Short, small steps</t>
  </si>
  <si>
    <t>Sun style emphasizes agility with smaller steps and higher stances.</t>
  </si>
  <si>
    <t>The Tai Chi principle of 'relaxation' involves releasing which type of tension?</t>
  </si>
  <si>
    <t>A) Muscle, B) Joint, C) Bone, D) Emotional</t>
  </si>
  <si>
    <t>A) Muscle</t>
  </si>
  <si>
    <t>Tai Chi practitioners release muscle tension to allow free-flowing energy.</t>
  </si>
  <si>
    <t>In Tai Chi, what does 'double weighting' mean, and why is it avoided?</t>
  </si>
  <si>
    <t>A) Equal weight on both feet, B) Excessive arm movement, C) High jumps, D) Rapid breathing</t>
  </si>
  <si>
    <t>A) Equal weight on both feet</t>
  </si>
  <si>
    <t>Double weighting can disrupt balance and flow, so practitioners shift weight fluidly.</t>
  </si>
  <si>
    <t>Which breathing technique is most encouraged in Tai Chi?</t>
  </si>
  <si>
    <t>A) Rapid inhalation, B) Belly breathing, C) Chest breathing, D) Fast exhalation</t>
  </si>
  <si>
    <t>B) Belly breathing</t>
  </si>
  <si>
    <t>Belly breathing, or diaphragmatic breathing, supports calmness and energy flow in Tai Chi.</t>
  </si>
  <si>
    <t>Which of these is considered the primary aspect of Tai Chi practice?</t>
  </si>
  <si>
    <t>A) Speed, B) Internal energy cultivation, C) Endurance, D) Power</t>
  </si>
  <si>
    <t>B) Internal energy cultivation</t>
  </si>
  <si>
    <t>Tai Chi focuses on developing inner energy rather than brute strength.</t>
  </si>
  <si>
    <t>In Tai Chi, how is 'yielding' demonstrated in 'Push Hands' practice?</t>
  </si>
  <si>
    <t>A) Withdrawing with strength, B) Moving rigidly, C) Absorbing and redirecting force, D) Blocking force directly</t>
  </si>
  <si>
    <t>C) Absorbing and redirecting force</t>
  </si>
  <si>
    <t>Yielding in Push Hands involves absorbing and guiding the partner's force.</t>
  </si>
  <si>
    <t>Tai Chi is known to harmonize which two forces as part of its practice?</t>
  </si>
  <si>
    <t>A) Fire and Water, B) Sun and Moon, C) Yin and Yang, D) Earth and Sky</t>
  </si>
  <si>
    <t>C) Yin and Yang</t>
  </si>
  <si>
    <t>Yin and Yang represent balance, a fundamental concept in Tai Chi philosophy.</t>
  </si>
  <si>
    <t>In Tai Chi, what is the importance of 'intention' during practice?</t>
  </si>
  <si>
    <t>A) To maintain speed, B) To focus energy and purpose, C) To build strength, D) To improve accuracy</t>
  </si>
  <si>
    <t>B) To focus energy and purpose</t>
  </si>
  <si>
    <t>Intention helps direct qi energy and maintain mental focus in Tai Chi movements.</t>
  </si>
  <si>
    <t>What is the 'empty step' in Tai Chi?</t>
  </si>
  <si>
    <t>A) A full step, B) A jump, C) A light step with minimal weight, D) A quick step</t>
  </si>
  <si>
    <t>C) A light step with minimal weight</t>
  </si>
  <si>
    <t>The empty step is used to shift weight smoothly and maintain balance in Tai Chi.</t>
  </si>
  <si>
    <t>Tai Chi often uses movements that mimic animals. Which of these is NOT typically mimicked?</t>
  </si>
  <si>
    <t>A) Crane, B) Tiger, C) Snake, D) Elephant</t>
  </si>
  <si>
    <t>D) Elephant</t>
  </si>
  <si>
    <t>Tai Chi incorporates animal-like movements, but elephants are not typically used.</t>
  </si>
  <si>
    <t>Which of the following is considered the most fundamental Tai Chi posture?</t>
  </si>
  <si>
    <t>A) Push Hands, B) Horse Stance, C) Parting the Horse's Mane, D) Golden Rooster Stands on One Leg</t>
  </si>
  <si>
    <t>B) Horse Stance</t>
  </si>
  <si>
    <t>The horse stance is a foundational posture in Tai Chi for grounding and balance.</t>
  </si>
  <si>
    <t>In Tai Chi, which body part is emphasized for maintaining alignment and posture?</t>
  </si>
  <si>
    <t>A) Shoulders, B) Knees, C) Spine, D) Elbows</t>
  </si>
  <si>
    <t>C) Spine</t>
  </si>
  <si>
    <t>The spine must remain straight and aligned to ensure energy flows properly during Tai Chi.</t>
  </si>
  <si>
    <t>How does Tai Chi contribute to physical health?</t>
  </si>
  <si>
    <t>A) By increasing cardiovascular fitness, B) By enhancing joint mobility, C) By focusing on muscle hypertrophy, D) By emphasizing explosive power</t>
  </si>
  <si>
    <t>B) By enhancing joint mobility</t>
  </si>
  <si>
    <t>Tai Chi helps increase joint flexibility and mobility through slow, controlled movements.</t>
  </si>
  <si>
    <t>What does the term 'Chi' in Tai Chi primarily refer to?</t>
  </si>
  <si>
    <t>A) Muscle strength, B) Mental focus, C) Internal energy, D) Physical endurance</t>
  </si>
  <si>
    <t>C) Internal energy</t>
  </si>
  <si>
    <t>Chi' is the vital energy or life force that flows throughout the body in Tai Chi practice.</t>
  </si>
  <si>
    <t>What is the primary benefit of the 'cloud hands' movement in Tai Chi?</t>
  </si>
  <si>
    <t>A) Strengthening the core, B) Improving balance, C) Enhancing fluidity of movement, D) Increasing reaction time</t>
  </si>
  <si>
    <t>C) Enhancing fluidity of movement</t>
  </si>
  <si>
    <t>Cloud hands' promotes smooth, circular movement that fosters flexibility and grace.</t>
  </si>
  <si>
    <t>Which of the following best describes the breathing technique used in Tai Chi?</t>
  </si>
  <si>
    <t>A) Rapid, shallow breaths, B) Holding the breath, C) Slow, deep abdominal breathing, D) Breathing through the chest</t>
  </si>
  <si>
    <t>C) Slow, deep abdominal breathing</t>
  </si>
  <si>
    <t>Tai Chi emphasizes diaphragmatic breathing to facilitate relaxation and energy flow.</t>
  </si>
  <si>
    <t>In Tai Chi, what is the significance of 'the center' or 'dantian'?</t>
  </si>
  <si>
    <t>A) It is the point of contact with the earth, B) It is the body's energy storage and balancing point, C) It is the area for muscle contraction, D) It is a focus point for mental concentration</t>
  </si>
  <si>
    <t>B) It is the body's energy storage and balancing point</t>
  </si>
  <si>
    <t>The 'dantian' is where Tai Chi practitioners focus their energy to maintain balance and strength.</t>
  </si>
  <si>
    <t>What is the key principle behind the Tai Chi concept of 'empty hand'?</t>
  </si>
  <si>
    <t>A) Using external force, B) Avoiding physical confrontation, C) Practicing gentle movements, D) Channeling internal energy without aggression</t>
  </si>
  <si>
    <t>D) Channeling internal energy without aggression</t>
  </si>
  <si>
    <t>The 'empty hand' concept in Tai Chi involves flowing movements that redirect and neutralize energy without force.</t>
  </si>
  <si>
    <t>What is the Tai Chi movement 'parting the horse's mane' intended to represent?</t>
  </si>
  <si>
    <t>A) Expanding the chest, B) Gaining strength, C) Enhancing flexibility in the spine, D) Balancing the body</t>
  </si>
  <si>
    <t>C) Enhancing flexibility in the spine</t>
  </si>
  <si>
    <t>Parting the horse's mane' helps stretch and lengthen the spine, improving mobility.</t>
  </si>
  <si>
    <t>What is the typical duration of a Tai Chi session for beginners?</t>
  </si>
  <si>
    <t>A) 10 minutes, B) 20 minutes, C) 30 minutes, D) 60 minutes</t>
  </si>
  <si>
    <t>C) 30 minutes</t>
  </si>
  <si>
    <t>A 30-minute session is ideal for beginners to practice foundational Tai Chi movements.</t>
  </si>
  <si>
    <t>In Tai Chi, what is the purpose of 'deflecting' in the defensive movements?</t>
  </si>
  <si>
    <t>A) To absorb energy, B) To redirect force, C) To block an attack, D) To parry with speed</t>
  </si>
  <si>
    <t>B) To redirect force</t>
  </si>
  <si>
    <t>Deflecting allows the practitioner to redirect an opponent's force without resistance.</t>
  </si>
  <si>
    <t>In Tai Chi, what role does 'push hands' serve in the training process?</t>
  </si>
  <si>
    <t>A) Improves endurance, B) Increases speed, C) Teaches sensitivity to energy, D) Develops muscle power</t>
  </si>
  <si>
    <t>C) Teaches sensitivity to energy</t>
  </si>
  <si>
    <t>Push hands exercises enhance a practitioner's ability to feel and respond to another's energy.</t>
  </si>
  <si>
    <t>What does 'Tai Chi' literally mean in Chinese?</t>
  </si>
  <si>
    <t>A) Supreme Ultimate, B) Eternal Balance, C) Ancient Art, D) Inner Peace</t>
  </si>
  <si>
    <t>A) Supreme Ultimate</t>
  </si>
  <si>
    <t>Tai Chi is derived from the term 'Tai Chi Chuan', meaning 'Supreme Ultimate Fist'.</t>
  </si>
  <si>
    <t>What is the main focus of Tai Chi practice?</t>
  </si>
  <si>
    <t>A) Speed and power, B) Flexibility and agility, C) Relaxation and balance, D) Strength training</t>
  </si>
  <si>
    <t>C) Relaxation and balance</t>
  </si>
  <si>
    <t>Tai Chi focuses on improving relaxation, balance, and mental clarity through slow movements.</t>
  </si>
  <si>
    <t>What is the primary characteristic of Tai Chi movements?</t>
  </si>
  <si>
    <t>A) Rapid and forceful, B) Quick and erratic, C) Slow and deliberate, D) High-impact and intense</t>
  </si>
  <si>
    <t>C) Slow and deliberate</t>
  </si>
  <si>
    <t>Tai Chi movements are known for their slow, deliberate, and fluid motions.</t>
  </si>
  <si>
    <t>Which of the following is a benefit often associated with Tai Chi practice?</t>
  </si>
  <si>
    <t>A) Increased strength, B) Improved cardiovascular health, C) Better posture and balance, D) Enhanced flexibility</t>
  </si>
  <si>
    <t>C) Better posture and balance</t>
  </si>
  <si>
    <t>Tai Chi is particularly beneficial for improving posture, balance, and coordination.</t>
  </si>
  <si>
    <t>Tai Chi is often practiced as a form of which type of exercise?</t>
  </si>
  <si>
    <t>A) Aerobic, B) Strength training, C) Flexibility, D) Low-impact cardiovascular</t>
  </si>
  <si>
    <t>D) Low-impact cardiovascular</t>
  </si>
  <si>
    <t>Tai Chi is considered a low-impact cardiovascular exercise that promotes heart health and endurance.</t>
  </si>
  <si>
    <t>What is the name of the Tai Chi form that involves the most complex sequence of movements?</t>
  </si>
  <si>
    <t>A) Short Form, B) Long Form, C) Sword Form, D) Fan Form</t>
  </si>
  <si>
    <t>B) Long Form</t>
  </si>
  <si>
    <t>The Long Form is a comprehensive sequence of movements in Tai Chi that covers various techniques and principles.</t>
  </si>
  <si>
    <t>Which of the following animals is commonly associated with Tai Chi?</t>
  </si>
  <si>
    <t>A) Tiger, B) Crane, C) Dragon, D) Snake</t>
  </si>
  <si>
    <t>B) Crane</t>
  </si>
  <si>
    <t>The crane symbolizes balance and grace, characteristics often found in Tai Chi movements.</t>
  </si>
  <si>
    <t>Which of the following is a key principle of Tai Chi?</t>
  </si>
  <si>
    <t>A) Yin and Yang, B) Dao and De, C) Five Elements, D) The Golden Rule</t>
  </si>
  <si>
    <t>A) Yin and Yang</t>
  </si>
  <si>
    <t>The concept of Yin and Yang is central to Tai Chi, representing the balance of opposites in life and movement.</t>
  </si>
  <si>
    <t>What is the significance of the 'Qi' in Tai Chi?</t>
  </si>
  <si>
    <t>A) Spirit, B) Energy, C) Breath, D) Focus</t>
  </si>
  <si>
    <t>B) Energy</t>
  </si>
  <si>
    <t>In Tai Chi, 'Qi' refers to the vital life energy that flows through the body, which practitioners aim to cultivate and balance.</t>
  </si>
  <si>
    <t>How does Tai Chi differ from other martial arts?</t>
  </si>
  <si>
    <t>A) It focuses on quick strikes, B) It is practiced slowly for mindfulness, C) It involves heavy use of weapons, D) It emphasizes speed and power</t>
  </si>
  <si>
    <t>B) It is practiced slowly for mindfulness</t>
  </si>
  <si>
    <t>Unlike other martial arts, Tai Chi emphasizes slow, mindful movements that promote mental clarity and physical balance.</t>
  </si>
  <si>
    <t>Which type of breathing is emphasized in Tai Chi practice?</t>
  </si>
  <si>
    <t>A) Shallow breathing, B) Rapid breathing, C) Deep and slow breathing, D) No breathing</t>
  </si>
  <si>
    <t>C) Deep and slow breathing</t>
  </si>
  <si>
    <t>Tai Chi practitioners emphasize deep, slow, and controlled breathing to enhance relaxation and energy flow.</t>
  </si>
  <si>
    <t>What is the primary purpose of Tai Chi practice?</t>
  </si>
  <si>
    <t>A) Self-defense, B) Physical fitness, C) Spiritual enlightenment, D) Combat training</t>
  </si>
  <si>
    <t>B) Physical fitness</t>
  </si>
  <si>
    <t>While Tai Chi can be used for self-defense, its primary purpose for most practitioners is to enhance physical fitness and well-being.</t>
  </si>
  <si>
    <t>Tai Chi movements are often practiced to accompany which type of music?</t>
  </si>
  <si>
    <t>A) Classical Chinese music, B) Fast-paced instrumental, C) Jazz, D) Silence</t>
  </si>
  <si>
    <t>A) Classical Chinese music</t>
  </si>
  <si>
    <t>Tai Chi is often practiced to the calming rhythms of classical Chinese music to enhance relaxation and focus.</t>
  </si>
  <si>
    <t>Which of the following animals is also used to symbolize a Tai Chi principle?</t>
  </si>
  <si>
    <t>A) Horse, B) Monkey, C) Tiger, D) Elephant</t>
  </si>
  <si>
    <t>C) Tiger</t>
  </si>
  <si>
    <t>The tiger is often used in Tai Chi to represent strength, power, and assertiveness, balancing the softer aspects of the practice.</t>
  </si>
  <si>
    <t>What is the term for the slow, deliberate movements in Tai Chi?</t>
  </si>
  <si>
    <t>A) Forms, B) Stances, C) Techniques, D) Poses</t>
  </si>
  <si>
    <t>A) Forms</t>
  </si>
  <si>
    <t>Tai Chi movements are organized into 'forms', which are sequences of movements that practitioners learn and repeat.</t>
  </si>
  <si>
    <t>What is the primary purpose of the 'Push Hands' practice in Tai Chi?</t>
  </si>
  <si>
    <t>A) To develop flexibility, B) To practice balance and sensitivity, C) To learn quick strikes, D) To improve breathing</t>
  </si>
  <si>
    <t>B) To practice balance and sensitivity</t>
  </si>
  <si>
    <t>Push Hands' is a practice in Tai Chi that helps develop sensitivity to the opponent's movements and balance.</t>
  </si>
  <si>
    <t>What does the Tai Chi symbol represent?</t>
  </si>
  <si>
    <t>A) Peace, B) Balance of Yin and Yang, C) Strength and power, D) Harmony of Heaven and Earth</t>
  </si>
  <si>
    <t>B) Balance of Yin and Yang</t>
  </si>
  <si>
    <t>The Tai Chi symbol represents the balance between Yin and Yang, key concepts in Taoism.</t>
  </si>
  <si>
    <t>In Tai Chi, what is the 'Qi' thought to represent?</t>
  </si>
  <si>
    <t>A) Air, B) Energy, C) Strength, D) Spirit</t>
  </si>
  <si>
    <t>Qi' is the life force or energy that flows through the body, central to Tai Chi's practices.</t>
  </si>
  <si>
    <t>Which style of Tai Chi emphasizes softness and yielding in its movements?</t>
  </si>
  <si>
    <t>A) Chen Style, B) Yang Style, C) Wu Style, D) Sun Style</t>
  </si>
  <si>
    <t>C) Wu Style</t>
  </si>
  <si>
    <t>Wu Style focuses on small, tight movements that emphasize softness and yielding, particularly in close combat.</t>
  </si>
  <si>
    <t>Which of the following is a central principle of Tai Chi practice?</t>
  </si>
  <si>
    <t>A) Speed, B) Force, C) Relaxation, D) Strength</t>
  </si>
  <si>
    <t>C) Relaxation</t>
  </si>
  <si>
    <t>Relaxation is key in Tai Chi, as it allows the body to move freely and harmonize with the flow of energy.</t>
  </si>
  <si>
    <t>Which Chinese martial art is Tai Chi most closely related to?</t>
  </si>
  <si>
    <t>A) Kung Fu, B) Jujutsu, C) Karate, D) Wing Chun</t>
  </si>
  <si>
    <t>A) Kung Fu</t>
  </si>
  <si>
    <t>Tai Chi is a form of internal Kung Fu, focusing on internal energy and soft movements.</t>
  </si>
  <si>
    <t>In Tai Chi, what is the concept of 'Rooting'?</t>
  </si>
  <si>
    <t>A) Focusing energy into the hands, B) Focusing energy into the legs, C) Maintaining a stable stance, D) Engaging the core</t>
  </si>
  <si>
    <t>C) Maintaining a stable stance</t>
  </si>
  <si>
    <t>Rooting' refers to maintaining a solid, grounded stance, which is crucial for balance and energy flow.</t>
  </si>
  <si>
    <t>Tai Chi is often practiced with which type of weapon?</t>
  </si>
  <si>
    <t>A) Sword, B) Spear, C) Bo Staff, D) Nunchaku</t>
  </si>
  <si>
    <t>A) Sword</t>
  </si>
  <si>
    <t>Tai Chi practitioners often train with a sword, using slow, deliberate movements to harness energy.</t>
  </si>
  <si>
    <t>In Tai Chi, the principle of 'Peng' refers to what?</t>
  </si>
  <si>
    <t>A) Softness, B) Expanding force, C) Yielding force, D) Focusing power</t>
  </si>
  <si>
    <t>B) Expanding force</t>
  </si>
  <si>
    <t>Peng' refers to an expanding, gentle force used to deflect attacks and maintain balance.</t>
  </si>
  <si>
    <t>What role does 'Chi' play in Tai Chi?</t>
  </si>
  <si>
    <t>A) It represents external force, B) It focuses on improving technique, C) It represents internal energy, D) It enhances strength</t>
  </si>
  <si>
    <t>C) It represents internal energy</t>
  </si>
  <si>
    <t>Chi' (or 'Qi') is the vital life energy that practitioners aim to cultivate and balance in Tai Chi.</t>
  </si>
  <si>
    <t>Which of the following principles is essential for Tai Chi movements?</t>
  </si>
  <si>
    <t>A) Lightness, B) Sharpness, C) Circularity, D) Quickness</t>
  </si>
  <si>
    <t>C) Circularity</t>
  </si>
  <si>
    <t>Circularity is a key principle of Tai Chi, as movements are often performed in circular patterns to promote smooth flow.</t>
  </si>
  <si>
    <t>Which of the following is the shortest Tai Chi form?</t>
  </si>
  <si>
    <t>A) 24-form, B) 48-form, C) 108-form, D) 10-form</t>
  </si>
  <si>
    <t>D) 10-form</t>
  </si>
  <si>
    <t>The 10-form Tai Chi is a simplified version, ideal for beginners to learn the basic principles.</t>
  </si>
  <si>
    <t>Which of the following benefits is most commonly associated with regular Tai Chi practice?</t>
  </si>
  <si>
    <t>A) Weight loss, B) Improved cardiovascular health, C) Increased bone density, D) Enhanced mental focus</t>
  </si>
  <si>
    <t>D) Enhanced mental focus</t>
  </si>
  <si>
    <t>Regular Tai Chi practice is known to improve mental clarity, focus, and overall psychological well-being.</t>
  </si>
  <si>
    <t>What is 'Zhan Zhuang' in Tai Chi?</t>
  </si>
  <si>
    <t>A) A form of Tai Chi, B) A standing meditation posture, C) A breathing technique, D) A Tai Chi weapon</t>
  </si>
  <si>
    <t>B) A standing meditation posture</t>
  </si>
  <si>
    <t>Zhan Zhuang' is a practice of standing meditation that is crucial for developing internal strength and energy flow.</t>
  </si>
  <si>
    <t>In Tai Chi, what is meant by 'empty stance'?</t>
  </si>
  <si>
    <t>A) A position with no weight on one leg, B) A position where the arms are extended, C) A stance used only in sparring, D) A stance with both feet on the ground</t>
  </si>
  <si>
    <t>A) A position with no weight on one leg</t>
  </si>
  <si>
    <t>An 'empty stance' is a position in Tai Chi where most of the body's weight is on one leg, with the other leg lightly touching the ground.</t>
  </si>
  <si>
    <t>What is the main purpose of Tai Chi's slow movements?</t>
  </si>
  <si>
    <t>A) To build muscle strength, B) To promote internal energy flow, C) To demonstrate combat techniques, D) To improve flexibility</t>
  </si>
  <si>
    <t>B) To promote internal energy flow</t>
  </si>
  <si>
    <t>The slow movements of Tai Chi are designed to cultivate and balance internal energy ('Qi').</t>
  </si>
  <si>
    <t>Which style of Tai Chi is known for its graceful and expansive movements?</t>
  </si>
  <si>
    <t>A) Yang Style, B) Wu Style, C) Chen Style, D) Sun Style</t>
  </si>
  <si>
    <t>A) Yang Style</t>
  </si>
  <si>
    <t>Yang Style is known for its graceful, large, and expansive movements, making it the most popular form of Tai Chi.</t>
  </si>
  <si>
    <t>Which of the following best describes the principle of 'Yin-Yang' in Tai Chi?</t>
  </si>
  <si>
    <t>A) The balance of opposites, B) The use of force, C) The concept of energy flow, D) The practice of slow movements</t>
  </si>
  <si>
    <t>A) The balance of opposites</t>
  </si>
  <si>
    <t>Yin-Yang' is a fundamental concept in Tai Chi, representing the balance between opposing forces like light and dark, active and passive, which are harmonized through Tai Chi movements.</t>
  </si>
  <si>
    <t>In Tai Chi practice, the concept of 'rooting' refers to which of the following?</t>
  </si>
  <si>
    <t>A) Establishing a deep connection with the earth, B) Moving quickly, C) Using external strength, D) Mental clarity</t>
  </si>
  <si>
    <t>A) Establishing a deep connection with the earth</t>
  </si>
  <si>
    <t>Rooting in Tai Chi refers to the practitioner's ability to maintain a strong connection to the ground, creating stability and control in movements.</t>
  </si>
  <si>
    <t>What is the role of 'Qi' in Tai Chi practice?</t>
  </si>
  <si>
    <t>A) It is the physical energy used in martial techniques, B) It is the body's internal energy that flows and can be cultivated, C) It is the concept of aggression, D) It is the force exerted during movement</t>
  </si>
  <si>
    <t>B) It is the body's internal energy that flows and can be cultivated</t>
  </si>
  <si>
    <t>Qi' refers to the vital life force or energy in the body, which Tai Chi practitioners aim to cultivate, balance, and direct through movement.</t>
  </si>
  <si>
    <t>Which of the following Tai Chi principles helps practitioners adapt to different situations by being flexible and responsive?</t>
  </si>
  <si>
    <t>A) Sticking, B) Yielding, C) Closing, D) Expanding</t>
  </si>
  <si>
    <t>B) Yielding</t>
  </si>
  <si>
    <t>Yielding in Tai Chi involves being flexible and adaptable to external forces, allowing practitioners to respond with balance and control rather than resistance.</t>
  </si>
  <si>
    <t>Which of the following benefits is often associated with regular practice of Tai Chi?</t>
  </si>
  <si>
    <t>A) Improved cardiovascular fitness, B) Increased muscle mass, C) Enhanced muscle endurance, D) Improved joint flexibility</t>
  </si>
  <si>
    <t>D) Improved joint flexibility</t>
  </si>
  <si>
    <t>Regular Tai Chi practice helps improve joint flexibility through controlled, flowing movements, which enhance overall mobility.</t>
  </si>
  <si>
    <t>What does the 'Tai Chi Circle' represent in the practice of Tai Chi?</t>
  </si>
  <si>
    <t>A) The flow of energy, B) The movement of the practitioner, C) The harmony of the universe, D) The balance of opposites</t>
  </si>
  <si>
    <t>D) The balance of opposites</t>
  </si>
  <si>
    <t>The Tai Chi Circle represents the dynamic balance between opposing forces, which is central to the practice of Tai Chi and the concept of Yin and Yang.</t>
  </si>
  <si>
    <t>In Tai Chi, what is the main goal of 'Push Hands' practice?</t>
  </si>
  <si>
    <t>A) To strengthen the body, B) To develop internal energy, C) To improve responsiveness and sensitivity to an opponent's movements, D) To increase speed</t>
  </si>
  <si>
    <t>C) To improve responsiveness and sensitivity to an opponent's movements</t>
  </si>
  <si>
    <t>Push Hands is a partner exercise in Tai Chi that helps practitioners develop sensitivity to force and direction, enabling responsive movements in martial applications.</t>
  </si>
  <si>
    <t>Which Tai Chi posture is typically used to start a form or sequence?</t>
  </si>
  <si>
    <t>A) Ward Off, B) White Crane Spreads Wings, C) Commencing Form, D) Repulse Monkey</t>
  </si>
  <si>
    <t>C) Commencing Form</t>
  </si>
  <si>
    <t>The Commencing Form is typically the starting posture in Tai Chi, where practitioners set their intention and focus before beginning the flow of movements.</t>
  </si>
  <si>
    <t>In Tai Chi, the principle of 'Wu Wei' refers to which of the following?</t>
  </si>
  <si>
    <t>A) Forceful action, B) Inaction or effortless action, C) Breathing techniques, D) Alignment of posture</t>
  </si>
  <si>
    <t>B) Inaction or effortless action</t>
  </si>
  <si>
    <t>Wu Wei' refers to the principle of non-action or effortless action, where movements in Tai Chi are performed with a natural, flowing quality, without forcing or striving.</t>
  </si>
  <si>
    <t>Which of the following movements involves the idea of 'Dantian' as the center of energy in Tai Chi?</t>
  </si>
  <si>
    <t>A) Brush Knee, B) Grasp the Bird's Tail, C) Parting the Wild Horse's Mane, D) Wave Hands Like Clouds</t>
  </si>
  <si>
    <t>B) Grasp the Bird's Tail</t>
  </si>
  <si>
    <t>Grasp the Bird's Tail involves rotation of the waist and positioning of the 'Dantian,' which is considered the center of energy in the body in Tai Chi practice.</t>
  </si>
  <si>
    <t>Which of the following does Tai Chi emphasize in terms of martial arts application?</t>
  </si>
  <si>
    <t>A) Speed, B) Power, C) Sensitivity, D) Agility</t>
  </si>
  <si>
    <t>C) Sensitivity</t>
  </si>
  <si>
    <t>Tai Chi emphasizes sensitivity in martial arts, allowing practitioners to feel and respond to an opponent's movements and energy rather than relying solely on speed or power.</t>
  </si>
  <si>
    <t>What role does 'sticking' (Chi Sao) play in Tai Chi martial applications?</t>
  </si>
  <si>
    <t>A) To establish dominance, B) To maintain contact with the opponent and sense their movement, C) To create distance, D) To confuse the opponent</t>
  </si>
  <si>
    <t>B) To maintain contact with the opponent and sense their movement</t>
  </si>
  <si>
    <t>Sticking' allows the practitioner to maintain contact with the opponent, sensing their force and direction to respond accordingly.</t>
  </si>
  <si>
    <t>What is the purpose of the 'push hands' (Tui Shou) practice in Tai Chi?</t>
  </si>
  <si>
    <t>A) To practice offensive techniques, B) To practice yielding and redirecting force, C) To build physical endurance, D) To learn breathing techniques</t>
  </si>
  <si>
    <t>B) To practice yielding and redirecting force</t>
  </si>
  <si>
    <t>Push Hands is a partner exercise designed to develop sensitivity to an opponent's movements and teach the ability to yield and redirect force.</t>
  </si>
  <si>
    <t>In Tai Chi, the concept of 'fa jin' refers to which of the following?</t>
  </si>
  <si>
    <t>A) The release of internal energy in a quick, explosive motion, B) A gentle pushing force, C) Slow and controlled movements, D) The use of external force</t>
  </si>
  <si>
    <t>A) The release of internal energy in a quick, explosive motion</t>
  </si>
  <si>
    <t>Fa Jin' is the technique in Tai Chi where internal energy is released explosively through a movement, often used in martial applications.</t>
  </si>
  <si>
    <t>What is the primary goal of Tai Chi as a martial art?</t>
  </si>
  <si>
    <t>A) To develop brute strength, B) To master fast, aggressive techniques, C) To neutralize and redirect an opponent's force, D) To create space between you and your opponent</t>
  </si>
  <si>
    <t>C) To neutralize and redirect an opponent's force</t>
  </si>
  <si>
    <t>Tai Chi's focus as a martial art is to use sensitivity and control to neutralize and redirect the opponent's energy rather than relying on brute force.</t>
  </si>
  <si>
    <t>What is the purpose of practicing 'Push Hands' (Tui Shou) in Tai Chi?</t>
  </si>
  <si>
    <t>A) To learn martial strikes B) To develop sensitivity to an opponent's movements C) To practice quick attacks D) To practice breathing techniques</t>
  </si>
  <si>
    <t>B) To develop sensitivity to an opponent's movements</t>
  </si>
  <si>
    <t>Push Hands' is a practice designed to develop sensitivity and the ability to feel and respond to an opponent's force in a martial context.</t>
  </si>
  <si>
    <t>What does the term 'Fa Jin' refer to in Tai Chi?</t>
  </si>
  <si>
    <t>A) Slow, controlled movements B) Generating explosive energy for self-defense C) Focused breathing D) Speeding up the form</t>
  </si>
  <si>
    <t>B) Generating explosive energy for self-defense</t>
  </si>
  <si>
    <t>Fa Jin' refers to the release of internal energy in a sudden, explosive movement, often used in Tai Chi for self-defense techniques.</t>
  </si>
  <si>
    <t>In Tai Chi, the principle of 'Jin' is important. What does 'Jin' refer to?</t>
  </si>
  <si>
    <t>A) Internal energy B) Expansive force C) External power D) Softness in movement</t>
  </si>
  <si>
    <t>B) Expansive force</t>
  </si>
  <si>
    <t>Jin' refers to the internal, expansive force generated in Tai Chi, which helps with striking and redirecting energy.</t>
  </si>
  <si>
    <t>Which style of Tai Chi is known for its fast movements and martial application?</t>
  </si>
  <si>
    <t>A) Yang Style, B) Chen Style, C) Wu Style, D) Sun Style</t>
  </si>
  <si>
    <t>B) Chen Style</t>
  </si>
  <si>
    <t>Chen Style is known for its combination of slow movements and fast, explosive bursts of power in martial application.</t>
  </si>
  <si>
    <t>In Tai Chi, what is the primary purpose of practicing slow, controlled movements?</t>
  </si>
  <si>
    <t>A) To build muscle, B) To improve flexibility, C) To cultivate inner balance and focus, D) To increase heart rate</t>
  </si>
  <si>
    <t>C) To cultivate inner balance and focus</t>
  </si>
  <si>
    <t>Tai Chi's slow movements are designed to harmonize body and mind.</t>
  </si>
  <si>
    <t>What is the main goal of Tai Chi?</t>
  </si>
  <si>
    <t>A) Meditation and balance B) High-speed attacks C) Strength only D) Competitive scoring</t>
  </si>
  <si>
    <t>A) Meditation and balance</t>
  </si>
  <si>
    <t>Which part of the body generates power in Tai Chi movements?</t>
  </si>
  <si>
    <t>A) Legs and core B) Arms only C) Hands only D) Feet only</t>
  </si>
  <si>
    <t>A) Legs and core</t>
  </si>
  <si>
    <t>How should breathing be performed during Tai Chi?</t>
  </si>
  <si>
    <t>A) Deep and coordinated with movements B) Random C) Hold breath D) Shallow only</t>
  </si>
  <si>
    <t>A) Deep and coordinated with movements</t>
  </si>
  <si>
    <t>What is “Qi” in Tai Chi?</t>
  </si>
  <si>
    <t>A) Vital energy B) Speed C) Force D) Opponent strategy</t>
  </si>
  <si>
    <t>A) Vital energy</t>
  </si>
  <si>
    <t>Which stance is commonly used in Tai Chi?</t>
  </si>
  <si>
    <t>A) Bow stance B) Horse stance C) Crane stance D) Tiger stance</t>
  </si>
  <si>
    <t>A) Bow stance</t>
  </si>
  <si>
    <t>How are forms in Tai Chi typically performed?</t>
  </si>
  <si>
    <t>A) Slowly and smoothly B) Quickly and aggressively C) Randomly D) In groups only</t>
  </si>
  <si>
    <t>A) Slowly and smoothly</t>
  </si>
  <si>
    <t>Which is considered an advanced Tai Chi technique?</t>
  </si>
  <si>
    <t>A) Push hands B) Basic step C) Slow walk D) Arm swing</t>
  </si>
  <si>
    <t>How is a Tai Chi match scored?</t>
  </si>
  <si>
    <t>A) Points for control and form B) Knockouts only C) Speed only D) Audience vote</t>
  </si>
  <si>
    <t>A) Points for control and form</t>
  </si>
  <si>
    <t>Which movement emphasizes stability?</t>
  </si>
  <si>
    <t>A) Rooting B) Jumping C) Kicking D) Punching</t>
  </si>
  <si>
    <t>A) Rooting</t>
  </si>
  <si>
    <t>What is the main focus in Tai Chi practice?</t>
  </si>
  <si>
    <t>A) Balance and internal energy B) Power only C) Speed only D) Sparring</t>
  </si>
  <si>
    <t>A) Balance and internal energy</t>
  </si>
  <si>
    <t>How long should a Tai Chi form typically last?</t>
  </si>
  <si>
    <t>A) 5–10 minutes B) 1 minute C) 2 minutes D) 30 minutes</t>
  </si>
  <si>
    <t>A) 5–10 minutes</t>
  </si>
  <si>
    <t>Which hand technique is fundamental?</t>
  </si>
  <si>
    <t>A) Open hand push B) Punch C) Elbow strike D) Chop</t>
  </si>
  <si>
    <t>A) Open hand push</t>
  </si>
  <si>
    <t>How is a push hands exercise performed?</t>
  </si>
  <si>
    <t>A) Partner practice B) Solo only C) Weapon training D) Jumping only</t>
  </si>
  <si>
    <t>A) Partner practice</t>
  </si>
  <si>
    <t>What is “silk reeling” in Tai Chi?</t>
  </si>
  <si>
    <t>A) Circular arm and body motion B) Quick punch C) Kick D) Jump</t>
  </si>
  <si>
    <t>A) Circular arm and body motion</t>
  </si>
  <si>
    <t>Which is forbidden in Tai Chi competition?</t>
  </si>
  <si>
    <t>A) Striking with full force B) Controlled push C) Soft contact D) Partner practice</t>
  </si>
  <si>
    <t>A) Striking with full force</t>
  </si>
  <si>
    <t>How is energy flow guided in Tai Chi?</t>
  </si>
  <si>
    <t>A) Body alignment B) Hand speed only C) Jump height D) Strength only</t>
  </si>
  <si>
    <t>A) Body alignment</t>
  </si>
  <si>
    <t>Which type of Tai Chi emphasizes speed and power?</t>
  </si>
  <si>
    <t>A) Chen style B) Yang style C) Sun style D) Wu style</t>
  </si>
  <si>
    <t>A) Chen style</t>
  </si>
  <si>
    <t>How are forms typically learned?</t>
  </si>
  <si>
    <t>A) Step-by-step B) Randomly C) Fast sparring D) Only from books</t>
  </si>
  <si>
    <t>A) Step-by-step</t>
  </si>
  <si>
    <t>What is a “ward-off” technique?</t>
  </si>
  <si>
    <t>A) Defensive hand movement B) Punch C) Kick D) Jump</t>
  </si>
  <si>
    <t>A) Defensive hand movement</t>
  </si>
  <si>
    <t>How is Tai Chi beneficial for health?</t>
  </si>
  <si>
    <t>A) Improves balance and circulation B) Increases strength only C) Increases speed only D) Competitive advantage</t>
  </si>
  <si>
    <t>A) Improves balance and circulation</t>
  </si>
  <si>
    <t>Which stance allows smooth transitions?</t>
  </si>
  <si>
    <t>A) Empty stance B) Horse stance C) Bow stance D) Tiger stance</t>
  </si>
  <si>
    <t>A) Empty stance</t>
  </si>
  <si>
    <t>How should movements be executed in Tai Chi?</t>
  </si>
  <si>
    <t>A) Relaxed and continuous B) Tense C) Fast and abrupt D) Forceful only</t>
  </si>
  <si>
    <t>A) Relaxed and continuous</t>
  </si>
  <si>
    <t>What is “cloud hands” movement?</t>
  </si>
  <si>
    <t>A) Circular hand motion B) Jumping kick C) Punch D) Stance only</t>
  </si>
  <si>
    <t>A) Circular hand motion</t>
  </si>
  <si>
    <t>Which is a correct breathing technique?</t>
  </si>
  <si>
    <t>A) Inhale during expansion, exhale during contraction B) Hold breath C) Random D) Quick shallow breaths</t>
  </si>
  <si>
    <t>A) Inhale during expansion, exhale during contraction</t>
  </si>
  <si>
    <t>What is “sink the chi” principle?</t>
  </si>
  <si>
    <t>A) Lower body relaxation B) Fast movement C) Jumping D) Striking</t>
  </si>
  <si>
    <t>A) Lower body relaxation</t>
  </si>
  <si>
    <t>How is concentration maintained?</t>
  </si>
  <si>
    <t>A) Focused mind and controlled movements B) Eyes closed only C) Random D) Shouting</t>
  </si>
  <si>
    <t>A) Focused mind and controlled movements</t>
  </si>
  <si>
    <t>Which technique enhances stability?</t>
  </si>
  <si>
    <t>A) Rooting and low stance B) Jumping C) Punch only D) Fast step</t>
  </si>
  <si>
    <t>A) Rooting and low stance</t>
  </si>
  <si>
    <t>How should Tai Chi practitioners move?</t>
  </si>
  <si>
    <t>A) Smoothly and gracefully B) Quickly C) Abruptly D) Random</t>
  </si>
  <si>
    <t>A) Smoothly and gracefully</t>
  </si>
  <si>
    <t>How is “brushing hand” used in Tai Chi?</t>
  </si>
  <si>
    <t>A) To deflect opponent’s push B) To strike C) To kick D) To jump</t>
  </si>
  <si>
    <t>A) To deflect opponent’s push</t>
  </si>
  <si>
    <t>Which Tai Chi style emphasizes softness?</t>
  </si>
  <si>
    <t>A) Yang B) Chen C) Wu D) Sun</t>
  </si>
  <si>
    <t>A) Yang</t>
  </si>
  <si>
    <t>How is a Tai Chi match judged?</t>
  </si>
  <si>
    <t>A) Precision, flow, and stability B) Speed only C) Strength only D) Audience applause</t>
  </si>
  <si>
    <t>A) Precision, flow, and stability</t>
  </si>
  <si>
    <t>What is the purpose of Tai Chi weapons?</t>
  </si>
  <si>
    <t>A) Enhance forms practice B) Attack opponent only C) Only for show D) Strength training</t>
  </si>
  <si>
    <t>A) Enhance forms practice</t>
  </si>
  <si>
    <t>Which weapon is commonly used?</t>
  </si>
  <si>
    <t>A) Sword B) Spear C) Staff D) All of the above</t>
  </si>
  <si>
    <t>How should legs be positioned?</t>
  </si>
  <si>
    <t>A) Slightly bent for flexibility B) Locked C) Straight and tense D) Crossed</t>
  </si>
  <si>
    <t>A) Slightly bent for flexibility</t>
  </si>
  <si>
    <t>What is “single whip” technique?</t>
  </si>
  <si>
    <t>A) Coordinated hand and arm movement B) Kick C) Punch D) Grapple</t>
  </si>
  <si>
    <t>A) Coordinated hand and arm movement</t>
  </si>
  <si>
    <t>Which stance allows smooth forward motion?</t>
  </si>
  <si>
    <t>A) Forward stance B) Horse stance C) Bow stance D) Empty stance</t>
  </si>
  <si>
    <t>A) Forward stance</t>
  </si>
  <si>
    <t>How is “ward-off” movement executed?</t>
  </si>
  <si>
    <t>A) Controlled push B) Fast punch C) Kick D) Jump</t>
  </si>
  <si>
    <t>A) Controlled push</t>
  </si>
  <si>
    <t>What is “repulse monkey” technique?</t>
  </si>
  <si>
    <t>A) Backward stepping motion B) Punch C) Kick D) Grapple</t>
  </si>
  <si>
    <t>A) Backward stepping motion</t>
  </si>
  <si>
    <t>How is a Tai Chi practitioner’s focus measured?</t>
  </si>
  <si>
    <t>A) Ability to maintain balance B) Speed C) Strength D) Aggression</t>
  </si>
  <si>
    <t>A) Ability to maintain balance</t>
  </si>
  <si>
    <t>How are Tai Chi rounds conducted in competition?</t>
  </si>
  <si>
    <t>A) Set sequence of forms B) Random attacks C) Sparring only D) Jumping</t>
  </si>
  <si>
    <t>A) Set sequence of forms</t>
  </si>
  <si>
    <t>What is “step-by-step” learning?</t>
  </si>
  <si>
    <t>A) Gradual mastery of movements B) Fast sparring C) Random kicks D) Jumping only</t>
  </si>
  <si>
    <t>A) Gradual mastery of movements</t>
  </si>
  <si>
    <t>Which is forbidden in push hands competition?</t>
  </si>
  <si>
    <t>A) Striking with force B) Soft contact C) Controlled push D) Balance testing</t>
  </si>
  <si>
    <t>A) Striking with force</t>
  </si>
  <si>
    <t>How is “peng” technique applied?</t>
  </si>
  <si>
    <t>A) Upward energy to deflect push B) Kick C) Punch D) Stance only</t>
  </si>
  <si>
    <t>A) Upward energy to deflect push</t>
  </si>
  <si>
    <t>Which principle emphasizes relaxation?</t>
  </si>
  <si>
    <t>A) Song B) Power C) Speed D) Jumping</t>
  </si>
  <si>
    <t>A) Song</t>
  </si>
  <si>
    <t>What is the main purpose of Tai Chi shoes?</t>
  </si>
  <si>
    <t>A) Balance and comfort B) Speed C) Protection only D) Strength</t>
  </si>
  <si>
    <t>A) Balance and comfort</t>
  </si>
  <si>
    <t>How is push hands practiced?</t>
  </si>
  <si>
    <t>A) Partner drills B) Solo only C) Weapon training D) Jumping only</t>
  </si>
  <si>
    <t>A) Partner drills</t>
  </si>
  <si>
    <t>How is flexibility developed?</t>
  </si>
  <si>
    <t>A) Stretching and slow forms B) Jumping C) Punching D) Strength only</t>
  </si>
  <si>
    <t>A) Stretching and slow forms</t>
  </si>
  <si>
    <t>How is energy directed during strikes?</t>
  </si>
  <si>
    <t>A) Whole body coordination B) Arm only C) Leg only D) Fast hand</t>
  </si>
  <si>
    <t>A) Whole body coordination</t>
  </si>
  <si>
    <t>What is a “cross-hand” movement?</t>
  </si>
  <si>
    <t>A) Switching arms to deflect B) Kick C) Punch D) Jump</t>
  </si>
  <si>
    <t>A) Switching arms to deflect</t>
  </si>
  <si>
    <t>How is a Tai Chi sequence typically structured?</t>
  </si>
  <si>
    <t>A) Opening, middle, closing B) Random C) Single step D) Fast only</t>
  </si>
  <si>
    <t>A) Opening, middle, closing</t>
  </si>
  <si>
    <t>A) Controlled practice B) Jumping only C) Punch D) Fast kick</t>
  </si>
  <si>
    <t>A) Controlled practice</t>
  </si>
  <si>
    <t>What is “golden rooster stands on one leg”?</t>
  </si>
  <si>
    <t>A) Single-leg balance posture B) Punch C) Kick D) Grapple</t>
  </si>
  <si>
    <t>A) Single-leg balance posture</t>
  </si>
  <si>
    <t>How is coordination developed?</t>
  </si>
  <si>
    <t>A) Slow and continuous movements B) Fast attacks C) Strength only D) Jumping only</t>
  </si>
  <si>
    <t>A) Slow and continuous movements</t>
  </si>
  <si>
    <t>How is internal energy cultivated?</t>
  </si>
  <si>
    <t>A) Breath control B) Punching only C) Kick only D) Weapon use</t>
  </si>
  <si>
    <t>A) Breath control</t>
  </si>
  <si>
    <t>How is “cloud hands” executed?</t>
  </si>
  <si>
    <t>A) Circular hand motion B) Jumping C) Kick D) Punch</t>
  </si>
  <si>
    <t>How should beginners practice?</t>
  </si>
  <si>
    <t>A) Slow, precise movements B) Fast attacks C) Jumping only D) Random</t>
  </si>
  <si>
    <t>A) Slow, precise movements</t>
  </si>
  <si>
    <t>Which movement is used to absorb force?</t>
  </si>
  <si>
    <t>A) Peng and Lu B) Punch C) Kick D) Strike</t>
  </si>
  <si>
    <t>A) Peng and Lu</t>
  </si>
  <si>
    <t>How is Tai Chi etiquette observed?</t>
  </si>
  <si>
    <t>A) Bow before and after practice B) Shout C) Kick D) Jump</t>
  </si>
  <si>
    <t>A) Bow before and after practice</t>
  </si>
  <si>
    <t>What is “push hands” main goal?</t>
  </si>
  <si>
    <t>A) Sensitivity and balance B) Strength only C) Speed only D) Jumping</t>
  </si>
  <si>
    <t>A) Sensitivity and balance</t>
  </si>
  <si>
    <t>How is “iron shirt” principle used in Tai Chi?</t>
  </si>
  <si>
    <t>A) Body conditioning B) Punch only C) Kick only D) Jump only</t>
  </si>
  <si>
    <t>Which style emphasizes softness and flow?</t>
  </si>
  <si>
    <t>How is “rotation” applied in Tai Chi?</t>
  </si>
  <si>
    <t>A) Circular motion for energy transfer B) Punch only C) Kick only D) Jump</t>
  </si>
  <si>
    <t>A) Circular motion for energy transfer</t>
  </si>
  <si>
    <t>What is “golden wind blows elbow”?</t>
  </si>
  <si>
    <t>A) Elbow strike technique B) Punch C) Kick D) Grapple</t>
  </si>
  <si>
    <t>A) Elbow strike technique</t>
  </si>
  <si>
    <t>How is energy stored before movement?</t>
  </si>
  <si>
    <t>A) Rooted stance B) Jump C) Kick D) Punch</t>
  </si>
  <si>
    <t>A) Rooted stance</t>
  </si>
  <si>
    <t>How is “step forward” executed?</t>
  </si>
  <si>
    <t>A) Lead with heel and maintain balance B) Jump C) Punch D) Kick</t>
  </si>
  <si>
    <t>A) Lead with heel and maintain balance</t>
  </si>
  <si>
    <t>What is “open and close” movement principle?</t>
  </si>
  <si>
    <t>A) Alternating expansion and contraction B) Punch C) Kick D) Jump</t>
  </si>
  <si>
    <t>A) Alternating expansion and contraction</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</si>
</sst>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font>
    <font>
      <color rgb="FF000000"/>
      <name val="Arial"/>
    </font>
    <font>
      <color rgb="FF000000"/>
      <name val="宋体"/>
    </font>
    <font>
      <color theme="1"/>
      <name val="Arial"/>
      <scheme val="minor"/>
    </font>
    <font>
      <sz val="11.0"/>
      <color rgb="FF060607"/>
      <name val="Arial"/>
    </font>
  </fonts>
  <fills count="4">
    <fill>
      <patternFill patternType="none"/>
    </fill>
    <fill>
      <patternFill patternType="lightGray"/>
    </fill>
    <fill>
      <patternFill patternType="solid">
        <fgColor rgb="FFFFFFFF"/>
        <bgColor rgb="FFFFFFFF"/>
      </patternFill>
    </fill>
    <fill>
      <patternFill patternType="solid">
        <fgColor rgb="FFFFF2CC"/>
        <bgColor rgb="FFFFF2CC"/>
      </patternFill>
    </fill>
  </fills>
  <borders count="1">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Alignment="1" applyFont="1">
      <alignment horizontal="left" readingOrder="0" shrinkToFit="0" vertical="bottom" wrapText="1"/>
    </xf>
    <xf borderId="0" fillId="0" fontId="2" numFmtId="0" xfId="0" applyAlignment="1" applyFont="1">
      <alignment shrinkToFit="0" vertical="bottom" wrapText="1"/>
    </xf>
    <xf borderId="0" fillId="0" fontId="2" numFmtId="0" xfId="0" applyAlignment="1" applyFont="1">
      <alignment readingOrder="0" shrinkToFit="0" vertical="bottom" wrapText="1"/>
    </xf>
    <xf borderId="0" fillId="0" fontId="2" numFmtId="0" xfId="0" applyAlignment="1" applyFont="1">
      <alignment horizontal="right" readingOrder="0" shrinkToFit="0" vertical="bottom" wrapText="1"/>
    </xf>
    <xf borderId="0" fillId="0" fontId="2" numFmtId="0" xfId="0" applyAlignment="1" applyFont="1">
      <alignment readingOrder="0" shrinkToFit="0" vertical="bottom" wrapText="1"/>
    </xf>
    <xf borderId="0" fillId="2" fontId="2" numFmtId="0" xfId="0" applyAlignment="1" applyFill="1" applyFont="1">
      <alignment shrinkToFit="0" vertical="bottom" wrapText="1"/>
    </xf>
    <xf borderId="0" fillId="2" fontId="2" numFmtId="0" xfId="0" applyAlignment="1" applyFont="1">
      <alignment readingOrder="0" shrinkToFit="0" vertical="bottom" wrapText="1"/>
    </xf>
    <xf borderId="0" fillId="0" fontId="2" numFmtId="0" xfId="0" applyAlignment="1" applyFont="1">
      <alignment shrinkToFit="0" vertical="bottom" wrapText="1"/>
    </xf>
    <xf borderId="0" fillId="2" fontId="2" numFmtId="0" xfId="0" applyAlignment="1" applyFont="1">
      <alignment shrinkToFit="0" vertical="bottom" wrapText="1"/>
    </xf>
    <xf borderId="0" fillId="3" fontId="2" numFmtId="0" xfId="0" applyAlignment="1" applyFill="1" applyFont="1">
      <alignment horizontal="right" readingOrder="0" shrinkToFit="0" vertical="bottom" wrapText="1"/>
    </xf>
    <xf borderId="0" fillId="0" fontId="2" numFmtId="0" xfId="0" applyAlignment="1" applyFont="1">
      <alignment readingOrder="0" shrinkToFit="0" vertical="top" wrapText="1"/>
    </xf>
    <xf borderId="0" fillId="0" fontId="2" numFmtId="0" xfId="0" applyAlignment="1" applyFont="1">
      <alignment shrinkToFit="0" vertical="top" wrapText="1"/>
    </xf>
    <xf borderId="0" fillId="0" fontId="2" numFmtId="0" xfId="0" applyAlignment="1" applyFont="1">
      <alignment readingOrder="0" shrinkToFit="0" vertical="top" wrapText="1"/>
    </xf>
    <xf borderId="0" fillId="0" fontId="2" numFmtId="0" xfId="0" applyAlignment="1" applyFont="1">
      <alignment shrinkToFit="0" vertical="top" wrapText="1"/>
    </xf>
    <xf borderId="0" fillId="0" fontId="3" numFmtId="0" xfId="0" applyAlignment="1" applyFont="1">
      <alignment readingOrder="0" shrinkToFit="0" vertical="bottom" wrapText="1"/>
    </xf>
    <xf borderId="0" fillId="3" fontId="1" numFmtId="0" xfId="0" applyAlignment="1" applyFont="1">
      <alignment horizontal="right" shrinkToFit="0" vertical="top" wrapText="1"/>
    </xf>
    <xf borderId="0" fillId="0" fontId="4" numFmtId="0" xfId="0" applyAlignment="1" applyFont="1">
      <alignment readingOrder="0" shrinkToFit="0" vertical="center" wrapText="0"/>
    </xf>
    <xf borderId="0" fillId="0" fontId="2" numFmtId="0" xfId="0" applyAlignment="1" applyFont="1">
      <alignment shrinkToFit="0" vertical="bottom" wrapText="1"/>
    </xf>
    <xf borderId="0" fillId="3" fontId="1" numFmtId="0" xfId="0" applyAlignment="1" applyFont="1">
      <alignment horizontal="right" shrinkToFit="0" vertical="top" wrapText="1"/>
    </xf>
    <xf borderId="0" fillId="0" fontId="2" numFmtId="0" xfId="0" applyAlignment="1" applyFont="1">
      <alignment shrinkToFit="0" vertical="bottom" wrapText="1"/>
    </xf>
    <xf borderId="0" fillId="0" fontId="1" numFmtId="0" xfId="0" applyAlignment="1" applyFont="1">
      <alignment horizontal="right" shrinkToFit="0" vertical="bottom" wrapText="0"/>
    </xf>
    <xf borderId="0" fillId="0" fontId="1" numFmtId="0" xfId="0" applyAlignment="1" applyFont="1">
      <alignment horizontal="right" shrinkToFit="0" vertical="top" wrapText="1"/>
    </xf>
    <xf borderId="0" fillId="0" fontId="4" numFmtId="0" xfId="0" applyAlignment="1" applyFont="1">
      <alignment shrinkToFit="0" wrapText="1"/>
    </xf>
    <xf borderId="0" fillId="0" fontId="1" numFmtId="0" xfId="0" applyAlignment="1" applyFont="1">
      <alignment horizontal="right" shrinkToFit="0" vertical="top" wrapText="1"/>
    </xf>
    <xf borderId="0" fillId="0" fontId="2" numFmtId="0" xfId="0" applyAlignment="1" applyFont="1">
      <alignment horizontal="right" readingOrder="0" shrinkToFit="0" vertical="bottom" wrapText="1"/>
    </xf>
    <xf borderId="0" fillId="0" fontId="2" numFmtId="0" xfId="0" applyAlignment="1" applyFont="1">
      <alignment horizontal="left" shrinkToFit="0" vertical="top" wrapText="1"/>
    </xf>
    <xf borderId="0" fillId="0" fontId="2" numFmtId="0" xfId="0" applyAlignment="1" applyFont="1">
      <alignment horizontal="left" readingOrder="0" shrinkToFit="0" vertical="top" wrapText="1"/>
    </xf>
    <xf borderId="0" fillId="0" fontId="1" numFmtId="0" xfId="0" applyAlignment="1" applyFont="1">
      <alignment horizontal="left" readingOrder="0" shrinkToFit="0" vertical="top" wrapText="1"/>
    </xf>
    <xf borderId="0" fillId="0" fontId="2" numFmtId="0" xfId="0" applyAlignment="1" applyFont="1">
      <alignment horizontal="right" readingOrder="0" shrinkToFit="0" vertical="top" wrapText="1"/>
    </xf>
    <xf borderId="0" fillId="2" fontId="2" numFmtId="0" xfId="0" applyAlignment="1" applyFont="1">
      <alignment readingOrder="0" shrinkToFit="0" vertical="top" wrapText="1"/>
    </xf>
    <xf borderId="0" fillId="2" fontId="2" numFmtId="0" xfId="0" applyAlignment="1" applyFont="1">
      <alignment shrinkToFit="0" vertical="top" wrapText="1"/>
    </xf>
    <xf borderId="0" fillId="2" fontId="2" numFmtId="0" xfId="0" applyAlignment="1" applyFont="1">
      <alignment horizontal="right" readingOrder="0" shrinkToFit="0" vertical="bottom" wrapText="1"/>
    </xf>
    <xf borderId="0" fillId="2" fontId="2" numFmtId="0" xfId="0" applyAlignment="1" applyFont="1">
      <alignment readingOrder="0" shrinkToFit="0" vertical="top" wrapText="1"/>
    </xf>
    <xf borderId="0" fillId="0" fontId="2" numFmtId="0" xfId="0" applyAlignment="1" applyFont="1">
      <alignment horizontal="right" readingOrder="0" shrinkToFit="0" vertical="top" wrapText="1"/>
    </xf>
    <xf borderId="0" fillId="3" fontId="2" numFmtId="0" xfId="0" applyAlignment="1" applyFont="1">
      <alignment horizontal="right" readingOrder="0" shrinkToFit="0" vertical="top" wrapText="1"/>
    </xf>
    <xf borderId="0" fillId="0" fontId="2" numFmtId="0" xfId="0" applyAlignment="1" applyFont="1">
      <alignment shrinkToFit="0" vertical="top" wrapText="1"/>
    </xf>
    <xf borderId="0" fillId="0" fontId="5" numFmtId="0" xfId="0" applyAlignment="1" applyFont="1">
      <alignment readingOrder="0" shrinkToFit="0" vertical="top"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2">
    <tableStyle count="4" pivot="0" name="cuju-style">
      <tableStyleElement dxfId="1" type="headerRow"/>
      <tableStyleElement dxfId="2" type="firstRowStripe"/>
      <tableStyleElement dxfId="3" type="secondRowStripe"/>
      <tableStyleElement dxfId="4" size="0" type="wholeTable"/>
    </tableStyle>
    <tableStyle count="4" pivot="0" name="cuju-style 2">
      <tableStyleElement dxfId="1" type="headerRow"/>
      <tableStyleElement dxfId="2" type="firstRowStripe"/>
      <tableStyleElement dxfId="3" type="secondRowStripe"/>
      <tableStyleElement dxfId="4" size="0" type="wholeTable"/>
    </tableStyle>
    <tableStyle count="4" pivot="0" name="dragon boat racing-style">
      <tableStyleElement dxfId="1" type="headerRow"/>
      <tableStyleElement dxfId="2" type="firstRowStripe"/>
      <tableStyleElement dxfId="3" type="secondRowStripe"/>
      <tableStyleElement dxfId="4" size="0" type="wholeTable"/>
    </tableStyle>
    <tableStyle count="4" pivot="0" name="dragon boat racing-style 2">
      <tableStyleElement dxfId="1" type="headerRow"/>
      <tableStyleElement dxfId="2" type="firstRowStripe"/>
      <tableStyleElement dxfId="3" type="secondRowStripe"/>
      <tableStyleElement dxfId="4" size="0" type="wholeTable"/>
    </tableStyle>
    <tableStyle count="4" pivot="0" name="go-style">
      <tableStyleElement dxfId="1" type="headerRow"/>
      <tableStyleElement dxfId="2" type="firstRowStripe"/>
      <tableStyleElement dxfId="3" type="secondRowStripe"/>
      <tableStyleElement dxfId="4" size="0" type="wholeTable"/>
    </tableStyle>
    <tableStyle count="4" pivot="0" name="go-style 2">
      <tableStyleElement dxfId="1" type="headerRow"/>
      <tableStyleElement dxfId="2" type="firstRowStripe"/>
      <tableStyleElement dxfId="3" type="secondRowStripe"/>
      <tableStyleElement dxfId="4" size="0" type="wholeTable"/>
    </tableStyle>
    <tableStyle count="4" pivot="0" name="jianzi-style">
      <tableStyleElement dxfId="1" type="headerRow"/>
      <tableStyleElement dxfId="2" type="firstRowStripe"/>
      <tableStyleElement dxfId="3" type="secondRowStripe"/>
      <tableStyleElement dxfId="4" size="0" type="wholeTable"/>
    </tableStyle>
    <tableStyle count="4" pivot="0" name="jianzi-style 2">
      <tableStyleElement dxfId="1" type="headerRow"/>
      <tableStyleElement dxfId="2" type="firstRowStripe"/>
      <tableStyleElement dxfId="3" type="secondRowStripe"/>
      <tableStyleElement dxfId="4" size="0" type="wholeTable"/>
    </tableStyle>
    <tableStyle count="4" pivot="0" name="kung fu-style">
      <tableStyleElement dxfId="1" type="headerRow"/>
      <tableStyleElement dxfId="2" type="firstRowStripe"/>
      <tableStyleElement dxfId="3" type="secondRowStripe"/>
      <tableStyleElement dxfId="4" size="0" type="wholeTable"/>
    </tableStyle>
    <tableStyle count="4" pivot="0" name="kung fu-style 2">
      <tableStyleElement dxfId="1" type="headerRow"/>
      <tableStyleElement dxfId="2" type="firstRowStripe"/>
      <tableStyleElement dxfId="3" type="secondRowStripe"/>
      <tableStyleElement dxfId="4" size="0" type="wholeTable"/>
    </tableStyle>
    <tableStyle count="4" pivot="0" name="tai chi-style">
      <tableStyleElement dxfId="1" type="headerRow"/>
      <tableStyleElement dxfId="2" type="firstRowStripe"/>
      <tableStyleElement dxfId="3" type="secondRowStripe"/>
      <tableStyleElement dxfId="4" size="0" type="wholeTable"/>
    </tableStyle>
    <tableStyle count="4" pivot="0" name="tai chi-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E147" displayName="Table1" name="Table1" id="1">
  <tableColumns count="5">
    <tableColumn name="Question No." id="1"/>
    <tableColumn name="Question" id="2"/>
    <tableColumn name="Options" id="3"/>
    <tableColumn name="Answer" id="4"/>
    <tableColumn name="Description" id="5"/>
  </tableColumns>
  <tableStyleInfo name="cuju-style" showColumnStripes="0" showFirstColumn="1" showLastColumn="1" showRowStripes="1"/>
</table>
</file>

<file path=xl/tables/table2.xml><?xml version="1.0" encoding="utf-8"?>
<table xmlns="http://schemas.openxmlformats.org/spreadsheetml/2006/main" ref="H1:K147" displayName="Table2" name="Table2" id="2">
  <tableColumns count="4">
    <tableColumn name="问题" id="1"/>
    <tableColumn name="选项" id="2"/>
    <tableColumn name="答案" id="3"/>
    <tableColumn name="Description" id="4"/>
  </tableColumns>
  <tableStyleInfo name="cuju-style 2" showColumnStripes="0" showFirstColumn="1" showLastColumn="1" showRowStripes="1"/>
</table>
</file>

<file path=xl/tables/table3.xml><?xml version="1.0" encoding="utf-8"?>
<table xmlns="http://schemas.openxmlformats.org/spreadsheetml/2006/main" ref="A1:E143" displayName="Table4" name="Table4" id="3">
  <tableColumns count="5">
    <tableColumn name="Question No." id="1"/>
    <tableColumn name="Question" id="2"/>
    <tableColumn name="Options" id="3"/>
    <tableColumn name="Answer" id="4"/>
    <tableColumn name="Description" id="5"/>
  </tableColumns>
  <tableStyleInfo name="dragon boat racing-style" showColumnStripes="0" showFirstColumn="1" showLastColumn="1" showRowStripes="1"/>
</table>
</file>

<file path=xl/tables/table4.xml><?xml version="1.0" encoding="utf-8"?>
<table xmlns="http://schemas.openxmlformats.org/spreadsheetml/2006/main" ref="H1:K143" displayName="Table3" name="Table3" id="4">
  <tableColumns count="4">
    <tableColumn name="问题" id="1"/>
    <tableColumn name="选项" id="2"/>
    <tableColumn name="答案" id="3"/>
    <tableColumn name="Description" id="4"/>
  </tableColumns>
  <tableStyleInfo name="dragon boat racing-style 2" showColumnStripes="0" showFirstColumn="1" showLastColumn="1" showRowStripes="1"/>
</table>
</file>

<file path=xl/tables/table5.xml><?xml version="1.0" encoding="utf-8"?>
<table xmlns="http://schemas.openxmlformats.org/spreadsheetml/2006/main" ref="A1:E142" displayName="Table6" name="Table6" id="5">
  <tableColumns count="5">
    <tableColumn name="Question No." id="1"/>
    <tableColumn name="Question" id="2"/>
    <tableColumn name="Options" id="3"/>
    <tableColumn name="Answer" id="4"/>
    <tableColumn name="Description" id="5"/>
  </tableColumns>
  <tableStyleInfo name="go-style" showColumnStripes="0" showFirstColumn="1" showLastColumn="1" showRowStripes="1"/>
</table>
</file>

<file path=xl/tables/table6.xml><?xml version="1.0" encoding="utf-8"?>
<table xmlns="http://schemas.openxmlformats.org/spreadsheetml/2006/main" ref="I1:L142" displayName="Table5" name="Table5" id="6">
  <tableColumns count="4">
    <tableColumn name="问题" id="1"/>
    <tableColumn name="选项" id="2"/>
    <tableColumn name="答案" id="3"/>
    <tableColumn name="Description" id="4"/>
  </tableColumns>
  <tableStyleInfo name="go-style 2" showColumnStripes="0" showFirstColumn="1" showLastColumn="1" showRowStripes="1"/>
</table>
</file>

<file path=xl/tables/table7.xml><?xml version="1.0" encoding="utf-8"?>
<table xmlns="http://schemas.openxmlformats.org/spreadsheetml/2006/main" ref="A1:E137" displayName="Table12" name="Table12" id="7">
  <tableColumns count="5">
    <tableColumn name="Question No." id="1"/>
    <tableColumn name="Question" id="2"/>
    <tableColumn name="Options" id="3"/>
    <tableColumn name="Answer" id="4"/>
    <tableColumn name="Description" id="5"/>
  </tableColumns>
  <tableStyleInfo name="jianzi-style" showColumnStripes="0" showFirstColumn="1" showLastColumn="1" showRowStripes="1"/>
</table>
</file>

<file path=xl/tables/table8.xml><?xml version="1.0" encoding="utf-8"?>
<table xmlns="http://schemas.openxmlformats.org/spreadsheetml/2006/main" ref="H1:K137" displayName="Table7" name="Table7" id="8">
  <tableColumns count="4">
    <tableColumn name="问题" id="1"/>
    <tableColumn name="选项" id="2"/>
    <tableColumn name="答案" id="3"/>
    <tableColumn name="Description" id="4"/>
  </tableColumns>
  <tableStyleInfo name="jianzi-style 2" showColumnStripes="0" showFirstColumn="1" showLastColumn="1" showRowStripes="1"/>
</table>
</file>

<file path=xl/tables/table9.xml><?xml version="1.0" encoding="utf-8"?>
<table xmlns="http://schemas.openxmlformats.org/spreadsheetml/2006/main" ref="A1:E141" displayName="Table9" name="Table9" id="9">
  <tableColumns count="5">
    <tableColumn name="Question No." id="1"/>
    <tableColumn name="Question" id="2"/>
    <tableColumn name="Options" id="3"/>
    <tableColumn name="Answer" id="4"/>
    <tableColumn name="Description" id="5"/>
  </tableColumns>
  <tableStyleInfo name="kung fu-style" showColumnStripes="0" showFirstColumn="1" showLastColumn="1" showRowStripes="1"/>
</table>
</file>

<file path=xl/tables/table10.xml><?xml version="1.0" encoding="utf-8"?>
<table xmlns="http://schemas.openxmlformats.org/spreadsheetml/2006/main" ref="I1:L141" displayName="Table8" name="Table8" id="10">
  <tableColumns count="4">
    <tableColumn name="问题" id="1"/>
    <tableColumn name="选项" id="2"/>
    <tableColumn name="答案" id="3"/>
    <tableColumn name="Description" id="4"/>
  </tableColumns>
  <tableStyleInfo name="kung fu-style 2" showColumnStripes="0" showFirstColumn="1" showLastColumn="1" showRowStripes="1"/>
</table>
</file>

<file path=xl/tables/table11.xml><?xml version="1.0" encoding="utf-8"?>
<table xmlns="http://schemas.openxmlformats.org/spreadsheetml/2006/main" ref="A1:E151" displayName="Table11" name="Table11" id="11">
  <tableColumns count="5">
    <tableColumn name="Question No." id="1"/>
    <tableColumn name="Question" id="2"/>
    <tableColumn name="Options" id="3"/>
    <tableColumn name="Answer" id="4"/>
    <tableColumn name="Description" id="5"/>
  </tableColumns>
  <tableStyleInfo name="tai chi-style" showColumnStripes="0" showFirstColumn="1" showLastColumn="1" showRowStripes="1"/>
</table>
</file>

<file path=xl/tables/table12.xml><?xml version="1.0" encoding="utf-8"?>
<table xmlns="http://schemas.openxmlformats.org/spreadsheetml/2006/main" ref="I1:L151" displayName="Table10" name="Table10" id="12">
  <tableColumns count="4">
    <tableColumn name="问题" id="1"/>
    <tableColumn name="选项" id="2"/>
    <tableColumn name="答案" id="3"/>
    <tableColumn name="Description" id="4"/>
  </tableColumns>
  <tableStyleInfo name="tai chi-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3.xml"/><Relationship Id="rId5"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5.xml"/><Relationship Id="rId5" Type="http://schemas.openxmlformats.org/officeDocument/2006/relationships/table" Target="../tables/table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7.xml"/><Relationship Id="rId5" Type="http://schemas.openxmlformats.org/officeDocument/2006/relationships/table" Target="../tables/table8.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9.xml"/><Relationship Id="rId5" Type="http://schemas.openxmlformats.org/officeDocument/2006/relationships/table" Target="../tables/table10.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11.xml"/><Relationship Id="rId5"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4.5"/>
    <col customWidth="1" min="3" max="3" width="12.75"/>
    <col customWidth="1" min="5" max="5" width="12.75"/>
    <col customWidth="1" min="9" max="9" width="12.75"/>
  </cols>
  <sheetData>
    <row r="1">
      <c r="A1" s="1" t="s">
        <v>0</v>
      </c>
      <c r="B1" s="1" t="s">
        <v>1</v>
      </c>
      <c r="C1" s="1" t="s">
        <v>2</v>
      </c>
      <c r="D1" s="1" t="s">
        <v>3</v>
      </c>
      <c r="E1" s="1" t="s">
        <v>4</v>
      </c>
      <c r="F1" s="2"/>
      <c r="G1" s="2"/>
      <c r="H1" s="1" t="s">
        <v>5</v>
      </c>
      <c r="I1" s="1" t="s">
        <v>6</v>
      </c>
      <c r="J1" s="1" t="s">
        <v>7</v>
      </c>
      <c r="K1" s="1" t="s">
        <v>4</v>
      </c>
      <c r="L1" s="3"/>
      <c r="M1" s="3"/>
      <c r="N1" s="3"/>
      <c r="O1" s="3"/>
      <c r="P1" s="3"/>
      <c r="Q1" s="2"/>
      <c r="R1" s="2"/>
      <c r="S1" s="2"/>
      <c r="T1" s="2"/>
      <c r="U1" s="2"/>
      <c r="V1" s="2"/>
      <c r="W1" s="2"/>
      <c r="X1" s="2"/>
      <c r="Y1" s="2"/>
      <c r="Z1" s="2"/>
      <c r="AA1" s="2"/>
      <c r="AB1" s="2"/>
      <c r="AC1" s="2"/>
    </row>
    <row r="2">
      <c r="A2" s="4">
        <v>1.0</v>
      </c>
      <c r="B2" s="5" t="s">
        <v>8</v>
      </c>
      <c r="C2" s="5" t="s">
        <v>9</v>
      </c>
      <c r="D2" s="5" t="s">
        <v>10</v>
      </c>
      <c r="E2" s="5" t="s">
        <v>11</v>
      </c>
      <c r="F2" s="2"/>
      <c r="G2" s="2"/>
      <c r="H2" s="4" t="str">
        <f>IFERROR(__xludf.DUMMYFUNCTION("GOOGLETRANSLATE(B2, ""en"", ""zh"")"),"蹴鞠的主要目标是什么？")</f>
        <v>蹴鞠的主要目标是什么？</v>
      </c>
      <c r="I2" s="4" t="str">
        <f>IFERROR(__xludf.DUMMYFUNCTION("GOOGLETRANSLATE(C2, ""en"", ""zh"")"),"A) 通过踢球得分，B) 将球传过球门，C) 将球投进篮筐，D) 阻止对手得分")</f>
        <v>A) 通过踢球得分，B) 将球传过球门，C) 将球投进篮筐，D) 阻止对手得分</v>
      </c>
      <c r="J2" s="4" t="str">
        <f>IFERROR(__xludf.DUMMYFUNCTION("GOOGLETRANSLATE(D2, ""en"", ""zh"")"),"A) 通过踢球得分")</f>
        <v>A) 通过踢球得分</v>
      </c>
      <c r="K2" s="4" t="str">
        <f>IFERROR(__xludf.DUMMYFUNCTION("GOOGLETRANSLATE(E2, ""en"", ""zh"")"),"蹴鞠的主要目标是通过将球踢入对方球门得分。")</f>
        <v>蹴鞠的主要目标是通过将球踢入对方球门得分。</v>
      </c>
      <c r="L2" s="6"/>
      <c r="M2" s="7"/>
      <c r="N2" s="7"/>
      <c r="O2" s="3"/>
      <c r="P2" s="8"/>
      <c r="Q2" s="2"/>
      <c r="R2" s="2"/>
      <c r="S2" s="2"/>
      <c r="T2" s="2"/>
      <c r="U2" s="2"/>
      <c r="V2" s="2"/>
      <c r="W2" s="2"/>
      <c r="X2" s="2"/>
      <c r="Y2" s="2"/>
      <c r="Z2" s="2"/>
      <c r="AA2" s="2"/>
      <c r="AB2" s="2"/>
      <c r="AC2" s="2"/>
    </row>
    <row r="3">
      <c r="A3" s="4">
        <v>2.0</v>
      </c>
      <c r="B3" s="5" t="s">
        <v>12</v>
      </c>
      <c r="C3" s="5" t="s">
        <v>13</v>
      </c>
      <c r="D3" s="5" t="s">
        <v>14</v>
      </c>
      <c r="E3" s="5" t="s">
        <v>15</v>
      </c>
      <c r="F3" s="2"/>
      <c r="G3" s="2"/>
      <c r="H3" s="4" t="str">
        <f>IFERROR(__xludf.DUMMYFUNCTION("GOOGLETRANSLATE(B3, ""en"", ""zh"")"),"蹴鞠所用的球是什么形状的？")</f>
        <v>蹴鞠所用的球是什么形状的？</v>
      </c>
      <c r="I3" s="4" t="str">
        <f>IFERROR(__xludf.DUMMYFUNCTION("GOOGLETRANSLATE(C3, ""en"", ""zh"")"),"A) 正方形，B) 圆形，C) 椭圆形，D) 三角形")</f>
        <v>A) 正方形，B) 圆形，C) 椭圆形，D) 三角形</v>
      </c>
      <c r="J3" s="4" t="str">
        <f>IFERROR(__xludf.DUMMYFUNCTION("GOOGLETRANSLATE(D3, ""en"", ""zh"")"),"B）圆形")</f>
        <v>B）圆形</v>
      </c>
      <c r="K3" s="4" t="str">
        <f>IFERROR(__xludf.DUMMYFUNCTION("GOOGLETRANSLATE(E3, ""en"", ""zh"")"),"蹴鞠中使用的球是圆形的，类似于现代足球。")</f>
        <v>蹴鞠中使用的球是圆形的，类似于现代足球。</v>
      </c>
      <c r="L3" s="9"/>
      <c r="M3" s="7"/>
      <c r="N3" s="6"/>
      <c r="O3" s="3"/>
      <c r="P3" s="8"/>
      <c r="Q3" s="2"/>
      <c r="R3" s="2"/>
      <c r="S3" s="2"/>
      <c r="T3" s="2"/>
      <c r="U3" s="2"/>
      <c r="V3" s="2"/>
      <c r="W3" s="2"/>
      <c r="X3" s="2"/>
      <c r="Y3" s="2"/>
      <c r="Z3" s="2"/>
      <c r="AA3" s="2"/>
      <c r="AB3" s="2"/>
      <c r="AC3" s="2"/>
    </row>
    <row r="4">
      <c r="A4" s="4">
        <v>3.0</v>
      </c>
      <c r="B4" s="5" t="s">
        <v>16</v>
      </c>
      <c r="C4" s="5" t="s">
        <v>17</v>
      </c>
      <c r="D4" s="5" t="s">
        <v>18</v>
      </c>
      <c r="E4" s="5" t="s">
        <v>19</v>
      </c>
      <c r="F4" s="2"/>
      <c r="G4" s="2"/>
      <c r="H4" s="4" t="str">
        <f>IFERROR(__xludf.DUMMYFUNCTION("GOOGLETRANSLATE(B4, ""en"", ""zh"")"),"貉队每队通常有多少名球员？")</f>
        <v>貉队每队通常有多少名球员？</v>
      </c>
      <c r="I4" s="4" t="str">
        <f>IFERROR(__xludf.DUMMYFUNCTION("GOOGLETRANSLATE(C4, ""en"", ""zh"")"),"A) 5，B) 6，C) 7，D) 11")</f>
        <v>A) 5，B) 6，C) 7，D) 11</v>
      </c>
      <c r="J4" s="4" t="str">
        <f>IFERROR(__xludf.DUMMYFUNCTION("GOOGLETRANSLATE(D4, ""en"", ""zh"")"),"A) 5")</f>
        <v>A) 5</v>
      </c>
      <c r="K4" s="4" t="str">
        <f>IFERROR(__xludf.DUMMYFUNCTION("GOOGLETRANSLATE(E4, ""en"", ""zh"")"),"蹴鞠队传统上由5名队员组成。")</f>
        <v>蹴鞠队传统上由5名队员组成。</v>
      </c>
      <c r="L4" s="9"/>
      <c r="M4" s="7"/>
      <c r="N4" s="7"/>
      <c r="O4" s="3"/>
      <c r="P4" s="8"/>
      <c r="Q4" s="2"/>
      <c r="R4" s="2"/>
      <c r="S4" s="2"/>
      <c r="T4" s="2"/>
      <c r="U4" s="2"/>
      <c r="V4" s="2"/>
      <c r="W4" s="2"/>
      <c r="X4" s="2"/>
      <c r="Y4" s="2"/>
      <c r="Z4" s="2"/>
      <c r="AA4" s="2"/>
      <c r="AB4" s="2"/>
      <c r="AC4" s="2"/>
    </row>
    <row r="5">
      <c r="A5" s="4">
        <v>4.0</v>
      </c>
      <c r="B5" s="5" t="s">
        <v>20</v>
      </c>
      <c r="C5" s="5" t="s">
        <v>21</v>
      </c>
      <c r="D5" s="5" t="s">
        <v>22</v>
      </c>
      <c r="E5" s="5" t="s">
        <v>23</v>
      </c>
      <c r="F5" s="2"/>
      <c r="G5" s="2"/>
      <c r="H5" s="4" t="str">
        <f>IFERROR(__xludf.DUMMYFUNCTION("GOOGLETRANSLATE(B5, ""en"", ""zh"")"),"蹴鞠进球叫什么名字？")</f>
        <v>蹴鞠进球叫什么名字？</v>
      </c>
      <c r="I5" s="4" t="str">
        <f>IFERROR(__xludf.DUMMYFUNCTION("GOOGLETRANSLATE(C5, ""en"", ""zh"")"),"A) 门，B) 网，C) 笼子，D) 箍")</f>
        <v>A) 门，B) 网，C) 笼子，D) 箍</v>
      </c>
      <c r="J5" s="4" t="str">
        <f>IFERROR(__xludf.DUMMYFUNCTION("GOOGLETRANSLATE(D5, ""en"", ""zh"")"),"C) 笼子")</f>
        <v>C) 笼子</v>
      </c>
      <c r="K5" s="4" t="str">
        <f>IFERROR(__xludf.DUMMYFUNCTION("GOOGLETRANSLATE(E5, ""en"", ""zh"")"),"蹴鞠中的球门被称为笼子，类似于足球中的球门。")</f>
        <v>蹴鞠中的球门被称为笼子，类似于足球中的球门。</v>
      </c>
      <c r="L5" s="9"/>
      <c r="M5" s="7"/>
      <c r="N5" s="7"/>
      <c r="O5" s="3"/>
      <c r="P5" s="2"/>
      <c r="Q5" s="2"/>
      <c r="R5" s="2"/>
      <c r="S5" s="2"/>
      <c r="T5" s="2"/>
      <c r="U5" s="2"/>
      <c r="V5" s="2"/>
      <c r="W5" s="2"/>
      <c r="X5" s="2"/>
      <c r="Y5" s="2"/>
      <c r="Z5" s="2"/>
      <c r="AA5" s="2"/>
      <c r="AB5" s="2"/>
      <c r="AC5" s="2"/>
    </row>
    <row r="6">
      <c r="A6" s="4">
        <v>5.0</v>
      </c>
      <c r="B6" s="5" t="s">
        <v>24</v>
      </c>
      <c r="C6" s="5" t="s">
        <v>25</v>
      </c>
      <c r="D6" s="5" t="s">
        <v>26</v>
      </c>
      <c r="E6" s="5" t="s">
        <v>27</v>
      </c>
      <c r="F6" s="2"/>
      <c r="G6" s="2"/>
      <c r="H6" s="4" t="str">
        <f>IFERROR(__xludf.DUMMYFUNCTION("GOOGLETRANSLATE(B6, ""en"", ""zh"")"),"在蹴鞠运动中，身体哪个部位不能触球？")</f>
        <v>在蹴鞠运动中，身体哪个部位不能触球？</v>
      </c>
      <c r="I6" s="4" t="str">
        <f>IFERROR(__xludf.DUMMYFUNCTION("GOOGLETRANSLATE(C6, ""en"", ""zh"")"),"A) 手，B) 脚，C) 头，D) 胸")</f>
        <v>A) 手，B) 脚，C) 头，D) 胸</v>
      </c>
      <c r="J6" s="4" t="str">
        <f>IFERROR(__xludf.DUMMYFUNCTION("GOOGLETRANSLATE(D6, ""en"", ""zh"")"),"A) 手")</f>
        <v>A) 手</v>
      </c>
      <c r="K6" s="4" t="str">
        <f>IFERROR(__xludf.DUMMYFUNCTION("GOOGLETRANSLATE(E6, ""en"", ""zh"")"),"与足球类似，蹴鞠运动中球员不允许用手控球。")</f>
        <v>与足球类似，蹴鞠运动中球员不允许用手控球。</v>
      </c>
      <c r="L6" s="9"/>
      <c r="M6" s="7"/>
      <c r="N6" s="9"/>
      <c r="O6" s="3"/>
      <c r="P6" s="8"/>
      <c r="Q6" s="2"/>
      <c r="R6" s="2"/>
      <c r="S6" s="2"/>
      <c r="T6" s="2"/>
      <c r="U6" s="2"/>
      <c r="V6" s="2"/>
      <c r="W6" s="2"/>
      <c r="X6" s="2"/>
      <c r="Y6" s="2"/>
      <c r="Z6" s="2"/>
      <c r="AA6" s="2"/>
      <c r="AB6" s="2"/>
      <c r="AC6" s="2"/>
    </row>
    <row r="7">
      <c r="A7" s="4">
        <v>6.0</v>
      </c>
      <c r="B7" s="5" t="s">
        <v>28</v>
      </c>
      <c r="C7" s="5" t="s">
        <v>29</v>
      </c>
      <c r="D7" s="5" t="s">
        <v>30</v>
      </c>
      <c r="E7" s="5" t="s">
        <v>31</v>
      </c>
      <c r="F7" s="2"/>
      <c r="G7" s="2"/>
      <c r="H7" s="4" t="str">
        <f>IFERROR(__xludf.DUMMYFUNCTION("GOOGLETRANSLATE(B7, ""en"", ""zh"")"),"蹴鞠中使用的场大小是多少？")</f>
        <v>蹴鞠中使用的场大小是多少？</v>
      </c>
      <c r="I7" s="4" t="str">
        <f>IFERROR(__xludf.DUMMYFUNCTION("GOOGLETRANSLATE(C7, ""en"", ""zh"")"),"A) 小矩形场地，B) 大圆形场地，C) 大正方形场地，D) 小正方形场地")</f>
        <v>A) 小矩形场地，B) 大圆形场地，C) 大正方形场地，D) 小正方形场地</v>
      </c>
      <c r="J7" s="4" t="str">
        <f>IFERROR(__xludf.DUMMYFUNCTION("GOOGLETRANSLATE(D7, ""en"", ""zh"")"),"A) 小矩形场地")</f>
        <v>A) 小矩形场地</v>
      </c>
      <c r="K7" s="4" t="str">
        <f>IFERROR(__xludf.DUMMYFUNCTION("GOOGLETRANSLATE(E7, ""en"", ""zh"")"),"蹴鞠是在一个小型长方形场地上进行的，场地大小与足球场相似。")</f>
        <v>蹴鞠是在一个小型长方形场地上进行的，场地大小与足球场相似。</v>
      </c>
      <c r="L7" s="9"/>
      <c r="M7" s="7"/>
      <c r="N7" s="6"/>
      <c r="O7" s="3"/>
      <c r="P7" s="8"/>
      <c r="Q7" s="2"/>
      <c r="R7" s="2"/>
      <c r="S7" s="2"/>
      <c r="T7" s="2"/>
      <c r="U7" s="2"/>
      <c r="V7" s="2"/>
      <c r="W7" s="2"/>
      <c r="X7" s="2"/>
      <c r="Y7" s="2"/>
      <c r="Z7" s="2"/>
      <c r="AA7" s="2"/>
      <c r="AB7" s="2"/>
      <c r="AC7" s="2"/>
    </row>
    <row r="8">
      <c r="A8" s="4">
        <v>7.0</v>
      </c>
      <c r="B8" s="5" t="s">
        <v>32</v>
      </c>
      <c r="C8" s="5" t="s">
        <v>33</v>
      </c>
      <c r="D8" s="5" t="s">
        <v>34</v>
      </c>
      <c r="E8" s="5" t="s">
        <v>35</v>
      </c>
      <c r="F8" s="2"/>
      <c r="G8" s="2"/>
      <c r="H8" s="4" t="str">
        <f>IFERROR(__xludf.DUMMYFUNCTION("GOOGLETRANSLATE(B8, ""en"", ""zh"")"),"在蹴鞠中，踢球的动作用什么术语来形容？")</f>
        <v>在蹴鞠中，踢球的动作用什么术语来形容？</v>
      </c>
      <c r="I8" s="4" t="str">
        <f>IFERROR(__xludf.DUMMYFUNCTION("GOOGLETRANSLATE(C8, ""en"", ""zh"")"),"A) 弃踢，B) 传球，C) 踢球，D) 击球")</f>
        <v>A) 弃踢，B) 传球，C) 踢球，D) 击球</v>
      </c>
      <c r="J8" s="4" t="str">
        <f>IFERROR(__xludf.DUMMYFUNCTION("GOOGLETRANSLATE(D8, ""en"", ""zh"")"),"C) 踢")</f>
        <v>C) 踢</v>
      </c>
      <c r="K8" s="4" t="str">
        <f>IFERROR(__xludf.DUMMYFUNCTION("GOOGLETRANSLATE(E8, ""en"", ""zh"")"),"在蹴鞠运动中，踢球是主要动作，用于得分和传球。")</f>
        <v>在蹴鞠运动中，踢球是主要动作，用于得分和传球。</v>
      </c>
      <c r="L8" s="6"/>
      <c r="M8" s="7"/>
      <c r="N8" s="7"/>
      <c r="O8" s="3"/>
      <c r="P8" s="8"/>
      <c r="Q8" s="2"/>
      <c r="R8" s="2"/>
      <c r="S8" s="2"/>
      <c r="T8" s="2"/>
      <c r="U8" s="2"/>
      <c r="V8" s="2"/>
      <c r="W8" s="2"/>
      <c r="X8" s="2"/>
      <c r="Y8" s="2"/>
      <c r="Z8" s="2"/>
      <c r="AA8" s="2"/>
      <c r="AB8" s="2"/>
      <c r="AC8" s="2"/>
    </row>
    <row r="9">
      <c r="A9" s="4">
        <v>8.0</v>
      </c>
      <c r="B9" s="5" t="s">
        <v>36</v>
      </c>
      <c r="C9" s="5" t="s">
        <v>37</v>
      </c>
      <c r="D9" s="5" t="s">
        <v>38</v>
      </c>
      <c r="E9" s="5" t="s">
        <v>39</v>
      </c>
      <c r="F9" s="2"/>
      <c r="G9" s="2"/>
      <c r="H9" s="4" t="str">
        <f>IFERROR(__xludf.DUMMYFUNCTION("GOOGLETRANSLATE(B9, ""en"", ""zh"")"),"一场典型的蹴鞠比赛要持续多久？")</f>
        <v>一场典型的蹴鞠比赛要持续多久？</v>
      </c>
      <c r="I9" s="4" t="str">
        <f>IFERROR(__xludf.DUMMYFUNCTION("GOOGLETRANSLATE(C9, ""en"", ""zh"")"),"A) 30分钟，B) 60分钟，C) 90分钟，D) 120分钟")</f>
        <v>A) 30分钟，B) 60分钟，C) 90分钟，D) 120分钟</v>
      </c>
      <c r="J9" s="4" t="str">
        <f>IFERROR(__xludf.DUMMYFUNCTION("GOOGLETRANSLATE(D9, ""en"", ""zh"")"),"B) 60分钟")</f>
        <v>B) 60分钟</v>
      </c>
      <c r="K9" s="4" t="str">
        <f>IFERROR(__xludf.DUMMYFUNCTION("GOOGLETRANSLATE(E9, ""en"", ""zh"")"),"一场典型的蹴鞠比赛大约持续60分钟，分为上下半场。")</f>
        <v>一场典型的蹴鞠比赛大约持续60分钟，分为上下半场。</v>
      </c>
      <c r="L9" s="9"/>
      <c r="M9" s="7"/>
      <c r="N9" s="6"/>
      <c r="O9" s="3"/>
      <c r="P9" s="3"/>
      <c r="Q9" s="2"/>
      <c r="R9" s="2"/>
      <c r="S9" s="2"/>
      <c r="T9" s="2"/>
      <c r="U9" s="2"/>
      <c r="V9" s="2"/>
      <c r="W9" s="2"/>
      <c r="X9" s="2"/>
      <c r="Y9" s="2"/>
      <c r="Z9" s="2"/>
      <c r="AA9" s="2"/>
      <c r="AB9" s="2"/>
      <c r="AC9" s="2"/>
    </row>
    <row r="10">
      <c r="A10" s="4">
        <v>9.0</v>
      </c>
      <c r="B10" s="5" t="s">
        <v>40</v>
      </c>
      <c r="C10" s="5" t="s">
        <v>41</v>
      </c>
      <c r="D10" s="5" t="s">
        <v>42</v>
      </c>
      <c r="E10" s="5" t="s">
        <v>43</v>
      </c>
      <c r="F10" s="2"/>
      <c r="G10" s="2"/>
      <c r="H10" s="4" t="str">
        <f>IFERROR(__xludf.DUMMYFUNCTION("GOOGLETRANSLATE(B10, ""en"", ""zh"")"),"在貉队进球后会发生什么？")</f>
        <v>在貉队进球后会发生什么？</v>
      </c>
      <c r="I10" s="4" t="str">
        <f>IFERROR(__xludf.DUMMYFUNCTION("GOOGLETRANSLATE(C10, ""en"", ""zh"")"),"A) 比赛结束，B) 得分方得一分，C) 对方得一分，D) 球被替换")</f>
        <v>A) 比赛结束，B) 得分方得一分，C) 对方得一分，D) 球被替换</v>
      </c>
      <c r="J10" s="4" t="str">
        <f>IFERROR(__xludf.DUMMYFUNCTION("GOOGLETRANSLATE(D10, ""en"", ""zh"")"),"B) 得分方得一分")</f>
        <v>B) 得分方得一分</v>
      </c>
      <c r="K10" s="4" t="str">
        <f>IFERROR(__xludf.DUMMYFUNCTION("GOOGLETRANSLATE(E10, ""en"", ""zh"")"),"当进球时，进球方得一分，比赛继续进行。")</f>
        <v>当进球时，进球方得一分，比赛继续进行。</v>
      </c>
      <c r="L10" s="9"/>
      <c r="M10" s="7"/>
      <c r="N10" s="9"/>
      <c r="O10" s="3"/>
      <c r="P10" s="8"/>
      <c r="Q10" s="2"/>
      <c r="R10" s="2"/>
      <c r="S10" s="2"/>
      <c r="T10" s="2"/>
      <c r="U10" s="2"/>
      <c r="V10" s="2"/>
      <c r="W10" s="2"/>
      <c r="X10" s="2"/>
      <c r="Y10" s="2"/>
      <c r="Z10" s="2"/>
      <c r="AA10" s="2"/>
      <c r="AB10" s="2"/>
      <c r="AC10" s="2"/>
    </row>
    <row r="11">
      <c r="A11" s="4">
        <v>10.0</v>
      </c>
      <c r="B11" s="5" t="s">
        <v>44</v>
      </c>
      <c r="C11" s="5" t="s">
        <v>45</v>
      </c>
      <c r="D11" s="5" t="s">
        <v>46</v>
      </c>
      <c r="E11" s="5" t="s">
        <v>47</v>
      </c>
      <c r="F11" s="2"/>
      <c r="G11" s="2"/>
      <c r="H11" s="4" t="str">
        <f>IFERROR(__xludf.DUMMYFUNCTION("GOOGLETRANSLATE(B11, ""en"", ""zh"")"),"以下哪个是貉进球的早期版本？")</f>
        <v>以下哪个是貉进球的早期版本？</v>
      </c>
      <c r="I11" s="4" t="str">
        <f>IFERROR(__xludf.DUMMYFUNCTION("GOOGLETRANSLATE(C11, ""en"", ""zh"")"),"A) 一棵树，B) 一个木环，C) 一根石柱，D) 一个金属笼子")</f>
        <v>A) 一棵树，B) 一个木环，C) 一根石柱，D) 一个金属笼子</v>
      </c>
      <c r="J11" s="4" t="str">
        <f>IFERROR(__xludf.DUMMYFUNCTION("GOOGLETRANSLATE(D11, ""en"", ""zh"")"),"B) 一个木制圆环")</f>
        <v>B) 一个木制圆环</v>
      </c>
      <c r="K11" s="4" t="str">
        <f>IFERROR(__xludf.DUMMYFUNCTION("GOOGLETRANSLATE(E11, ""en"", ""zh"")"),"在古代蹴鞠运动中，经常使用木制圆环作为球门。")</f>
        <v>在古代蹴鞠运动中，经常使用木制圆环作为球门。</v>
      </c>
      <c r="L11" s="6"/>
      <c r="M11" s="7"/>
      <c r="N11" s="7"/>
      <c r="O11" s="3"/>
      <c r="P11" s="2"/>
      <c r="Q11" s="2"/>
      <c r="R11" s="2"/>
      <c r="S11" s="2"/>
      <c r="T11" s="2"/>
      <c r="U11" s="2"/>
      <c r="V11" s="2"/>
      <c r="W11" s="2"/>
      <c r="X11" s="2"/>
      <c r="Y11" s="2"/>
      <c r="Z11" s="2"/>
      <c r="AA11" s="2"/>
      <c r="AB11" s="2"/>
      <c r="AC11" s="2"/>
    </row>
    <row r="12">
      <c r="A12" s="4">
        <v>11.0</v>
      </c>
      <c r="B12" s="5" t="s">
        <v>48</v>
      </c>
      <c r="C12" s="5" t="s">
        <v>49</v>
      </c>
      <c r="D12" s="5" t="s">
        <v>50</v>
      </c>
      <c r="E12" s="5" t="s">
        <v>51</v>
      </c>
      <c r="F12" s="2"/>
      <c r="G12" s="2"/>
      <c r="H12" s="4" t="str">
        <f>IFERROR(__xludf.DUMMYFUNCTION("GOOGLETRANSLATE(B12, ""en"", ""zh"")"),"蹴鞠中的“Cu”是什么意思？")</f>
        <v>蹴鞠中的“Cu”是什么意思？</v>
      </c>
      <c r="I12" s="4" t="str">
        <f>IFERROR(__xludf.DUMMYFUNCTION("GOOGLETRANSLATE(C12, ""en"", ""zh"")"),"A) 球，B) 踢，C) 进球，D) 比赛")</f>
        <v>A) 球，B) 踢，C) 进球，D) 比赛</v>
      </c>
      <c r="J12" s="4" t="str">
        <f>IFERROR(__xludf.DUMMYFUNCTION("GOOGLETRANSLATE(D12, ""en"", ""zh"")"),"B) 踢")</f>
        <v>B) 踢</v>
      </c>
      <c r="K12" s="4" t="str">
        <f>IFERROR(__xludf.DUMMYFUNCTION("GOOGLETRANSLATE(E12, ""en"", ""zh"")"),"蹴鞠中的“蹴”指的是踢的动作，突显了脚下技术在比赛中的重要性。")</f>
        <v>蹴鞠中的“蹴”指的是踢的动作，突显了脚下技术在比赛中的重要性。</v>
      </c>
      <c r="L12" s="9"/>
      <c r="M12" s="7"/>
      <c r="N12" s="9"/>
      <c r="O12" s="3"/>
      <c r="P12" s="8"/>
      <c r="Q12" s="2"/>
      <c r="R12" s="2"/>
      <c r="S12" s="2"/>
      <c r="T12" s="2"/>
      <c r="U12" s="2"/>
      <c r="V12" s="2"/>
      <c r="W12" s="2"/>
      <c r="X12" s="2"/>
      <c r="Y12" s="2"/>
      <c r="Z12" s="2"/>
      <c r="AA12" s="2"/>
      <c r="AB12" s="2"/>
      <c r="AC12" s="2"/>
    </row>
    <row r="13">
      <c r="A13" s="4">
        <v>12.0</v>
      </c>
      <c r="B13" s="5" t="s">
        <v>52</v>
      </c>
      <c r="C13" s="5" t="s">
        <v>53</v>
      </c>
      <c r="D13" s="5" t="s">
        <v>54</v>
      </c>
      <c r="E13" s="5" t="s">
        <v>55</v>
      </c>
      <c r="F13" s="2"/>
      <c r="G13" s="2"/>
      <c r="H13" s="4" t="str">
        <f>IFERROR(__xludf.DUMMYFUNCTION("GOOGLETRANSLATE(B13, ""en"", ""zh"")"),"蹴鞠舞中通常穿什么类型的鞋子？")</f>
        <v>蹴鞠舞中通常穿什么类型的鞋子？</v>
      </c>
      <c r="I13" s="4" t="str">
        <f>IFERROR(__xludf.DUMMYFUNCTION("GOOGLETRANSLATE(C13, ""en"", ""zh"")"),"A) 凉鞋，B) 赤脚，C) 钉鞋，D) 靴子")</f>
        <v>A) 凉鞋，B) 赤脚，C) 钉鞋，D) 靴子</v>
      </c>
      <c r="J13" s="4" t="str">
        <f>IFERROR(__xludf.DUMMYFUNCTION("GOOGLETRANSLATE(D13, ""en"", ""zh"")"),"B）赤脚")</f>
        <v>B）赤脚</v>
      </c>
      <c r="K13" s="4" t="str">
        <f>IFERROR(__xludf.DUMMYFUNCTION("GOOGLETRANSLATE(E13, ""en"", ""zh"")"),"蹴鞠传统上是赤脚演奏的，但现代版本可能会使用轻便的鞋子。")</f>
        <v>蹴鞠传统上是赤脚演奏的，但现代版本可能会使用轻便的鞋子。</v>
      </c>
      <c r="L13" s="6"/>
      <c r="M13" s="7"/>
      <c r="N13" s="6"/>
      <c r="O13" s="3"/>
      <c r="P13" s="8"/>
      <c r="Q13" s="2"/>
      <c r="R13" s="2"/>
      <c r="S13" s="2"/>
      <c r="T13" s="2"/>
      <c r="U13" s="2"/>
      <c r="V13" s="2"/>
      <c r="W13" s="2"/>
      <c r="X13" s="2"/>
      <c r="Y13" s="2"/>
      <c r="Z13" s="2"/>
      <c r="AA13" s="2"/>
      <c r="AB13" s="2"/>
      <c r="AC13" s="2"/>
    </row>
    <row r="14">
      <c r="A14" s="4">
        <v>13.0</v>
      </c>
      <c r="B14" s="5" t="s">
        <v>56</v>
      </c>
      <c r="C14" s="5" t="s">
        <v>57</v>
      </c>
      <c r="D14" s="5" t="s">
        <v>58</v>
      </c>
      <c r="E14" s="5" t="s">
        <v>59</v>
      </c>
      <c r="F14" s="2"/>
      <c r="G14" s="2"/>
      <c r="H14" s="4" t="str">
        <f>IFERROR(__xludf.DUMMYFUNCTION("GOOGLETRANSLATE(B14, ""en"", ""zh"")"),"蹴鞠最需要的技能是什么？")</f>
        <v>蹴鞠最需要的技能是什么？</v>
      </c>
      <c r="I14" s="4" t="str">
        <f>IFERROR(__xludf.DUMMYFUNCTION("GOOGLETRANSLATE(C14, ""en"", ""zh"")"),"A) 力量，B) 敏捷性，C) 速度，D) 平衡")</f>
        <v>A) 力量，B) 敏捷性，C) 速度，D) 平衡</v>
      </c>
      <c r="J14" s="4" t="str">
        <f>IFERROR(__xludf.DUMMYFUNCTION("GOOGLETRANSLATE(D14, ""en"", ""zh"")"),"B) 敏捷性")</f>
        <v>B) 敏捷性</v>
      </c>
      <c r="K14" s="4" t="str">
        <f>IFERROR(__xludf.DUMMYFUNCTION("GOOGLETRANSLATE(E14, ""en"", ""zh"")"),"敏捷性是蹴鞠运动的关键，因为球员需要快速移动并精准地控球。")</f>
        <v>敏捷性是蹴鞠运动的关键，因为球员需要快速移动并精准地控球。</v>
      </c>
      <c r="L14" s="2"/>
      <c r="M14" s="3"/>
      <c r="N14" s="3"/>
      <c r="O14" s="3"/>
      <c r="P14" s="8"/>
      <c r="Q14" s="2"/>
      <c r="R14" s="2"/>
      <c r="S14" s="2"/>
      <c r="T14" s="2"/>
      <c r="U14" s="2"/>
      <c r="V14" s="2"/>
      <c r="W14" s="2"/>
      <c r="X14" s="2"/>
      <c r="Y14" s="2"/>
      <c r="Z14" s="2"/>
      <c r="AA14" s="2"/>
      <c r="AB14" s="2"/>
      <c r="AC14" s="2"/>
    </row>
    <row r="15">
      <c r="A15" s="4">
        <v>14.0</v>
      </c>
      <c r="B15" s="5" t="s">
        <v>60</v>
      </c>
      <c r="C15" s="5" t="s">
        <v>61</v>
      </c>
      <c r="D15" s="5" t="s">
        <v>62</v>
      </c>
      <c r="E15" s="5" t="s">
        <v>63</v>
      </c>
      <c r="F15" s="2"/>
      <c r="G15" s="2"/>
      <c r="H15" s="4" t="str">
        <f>IFERROR(__xludf.DUMMYFUNCTION("GOOGLETRANSLATE(B15, ""en"", ""zh"")"),"蹴鞠与现代足球有哪些相似之处？")</f>
        <v>蹴鞠与现代足球有哪些相似之处？</v>
      </c>
      <c r="I15" s="4" t="str">
        <f>IFERROR(__xludf.DUMMYFUNCTION("GOOGLETRANSLATE(C15, ""en"", ""zh"")"),"A) 它包含跑动和运球；B) 它使用圆形球；C) 它有球门和球队；D) 以上所有选项")</f>
        <v>A) 它包含跑动和运球；B) 它使用圆形球；C) 它有球门和球队；D) 以上所有选项</v>
      </c>
      <c r="J15" s="4" t="str">
        <f>IFERROR(__xludf.DUMMYFUNCTION("GOOGLETRANSLATE(D15, ""en"", ""zh"")"),"D) 以上所有选项")</f>
        <v>D) 以上所有选项</v>
      </c>
      <c r="K15" s="4" t="str">
        <f>IFERROR(__xludf.DUMMYFUNCTION("GOOGLETRANSLATE(E15, ""en"", ""zh"")"),"蹴鞠与现代足球有很多相似之处，包括使用圆形的球、球门和球队。")</f>
        <v>蹴鞠与现代足球有很多相似之处，包括使用圆形的球、球门和球队。</v>
      </c>
      <c r="L15" s="3"/>
      <c r="M15" s="3"/>
      <c r="N15" s="8"/>
      <c r="O15" s="3"/>
      <c r="P15" s="8"/>
      <c r="Q15" s="2"/>
      <c r="R15" s="2"/>
      <c r="S15" s="2"/>
      <c r="T15" s="2"/>
      <c r="U15" s="2"/>
      <c r="V15" s="2"/>
      <c r="W15" s="2"/>
      <c r="X15" s="2"/>
      <c r="Y15" s="2"/>
      <c r="Z15" s="2"/>
      <c r="AA15" s="2"/>
      <c r="AB15" s="2"/>
      <c r="AC15" s="2"/>
    </row>
    <row r="16">
      <c r="A16" s="4">
        <v>15.0</v>
      </c>
      <c r="B16" s="5" t="s">
        <v>64</v>
      </c>
      <c r="C16" s="5" t="s">
        <v>65</v>
      </c>
      <c r="D16" s="5" t="s">
        <v>66</v>
      </c>
      <c r="E16" s="5" t="s">
        <v>67</v>
      </c>
      <c r="F16" s="2"/>
      <c r="G16" s="2"/>
      <c r="H16" s="4" t="str">
        <f>IFERROR(__xludf.DUMMYFUNCTION("GOOGLETRANSLATE(B16, ""en"", ""zh"")"),"蹴鞠比赛中最多可以有多少名球员轮换？")</f>
        <v>蹴鞠比赛中最多可以有多少名球员轮换？</v>
      </c>
      <c r="I16" s="4" t="str">
        <f>IFERROR(__xludf.DUMMYFUNCTION("GOOGLETRANSLATE(C16, ""en"", ""zh"")"),"A) 1，B) 2，C) 3，D) 不允许替换")</f>
        <v>A) 1，B) 2，C) 3，D) 不允许替换</v>
      </c>
      <c r="J16" s="4" t="str">
        <f>IFERROR(__xludf.DUMMYFUNCTION("GOOGLETRANSLATE(D16, ""en"", ""zh"")"),"D) 不允许替换")</f>
        <v>D) 不允许替换</v>
      </c>
      <c r="K16" s="4" t="str">
        <f>IFERROR(__xludf.DUMMYFUNCTION("GOOGLETRANSLATE(E16, ""en"", ""zh"")"),"在传统的蹴鞠比赛中，比赛中不允许换人。")</f>
        <v>在传统的蹴鞠比赛中，比赛中不允许换人。</v>
      </c>
      <c r="L16" s="3"/>
      <c r="M16" s="3"/>
      <c r="N16" s="3"/>
      <c r="O16" s="3"/>
      <c r="P16" s="2"/>
      <c r="Q16" s="2"/>
      <c r="R16" s="2"/>
      <c r="S16" s="2"/>
      <c r="T16" s="2"/>
      <c r="U16" s="2"/>
      <c r="V16" s="2"/>
      <c r="W16" s="2"/>
      <c r="X16" s="2"/>
      <c r="Y16" s="2"/>
      <c r="Z16" s="2"/>
      <c r="AA16" s="2"/>
      <c r="AB16" s="2"/>
      <c r="AC16" s="2"/>
    </row>
    <row r="17">
      <c r="A17" s="4">
        <v>16.0</v>
      </c>
      <c r="B17" s="5" t="s">
        <v>68</v>
      </c>
      <c r="C17" s="5" t="s">
        <v>69</v>
      </c>
      <c r="D17" s="5" t="s">
        <v>70</v>
      </c>
      <c r="E17" s="5" t="s">
        <v>71</v>
      </c>
      <c r="F17" s="2"/>
      <c r="G17" s="2"/>
      <c r="H17" s="4" t="str">
        <f>IFERROR(__xludf.DUMMYFUNCTION("GOOGLETRANSLATE(B17, ""en"", ""zh"")"),"蹴鞠通常如何计分？")</f>
        <v>蹴鞠通常如何计分？</v>
      </c>
      <c r="I17" s="4" t="str">
        <f>IFERROR(__xludf.DUMMYFUNCTION("GOOGLETRANSLATE(C17, ""en"", ""zh"")"),"A) 击中目标，B) 将球送入对方球门，C) 通过传球得分，D) 截获球")</f>
        <v>A) 击中目标，B) 将球送入对方球门，C) 通过传球得分，D) 截获球</v>
      </c>
      <c r="J17" s="4" t="str">
        <f>IFERROR(__xludf.DUMMYFUNCTION("GOOGLETRANSLATE(D17, ""en"", ""zh"")"),"B) 通过将球送入对方球门")</f>
        <v>B) 通过将球送入对方球门</v>
      </c>
      <c r="K17" s="4" t="str">
        <f>IFERROR(__xludf.DUMMYFUNCTION("GOOGLETRANSLATE(E17, ""en"", ""zh"")"),"在蹴鞠中，将球踢入对方球门即可得分。")</f>
        <v>在蹴鞠中，将球踢入对方球门即可得分。</v>
      </c>
      <c r="L17" s="8"/>
      <c r="M17" s="3"/>
      <c r="N17" s="3"/>
      <c r="O17" s="3"/>
      <c r="P17" s="8"/>
      <c r="Q17" s="2"/>
      <c r="R17" s="2"/>
      <c r="S17" s="2"/>
      <c r="T17" s="2"/>
      <c r="U17" s="2"/>
      <c r="V17" s="2"/>
      <c r="W17" s="2"/>
      <c r="X17" s="2"/>
      <c r="Y17" s="2"/>
      <c r="Z17" s="2"/>
      <c r="AA17" s="2"/>
      <c r="AB17" s="2"/>
      <c r="AC17" s="2"/>
    </row>
    <row r="18">
      <c r="A18" s="4">
        <v>17.0</v>
      </c>
      <c r="B18" s="5" t="s">
        <v>72</v>
      </c>
      <c r="C18" s="5" t="s">
        <v>73</v>
      </c>
      <c r="D18" s="5" t="s">
        <v>74</v>
      </c>
      <c r="E18" s="5" t="s">
        <v>75</v>
      </c>
      <c r="F18" s="2"/>
      <c r="G18" s="2"/>
      <c r="H18" s="4" t="str">
        <f>IFERROR(__xludf.DUMMYFUNCTION("GOOGLETRANSLATE(B18, ""en"", ""zh"")"),"蹴鞠中的“蹴”指的是什么？")</f>
        <v>蹴鞠中的“蹴”指的是什么？</v>
      </c>
      <c r="I18" s="4" t="str">
        <f>IFERROR(__xludf.DUMMYFUNCTION("GOOGLETRANSLATE(C18, ""en"", ""zh"")"),"A) 球，B) 比赛，C) 球门，D) 脚")</f>
        <v>A) 球，B) 比赛，C) 球门，D) 脚</v>
      </c>
      <c r="J18" s="4" t="str">
        <f>IFERROR(__xludf.DUMMYFUNCTION("GOOGLETRANSLATE(D18, ""en"", ""zh"")"),"A) 球")</f>
        <v>A) 球</v>
      </c>
      <c r="K18" s="4" t="str">
        <f>IFERROR(__xludf.DUMMYFUNCTION("GOOGLETRANSLATE(E18, ""en"", ""zh"")"),"蹴鞠中的“蹴鞠”指的是球，球是蹴鞠比赛的核心。")</f>
        <v>蹴鞠中的“蹴鞠”指的是球，球是蹴鞠比赛的核心。</v>
      </c>
      <c r="L18" s="8"/>
      <c r="M18" s="3"/>
      <c r="N18" s="2"/>
      <c r="O18" s="3"/>
      <c r="P18" s="3"/>
      <c r="Q18" s="2"/>
      <c r="R18" s="2"/>
      <c r="S18" s="2"/>
      <c r="T18" s="2"/>
      <c r="U18" s="2"/>
      <c r="V18" s="2"/>
      <c r="W18" s="2"/>
      <c r="X18" s="2"/>
      <c r="Y18" s="2"/>
      <c r="Z18" s="2"/>
      <c r="AA18" s="2"/>
      <c r="AB18" s="2"/>
      <c r="AC18" s="2"/>
    </row>
    <row r="19">
      <c r="A19" s="4">
        <v>18.0</v>
      </c>
      <c r="B19" s="5" t="s">
        <v>76</v>
      </c>
      <c r="C19" s="5" t="s">
        <v>77</v>
      </c>
      <c r="D19" s="5" t="s">
        <v>78</v>
      </c>
      <c r="E19" s="5" t="s">
        <v>79</v>
      </c>
      <c r="F19" s="2"/>
      <c r="G19" s="2"/>
      <c r="H19" s="4" t="str">
        <f>IFERROR(__xludf.DUMMYFUNCTION("GOOGLETRANSLATE(B19, ""en"", ""zh"")"),"蹴鞠中最常见的进攻策略之一是什么？")</f>
        <v>蹴鞠中最常见的进攻策略之一是什么？</v>
      </c>
      <c r="I19" s="4" t="str">
        <f>IFERROR(__xludf.DUMMYFUNCTION("GOOGLETRANSLATE(C19, ""en"", ""zh"")"),"A) 将球传过球场，B) 将球踢过球网，C) 将球直接踢入球门，D) 带球跑动")</f>
        <v>A) 将球传过球场，B) 将球踢过球网，C) 将球直接踢入球门，D) 带球跑动</v>
      </c>
      <c r="J19" s="4" t="str">
        <f>IFERROR(__xludf.DUMMYFUNCTION("GOOGLETRANSLATE(D19, ""en"", ""zh"")"),"C) 直接将球踢入球门")</f>
        <v>C) 直接将球踢入球门</v>
      </c>
      <c r="K19" s="4" t="str">
        <f>IFERROR(__xludf.DUMMYFUNCTION("GOOGLETRANSLATE(E19, ""en"", ""zh"")"),"蹴鞠中最常见的进攻策略是直接将球踢入对方球门。")</f>
        <v>蹴鞠中最常见的进攻策略是直接将球踢入对方球门。</v>
      </c>
      <c r="L19" s="2"/>
      <c r="M19" s="3"/>
      <c r="N19" s="2"/>
      <c r="O19" s="3"/>
      <c r="P19" s="2"/>
      <c r="Q19" s="2"/>
      <c r="R19" s="2"/>
      <c r="S19" s="2"/>
      <c r="T19" s="2"/>
      <c r="U19" s="2"/>
      <c r="V19" s="2"/>
      <c r="W19" s="2"/>
      <c r="X19" s="2"/>
      <c r="Y19" s="2"/>
      <c r="Z19" s="2"/>
      <c r="AA19" s="2"/>
      <c r="AB19" s="2"/>
      <c r="AC19" s="2"/>
    </row>
    <row r="20">
      <c r="A20" s="4">
        <v>19.0</v>
      </c>
      <c r="B20" s="5" t="s">
        <v>80</v>
      </c>
      <c r="C20" s="5" t="s">
        <v>81</v>
      </c>
      <c r="D20" s="5" t="s">
        <v>82</v>
      </c>
      <c r="E20" s="5" t="s">
        <v>83</v>
      </c>
      <c r="F20" s="2"/>
      <c r="G20" s="2"/>
      <c r="H20" s="4" t="str">
        <f>IFERROR(__xludf.DUMMYFUNCTION("GOOGLETRANSLATE(B20, ""en"", ""zh"")"),"关于貉的下列说法哪一项是正确的？")</f>
        <v>关于貉的下列说法哪一项是正确的？</v>
      </c>
      <c r="I20" s="4" t="str">
        <f>IFERROR(__xludf.DUMMYFUNCTION("GOOGLETRANSLATE(C20, ""en"", ""zh"")"),"A) 这是一项用手进行的团队运动；B) 它使用皮球进行比赛；C) 它使用方形球进行比赛；D) 这是一项仅在中国进行的运动。")</f>
        <v>A) 这是一项用手进行的团队运动；B) 它使用皮球进行比赛；C) 它使用方形球进行比赛；D) 这是一项仅在中国进行的运动。</v>
      </c>
      <c r="J20" s="4" t="str">
        <f>IFERROR(__xludf.DUMMYFUNCTION("GOOGLETRANSLATE(D20, ""en"", ""zh"")"),"B) 这项运动使用皮球进行比赛。")</f>
        <v>B) 这项运动使用皮球进行比赛。</v>
      </c>
      <c r="K20" s="4" t="str">
        <f>IFERROR(__xludf.DUMMYFUNCTION("GOOGLETRANSLATE(E20, ""en"", ""zh"")"),"蹴鞠是用皮球演奏的，球里通常填充羽毛或毛发。")</f>
        <v>蹴鞠是用皮球演奏的，球里通常填充羽毛或毛发。</v>
      </c>
      <c r="L20" s="3"/>
      <c r="M20" s="3"/>
      <c r="N20" s="2"/>
      <c r="O20" s="3"/>
      <c r="P20" s="3"/>
      <c r="Q20" s="2"/>
      <c r="R20" s="2"/>
      <c r="S20" s="2"/>
      <c r="T20" s="2"/>
      <c r="U20" s="2"/>
      <c r="V20" s="2"/>
      <c r="W20" s="2"/>
      <c r="X20" s="2"/>
      <c r="Y20" s="2"/>
      <c r="Z20" s="2"/>
      <c r="AA20" s="2"/>
      <c r="AB20" s="2"/>
      <c r="AC20" s="2"/>
    </row>
    <row r="21">
      <c r="A21" s="4">
        <v>20.0</v>
      </c>
      <c r="B21" s="5" t="s">
        <v>84</v>
      </c>
      <c r="C21" s="5" t="s">
        <v>85</v>
      </c>
      <c r="D21" s="5" t="s">
        <v>62</v>
      </c>
      <c r="E21" s="5" t="s">
        <v>86</v>
      </c>
      <c r="F21" s="2"/>
      <c r="G21" s="2"/>
      <c r="H21" s="4" t="str">
        <f>IFERROR(__xludf.DUMMYFUNCTION("GOOGLETRANSLATE(B21, ""en"", ""zh"")"),"蹴鞠有哪些方面与现代足球相似？")</f>
        <v>蹴鞠有哪些方面与现代足球相似？</v>
      </c>
      <c r="I21" s="4" t="str">
        <f>IFERROR(__xludf.DUMMYFUNCTION("GOOGLETRANSLATE(C21, ""en"", ""zh"")"),"A) 强调踢球，B) 使用两个球门，C) 以得分为目标，D) 以上所有选项")</f>
        <v>A) 强调踢球，B) 使用两个球门，C) 以得分为目标，D) 以上所有选项</v>
      </c>
      <c r="J21" s="4" t="str">
        <f>IFERROR(__xludf.DUMMYFUNCTION("GOOGLETRANSLATE(D21, ""en"", ""zh"")"),"D) 以上所有选项")</f>
        <v>D) 以上所有选项</v>
      </c>
      <c r="K21" s="4" t="str">
        <f>IFERROR(__xludf.DUMMYFUNCTION("GOOGLETRANSLATE(E21, ""en"", ""zh"")"),"蹴鞠与现代足球在各个方面都有相似之处，从强调踢球到以进球为基础的得分系统。")</f>
        <v>蹴鞠与现代足球在各个方面都有相似之处，从强调踢球到以进球为基础的得分系统。</v>
      </c>
      <c r="L21" s="3"/>
      <c r="M21" s="3"/>
      <c r="N21" s="2"/>
      <c r="O21" s="3"/>
      <c r="P21" s="8"/>
      <c r="Q21" s="2"/>
      <c r="R21" s="2"/>
      <c r="S21" s="2"/>
      <c r="T21" s="2"/>
      <c r="U21" s="2"/>
      <c r="V21" s="2"/>
      <c r="W21" s="2"/>
      <c r="X21" s="2"/>
      <c r="Y21" s="2"/>
      <c r="Z21" s="2"/>
      <c r="AA21" s="2"/>
      <c r="AB21" s="2"/>
      <c r="AC21" s="2"/>
    </row>
    <row r="22">
      <c r="A22" s="4">
        <v>21.0</v>
      </c>
      <c r="B22" s="5" t="s">
        <v>87</v>
      </c>
      <c r="C22" s="5" t="s">
        <v>88</v>
      </c>
      <c r="D22" s="5" t="s">
        <v>89</v>
      </c>
      <c r="E22" s="5" t="s">
        <v>90</v>
      </c>
      <c r="F22" s="2"/>
      <c r="G22" s="2"/>
      <c r="H22" s="4" t="str">
        <f>IFERROR(__xludf.DUMMYFUNCTION("GOOGLETRANSLATE(B22, ""en"", ""zh"")"),"在蹴鞠比赛中，赢得一场比赛需要进多少球？")</f>
        <v>在蹴鞠比赛中，赢得一场比赛需要进多少球？</v>
      </c>
      <c r="I22" s="4" t="str">
        <f>IFERROR(__xludf.DUMMYFUNCTION("GOOGLETRANSLATE(C22, ""en"", ""zh"")"),"A) 1，B) 3，C) 5，D) 10")</f>
        <v>A) 1，B) 3，C) 5，D) 10</v>
      </c>
      <c r="J22" s="4" t="str">
        <f>IFERROR(__xludf.DUMMYFUNCTION("GOOGLETRANSLATE(D22, ""en"", ""zh"")"),"C) 5")</f>
        <v>C) 5</v>
      </c>
      <c r="K22" s="4" t="str">
        <f>IFERROR(__xludf.DUMMYFUNCTION("GOOGLETRANSLATE(E22, ""en"", ""zh"")"),"在传统的蹴鞠比赛中，当一方球队获得五个进球时，比赛结束。")</f>
        <v>在传统的蹴鞠比赛中，当一方球队获得五个进球时，比赛结束。</v>
      </c>
      <c r="L22" s="2"/>
      <c r="M22" s="3"/>
      <c r="N22" s="3"/>
      <c r="O22" s="3"/>
      <c r="P22" s="8"/>
      <c r="Q22" s="2"/>
      <c r="R22" s="2"/>
      <c r="S22" s="2"/>
      <c r="T22" s="2"/>
      <c r="U22" s="2"/>
      <c r="V22" s="2"/>
      <c r="W22" s="2"/>
      <c r="X22" s="2"/>
      <c r="Y22" s="2"/>
      <c r="Z22" s="2"/>
      <c r="AA22" s="2"/>
      <c r="AB22" s="2"/>
      <c r="AC22" s="2"/>
    </row>
    <row r="23">
      <c r="A23" s="4">
        <v>22.0</v>
      </c>
      <c r="B23" s="5" t="s">
        <v>91</v>
      </c>
      <c r="C23" s="5" t="s">
        <v>92</v>
      </c>
      <c r="D23" s="5" t="s">
        <v>93</v>
      </c>
      <c r="E23" s="5" t="s">
        <v>94</v>
      </c>
      <c r="F23" s="2"/>
      <c r="G23" s="2"/>
      <c r="H23" s="4" t="str">
        <f>IFERROR(__xludf.DUMMYFUNCTION("GOOGLETRANSLATE(B23, ""en"", ""zh"")"),"蹴鞠的比赛场地叫什么名字？")</f>
        <v>蹴鞠的比赛场地叫什么名字？</v>
      </c>
      <c r="I23" s="4" t="str">
        <f>IFERROR(__xludf.DUMMYFUNCTION("GOOGLETRANSLATE(C23, ""en"", ""zh"")"),"A) 场地，B) 球场，C) 体育馆，D) 球场")</f>
        <v>A) 场地，B) 球场，C) 体育馆，D) 球场</v>
      </c>
      <c r="J23" s="4" t="str">
        <f>IFERROR(__xludf.DUMMYFUNCTION("GOOGLETRANSLATE(D23, ""en"", ""zh"")"),"A) 田")</f>
        <v>A) 田</v>
      </c>
      <c r="K23" s="4" t="str">
        <f>IFERROR(__xludf.DUMMYFUNCTION("GOOGLETRANSLATE(E23, ""en"", ""zh"")"),"蹴鞠的比赛场地被称为场地。")</f>
        <v>蹴鞠的比赛场地被称为场地。</v>
      </c>
      <c r="L23" s="3"/>
      <c r="M23" s="3"/>
      <c r="N23" s="8"/>
      <c r="O23" s="3"/>
      <c r="P23" s="8"/>
      <c r="Q23" s="2"/>
      <c r="R23" s="2"/>
      <c r="S23" s="2"/>
      <c r="T23" s="2"/>
      <c r="U23" s="2"/>
      <c r="V23" s="2"/>
      <c r="W23" s="2"/>
      <c r="X23" s="2"/>
      <c r="Y23" s="2"/>
      <c r="Z23" s="2"/>
      <c r="AA23" s="2"/>
      <c r="AB23" s="2"/>
      <c r="AC23" s="2"/>
    </row>
    <row r="24">
      <c r="A24" s="4">
        <v>23.0</v>
      </c>
      <c r="B24" s="5" t="s">
        <v>95</v>
      </c>
      <c r="C24" s="5" t="s">
        <v>96</v>
      </c>
      <c r="D24" s="5" t="s">
        <v>97</v>
      </c>
      <c r="E24" s="5" t="s">
        <v>98</v>
      </c>
      <c r="F24" s="2"/>
      <c r="G24" s="2"/>
      <c r="H24" s="4" t="str">
        <f>IFERROR(__xludf.DUMMYFUNCTION("GOOGLETRANSLATE(B24, ""en"", ""zh"")"),"蹴鞠中通常使用哪种防守方式？")</f>
        <v>蹴鞠中通常使用哪种防守方式？</v>
      </c>
      <c r="I24" s="4" t="str">
        <f>IFERROR(__xludf.DUMMYFUNCTION("GOOGLETRANSLATE(C24, ""en"", ""zh"")"),"A) 阻挡，B) 运球，C) 铲球，D) 传球")</f>
        <v>A) 阻挡，B) 运球，C) 铲球，D) 传球</v>
      </c>
      <c r="J24" s="4" t="str">
        <f>IFERROR(__xludf.DUMMYFUNCTION("GOOGLETRANSLATE(D24, ""en"", ""zh"")"),"C）擒抱")</f>
        <v>C）擒抱</v>
      </c>
      <c r="K24" s="4" t="str">
        <f>IFERROR(__xludf.DUMMYFUNCTION("GOOGLETRANSLATE(E24, ""en"", ""zh"")"),"在蹴鞠运动中，球员经常使用铲球来阻止对方得分。")</f>
        <v>在蹴鞠运动中，球员经常使用铲球来阻止对方得分。</v>
      </c>
      <c r="L24" s="3"/>
      <c r="M24" s="3"/>
      <c r="N24" s="3"/>
      <c r="O24" s="3"/>
      <c r="P24" s="8"/>
      <c r="Q24" s="2"/>
      <c r="R24" s="2"/>
      <c r="S24" s="2"/>
      <c r="T24" s="2"/>
      <c r="U24" s="2"/>
      <c r="V24" s="2"/>
      <c r="W24" s="2"/>
      <c r="X24" s="2"/>
      <c r="Y24" s="2"/>
      <c r="Z24" s="2"/>
      <c r="AA24" s="2"/>
      <c r="AB24" s="2"/>
      <c r="AC24" s="2"/>
    </row>
    <row r="25">
      <c r="A25" s="4">
        <v>24.0</v>
      </c>
      <c r="B25" s="5" t="s">
        <v>99</v>
      </c>
      <c r="C25" s="5" t="s">
        <v>100</v>
      </c>
      <c r="D25" s="5" t="s">
        <v>101</v>
      </c>
      <c r="E25" s="5" t="s">
        <v>102</v>
      </c>
      <c r="F25" s="2"/>
      <c r="G25" s="2"/>
      <c r="H25" s="4" t="str">
        <f>IFERROR(__xludf.DUMMYFUNCTION("GOOGLETRANSLATE(B25, ""en"", ""zh"")"),"蹴鞠队中守门员的主要职责是什么？")</f>
        <v>蹴鞠队中守门员的主要职责是什么？</v>
      </c>
      <c r="I25" s="4" t="str">
        <f>IFERROR(__xludf.DUMMYFUNCTION("GOOGLETRANSLATE(C25, ""en"", ""zh"")"),"A) 进球，B) 阻止对方进球，C) 传球，D) 组织进攻")</f>
        <v>A) 进球，B) 阻止对方进球，C) 传球，D) 组织进攻</v>
      </c>
      <c r="J25" s="4" t="str">
        <f>IFERROR(__xludf.DUMMYFUNCTION("GOOGLETRANSLATE(D25, ""en"", ""zh"")"),"B) 防止对方球队得分")</f>
        <v>B) 防止对方球队得分</v>
      </c>
      <c r="K25" s="4" t="str">
        <f>IFERROR(__xludf.DUMMYFUNCTION("GOOGLETRANSLATE(E25, ""en"", ""zh"")"),"在蹴鞠中，守门员的主要职责是防守球门，阻止对方进球。")</f>
        <v>在蹴鞠中，守门员的主要职责是防守球门，阻止对方进球。</v>
      </c>
      <c r="L25" s="2"/>
      <c r="M25" s="3"/>
      <c r="N25" s="3"/>
      <c r="O25" s="3"/>
      <c r="P25" s="3"/>
      <c r="Q25" s="2"/>
      <c r="R25" s="2"/>
      <c r="S25" s="2"/>
      <c r="T25" s="2"/>
      <c r="U25" s="2"/>
      <c r="V25" s="2"/>
      <c r="W25" s="2"/>
      <c r="X25" s="2"/>
      <c r="Y25" s="2"/>
      <c r="Z25" s="2"/>
      <c r="AA25" s="2"/>
      <c r="AB25" s="2"/>
      <c r="AC25" s="2"/>
    </row>
    <row r="26">
      <c r="A26" s="4">
        <v>25.0</v>
      </c>
      <c r="B26" s="5" t="s">
        <v>103</v>
      </c>
      <c r="C26" s="5" t="s">
        <v>104</v>
      </c>
      <c r="D26" s="5" t="s">
        <v>105</v>
      </c>
      <c r="E26" s="5" t="s">
        <v>106</v>
      </c>
      <c r="F26" s="2"/>
      <c r="G26" s="2"/>
      <c r="H26" s="4" t="str">
        <f>IFERROR(__xludf.DUMMYFUNCTION("GOOGLETRANSLATE(B26, ""en"", ""zh"")"),"蹴鞠队在球员位置上是如何进行战术安排的？")</f>
        <v>蹴鞠队在球员位置上是如何进行战术安排的？</v>
      </c>
      <c r="I26" s="4" t="str">
        <f>IFERROR(__xludf.DUMMYFUNCTION("GOOGLETRANSLATE(C26, ""en"", ""zh"")"),"A) 固定位置，B) 灵活位置，C) 仅防守和进攻角色，D) 双守门员")</f>
        <v>A) 固定位置，B) 灵活位置，C) 仅防守和进攻角色，D) 双守门员</v>
      </c>
      <c r="J26" s="4" t="str">
        <f>IFERROR(__xludf.DUMMYFUNCTION("GOOGLETRANSLATE(D26, ""en"", ""zh"")"),"B) 流体位置")</f>
        <v>B) 流体位置</v>
      </c>
      <c r="K26" s="4" t="str">
        <f>IFERROR(__xludf.DUMMYFUNCTION("GOOGLETRANSLATE(E26, ""en"", ""zh"")"),"在蹴鞠队中，球员经常灵活地变换位置，既能扮演进攻角色，也能扮演防守角色。")</f>
        <v>在蹴鞠队中，球员经常灵活地变换位置，既能扮演进攻角色，也能扮演防守角色。</v>
      </c>
      <c r="L26" s="3"/>
      <c r="M26" s="3"/>
      <c r="N26" s="3"/>
      <c r="O26" s="3"/>
      <c r="P26" s="8"/>
      <c r="Q26" s="2"/>
      <c r="R26" s="2"/>
      <c r="S26" s="2"/>
      <c r="T26" s="2"/>
      <c r="U26" s="2"/>
      <c r="V26" s="2"/>
      <c r="W26" s="2"/>
      <c r="X26" s="2"/>
      <c r="Y26" s="2"/>
      <c r="Z26" s="2"/>
      <c r="AA26" s="2"/>
      <c r="AB26" s="2"/>
      <c r="AC26" s="2"/>
    </row>
    <row r="27">
      <c r="A27" s="4">
        <v>26.0</v>
      </c>
      <c r="B27" s="5" t="s">
        <v>107</v>
      </c>
      <c r="C27" s="5" t="s">
        <v>108</v>
      </c>
      <c r="D27" s="5" t="s">
        <v>109</v>
      </c>
      <c r="E27" s="5" t="s">
        <v>110</v>
      </c>
      <c r="F27" s="2"/>
      <c r="G27" s="2"/>
      <c r="H27" s="4" t="str">
        <f>IFERROR(__xludf.DUMMYFUNCTION("GOOGLETRANSLATE(B27, ""en"", ""zh"")"),"关于蹴鞠球，下列哪项描述是正确的？")</f>
        <v>关于蹴鞠球，下列哪项描述是正确的？</v>
      </c>
      <c r="I27" s="4" t="str">
        <f>IFERROR(__xludf.DUMMYFUNCTION("GOOGLETRANSLATE(C27, ""en"", ""zh"")"),"A) 它是方形的，B) 它轻而坚硬，C) 它大而柔软，D) 它是为手持使用而设计的")</f>
        <v>A) 它是方形的，B) 它轻而坚硬，C) 它大而柔软，D) 它是为手持使用而设计的</v>
      </c>
      <c r="J27" s="4" t="str">
        <f>IFERROR(__xludf.DUMMYFUNCTION("GOOGLETRANSLATE(D27, ""en"", ""zh"")"),"B) 它轻而坚硬")</f>
        <v>B) 它轻而坚硬</v>
      </c>
      <c r="K27" s="4" t="str">
        <f>IFERROR(__xludf.DUMMYFUNCTION("GOOGLETRANSLATE(E27, ""en"", ""zh"")"),"蹴鞠足球轻而硬，设计用于高效踢球。")</f>
        <v>蹴鞠足球轻而硬，设计用于高效踢球。</v>
      </c>
      <c r="L27" s="2"/>
      <c r="M27" s="3"/>
      <c r="N27" s="2"/>
      <c r="O27" s="3"/>
      <c r="P27" s="8"/>
      <c r="Q27" s="2"/>
      <c r="R27" s="2"/>
      <c r="S27" s="2"/>
      <c r="T27" s="2"/>
      <c r="U27" s="2"/>
      <c r="V27" s="2"/>
      <c r="W27" s="2"/>
      <c r="X27" s="2"/>
      <c r="Y27" s="2"/>
      <c r="Z27" s="2"/>
      <c r="AA27" s="2"/>
      <c r="AB27" s="2"/>
      <c r="AC27" s="2"/>
    </row>
    <row r="28">
      <c r="A28" s="4">
        <v>27.0</v>
      </c>
      <c r="B28" s="5" t="s">
        <v>111</v>
      </c>
      <c r="C28" s="5" t="s">
        <v>112</v>
      </c>
      <c r="D28" s="5" t="s">
        <v>113</v>
      </c>
      <c r="E28" s="5" t="s">
        <v>114</v>
      </c>
      <c r="F28" s="2"/>
      <c r="G28" s="2"/>
      <c r="H28" s="4" t="str">
        <f>IFERROR(__xludf.DUMMYFUNCTION("GOOGLETRANSLATE(B28, ""en"", ""zh"")"),"蹴鞠选手最看重哪些技能？")</f>
        <v>蹴鞠选手最看重哪些技能？</v>
      </c>
      <c r="I28" s="4" t="str">
        <f>IFERROR(__xludf.DUMMYFUNCTION("GOOGLETRANSLATE(C28, ""en"", ""zh"")"),"A) 速度和力量，B) 踢球精准度和敏捷性，C) 团队配合，D) 传球准确性")</f>
        <v>A) 速度和力量，B) 踢球精准度和敏捷性，C) 团队配合，D) 传球准确性</v>
      </c>
      <c r="J28" s="4" t="str">
        <f>IFERROR(__xludf.DUMMYFUNCTION("GOOGLETRANSLATE(D28, ""en"", ""zh"")"),"B) 踢球的精准度和敏捷性")</f>
        <v>B) 踢球的精准度和敏捷性</v>
      </c>
      <c r="K28" s="4" t="str">
        <f>IFERROR(__xludf.DUMMYFUNCTION("GOOGLETRANSLATE(E28, ""en"", ""zh"")"),"蹴鞠球员因其精准的踢球技术和有效控球的敏捷性而备受推崇。")</f>
        <v>蹴鞠球员因其精准的踢球技术和有效控球的敏捷性而备受推崇。</v>
      </c>
      <c r="L28" s="2"/>
      <c r="M28" s="3"/>
      <c r="N28" s="8"/>
      <c r="O28" s="3"/>
      <c r="P28" s="8"/>
      <c r="Q28" s="2"/>
      <c r="R28" s="2"/>
      <c r="S28" s="2"/>
      <c r="T28" s="2"/>
      <c r="U28" s="2"/>
      <c r="V28" s="2"/>
      <c r="W28" s="2"/>
      <c r="X28" s="2"/>
      <c r="Y28" s="2"/>
      <c r="Z28" s="2"/>
      <c r="AA28" s="2"/>
      <c r="AB28" s="2"/>
      <c r="AC28" s="2"/>
    </row>
    <row r="29">
      <c r="A29" s="4">
        <v>28.0</v>
      </c>
      <c r="B29" s="5" t="s">
        <v>115</v>
      </c>
      <c r="C29" s="5" t="s">
        <v>25</v>
      </c>
      <c r="D29" s="5" t="s">
        <v>116</v>
      </c>
      <c r="E29" s="5" t="s">
        <v>117</v>
      </c>
      <c r="F29" s="2"/>
      <c r="G29" s="2"/>
      <c r="H29" s="4" t="str">
        <f>IFERROR(__xludf.DUMMYFUNCTION("GOOGLETRANSLATE(B29, ""en"", ""zh"")"),"在蹴鞠运动中，最常用身体的哪个部位击球？")</f>
        <v>在蹴鞠运动中，最常用身体的哪个部位击球？</v>
      </c>
      <c r="I29" s="4" t="str">
        <f>IFERROR(__xludf.DUMMYFUNCTION("GOOGLETRANSLATE(C29, ""en"", ""zh"")"),"A) 手，B) 脚，C) 头，D) 胸")</f>
        <v>A) 手，B) 脚，C) 头，D) 胸</v>
      </c>
      <c r="J29" s="4" t="str">
        <f>IFERROR(__xludf.DUMMYFUNCTION("GOOGLETRANSLATE(D29, ""en"", ""zh"")"),"B）脚")</f>
        <v>B）脚</v>
      </c>
      <c r="K29" s="4" t="str">
        <f>IFERROR(__xludf.DUMMYFUNCTION("GOOGLETRANSLATE(E29, ""en"", ""zh"")"),"在蹴鞠运动中，球员像现代足球一样用脚踢球。")</f>
        <v>在蹴鞠运动中，球员像现代足球一样用脚踢球。</v>
      </c>
      <c r="L29" s="2"/>
      <c r="M29" s="3"/>
      <c r="N29" s="2"/>
      <c r="O29" s="3"/>
      <c r="P29" s="8"/>
      <c r="Q29" s="2"/>
      <c r="R29" s="2"/>
      <c r="S29" s="2"/>
      <c r="T29" s="2"/>
      <c r="U29" s="2"/>
      <c r="V29" s="2"/>
      <c r="W29" s="2"/>
      <c r="X29" s="2"/>
      <c r="Y29" s="2"/>
      <c r="Z29" s="2"/>
      <c r="AA29" s="2"/>
      <c r="AB29" s="2"/>
      <c r="AC29" s="2"/>
    </row>
    <row r="30">
      <c r="A30" s="4">
        <v>29.0</v>
      </c>
      <c r="B30" s="5" t="s">
        <v>118</v>
      </c>
      <c r="C30" s="5" t="s">
        <v>119</v>
      </c>
      <c r="D30" s="5" t="s">
        <v>120</v>
      </c>
      <c r="E30" s="5" t="s">
        <v>121</v>
      </c>
      <c r="F30" s="2"/>
      <c r="G30" s="2"/>
      <c r="H30" s="4" t="str">
        <f>IFERROR(__xludf.DUMMYFUNCTION("GOOGLETRANSLATE(B30, ""en"", ""zh"")"),"在蹴鞠中如何发起比赛？")</f>
        <v>在蹴鞠中如何发起比赛？</v>
      </c>
      <c r="I30" s="4" t="str">
        <f>IFERROR(__xludf.DUMMYFUNCTION("GOOGLETRANSLATE(C30, ""en"", ""zh"")"),"A) 掷硬币决定，B) 开球决定，C) 掷界外球决定，D) 跳球决定")</f>
        <v>A) 掷硬币决定，B) 开球决定，C) 掷界外球决定，D) 跳球决定</v>
      </c>
      <c r="J30" s="4" t="str">
        <f>IFERROR(__xludf.DUMMYFUNCTION("GOOGLETRANSLATE(D30, ""en"", ""zh"")"),"B）通过开球")</f>
        <v>B）通过开球</v>
      </c>
      <c r="K30" s="4" t="str">
        <f>IFERROR(__xludf.DUMMYFUNCTION("GOOGLETRANSLATE(E30, ""en"", ""zh"")"),"蹴鞠比赛以开球开始，由一方球队踢球开始比赛。")</f>
        <v>蹴鞠比赛以开球开始，由一方球队踢球开始比赛。</v>
      </c>
      <c r="L30" s="2"/>
      <c r="M30" s="3"/>
      <c r="N30" s="2"/>
      <c r="O30" s="3"/>
      <c r="P30" s="2"/>
      <c r="Q30" s="2"/>
      <c r="R30" s="2"/>
      <c r="S30" s="2"/>
      <c r="T30" s="2"/>
      <c r="U30" s="2"/>
      <c r="V30" s="2"/>
      <c r="W30" s="2"/>
      <c r="X30" s="2"/>
      <c r="Y30" s="2"/>
      <c r="Z30" s="2"/>
      <c r="AA30" s="2"/>
      <c r="AB30" s="2"/>
      <c r="AC30" s="2"/>
    </row>
    <row r="31">
      <c r="A31" s="4">
        <v>30.0</v>
      </c>
      <c r="B31" s="5" t="s">
        <v>122</v>
      </c>
      <c r="C31" s="5" t="s">
        <v>123</v>
      </c>
      <c r="D31" s="5" t="s">
        <v>124</v>
      </c>
      <c r="E31" s="5" t="s">
        <v>125</v>
      </c>
      <c r="F31" s="2"/>
      <c r="G31" s="2"/>
      <c r="H31" s="4" t="str">
        <f>IFERROR(__xludf.DUMMYFUNCTION("GOOGLETRANSLATE(B31, ""en"", ""zh"")"),"在蹴鞠比赛中，如果球出界会发生什么？")</f>
        <v>在蹴鞠比赛中，如果球出界会发生什么？</v>
      </c>
      <c r="I31" s="4" t="str">
        <f>IFERROR(__xludf.DUMMYFUNCTION("GOOGLETRANSLATE(C31, ""en"", ""zh"")"),"A) 比赛结束，B) 比赛继续，C) 进球有效，D) 对方获得掷界外球机会")</f>
        <v>A) 比赛结束，B) 比赛继续，C) 进球有效，D) 对方获得掷界外球机会</v>
      </c>
      <c r="J31" s="4" t="str">
        <f>IFERROR(__xludf.DUMMYFUNCTION("GOOGLETRANSLATE(D31, ""en"", ""zh"")"),"D) 对方获得掷界外球的机会")</f>
        <v>D) 对方获得掷界外球的机会</v>
      </c>
      <c r="K31" s="4" t="str">
        <f>IFERROR(__xludf.DUMMYFUNCTION("GOOGLETRANSLATE(E31, ""en"", ""zh"")"),"当球出界时，对方球队获得掷界外球重新开始比赛的机会。")</f>
        <v>当球出界时，对方球队获得掷界外球重新开始比赛的机会。</v>
      </c>
      <c r="L31" s="8"/>
      <c r="M31" s="3"/>
      <c r="N31" s="2"/>
      <c r="O31" s="3"/>
      <c r="P31" s="8"/>
      <c r="Q31" s="2"/>
      <c r="R31" s="2"/>
      <c r="S31" s="2"/>
      <c r="T31" s="2"/>
      <c r="U31" s="2"/>
      <c r="V31" s="2"/>
      <c r="W31" s="2"/>
      <c r="X31" s="2"/>
      <c r="Y31" s="2"/>
      <c r="Z31" s="2"/>
      <c r="AA31" s="2"/>
      <c r="AB31" s="2"/>
      <c r="AC31" s="2"/>
    </row>
    <row r="32">
      <c r="A32" s="4">
        <v>32.0</v>
      </c>
      <c r="B32" s="5" t="s">
        <v>126</v>
      </c>
      <c r="C32" s="5" t="s">
        <v>127</v>
      </c>
      <c r="D32" s="5" t="s">
        <v>128</v>
      </c>
      <c r="E32" s="5" t="s">
        <v>129</v>
      </c>
      <c r="F32" s="2"/>
      <c r="G32" s="2"/>
      <c r="H32" s="4" t="str">
        <f>IFERROR(__xludf.DUMMYFUNCTION("GOOGLETRANSLATE(B32, ""en"", ""zh"")"),"蹴鞠采用了哪种类型的攻击策略？")</f>
        <v>蹴鞠采用了哪种类型的攻击策略？</v>
      </c>
      <c r="I32" s="4" t="str">
        <f>IFERROR(__xludf.DUMMYFUNCTION("GOOGLETRANSLATE(C32, ""en"", ""zh"")"),"A) 快速直接射门，B) 长传，C) 定位球，D) 传球和运球")</f>
        <v>A) 快速直接射门，B) 长传，C) 定位球，D) 传球和运球</v>
      </c>
      <c r="J32" s="4" t="str">
        <f>IFERROR(__xludf.DUMMYFUNCTION("GOOGLETRANSLATE(D32, ""en"", ""zh"")"),"A) 快节奏的直接镜头")</f>
        <v>A) 快节奏的直接镜头</v>
      </c>
      <c r="K32" s="4" t="str">
        <f>IFERROR(__xludf.DUMMYFUNCTION("GOOGLETRANSLATE(E32, ""en"", ""zh"")"),"蹴鞠的进攻型球队经常使用快速的直接射门来快速得分。")</f>
        <v>蹴鞠的进攻型球队经常使用快速的直接射门来快速得分。</v>
      </c>
      <c r="L32" s="2"/>
      <c r="M32" s="3"/>
      <c r="N32" s="8"/>
      <c r="O32" s="3"/>
      <c r="P32" s="8"/>
      <c r="Q32" s="2"/>
      <c r="R32" s="2"/>
      <c r="S32" s="2"/>
      <c r="T32" s="2"/>
      <c r="U32" s="2"/>
      <c r="V32" s="2"/>
      <c r="W32" s="2"/>
      <c r="X32" s="2"/>
      <c r="Y32" s="2"/>
      <c r="Z32" s="2"/>
      <c r="AA32" s="2"/>
      <c r="AB32" s="2"/>
      <c r="AC32" s="2"/>
    </row>
    <row r="33">
      <c r="A33" s="4">
        <v>33.0</v>
      </c>
      <c r="B33" s="5" t="s">
        <v>130</v>
      </c>
      <c r="C33" s="5" t="s">
        <v>131</v>
      </c>
      <c r="D33" s="5" t="s">
        <v>132</v>
      </c>
      <c r="E33" s="5" t="s">
        <v>133</v>
      </c>
      <c r="F33" s="2"/>
      <c r="G33" s="2"/>
      <c r="H33" s="4" t="str">
        <f>IFERROR(__xludf.DUMMYFUNCTION("GOOGLETRANSLATE(B33, ""en"", ""zh"")"),"蹴鞠选手在比赛结束后通常会获得哪些奖励？")</f>
        <v>蹴鞠选手在比赛结束后通常会获得哪些奖励？</v>
      </c>
      <c r="I33" s="4" t="str">
        <f>IFERROR(__xludf.DUMMYFUNCTION("GOOGLETRANSLATE(C33, ""en"", ""zh"")"),"A) 奖牌，B) 奖金，C) 声望和荣誉，D) 奖杯")</f>
        <v>A) 奖牌，B) 奖金，C) 声望和荣誉，D) 奖杯</v>
      </c>
      <c r="J33" s="4" t="str">
        <f>IFERROR(__xludf.DUMMYFUNCTION("GOOGLETRANSLATE(D33, ""en"", ""zh"")"),"C) 享有声望和荣誉")</f>
        <v>C) 享有声望和荣誉</v>
      </c>
      <c r="K33" s="4" t="str">
        <f>IFERROR(__xludf.DUMMYFUNCTION("GOOGLETRANSLATE(E33, ""en"", ""zh"")"),"在中国古代，蹴鞠选手往往获得的是声望和荣誉，而不是物质奖励。")</f>
        <v>在中国古代，蹴鞠选手往往获得的是声望和荣誉，而不是物质奖励。</v>
      </c>
      <c r="L33" s="8"/>
      <c r="M33" s="3"/>
      <c r="N33" s="2"/>
      <c r="O33" s="3"/>
      <c r="P33" s="8"/>
      <c r="Q33" s="2"/>
      <c r="R33" s="2"/>
      <c r="S33" s="2"/>
      <c r="T33" s="2"/>
      <c r="U33" s="2"/>
      <c r="V33" s="2"/>
      <c r="W33" s="2"/>
      <c r="X33" s="2"/>
      <c r="Y33" s="2"/>
      <c r="Z33" s="2"/>
      <c r="AA33" s="2"/>
      <c r="AB33" s="2"/>
      <c r="AC33" s="2"/>
    </row>
    <row r="34">
      <c r="A34" s="4">
        <v>34.0</v>
      </c>
      <c r="B34" s="5" t="s">
        <v>134</v>
      </c>
      <c r="C34" s="5" t="s">
        <v>135</v>
      </c>
      <c r="D34" s="5" t="s">
        <v>136</v>
      </c>
      <c r="E34" s="5" t="s">
        <v>137</v>
      </c>
      <c r="F34" s="2"/>
      <c r="G34" s="2"/>
      <c r="H34" s="4" t="str">
        <f>IFERROR(__xludf.DUMMYFUNCTION("GOOGLETRANSLATE(B34, ""en"", ""zh"")"),"在蹴鞠中，进球的动作用什么术语来表示？")</f>
        <v>在蹴鞠中，进球的动作用什么术语来表示？</v>
      </c>
      <c r="I34" s="4" t="str">
        <f>IFERROR(__xludf.DUMMYFUNCTION("GOOGLETRANSLATE(C34, ""en"", ""zh"")"),"A) 击打，B) 踢球，C) 击球，D) 射门")</f>
        <v>A) 击打，B) 踢球，C) 击球，D) 射门</v>
      </c>
      <c r="J34" s="4" t="str">
        <f>IFERROR(__xludf.DUMMYFUNCTION("GOOGLETRANSLATE(D34, ""en"", ""zh"")"),"B) 踢")</f>
        <v>B) 踢</v>
      </c>
      <c r="K34" s="4" t="str">
        <f>IFERROR(__xludf.DUMMYFUNCTION("GOOGLETRANSLATE(E34, ""en"", ""zh"")"),"在蹴鞠中，得分行为被称为将球踢入对方球门。")</f>
        <v>在蹴鞠中，得分行为被称为将球踢入对方球门。</v>
      </c>
      <c r="L34" s="3"/>
      <c r="M34" s="3"/>
      <c r="N34" s="3"/>
      <c r="O34" s="3"/>
      <c r="P34" s="8"/>
      <c r="Q34" s="2"/>
      <c r="R34" s="2"/>
      <c r="S34" s="2"/>
      <c r="T34" s="2"/>
      <c r="U34" s="2"/>
      <c r="V34" s="2"/>
      <c r="W34" s="2"/>
      <c r="X34" s="2"/>
      <c r="Y34" s="2"/>
      <c r="Z34" s="2"/>
      <c r="AA34" s="2"/>
      <c r="AB34" s="2"/>
      <c r="AC34" s="2"/>
    </row>
    <row r="35">
      <c r="A35" s="4">
        <v>35.0</v>
      </c>
      <c r="B35" s="5" t="s">
        <v>138</v>
      </c>
      <c r="C35" s="5" t="s">
        <v>139</v>
      </c>
      <c r="D35" s="5" t="s">
        <v>140</v>
      </c>
      <c r="E35" s="5" t="s">
        <v>141</v>
      </c>
      <c r="F35" s="2"/>
      <c r="G35" s="2"/>
      <c r="H35" s="4" t="str">
        <f>IFERROR(__xludf.DUMMYFUNCTION("GOOGLETRANSLATE(B35, ""en"", ""zh"")"),"蹴鞠球里通常装的是什么？")</f>
        <v>蹴鞠球里通常装的是什么？</v>
      </c>
      <c r="I35" s="4" t="str">
        <f>IFERROR(__xludf.DUMMYFUNCTION("GOOGLETRANSLATE(C35, ""en"", ""zh"")"),"A) 水，B) 羽毛，C) 石头，D) 沙子")</f>
        <v>A) 水，B) 羽毛，C) 石头，D) 沙子</v>
      </c>
      <c r="J35" s="4" t="str">
        <f>IFERROR(__xludf.DUMMYFUNCTION("GOOGLETRANSLATE(D35, ""en"", ""zh"")"),"B）羽毛")</f>
        <v>B）羽毛</v>
      </c>
      <c r="K35" s="4" t="str">
        <f>IFERROR(__xludf.DUMMYFUNCTION("GOOGLETRANSLATE(E35, ""en"", ""zh"")"),"蹴鞠球传统上会在球内填充羽毛，使其更轻便，更容易踢。")</f>
        <v>蹴鞠球传统上会在球内填充羽毛，使其更轻便，更容易踢。</v>
      </c>
      <c r="L35" s="8"/>
      <c r="M35" s="3"/>
      <c r="N35" s="8"/>
      <c r="O35" s="3"/>
      <c r="P35" s="8"/>
      <c r="Q35" s="2"/>
      <c r="R35" s="2"/>
      <c r="S35" s="2"/>
      <c r="T35" s="2"/>
      <c r="U35" s="2"/>
      <c r="V35" s="2"/>
      <c r="W35" s="2"/>
      <c r="X35" s="2"/>
      <c r="Y35" s="2"/>
      <c r="Z35" s="2"/>
      <c r="AA35" s="2"/>
      <c r="AB35" s="2"/>
      <c r="AC35" s="2"/>
    </row>
    <row r="36">
      <c r="A36" s="4">
        <v>36.0</v>
      </c>
      <c r="B36" s="5" t="s">
        <v>142</v>
      </c>
      <c r="C36" s="5" t="s">
        <v>143</v>
      </c>
      <c r="D36" s="5" t="s">
        <v>144</v>
      </c>
      <c r="E36" s="5" t="s">
        <v>145</v>
      </c>
      <c r="F36" s="2"/>
      <c r="G36" s="2"/>
      <c r="H36" s="4" t="str">
        <f>IFERROR(__xludf.DUMMYFUNCTION("GOOGLETRANSLATE(B36, ""en"", ""zh"")"),"蹴鞠队教练扮演了什么角色？")</f>
        <v>蹴鞠队教练扮演了什么角色？</v>
      </c>
      <c r="I36" s="4" t="str">
        <f>IFERROR(__xludf.DUMMYFUNCTION("GOOGLETRANSLATE(C36, ""en"", ""zh"")"),"A) 组织球队，B) 担任比赛裁判，C) 提供医疗服务，D) 维护场地")</f>
        <v>A) 组织球队，B) 担任比赛裁判，C) 提供医疗服务，D) 维护场地</v>
      </c>
      <c r="J36" s="4" t="str">
        <f>IFERROR(__xludf.DUMMYFUNCTION("GOOGLETRANSLATE(D36, ""en"", ""zh"")"),"A) 组织团队")</f>
        <v>A) 组织团队</v>
      </c>
      <c r="K36" s="4" t="str">
        <f>IFERROR(__xludf.DUMMYFUNCTION("GOOGLETRANSLATE(E36, ""en"", ""zh"")"),"在蹴鞠中，教练的主要职责是组织球队并制定获胜策略。")</f>
        <v>在蹴鞠中，教练的主要职责是组织球队并制定获胜策略。</v>
      </c>
      <c r="L36" s="2"/>
      <c r="M36" s="3"/>
      <c r="N36" s="3"/>
      <c r="O36" s="3"/>
      <c r="P36" s="2"/>
      <c r="Q36" s="2"/>
      <c r="R36" s="2"/>
      <c r="S36" s="2"/>
      <c r="T36" s="2"/>
      <c r="U36" s="2"/>
      <c r="V36" s="2"/>
      <c r="W36" s="2"/>
      <c r="X36" s="2"/>
      <c r="Y36" s="2"/>
      <c r="Z36" s="2"/>
      <c r="AA36" s="2"/>
      <c r="AB36" s="2"/>
      <c r="AC36" s="2"/>
    </row>
    <row r="37">
      <c r="A37" s="4">
        <v>37.0</v>
      </c>
      <c r="B37" s="5" t="s">
        <v>146</v>
      </c>
      <c r="C37" s="5" t="s">
        <v>147</v>
      </c>
      <c r="D37" s="5" t="s">
        <v>148</v>
      </c>
      <c r="E37" s="5" t="s">
        <v>149</v>
      </c>
      <c r="F37" s="2"/>
      <c r="G37" s="2"/>
      <c r="H37" s="4" t="str">
        <f>IFERROR(__xludf.DUMMYFUNCTION("GOOGLETRANSLATE(B37, ""en"", ""zh"")"),"“貔貅”在英语中直译是什么？")</f>
        <v>“貔貅”在英语中直译是什么？</v>
      </c>
      <c r="I37" s="4" t="str">
        <f>IFERROR(__xludf.DUMMYFUNCTION("GOOGLETRANSLATE(C37, ""en"", ""zh"")"),"A) 踢球，B) 古代足球，C) 进球运动，D) 球类搏斗")</f>
        <v>A) 踢球，B) 古代足球，C) 进球运动，D) 球类搏斗</v>
      </c>
      <c r="J37" s="4" t="str">
        <f>IFERROR(__xludf.DUMMYFUNCTION("GOOGLETRANSLATE(D37, ""en"", ""zh"")"),"A) 踢球")</f>
        <v>A) 踢球</v>
      </c>
      <c r="K37" s="4" t="str">
        <f>IFERROR(__xludf.DUMMYFUNCTION("GOOGLETRANSLATE(E37, ""en"", ""zh"")"),"“蹴鞠”这个名字直译成英文就是“踢球”。")</f>
        <v>“蹴鞠”这个名字直译成英文就是“踢球”。</v>
      </c>
      <c r="L37" s="3"/>
      <c r="M37" s="3"/>
      <c r="N37" s="3"/>
      <c r="O37" s="3"/>
      <c r="P37" s="2"/>
      <c r="Q37" s="2"/>
      <c r="R37" s="2"/>
      <c r="S37" s="2"/>
      <c r="T37" s="2"/>
      <c r="U37" s="2"/>
      <c r="V37" s="2"/>
      <c r="W37" s="2"/>
      <c r="X37" s="2"/>
      <c r="Y37" s="2"/>
      <c r="Z37" s="2"/>
      <c r="AA37" s="2"/>
      <c r="AB37" s="2"/>
      <c r="AC37" s="2"/>
    </row>
    <row r="38">
      <c r="A38" s="4">
        <v>38.0</v>
      </c>
      <c r="B38" s="5" t="s">
        <v>150</v>
      </c>
      <c r="C38" s="5" t="s">
        <v>151</v>
      </c>
      <c r="D38" s="5" t="s">
        <v>152</v>
      </c>
      <c r="E38" s="5" t="s">
        <v>153</v>
      </c>
      <c r="F38" s="2"/>
      <c r="G38" s="2"/>
      <c r="H38" s="4" t="str">
        <f>IFERROR(__xludf.DUMMYFUNCTION("GOOGLETRANSLATE(B38, ""en"", ""zh"")"),"以下哪项在蹴鞠中是被禁止的？")</f>
        <v>以下哪项在蹴鞠中是被禁止的？</v>
      </c>
      <c r="I38" s="4" t="str">
        <f>IFERROR(__xludf.DUMMYFUNCTION("GOOGLETRANSLATE(C38, ""en"", ""zh"")"),"A) 踢球，B) 用手，C) 运球，D) 传球")</f>
        <v>A) 踢球，B) 用手，C) 运球，D) 传球</v>
      </c>
      <c r="J38" s="4" t="str">
        <f>IFERROR(__xludf.DUMMYFUNCTION("GOOGLETRANSLATE(D38, ""en"", ""zh"")"),"B) 用手")</f>
        <v>B) 用手</v>
      </c>
      <c r="K38" s="4" t="str">
        <f>IFERROR(__xludf.DUMMYFUNCTION("GOOGLETRANSLATE(E38, ""en"", ""zh"")"),"在蹴鞠运动中，球员禁止用手触球。")</f>
        <v>在蹴鞠运动中，球员禁止用手触球。</v>
      </c>
      <c r="L38" s="8"/>
      <c r="M38" s="3"/>
      <c r="N38" s="8"/>
      <c r="O38" s="3"/>
      <c r="P38" s="2"/>
      <c r="Q38" s="2"/>
      <c r="R38" s="2"/>
      <c r="S38" s="2"/>
      <c r="T38" s="2"/>
      <c r="U38" s="2"/>
      <c r="V38" s="2"/>
      <c r="W38" s="2"/>
      <c r="X38" s="2"/>
      <c r="Y38" s="2"/>
      <c r="Z38" s="2"/>
      <c r="AA38" s="2"/>
      <c r="AB38" s="2"/>
      <c r="AC38" s="2"/>
    </row>
    <row r="39">
      <c r="A39" s="4">
        <v>39.0</v>
      </c>
      <c r="B39" s="5" t="s">
        <v>154</v>
      </c>
      <c r="C39" s="5" t="s">
        <v>155</v>
      </c>
      <c r="D39" s="5" t="s">
        <v>156</v>
      </c>
      <c r="E39" s="5" t="s">
        <v>157</v>
      </c>
      <c r="F39" s="2"/>
      <c r="G39" s="2"/>
      <c r="H39" s="4" t="str">
        <f>IFERROR(__xludf.DUMMYFUNCTION("GOOGLETRANSLATE(B39, ""en"", ""zh"")"),"蹴鞠有助于培养球员的哪些技能？")</f>
        <v>蹴鞠有助于培养球员的哪些技能？</v>
      </c>
      <c r="I39" s="4" t="str">
        <f>IFERROR(__xludf.DUMMYFUNCTION("GOOGLETRANSLATE(C39, ""en"", ""zh"")"),"A) 力量，B) 敏捷性和平衡性，C) 跳跃能力，D) 速度")</f>
        <v>A) 力量，B) 敏捷性和平衡性，C) 跳跃能力，D) 速度</v>
      </c>
      <c r="J39" s="4" t="str">
        <f>IFERROR(__xludf.DUMMYFUNCTION("GOOGLETRANSLATE(D39, ""en"", ""zh"")"),"B) 敏捷性和平衡性")</f>
        <v>B) 敏捷性和平衡性</v>
      </c>
      <c r="K39" s="4" t="str">
        <f>IFERROR(__xludf.DUMMYFUNCTION("GOOGLETRANSLATE(E39, ""en"", ""zh"")"),"蹴鞠有助于球员培养敏捷性和平衡性，这是有效控球的关键技能。")</f>
        <v>蹴鞠有助于球员培养敏捷性和平衡性，这是有效控球的关键技能。</v>
      </c>
      <c r="L39" s="8"/>
      <c r="M39" s="3"/>
      <c r="N39" s="8"/>
      <c r="O39" s="3"/>
      <c r="P39" s="8"/>
      <c r="Q39" s="2"/>
      <c r="R39" s="2"/>
      <c r="S39" s="2"/>
      <c r="T39" s="2"/>
      <c r="U39" s="2"/>
      <c r="V39" s="2"/>
      <c r="W39" s="2"/>
      <c r="X39" s="2"/>
      <c r="Y39" s="2"/>
      <c r="Z39" s="2"/>
      <c r="AA39" s="2"/>
      <c r="AB39" s="2"/>
      <c r="AC39" s="2"/>
    </row>
    <row r="40">
      <c r="A40" s="4">
        <v>40.0</v>
      </c>
      <c r="B40" s="5" t="s">
        <v>158</v>
      </c>
      <c r="C40" s="5" t="s">
        <v>159</v>
      </c>
      <c r="D40" s="5" t="s">
        <v>160</v>
      </c>
      <c r="E40" s="5" t="s">
        <v>161</v>
      </c>
      <c r="F40" s="2"/>
      <c r="G40" s="2"/>
      <c r="H40" s="4" t="str">
        <f>IFERROR(__xludf.DUMMYFUNCTION("GOOGLETRANSLATE(B40, ""en"", ""zh"")"),"蹴鞠的计分机制是怎样的？")</f>
        <v>蹴鞠的计分机制是怎样的？</v>
      </c>
      <c r="I40" s="4" t="str">
        <f>IFERROR(__xludf.DUMMYFUNCTION("GOOGLETRANSLATE(C40, ""en"", ""zh"")"),"A) 每进球得1分，B) 按距离计分，C) 传球得分，D) 铲球得分")</f>
        <v>A) 每进球得1分，B) 按距离计分，C) 传球得分，D) 铲球得分</v>
      </c>
      <c r="J40" s="4" t="str">
        <f>IFERROR(__xludf.DUMMYFUNCTION("GOOGLETRANSLATE(D40, ""en"", ""zh"")"),"A) 每进球得一分")</f>
        <v>A) 每进球得一分</v>
      </c>
      <c r="K40" s="4" t="str">
        <f>IFERROR(__xludf.DUMMYFUNCTION("GOOGLETRANSLATE(E40, ""en"", ""zh"")"),"在蹴鞠比赛中，每个进球得一分。")</f>
        <v>在蹴鞠比赛中，每个进球得一分。</v>
      </c>
      <c r="L40" s="3"/>
      <c r="M40" s="3"/>
      <c r="N40" s="3"/>
      <c r="O40" s="3"/>
      <c r="P40" s="8"/>
      <c r="Q40" s="2"/>
      <c r="R40" s="2"/>
      <c r="S40" s="2"/>
      <c r="T40" s="2"/>
      <c r="U40" s="2"/>
      <c r="V40" s="2"/>
      <c r="W40" s="2"/>
      <c r="X40" s="2"/>
      <c r="Y40" s="2"/>
      <c r="Z40" s="2"/>
      <c r="AA40" s="2"/>
      <c r="AB40" s="2"/>
      <c r="AC40" s="2"/>
    </row>
    <row r="41">
      <c r="A41" s="4">
        <v>41.0</v>
      </c>
      <c r="B41" s="5" t="s">
        <v>162</v>
      </c>
      <c r="C41" s="5" t="s">
        <v>163</v>
      </c>
      <c r="D41" s="5" t="s">
        <v>164</v>
      </c>
      <c r="E41" s="5" t="s">
        <v>165</v>
      </c>
      <c r="F41" s="2"/>
      <c r="G41" s="2"/>
      <c r="H41" s="4" t="str">
        <f>IFERROR(__xludf.DUMMYFUNCTION("GOOGLETRANSLATE(B41, ""en"", ""zh"")"),"蹴鞠比赛通常如何结束？")</f>
        <v>蹴鞠比赛通常如何结束？</v>
      </c>
      <c r="I41" s="4" t="str">
        <f>IFERROR(__xludf.DUMMYFUNCTION("GOOGLETRANSLATE(C41, ""en"", ""zh"")"),"A) 由裁判判定，B) 由率先进球的球队决定，C) 进球数达到五个后，D) 比赛时间结束时")</f>
        <v>A) 由裁判判定，B) 由率先进球的球队决定，C) 进球数达到五个后，D) 比赛时间结束时</v>
      </c>
      <c r="J41" s="4" t="str">
        <f>IFERROR(__xludf.DUMMYFUNCTION("GOOGLETRANSLATE(D41, ""en"", ""zh"")"),"C) 进球数达到五个后")</f>
        <v>C) 进球数达到五个后</v>
      </c>
      <c r="K41" s="4" t="str">
        <f>IFERROR(__xludf.DUMMYFUNCTION("GOOGLETRANSLATE(E41, ""en"", ""zh"")"),"蹴鞠比赛传统上以一方球队攻入五球为结束。")</f>
        <v>蹴鞠比赛传统上以一方球队攻入五球为结束。</v>
      </c>
      <c r="L41" s="3"/>
      <c r="M41" s="3"/>
      <c r="N41" s="8"/>
      <c r="O41" s="3"/>
      <c r="P41" s="3"/>
      <c r="Q41" s="2"/>
      <c r="R41" s="2"/>
      <c r="S41" s="2"/>
      <c r="T41" s="2"/>
      <c r="U41" s="2"/>
      <c r="V41" s="2"/>
      <c r="W41" s="2"/>
      <c r="X41" s="2"/>
      <c r="Y41" s="2"/>
      <c r="Z41" s="2"/>
      <c r="AA41" s="2"/>
      <c r="AB41" s="2"/>
      <c r="AC41" s="2"/>
    </row>
    <row r="42">
      <c r="A42" s="4">
        <v>42.0</v>
      </c>
      <c r="B42" s="5" t="s">
        <v>166</v>
      </c>
      <c r="C42" s="5" t="s">
        <v>167</v>
      </c>
      <c r="D42" s="5" t="s">
        <v>168</v>
      </c>
      <c r="E42" s="5" t="s">
        <v>169</v>
      </c>
      <c r="F42" s="2"/>
      <c r="G42" s="2"/>
      <c r="H42" s="4" t="str">
        <f>IFERROR(__xludf.DUMMYFUNCTION("GOOGLETRANSLATE(B42, ""en"", ""zh"")"),"蹴鞠和现代足球的主要区别是什么？")</f>
        <v>蹴鞠和现代足球的主要区别是什么？</v>
      </c>
      <c r="I42" s="4" t="str">
        <f>IFERROR(__xludf.DUMMYFUNCTION("GOOGLETRANSLATE(C42, ""en"", ""zh"")"),"A) 蹴鞠规则更多，B) 蹴鞠是用手玩的，C) 蹴鞠没有越位规则，D) 蹴鞠使用圆球。")</f>
        <v>A) 蹴鞠规则更多，B) 蹴鞠是用手玩的，C) 蹴鞠没有越位规则，D) 蹴鞠使用圆球。</v>
      </c>
      <c r="J42" s="4" t="str">
        <f>IFERROR(__xludf.DUMMYFUNCTION("GOOGLETRANSLATE(D42, ""en"", ""zh"")"),"C) 貉队没有越位规则")</f>
        <v>C) 貉队没有越位规则</v>
      </c>
      <c r="K42" s="4" t="str">
        <f>IFERROR(__xludf.DUMMYFUNCTION("GOOGLETRANSLATE(E42, ""en"", ""zh"")"),"库茹没有越位规则，这与现代足球的一个关键区别。")</f>
        <v>库茹没有越位规则，这与现代足球的一个关键区别。</v>
      </c>
      <c r="L42" s="8"/>
      <c r="M42" s="3"/>
      <c r="N42" s="2"/>
      <c r="O42" s="3"/>
      <c r="P42" s="2"/>
      <c r="Q42" s="2"/>
      <c r="R42" s="2"/>
      <c r="S42" s="2"/>
      <c r="T42" s="2"/>
      <c r="U42" s="2"/>
      <c r="V42" s="2"/>
      <c r="W42" s="2"/>
      <c r="X42" s="2"/>
      <c r="Y42" s="2"/>
      <c r="Z42" s="2"/>
      <c r="AA42" s="2"/>
      <c r="AB42" s="2"/>
      <c r="AC42" s="2"/>
    </row>
    <row r="43">
      <c r="A43" s="4">
        <v>43.0</v>
      </c>
      <c r="B43" s="5" t="s">
        <v>170</v>
      </c>
      <c r="C43" s="5" t="s">
        <v>171</v>
      </c>
      <c r="D43" s="5" t="s">
        <v>172</v>
      </c>
      <c r="E43" s="5" t="s">
        <v>173</v>
      </c>
      <c r="F43" s="2"/>
      <c r="G43" s="2"/>
      <c r="H43" s="4" t="str">
        <f>IFERROR(__xludf.DUMMYFUNCTION("GOOGLETRANSLATE(B43, ""en"", ""zh"")"),"蹴鞠队每队最多可以有多少名球员？")</f>
        <v>蹴鞠队每队最多可以有多少名球员？</v>
      </c>
      <c r="I43" s="4" t="str">
        <f>IFERROR(__xludf.DUMMYFUNCTION("GOOGLETRANSLATE(C43, ""en"", ""zh"")"),"A) 5，B) 10，C) 12，D) 15")</f>
        <v>A) 5，B) 10，C) 12，D) 15</v>
      </c>
      <c r="J43" s="4" t="str">
        <f>IFERROR(__xludf.DUMMYFUNCTION("GOOGLETRANSLATE(D43, ""en"", ""zh"")"),"B) 10")</f>
        <v>B) 10</v>
      </c>
      <c r="K43" s="4" t="str">
        <f>IFERROR(__xludf.DUMMYFUNCTION("GOOGLETRANSLATE(E43, ""en"", ""zh"")"),"蹴鞠每队通常最多有 10 名球员，类似于小型足球比赛。")</f>
        <v>蹴鞠每队通常最多有 10 名球员，类似于小型足球比赛。</v>
      </c>
      <c r="L43" s="2"/>
      <c r="M43" s="3"/>
      <c r="N43" s="3"/>
      <c r="O43" s="3"/>
      <c r="P43" s="8"/>
      <c r="Q43" s="2"/>
      <c r="R43" s="2"/>
      <c r="S43" s="2"/>
      <c r="T43" s="2"/>
      <c r="U43" s="2"/>
      <c r="V43" s="2"/>
      <c r="W43" s="2"/>
      <c r="X43" s="2"/>
      <c r="Y43" s="2"/>
      <c r="Z43" s="2"/>
      <c r="AA43" s="2"/>
      <c r="AB43" s="2"/>
      <c r="AC43" s="2"/>
    </row>
    <row r="44">
      <c r="A44" s="4">
        <v>44.0</v>
      </c>
      <c r="B44" s="5" t="s">
        <v>174</v>
      </c>
      <c r="C44" s="5" t="s">
        <v>175</v>
      </c>
      <c r="D44" s="5" t="s">
        <v>176</v>
      </c>
      <c r="E44" s="5" t="s">
        <v>177</v>
      </c>
      <c r="F44" s="2"/>
      <c r="G44" s="2"/>
      <c r="H44" s="4" t="str">
        <f>IFERROR(__xludf.DUMMYFUNCTION("GOOGLETRANSLATE(B44, ""en"", ""zh"")"),"蹴鞠的历史意义是什么？")</f>
        <v>蹴鞠的历史意义是什么？</v>
      </c>
      <c r="I44" s="4" t="str">
        <f>IFERROR(__xludf.DUMMYFUNCTION("GOOGLETRANSLATE(C44, ""en"", ""zh"")"),"A) 它是第一项竞技体育运动，B) 它影响了现代足球，C) 它是一项军事运动，D) 它只由皇室成员参与。")</f>
        <v>A) 它是第一项竞技体育运动，B) 它影响了现代足球，C) 它是一项军事运动，D) 它只由皇室成员参与。</v>
      </c>
      <c r="J44" s="4" t="str">
        <f>IFERROR(__xludf.DUMMYFUNCTION("GOOGLETRANSLATE(D44, ""en"", ""zh"")"),"B) 它影响了现代足球")</f>
        <v>B) 它影响了现代足球</v>
      </c>
      <c r="K44" s="4" t="str">
        <f>IFERROR(__xludf.DUMMYFUNCTION("GOOGLETRANSLATE(E44, ""en"", ""zh"")"),"蹴鞠被认为是影响现代足球发展的最早运动之一。")</f>
        <v>蹴鞠被认为是影响现代足球发展的最早运动之一。</v>
      </c>
      <c r="L44" s="2"/>
      <c r="M44" s="3"/>
      <c r="N44" s="8"/>
      <c r="O44" s="3"/>
      <c r="P44" s="8"/>
      <c r="Q44" s="2"/>
      <c r="R44" s="2"/>
      <c r="S44" s="2"/>
      <c r="T44" s="2"/>
      <c r="U44" s="2"/>
      <c r="V44" s="2"/>
      <c r="W44" s="2"/>
      <c r="X44" s="2"/>
      <c r="Y44" s="2"/>
      <c r="Z44" s="2"/>
      <c r="AA44" s="2"/>
      <c r="AB44" s="2"/>
      <c r="AC44" s="2"/>
    </row>
    <row r="45">
      <c r="A45" s="4">
        <v>45.0</v>
      </c>
      <c r="B45" s="5" t="s">
        <v>178</v>
      </c>
      <c r="C45" s="5" t="s">
        <v>179</v>
      </c>
      <c r="D45" s="5" t="s">
        <v>180</v>
      </c>
      <c r="E45" s="5" t="s">
        <v>181</v>
      </c>
      <c r="F45" s="2"/>
      <c r="G45" s="2"/>
      <c r="H45" s="4" t="str">
        <f>IFERROR(__xludf.DUMMYFUNCTION("GOOGLETRANSLATE(B45, ""en"", ""zh"")"),"古代蹴鞠中用来标记田地的主要工具之一是什么？")</f>
        <v>古代蹴鞠中用来标记田地的主要工具之一是什么？</v>
      </c>
      <c r="I45" s="4" t="str">
        <f>IFERROR(__xludf.DUMMYFUNCTION("GOOGLETRANSLATE(C45, ""en"", ""zh"")"),"A) 石头，B) 木桩，C) 粉笔，D) 绳子")</f>
        <v>A) 石头，B) 木桩，C) 粉笔，D) 绳子</v>
      </c>
      <c r="J45" s="4" t="str">
        <f>IFERROR(__xludf.DUMMYFUNCTION("GOOGLETRANSLATE(D45, ""en"", ""zh"")"),"B) 木桩")</f>
        <v>B) 木桩</v>
      </c>
      <c r="K45" s="4" t="str">
        <f>IFERROR(__xludf.DUMMYFUNCTION("GOOGLETRANSLATE(E45, ""en"", ""zh"")"),"在古代蹴鞠运动中，人们使用木桩来标示比赛场地的边界。")</f>
        <v>在古代蹴鞠运动中，人们使用木桩来标示比赛场地的边界。</v>
      </c>
      <c r="L45" s="8"/>
      <c r="M45" s="3"/>
      <c r="N45" s="8"/>
      <c r="O45" s="3"/>
      <c r="P45" s="8"/>
      <c r="Q45" s="2"/>
      <c r="R45" s="2"/>
      <c r="S45" s="2"/>
      <c r="T45" s="2"/>
      <c r="U45" s="2"/>
      <c r="V45" s="2"/>
      <c r="W45" s="2"/>
      <c r="X45" s="2"/>
      <c r="Y45" s="2"/>
      <c r="Z45" s="2"/>
      <c r="AA45" s="2"/>
      <c r="AB45" s="2"/>
      <c r="AC45" s="2"/>
    </row>
    <row r="46">
      <c r="A46" s="4">
        <v>46.0</v>
      </c>
      <c r="B46" s="5" t="s">
        <v>182</v>
      </c>
      <c r="C46" s="5" t="s">
        <v>183</v>
      </c>
      <c r="D46" s="5" t="s">
        <v>184</v>
      </c>
      <c r="E46" s="5" t="s">
        <v>185</v>
      </c>
      <c r="F46" s="2"/>
      <c r="G46" s="2"/>
      <c r="H46" s="4" t="str">
        <f>IFERROR(__xludf.DUMMYFUNCTION("GOOGLETRANSLATE(B46, ""en"", ""zh"")"),"在蹴鞠中，“守门员”扮演什么角色？")</f>
        <v>在蹴鞠中，“守门员”扮演什么角色？</v>
      </c>
      <c r="I46" s="4" t="str">
        <f>IFERROR(__xludf.DUMMYFUNCTION("GOOGLETRANSLATE(C46, ""en"", ""zh"")"),"A) 进球得分，B) 阻止球进入球门，C) 组织防守，D) 用手控球")</f>
        <v>A) 进球得分，B) 阻止球进入球门，C) 组织防守，D) 用手控球</v>
      </c>
      <c r="J46" s="4" t="str">
        <f>IFERROR(__xludf.DUMMYFUNCTION("GOOGLETRANSLATE(D46, ""en"", ""zh"")"),"B) 阻止球进入球门")</f>
        <v>B) 阻止球进入球门</v>
      </c>
      <c r="K46" s="4" t="str">
        <f>IFERROR(__xludf.DUMMYFUNCTION("GOOGLETRANSLATE(E46, ""en"", ""zh"")"),"在《蹴鞠》中，守门员的主要职责是阻止球进入球门，这与现代足球类似。")</f>
        <v>在《蹴鞠》中，守门员的主要职责是阻止球进入球门，这与现代足球类似。</v>
      </c>
      <c r="L46" s="8"/>
      <c r="M46" s="3"/>
      <c r="N46" s="8"/>
      <c r="O46" s="3"/>
      <c r="P46" s="8"/>
      <c r="Q46" s="2"/>
      <c r="R46" s="2"/>
      <c r="S46" s="2"/>
      <c r="T46" s="2"/>
      <c r="U46" s="2"/>
      <c r="V46" s="2"/>
      <c r="W46" s="2"/>
      <c r="X46" s="2"/>
      <c r="Y46" s="2"/>
      <c r="Z46" s="2"/>
      <c r="AA46" s="2"/>
      <c r="AB46" s="2"/>
      <c r="AC46" s="2"/>
    </row>
    <row r="47">
      <c r="A47" s="4">
        <v>47.0</v>
      </c>
      <c r="B47" s="5" t="s">
        <v>186</v>
      </c>
      <c r="C47" s="5" t="s">
        <v>187</v>
      </c>
      <c r="D47" s="5" t="s">
        <v>188</v>
      </c>
      <c r="E47" s="5" t="s">
        <v>189</v>
      </c>
      <c r="F47" s="2"/>
      <c r="G47" s="2"/>
      <c r="H47" s="4" t="str">
        <f>IFERROR(__xludf.DUMMYFUNCTION("GOOGLETRANSLATE(B47, ""en"", ""zh"")"),"以下哪些是蹴鞠中允许的？")</f>
        <v>以下哪些是蹴鞠中允许的？</v>
      </c>
      <c r="I47" s="4" t="str">
        <f>IFERROR(__xludf.DUMMYFUNCTION("GOOGLETRANSLATE(C47, ""en"", ""zh"")"),"A) 用手触球，B) 用脚运球，C) 抛球，D) 头球得分")</f>
        <v>A) 用手触球，B) 用脚运球，C) 抛球，D) 头球得分</v>
      </c>
      <c r="J47" s="4" t="str">
        <f>IFERROR(__xludf.DUMMYFUNCTION("GOOGLETRANSLATE(D47, ""en"", ""zh"")"),"B）用脚运球")</f>
        <v>B）用脚运球</v>
      </c>
      <c r="K47" s="4" t="str">
        <f>IFERROR(__xludf.DUMMYFUNCTION("GOOGLETRANSLATE(E47, ""en"", ""zh"")"),"用脚运球是蹴鞠的重要组成部分，这与用手或其他身体部位运球不同。")</f>
        <v>用脚运球是蹴鞠的重要组成部分，这与用手或其他身体部位运球不同。</v>
      </c>
      <c r="L47" s="3"/>
      <c r="M47" s="3"/>
      <c r="N47" s="8"/>
      <c r="O47" s="3"/>
      <c r="P47" s="8"/>
      <c r="Q47" s="2"/>
      <c r="R47" s="2"/>
      <c r="S47" s="2"/>
      <c r="T47" s="2"/>
      <c r="U47" s="2"/>
      <c r="V47" s="2"/>
      <c r="W47" s="2"/>
      <c r="X47" s="2"/>
      <c r="Y47" s="2"/>
      <c r="Z47" s="2"/>
      <c r="AA47" s="2"/>
      <c r="AB47" s="2"/>
      <c r="AC47" s="2"/>
    </row>
    <row r="48">
      <c r="A48" s="10">
        <v>48.0</v>
      </c>
      <c r="B48" s="11" t="s">
        <v>190</v>
      </c>
      <c r="C48" s="11" t="s">
        <v>191</v>
      </c>
      <c r="D48" s="11" t="s">
        <v>192</v>
      </c>
      <c r="E48" s="11" t="s">
        <v>193</v>
      </c>
      <c r="F48" s="12"/>
      <c r="G48" s="12"/>
      <c r="H48" s="4" t="str">
        <f>IFERROR(__xludf.DUMMYFUNCTION("GOOGLETRANSLATE(B48, ""en"", ""zh"")"),"以下哪项是蹴鞠游戏的特点？")</f>
        <v>以下哪项是蹴鞠游戏的特点？</v>
      </c>
      <c r="I48" s="4" t="str">
        <f>IFERROR(__xludf.DUMMYFUNCTION("GOOGLETRANSLATE(C48, ""en"", ""zh"")"),"A) 用手，B) 踢球，C) 带球跑动，D) 没有球门柱")</f>
        <v>A) 用手，B) 踢球，C) 带球跑动，D) 没有球门柱</v>
      </c>
      <c r="J48" s="4" t="str">
        <f>IFERROR(__xludf.DUMMYFUNCTION("GOOGLETRANSLATE(D48, ""en"", ""zh"")"),"B）踢球")</f>
        <v>B）踢球</v>
      </c>
      <c r="K48" s="4" t="str">
        <f>IFERROR(__xludf.DUMMYFUNCTION("GOOGLETRANSLATE(E48, ""en"", ""zh"")"),"蹴鞠是一种用脚踢球的运动，类似于现代足球，但不能用手。")</f>
        <v>蹴鞠是一种用脚踢球的运动，类似于现代足球，但不能用手。</v>
      </c>
      <c r="L48" s="12"/>
      <c r="M48" s="13"/>
      <c r="N48" s="12"/>
      <c r="O48" s="13"/>
      <c r="P48" s="14"/>
      <c r="Q48" s="2"/>
      <c r="R48" s="2"/>
      <c r="S48" s="2"/>
      <c r="T48" s="2"/>
      <c r="U48" s="2"/>
      <c r="V48" s="2"/>
      <c r="W48" s="2"/>
      <c r="X48" s="2"/>
      <c r="Y48" s="2"/>
      <c r="Z48" s="2"/>
      <c r="AA48" s="2"/>
      <c r="AB48" s="2"/>
      <c r="AC48" s="2"/>
    </row>
    <row r="49">
      <c r="A49" s="10">
        <v>49.0</v>
      </c>
      <c r="B49" s="11" t="s">
        <v>194</v>
      </c>
      <c r="C49" s="11" t="s">
        <v>195</v>
      </c>
      <c r="D49" s="11" t="s">
        <v>196</v>
      </c>
      <c r="E49" s="11" t="s">
        <v>197</v>
      </c>
      <c r="F49" s="12"/>
      <c r="G49" s="12"/>
      <c r="H49" s="4" t="str">
        <f>IFERROR(__xludf.DUMMYFUNCTION("GOOGLETRANSLATE(B49, ""en"", ""zh"")"),"貉队比赛的球门柱通常是什么样的？")</f>
        <v>貉队比赛的球门柱通常是什么样的？</v>
      </c>
      <c r="I49" s="4" t="str">
        <f>IFERROR(__xludf.DUMMYFUNCTION("GOOGLETRANSLATE(C49, ""en"", ""zh"")"),"A) 正方形，B) 圆形，C) 长方形，D) 三角形")</f>
        <v>A) 正方形，B) 圆形，C) 长方形，D) 三角形</v>
      </c>
      <c r="J49" s="4" t="str">
        <f>IFERROR(__xludf.DUMMYFUNCTION("GOOGLETRANSLATE(D49, ""en"", ""zh"")"),"C) 矩形")</f>
        <v>C) 矩形</v>
      </c>
      <c r="K49" s="4" t="str">
        <f>IFERROR(__xludf.DUMMYFUNCTION("GOOGLETRANSLATE(E49, ""en"", ""zh"")"),"蹴鞠的球门柱是长方形的，类似于早期的足球球门。")</f>
        <v>蹴鞠的球门柱是长方形的，类似于早期的足球球门。</v>
      </c>
      <c r="L49" s="14"/>
      <c r="M49" s="13"/>
      <c r="N49" s="13"/>
      <c r="O49" s="13"/>
      <c r="P49" s="14"/>
      <c r="Q49" s="2"/>
      <c r="R49" s="2"/>
      <c r="S49" s="2"/>
      <c r="T49" s="2"/>
      <c r="U49" s="2"/>
      <c r="V49" s="2"/>
      <c r="W49" s="2"/>
      <c r="X49" s="2"/>
      <c r="Y49" s="2"/>
      <c r="Z49" s="2"/>
      <c r="AA49" s="2"/>
      <c r="AB49" s="2"/>
      <c r="AC49" s="2"/>
    </row>
    <row r="50">
      <c r="A50" s="10">
        <v>50.0</v>
      </c>
      <c r="B50" s="11" t="s">
        <v>198</v>
      </c>
      <c r="C50" s="11" t="s">
        <v>199</v>
      </c>
      <c r="D50" s="11" t="s">
        <v>200</v>
      </c>
      <c r="E50" s="11" t="s">
        <v>201</v>
      </c>
      <c r="F50" s="12"/>
      <c r="G50" s="12"/>
      <c r="H50" s="4" t="str">
        <f>IFERROR(__xludf.DUMMYFUNCTION("GOOGLETRANSLATE(B50, ""en"", ""zh"")"),"游戏《蹴鞠》的主要目标是什么？")</f>
        <v>游戏《蹴鞠》的主要目标是什么？</v>
      </c>
      <c r="I50" s="4" t="str">
        <f>IFERROR(__xludf.DUMMYFUNCTION("GOOGLETRANSLATE(C50, ""en"", ""zh"")"),"A) 将球投入篮筐得分，B) 将球踢入网中得分，C) 带球越过界线得分，D) 将球落入篮筐得分")</f>
        <v>A) 将球投入篮筐得分，B) 将球踢入网中得分，C) 带球越过界线得分，D) 将球落入篮筐得分</v>
      </c>
      <c r="J50" s="4" t="str">
        <f>IFERROR(__xludf.DUMMYFUNCTION("GOOGLETRANSLATE(D50, ""en"", ""zh"")"),"B) 将球踢入网中")</f>
        <v>B) 将球踢入网中</v>
      </c>
      <c r="K50" s="4" t="str">
        <f>IFERROR(__xludf.DUMMYFUNCTION("GOOGLETRANSLATE(E50, ""en"", ""zh"")"),"蹴鞠的主要目标是将球踢入球门，类似于今天的足球。")</f>
        <v>蹴鞠的主要目标是将球踢入球门，类似于今天的足球。</v>
      </c>
      <c r="L50" s="13"/>
      <c r="M50" s="13"/>
      <c r="N50" s="13"/>
      <c r="O50" s="13"/>
      <c r="P50" s="13"/>
      <c r="Q50" s="2"/>
      <c r="R50" s="2"/>
      <c r="S50" s="2"/>
      <c r="T50" s="2"/>
      <c r="U50" s="2"/>
      <c r="V50" s="2"/>
      <c r="W50" s="2"/>
      <c r="X50" s="2"/>
      <c r="Y50" s="2"/>
      <c r="Z50" s="2"/>
      <c r="AA50" s="2"/>
      <c r="AB50" s="2"/>
      <c r="AC50" s="2"/>
    </row>
    <row r="51">
      <c r="A51" s="10">
        <v>51.0</v>
      </c>
      <c r="B51" s="11" t="s">
        <v>202</v>
      </c>
      <c r="C51" s="11" t="s">
        <v>203</v>
      </c>
      <c r="D51" s="11" t="s">
        <v>204</v>
      </c>
      <c r="E51" s="11" t="s">
        <v>205</v>
      </c>
      <c r="F51" s="12"/>
      <c r="G51" s="12"/>
      <c r="H51" s="4" t="str">
        <f>IFERROR(__xludf.DUMMYFUNCTION("GOOGLETRANSLATE(B51, ""en"", ""zh"")"),"蹴鞠比赛中使用的是哪种球？")</f>
        <v>蹴鞠比赛中使用的是哪种球？</v>
      </c>
      <c r="I51" s="4" t="str">
        <f>IFERROR(__xludf.DUMMYFUNCTION("GOOGLETRANSLATE(C51, ""en"", ""zh"")"),"A) 木球，B) 皮球，C) 石球，D) 充气皮球")</f>
        <v>A) 木球，B) 皮球，C) 石球，D) 充气皮球</v>
      </c>
      <c r="J51" s="4" t="str">
        <f>IFERROR(__xludf.DUMMYFUNCTION("GOOGLETRANSLATE(D51, ""en"", ""zh"")"),"D) 充气皮球")</f>
        <v>D) 充气皮球</v>
      </c>
      <c r="K51" s="4" t="str">
        <f>IFERROR(__xludf.DUMMYFUNCTION("GOOGLETRANSLATE(E51, ""en"", ""zh"")"),"蹴鞠比赛中使用的球是由皮革制成的，并且充气以方便踢球。")</f>
        <v>蹴鞠比赛中使用的球是由皮革制成的，并且充气以方便踢球。</v>
      </c>
      <c r="L51" s="14"/>
      <c r="M51" s="13"/>
      <c r="N51" s="12"/>
      <c r="O51" s="13"/>
      <c r="P51" s="14"/>
      <c r="Q51" s="2"/>
      <c r="R51" s="2"/>
      <c r="S51" s="2"/>
      <c r="T51" s="2"/>
      <c r="U51" s="2"/>
      <c r="V51" s="2"/>
      <c r="W51" s="2"/>
      <c r="X51" s="2"/>
      <c r="Y51" s="2"/>
      <c r="Z51" s="2"/>
      <c r="AA51" s="2"/>
      <c r="AB51" s="2"/>
      <c r="AC51" s="2"/>
    </row>
    <row r="52">
      <c r="A52" s="10">
        <v>52.0</v>
      </c>
      <c r="B52" s="11" t="s">
        <v>206</v>
      </c>
      <c r="C52" s="11" t="s">
        <v>207</v>
      </c>
      <c r="D52" s="11" t="s">
        <v>208</v>
      </c>
      <c r="E52" s="11" t="s">
        <v>209</v>
      </c>
      <c r="F52" s="12"/>
      <c r="G52" s="12"/>
      <c r="H52" s="4" t="str">
        <f>IFERROR(__xludf.DUMMYFUNCTION("GOOGLETRANSLATE(B52, ""en"", ""zh"")"),"蹴鞠比赛中，球网通常使用什么材料制成？")</f>
        <v>蹴鞠比赛中，球网通常使用什么材料制成？</v>
      </c>
      <c r="I52" s="4" t="str">
        <f>IFERROR(__xludf.DUMMYFUNCTION("GOOGLETRANSLATE(C52, ""en"", ""zh"")"),"A) 丝绸，B) 竹子，C) 皮革，D) 棉")</f>
        <v>A) 丝绸，B) 竹子，C) 皮革，D) 棉</v>
      </c>
      <c r="J52" s="4" t="str">
        <f>IFERROR(__xludf.DUMMYFUNCTION("GOOGLETRANSLATE(D52, ""en"", ""zh"")"),"B）竹子")</f>
        <v>B）竹子</v>
      </c>
      <c r="K52" s="4" t="str">
        <f>IFERROR(__xludf.DUMMYFUNCTION("GOOGLETRANSLATE(E52, ""en"", ""zh"")"),"蹴鞠比赛中的球门通常用竹网围起来。")</f>
        <v>蹴鞠比赛中的球门通常用竹网围起来。</v>
      </c>
      <c r="L52" s="14"/>
      <c r="M52" s="13"/>
      <c r="N52" s="12"/>
      <c r="O52" s="13"/>
      <c r="P52" s="13"/>
      <c r="Q52" s="12"/>
      <c r="R52" s="12"/>
      <c r="S52" s="12"/>
      <c r="T52" s="12"/>
      <c r="U52" s="12"/>
      <c r="V52" s="12"/>
      <c r="W52" s="12"/>
      <c r="X52" s="12"/>
      <c r="Y52" s="12"/>
      <c r="Z52" s="12"/>
      <c r="AA52" s="12"/>
      <c r="AB52" s="12"/>
      <c r="AC52" s="12"/>
    </row>
    <row r="53">
      <c r="A53" s="10">
        <v>53.0</v>
      </c>
      <c r="B53" s="11" t="s">
        <v>210</v>
      </c>
      <c r="C53" s="11" t="s">
        <v>211</v>
      </c>
      <c r="D53" s="11" t="s">
        <v>212</v>
      </c>
      <c r="E53" s="11" t="s">
        <v>213</v>
      </c>
      <c r="F53" s="12"/>
      <c r="G53" s="12"/>
      <c r="H53" s="4" t="str">
        <f>IFERROR(__xludf.DUMMYFUNCTION("GOOGLETRANSLATE(B53, ""en"", ""zh"")"),"以下哪项是蹴鞠游戏的特点？")</f>
        <v>以下哪项是蹴鞠游戏的特点？</v>
      </c>
      <c r="I53" s="4" t="str">
        <f>IFERROR(__xludf.DUMMYFUNCTION("GOOGLETRANSLATE(C53, ""en"", ""zh"")"),"A) 用手，B) 用脚踢，C) 用棍子，D) 带球跑动")</f>
        <v>A) 用手，B) 用脚踢，C) 用棍子，D) 带球跑动</v>
      </c>
      <c r="J53" s="4" t="str">
        <f>IFERROR(__xludf.DUMMYFUNCTION("GOOGLETRANSLATE(D53, ""en"", ""zh"")"),"B) 用脚踢")</f>
        <v>B) 用脚踢</v>
      </c>
      <c r="K53" s="4" t="str">
        <f>IFERROR(__xludf.DUMMYFUNCTION("GOOGLETRANSLATE(E53, ""en"", ""zh"")"),"蹴鞠是一种以脚为单位的运动，球员通过踢球得分。")</f>
        <v>蹴鞠是一种以脚为单位的运动，球员通过踢球得分。</v>
      </c>
      <c r="L53" s="14"/>
      <c r="M53" s="13"/>
      <c r="N53" s="12"/>
      <c r="O53" s="13"/>
      <c r="P53" s="14"/>
      <c r="Q53" s="12"/>
      <c r="R53" s="12"/>
      <c r="S53" s="12"/>
      <c r="T53" s="12"/>
      <c r="U53" s="12"/>
      <c r="V53" s="12"/>
      <c r="W53" s="12"/>
      <c r="X53" s="12"/>
      <c r="Y53" s="12"/>
      <c r="Z53" s="12"/>
      <c r="AA53" s="12"/>
      <c r="AB53" s="12"/>
      <c r="AC53" s="12"/>
    </row>
    <row r="54">
      <c r="A54" s="10">
        <v>54.0</v>
      </c>
      <c r="B54" s="5" t="s">
        <v>214</v>
      </c>
      <c r="C54" s="5" t="s">
        <v>215</v>
      </c>
      <c r="D54" s="5" t="s">
        <v>216</v>
      </c>
      <c r="E54" s="5" t="s">
        <v>217</v>
      </c>
      <c r="F54" s="2"/>
      <c r="G54" s="2"/>
      <c r="H54" s="4" t="str">
        <f>IFERROR(__xludf.DUMMYFUNCTION("GOOGLETRANSLATE(B54, ""en"", ""zh"")"),"以下哪项不是传统的蹴鞠规则？")</f>
        <v>以下哪项不是传统的蹴鞠规则？</v>
      </c>
      <c r="I54" s="4" t="str">
        <f>IFERROR(__xludf.DUMMYFUNCTION("GOOGLETRANSLATE(C54, ""en"", ""zh"")"),"A) 球员必须用脚踢球；B) 球员可以用头顶球；C) 球员可以用手接球；D) 各队比赛以进球为目标")</f>
        <v>A) 球员必须用脚踢球；B) 球员可以用头顶球；C) 球员可以用手接球；D) 各队比赛以进球为目标</v>
      </c>
      <c r="J54" s="4" t="str">
        <f>IFERROR(__xludf.DUMMYFUNCTION("GOOGLETRANSLATE(D54, ""en"", ""zh"")"),"C) 球员可以用手接球")</f>
        <v>C) 球员可以用手接球</v>
      </c>
      <c r="K54" s="4" t="str">
        <f>IFERROR(__xludf.DUMMYFUNCTION("GOOGLETRANSLATE(E54, ""en"", ""zh"")"),"在蹴鞠这项运动中，球员不允许用手接球，必须用脚或其他身体部位进行比赛。")</f>
        <v>在蹴鞠这项运动中，球员不允许用手接球，必须用脚或其他身体部位进行比赛。</v>
      </c>
      <c r="L54" s="3"/>
      <c r="M54" s="3"/>
      <c r="N54" s="2"/>
      <c r="O54" s="3"/>
      <c r="P54" s="15"/>
      <c r="Q54" s="2"/>
      <c r="R54" s="2"/>
      <c r="S54" s="2"/>
      <c r="T54" s="2"/>
      <c r="U54" s="2"/>
      <c r="V54" s="2"/>
      <c r="W54" s="2"/>
      <c r="X54" s="2"/>
      <c r="Y54" s="2"/>
      <c r="Z54" s="2"/>
      <c r="AA54" s="2"/>
      <c r="AB54" s="2"/>
      <c r="AC54" s="2"/>
    </row>
    <row r="55">
      <c r="A55" s="10">
        <v>55.0</v>
      </c>
      <c r="B55" s="5" t="s">
        <v>218</v>
      </c>
      <c r="C55" s="5" t="s">
        <v>219</v>
      </c>
      <c r="D55" s="5" t="s">
        <v>220</v>
      </c>
      <c r="E55" s="5" t="s">
        <v>221</v>
      </c>
      <c r="F55" s="2"/>
      <c r="G55" s="2"/>
      <c r="H55" s="4" t="str">
        <f>IFERROR(__xludf.DUMMYFUNCTION("GOOGLETRANSLATE(B55, ""en"", ""zh"")"),"在貉队比赛中，一般什么时候会判罚任意球？")</f>
        <v>在貉队比赛中，一般什么时候会判罚任意球？</v>
      </c>
      <c r="I55" s="4" t="str">
        <f>IFERROR(__xludf.DUMMYFUNCTION("GOOGLETRANSLATE(C55, ""en"", ""zh"")"),"A) 进球后，B) 越位后，C) 犯规或不当行为后，D) 球员被替换下场后")</f>
        <v>A) 进球后，B) 越位后，C) 犯规或不当行为后，D) 球员被替换下场后</v>
      </c>
      <c r="J55" s="4" t="str">
        <f>IFERROR(__xludf.DUMMYFUNCTION("GOOGLETRANSLATE(D55, ""en"", ""zh"")"),"C) 在犯规或不当行为之后")</f>
        <v>C) 在犯规或不当行为之后</v>
      </c>
      <c r="K55" s="4" t="str">
        <f>IFERROR(__xludf.DUMMYFUNCTION("GOOGLETRANSLATE(E55, ""en"", ""zh"")"),"当一名球员犯规或行为不端时，裁判会判罚任意球，让对方球队有机会重新开始比赛。")</f>
        <v>当一名球员犯规或行为不端时，裁判会判罚任意球，让对方球队有机会重新开始比赛。</v>
      </c>
      <c r="L55" s="8"/>
      <c r="M55" s="3"/>
      <c r="N55" s="3"/>
      <c r="O55" s="3"/>
      <c r="P55" s="2"/>
      <c r="Q55" s="2"/>
      <c r="R55" s="2"/>
      <c r="S55" s="2"/>
      <c r="T55" s="2"/>
      <c r="U55" s="2"/>
      <c r="V55" s="2"/>
      <c r="W55" s="2"/>
      <c r="X55" s="2"/>
      <c r="Y55" s="2"/>
      <c r="Z55" s="2"/>
      <c r="AA55" s="2"/>
      <c r="AB55" s="2"/>
      <c r="AC55" s="2"/>
    </row>
    <row r="56">
      <c r="A56" s="10">
        <v>56.0</v>
      </c>
      <c r="B56" s="5" t="s">
        <v>222</v>
      </c>
      <c r="C56" s="5" t="s">
        <v>223</v>
      </c>
      <c r="D56" s="5" t="s">
        <v>224</v>
      </c>
      <c r="E56" s="5" t="s">
        <v>225</v>
      </c>
      <c r="F56" s="2"/>
      <c r="G56" s="2"/>
      <c r="H56" s="4" t="str">
        <f>IFERROR(__xludf.DUMMYFUNCTION("GOOGLETRANSLATE(B56, ""en"", ""zh"")"),"在蹴鞠运动中，下列哪一项是它与其他以脚为基础的运动（如足球）区别开来的关键因素？")</f>
        <v>在蹴鞠运动中，下列哪一项是它与其他以脚为基础的运动（如足球）区别开来的关键因素？</v>
      </c>
      <c r="I56" s="4" t="str">
        <f>IFERROR(__xludf.DUMMYFUNCTION("GOOGLETRANSLATE(C56, ""en"", ""zh"")"),"A) 允许用手；B) 球门柱较小；C) 场地较小；D) 蹴鞠所用的球较轻，且内含羽毛。")</f>
        <v>A) 允许用手；B) 球门柱较小；C) 场地较小；D) 蹴鞠所用的球较轻，且内含羽毛。</v>
      </c>
      <c r="J56" s="4" t="str">
        <f>IFERROR(__xludf.DUMMYFUNCTION("GOOGLETRANSLATE(D56, ""en"", ""zh"")"),"D) 蹴鞠所用的球较轻，里面填充有羽毛。")</f>
        <v>D) 蹴鞠所用的球较轻，里面填充有羽毛。</v>
      </c>
      <c r="K56" s="4" t="str">
        <f>IFERROR(__xludf.DUMMYFUNCTION("GOOGLETRANSLATE(E56, ""en"", ""zh"")"),"蹴鞠球较轻，传统上填充羽毛，这与足球中使用的较重、实心球有所不同。")</f>
        <v>蹴鞠球较轻，传统上填充羽毛，这与足球中使用的较重、实心球有所不同。</v>
      </c>
      <c r="L56" s="2"/>
      <c r="M56" s="3"/>
      <c r="N56" s="3"/>
      <c r="O56" s="3"/>
      <c r="P56" s="8"/>
      <c r="Q56" s="2"/>
      <c r="R56" s="2"/>
      <c r="S56" s="2"/>
      <c r="T56" s="2"/>
      <c r="U56" s="2"/>
      <c r="V56" s="2"/>
      <c r="W56" s="2"/>
      <c r="X56" s="2"/>
      <c r="Y56" s="2"/>
      <c r="Z56" s="2"/>
      <c r="AA56" s="2"/>
      <c r="AB56" s="2"/>
      <c r="AC56" s="2"/>
    </row>
    <row r="57">
      <c r="A57" s="10">
        <v>57.0</v>
      </c>
      <c r="B57" s="5" t="s">
        <v>226</v>
      </c>
      <c r="C57" s="5" t="s">
        <v>227</v>
      </c>
      <c r="D57" s="5" t="s">
        <v>228</v>
      </c>
      <c r="E57" s="5" t="s">
        <v>229</v>
      </c>
      <c r="F57" s="2"/>
      <c r="G57" s="2"/>
      <c r="H57" s="4" t="str">
        <f>IFERROR(__xludf.DUMMYFUNCTION("GOOGLETRANSLATE(B57, ""en"", ""zh"")"),"在现代蹴鞠比赛中，球队的主要目标是什么？")</f>
        <v>在现代蹴鞠比赛中，球队的主要目标是什么？</v>
      </c>
      <c r="I57" s="4" t="str">
        <f>IFERROR(__xludf.DUMMYFUNCTION("GOOGLETRANSLATE(C57, ""en"", ""zh"")"),"A) 将球传给所有队友，B) 将球踢入对方球门得分，C) 控球时间最长，D) 阻止对方得分")</f>
        <v>A) 将球传给所有队友，B) 将球踢入对方球门得分，C) 控球时间最长，D) 阻止对方得分</v>
      </c>
      <c r="J57" s="4" t="str">
        <f>IFERROR(__xludf.DUMMYFUNCTION("GOOGLETRANSLATE(D57, ""en"", ""zh"")"),"B) 通过将球踢入对方球门得分")</f>
        <v>B) 通过将球踢入对方球门得分</v>
      </c>
      <c r="K57" s="4" t="str">
        <f>IFERROR(__xludf.DUMMYFUNCTION("GOOGLETRANSLATE(E57, ""en"", ""zh"")"),"蹴鞠的主要目标，无论是在历史上还是在现代的改编中，都是通过将球踢入对方球门来得分。")</f>
        <v>蹴鞠的主要目标，无论是在历史上还是在现代的改编中，都是通过将球踢入对方球门来得分。</v>
      </c>
      <c r="L57" s="2"/>
      <c r="M57" s="3"/>
      <c r="N57" s="8"/>
      <c r="O57" s="3"/>
      <c r="P57" s="15"/>
      <c r="Q57" s="2"/>
      <c r="R57" s="2"/>
      <c r="S57" s="2"/>
      <c r="T57" s="2"/>
      <c r="U57" s="2"/>
      <c r="V57" s="2"/>
      <c r="W57" s="2"/>
      <c r="X57" s="2"/>
      <c r="Y57" s="2"/>
      <c r="Z57" s="2"/>
      <c r="AA57" s="2"/>
      <c r="AB57" s="2"/>
      <c r="AC57" s="2"/>
    </row>
    <row r="58">
      <c r="A58" s="10">
        <v>58.0</v>
      </c>
      <c r="B58" s="5" t="s">
        <v>230</v>
      </c>
      <c r="C58" s="5" t="s">
        <v>231</v>
      </c>
      <c r="D58" s="5" t="s">
        <v>232</v>
      </c>
      <c r="E58" s="5" t="s">
        <v>233</v>
      </c>
      <c r="F58" s="2"/>
      <c r="G58" s="2"/>
      <c r="H58" s="4" t="str">
        <f>IFERROR(__xludf.DUMMYFUNCTION("GOOGLETRANSLATE(B58, ""en"", ""zh"")"),"在蹴鞠比赛中，如果一名球员在边线附近将球踢出界外会发生什么？")</f>
        <v>在蹴鞠比赛中，如果一名球员在边线附近将球踢出界外会发生什么？</v>
      </c>
      <c r="I58" s="4" t="str">
        <f>IFERROR(__xludf.DUMMYFUNCTION("GOOGLETRANSLATE(C58, ""en"", ""zh"")"),"A) 对方获得球权；B) 比赛重新开始，掷界外球；C) 开球方获得任意球；D) 球被送回中圈。")</f>
        <v>A) 对方获得球权；B) 比赛重新开始，掷界外球；C) 开球方获得任意球；D) 球被送回中圈。</v>
      </c>
      <c r="J58" s="4" t="str">
        <f>IFERROR(__xludf.DUMMYFUNCTION("GOOGLETRANSLATE(D58, ""en"", ""zh"")"),"B) 比赛重新开始，并进行一次掷界外球。")</f>
        <v>B) 比赛重新开始，并进行一次掷界外球。</v>
      </c>
      <c r="K58" s="4" t="str">
        <f>IFERROR(__xludf.DUMMYFUNCTION("GOOGLETRANSLATE(E58, ""en"", ""zh"")"),"当球出界到边线时，比赛由最后没有触球的球队掷界外球重新开始。")</f>
        <v>当球出界到边线时，比赛由最后没有触球的球队掷界外球重新开始。</v>
      </c>
      <c r="L58" s="8"/>
      <c r="M58" s="3"/>
      <c r="N58" s="2"/>
      <c r="O58" s="3"/>
      <c r="P58" s="15"/>
      <c r="Q58" s="2"/>
      <c r="R58" s="2"/>
      <c r="S58" s="2"/>
      <c r="T58" s="2"/>
      <c r="U58" s="2"/>
      <c r="V58" s="2"/>
      <c r="W58" s="2"/>
      <c r="X58" s="2"/>
      <c r="Y58" s="2"/>
      <c r="Z58" s="2"/>
      <c r="AA58" s="2"/>
      <c r="AB58" s="2"/>
      <c r="AC58" s="2"/>
    </row>
    <row r="59">
      <c r="A59" s="16">
        <v>59.0</v>
      </c>
      <c r="B59" s="17" t="s">
        <v>234</v>
      </c>
      <c r="C59" s="17" t="s">
        <v>235</v>
      </c>
      <c r="D59" s="17" t="s">
        <v>236</v>
      </c>
      <c r="E59" s="18"/>
      <c r="F59" s="2"/>
      <c r="G59" s="2"/>
      <c r="H59" s="4" t="str">
        <f>IFERROR(__xludf.DUMMYFUNCTION("GOOGLETRANSLATE(B59, ""en"", ""zh"")"),"貉队通常有多少名球员？")</f>
        <v>貉队通常有多少名球员？</v>
      </c>
      <c r="I59" s="4" t="str">
        <f>IFERROR(__xludf.DUMMYFUNCTION("GOOGLETRANSLATE(C59, ""en"", ""zh"")"),"A) 11 B) 7 C) 5 D) 9")</f>
        <v>A) 11 B) 7 C) 5 D) 9</v>
      </c>
      <c r="J59" s="4" t="str">
        <f>IFERROR(__xludf.DUMMYFUNCTION("GOOGLETRANSLATE(D59, ""en"", ""zh"")"),"A) 11")</f>
        <v>A) 11</v>
      </c>
      <c r="K59" s="4" t="str">
        <f>IFERROR(__xludf.DUMMYFUNCTION("GOOGLETRANSLATE(E59, ""en"", ""zh"")"),"#VALUE!")</f>
        <v>#VALUE!</v>
      </c>
      <c r="L59" s="8"/>
      <c r="M59" s="8"/>
      <c r="N59" s="8"/>
      <c r="O59" s="8"/>
      <c r="P59" s="8"/>
      <c r="Q59" s="2"/>
      <c r="R59" s="2"/>
      <c r="S59" s="2"/>
      <c r="T59" s="2"/>
      <c r="U59" s="2"/>
      <c r="V59" s="2"/>
      <c r="W59" s="2"/>
      <c r="X59" s="2"/>
      <c r="Y59" s="2"/>
      <c r="Z59" s="2"/>
      <c r="AA59" s="2"/>
      <c r="AB59" s="2"/>
      <c r="AC59" s="2"/>
    </row>
    <row r="60">
      <c r="A60" s="16">
        <v>60.0</v>
      </c>
      <c r="B60" s="17" t="s">
        <v>237</v>
      </c>
      <c r="C60" s="17" t="s">
        <v>238</v>
      </c>
      <c r="D60" s="17" t="s">
        <v>239</v>
      </c>
      <c r="E60" s="18"/>
      <c r="F60" s="2"/>
      <c r="G60" s="2"/>
      <c r="H60" s="4" t="str">
        <f>IFERROR(__xludf.DUMMYFUNCTION("GOOGLETRANSLATE(B60, ""en"", ""zh"")"),"蹴鞠的主要目标是什么？")</f>
        <v>蹴鞠的主要目标是什么？</v>
      </c>
      <c r="I60" s="4" t="str">
        <f>IFERROR(__xludf.DUMMYFUNCTION("GOOGLETRANSLATE(C60, ""en"", ""zh"")"),"A) 用脚踢球入网 B) 用手扔球 C) 击打对手 D) 用手射门得分")</f>
        <v>A) 用脚踢球入网 B) 用手扔球 C) 击打对手 D) 用手射门得分</v>
      </c>
      <c r="J60" s="4" t="str">
        <f>IFERROR(__xludf.DUMMYFUNCTION("GOOGLETRANSLATE(D60, ""en"", ""zh"")"),"A) 将球踢入球门")</f>
        <v>A) 将球踢入球门</v>
      </c>
      <c r="K60" s="4" t="str">
        <f>IFERROR(__xludf.DUMMYFUNCTION("GOOGLETRANSLATE(E60, ""en"", ""zh"")"),"#VALUE!")</f>
        <v>#VALUE!</v>
      </c>
      <c r="L60" s="2"/>
      <c r="M60" s="8"/>
      <c r="N60" s="2"/>
      <c r="O60" s="8"/>
      <c r="P60" s="8"/>
      <c r="Q60" s="2"/>
      <c r="R60" s="2"/>
      <c r="S60" s="2"/>
      <c r="T60" s="2"/>
      <c r="U60" s="2"/>
      <c r="V60" s="2"/>
      <c r="W60" s="2"/>
      <c r="X60" s="2"/>
      <c r="Y60" s="2"/>
      <c r="Z60" s="2"/>
      <c r="AA60" s="2"/>
      <c r="AB60" s="2"/>
      <c r="AC60" s="2"/>
    </row>
    <row r="61">
      <c r="A61" s="16">
        <v>61.0</v>
      </c>
      <c r="B61" s="17" t="s">
        <v>240</v>
      </c>
      <c r="C61" s="17" t="s">
        <v>241</v>
      </c>
      <c r="D61" s="17" t="s">
        <v>26</v>
      </c>
      <c r="E61" s="18"/>
      <c r="F61" s="2"/>
      <c r="G61" s="2"/>
      <c r="H61" s="4" t="str">
        <f>IFERROR(__xludf.DUMMYFUNCTION("GOOGLETRANSLATE(B61, ""en"", ""zh"")"),"在蹴鞠运动中，身体哪个部位不能触球？")</f>
        <v>在蹴鞠运动中，身体哪个部位不能触球？</v>
      </c>
      <c r="I61" s="4" t="str">
        <f>IFERROR(__xludf.DUMMYFUNCTION("GOOGLETRANSLATE(C61, ""en"", ""zh"")"),"A) 手 B) 脚 C) 腿 D) 头")</f>
        <v>A) 手 B) 脚 C) 腿 D) 头</v>
      </c>
      <c r="J61" s="4" t="str">
        <f>IFERROR(__xludf.DUMMYFUNCTION("GOOGLETRANSLATE(D61, ""en"", ""zh"")"),"A) 手")</f>
        <v>A) 手</v>
      </c>
      <c r="K61" s="4" t="str">
        <f>IFERROR(__xludf.DUMMYFUNCTION("GOOGLETRANSLATE(E61, ""en"", ""zh"")"),"#VALUE!")</f>
        <v>#VALUE!</v>
      </c>
      <c r="L61" s="8"/>
      <c r="M61" s="8"/>
      <c r="N61" s="2"/>
      <c r="O61" s="8"/>
      <c r="P61" s="8"/>
      <c r="Q61" s="2"/>
      <c r="R61" s="2"/>
      <c r="S61" s="2"/>
      <c r="T61" s="2"/>
      <c r="U61" s="2"/>
      <c r="V61" s="2"/>
      <c r="W61" s="2"/>
      <c r="X61" s="2"/>
      <c r="Y61" s="2"/>
      <c r="Z61" s="2"/>
      <c r="AA61" s="2"/>
      <c r="AB61" s="2"/>
      <c r="AC61" s="2"/>
    </row>
    <row r="62">
      <c r="A62" s="16">
        <v>62.0</v>
      </c>
      <c r="B62" s="17" t="s">
        <v>242</v>
      </c>
      <c r="C62" s="17" t="s">
        <v>243</v>
      </c>
      <c r="D62" s="17" t="s">
        <v>244</v>
      </c>
      <c r="E62" s="18"/>
      <c r="F62" s="2"/>
      <c r="G62" s="2"/>
      <c r="H62" s="4" t="str">
        <f>IFERROR(__xludf.DUMMYFUNCTION("GOOGLETRANSLATE(B62, ""en"", ""zh"")"),"蹴鞠比赛是如何开始的？")</f>
        <v>蹴鞠比赛是如何开始的？</v>
      </c>
      <c r="I62" s="4" t="str">
        <f>IFERROR(__xludf.DUMMYFUNCTION("GOOGLETRANSLATE(C62, ""en"", ""zh"")"),"A) 开球 B) 掷硬币 C) 裁判信号 D) 球员协议")</f>
        <v>A) 开球 B) 掷硬币 C) 裁判信号 D) 球员协议</v>
      </c>
      <c r="J62" s="4" t="str">
        <f>IFERROR(__xludf.DUMMYFUNCTION("GOOGLETRANSLATE(D62, ""en"", ""zh"")"),"A）开球")</f>
        <v>A）开球</v>
      </c>
      <c r="K62" s="4" t="str">
        <f>IFERROR(__xludf.DUMMYFUNCTION("GOOGLETRANSLATE(E62, ""en"", ""zh"")"),"#VALUE!")</f>
        <v>#VALUE!</v>
      </c>
      <c r="L62" s="8"/>
      <c r="M62" s="8"/>
      <c r="N62" s="8"/>
      <c r="O62" s="8"/>
      <c r="P62" s="8"/>
      <c r="Q62" s="2"/>
      <c r="R62" s="2"/>
      <c r="S62" s="2"/>
      <c r="T62" s="2"/>
      <c r="U62" s="2"/>
      <c r="V62" s="2"/>
      <c r="W62" s="2"/>
      <c r="X62" s="2"/>
      <c r="Y62" s="2"/>
      <c r="Z62" s="2"/>
      <c r="AA62" s="2"/>
      <c r="AB62" s="2"/>
      <c r="AC62" s="2"/>
    </row>
    <row r="63">
      <c r="A63" s="16">
        <v>63.0</v>
      </c>
      <c r="B63" s="17" t="s">
        <v>245</v>
      </c>
      <c r="C63" s="17" t="s">
        <v>246</v>
      </c>
      <c r="D63" s="17" t="s">
        <v>247</v>
      </c>
      <c r="E63" s="18"/>
      <c r="F63" s="2"/>
      <c r="G63" s="2"/>
      <c r="H63" s="4" t="str">
        <f>IFERROR(__xludf.DUMMYFUNCTION("GOOGLETRANSLATE(B63, ""en"", ""zh"")"),"在Cuju游戏中，进球得多少分？")</f>
        <v>在Cuju游戏中，进球得多少分？</v>
      </c>
      <c r="I63" s="4" t="str">
        <f>IFERROR(__xludf.DUMMYFUNCTION("GOOGLETRANSLATE(C63, ""en"", ""zh"")"),"A) 1 B) 2 C) 3 D) 5")</f>
        <v>A) 1 B) 2 C) 3 D) 5</v>
      </c>
      <c r="J63" s="4" t="str">
        <f>IFERROR(__xludf.DUMMYFUNCTION("GOOGLETRANSLATE(D63, ""en"", ""zh"")"),"A) 1")</f>
        <v>A) 1</v>
      </c>
      <c r="K63" s="4" t="str">
        <f>IFERROR(__xludf.DUMMYFUNCTION("GOOGLETRANSLATE(E63, ""en"", ""zh"")"),"#VALUE!")</f>
        <v>#VALUE!</v>
      </c>
      <c r="L63" s="8"/>
      <c r="M63" s="8"/>
      <c r="N63" s="8"/>
      <c r="O63" s="8"/>
      <c r="P63" s="8"/>
      <c r="Q63" s="2"/>
      <c r="R63" s="2"/>
      <c r="S63" s="2"/>
      <c r="T63" s="2"/>
      <c r="U63" s="2"/>
      <c r="V63" s="2"/>
      <c r="W63" s="2"/>
      <c r="X63" s="2"/>
      <c r="Y63" s="2"/>
      <c r="Z63" s="2"/>
      <c r="AA63" s="2"/>
      <c r="AB63" s="2"/>
      <c r="AC63" s="2"/>
    </row>
    <row r="64">
      <c r="A64" s="16">
        <v>64.0</v>
      </c>
      <c r="B64" s="17" t="s">
        <v>248</v>
      </c>
      <c r="C64" s="17" t="s">
        <v>249</v>
      </c>
      <c r="D64" s="17" t="s">
        <v>250</v>
      </c>
      <c r="E64" s="18"/>
      <c r="F64" s="2"/>
      <c r="G64" s="2"/>
      <c r="H64" s="4" t="str">
        <f>IFERROR(__xludf.DUMMYFUNCTION("GOOGLETRANSLATE(B64, ""en"", ""zh"")"),"如果球员用手触球会发生什么？")</f>
        <v>如果球员用手触球会发生什么？</v>
      </c>
      <c r="I64" s="4" t="str">
        <f>IFERROR(__xludf.DUMMYFUNCTION("GOOGLETRANSLATE(C64, ""en"", ""zh"")"),"A) 犯规 B) 进球 C) 任意球 D) 无")</f>
        <v>A) 犯规 B) 进球 C) 任意球 D) 无</v>
      </c>
      <c r="J64" s="4" t="str">
        <f>IFERROR(__xludf.DUMMYFUNCTION("GOOGLETRANSLATE(D64, ""en"", ""zh"")"),"A) 犯规")</f>
        <v>A) 犯规</v>
      </c>
      <c r="K64" s="4" t="str">
        <f>IFERROR(__xludf.DUMMYFUNCTION("GOOGLETRANSLATE(E64, ""en"", ""zh"")"),"#VALUE!")</f>
        <v>#VALUE!</v>
      </c>
      <c r="L64" s="8"/>
      <c r="M64" s="8"/>
      <c r="N64" s="8"/>
      <c r="O64" s="8"/>
      <c r="P64" s="8"/>
      <c r="Q64" s="2"/>
      <c r="R64" s="2"/>
      <c r="S64" s="2"/>
      <c r="T64" s="2"/>
      <c r="U64" s="2"/>
      <c r="V64" s="2"/>
      <c r="W64" s="2"/>
      <c r="X64" s="2"/>
      <c r="Y64" s="2"/>
      <c r="Z64" s="2"/>
      <c r="AA64" s="2"/>
      <c r="AB64" s="2"/>
      <c r="AC64" s="2"/>
    </row>
    <row r="65">
      <c r="A65" s="16">
        <v>65.0</v>
      </c>
      <c r="B65" s="17" t="s">
        <v>251</v>
      </c>
      <c r="C65" s="17" t="s">
        <v>252</v>
      </c>
      <c r="D65" s="17" t="s">
        <v>253</v>
      </c>
      <c r="E65" s="18"/>
      <c r="F65" s="2"/>
      <c r="G65" s="2"/>
      <c r="H65" s="4" t="str">
        <f>IFERROR(__xludf.DUMMYFUNCTION("GOOGLETRANSLATE(B65, ""en"", ""zh"")"),"一场典型的蹴鞠比赛会持续多久？")</f>
        <v>一场典型的蹴鞠比赛会持续多久？</v>
      </c>
      <c r="I65" s="4" t="str">
        <f>IFERROR(__xludf.DUMMYFUNCTION("GOOGLETRANSLATE(C65, ""en"", ""zh"")"),"A) 90分钟 B) 60分钟 C) 45分钟 D) 120分钟")</f>
        <v>A) 90分钟 B) 60分钟 C) 45分钟 D) 120分钟</v>
      </c>
      <c r="J65" s="4" t="str">
        <f>IFERROR(__xludf.DUMMYFUNCTION("GOOGLETRANSLATE(D65, ""en"", ""zh"")"),"A) 90分钟")</f>
        <v>A) 90分钟</v>
      </c>
      <c r="K65" s="4" t="str">
        <f>IFERROR(__xludf.DUMMYFUNCTION("GOOGLETRANSLATE(E65, ""en"", ""zh"")"),"#VALUE!")</f>
        <v>#VALUE!</v>
      </c>
      <c r="L65" s="8"/>
      <c r="M65" s="8"/>
      <c r="N65" s="2"/>
      <c r="O65" s="8"/>
      <c r="P65" s="8"/>
      <c r="Q65" s="2"/>
      <c r="R65" s="2"/>
      <c r="S65" s="2"/>
      <c r="T65" s="2"/>
      <c r="U65" s="2"/>
      <c r="V65" s="2"/>
      <c r="W65" s="2"/>
      <c r="X65" s="2"/>
      <c r="Y65" s="2"/>
      <c r="Z65" s="2"/>
      <c r="AA65" s="2"/>
      <c r="AB65" s="2"/>
      <c r="AC65" s="2"/>
    </row>
    <row r="66">
      <c r="A66" s="16">
        <v>66.0</v>
      </c>
      <c r="B66" s="17" t="s">
        <v>254</v>
      </c>
      <c r="C66" s="17" t="s">
        <v>255</v>
      </c>
      <c r="D66" s="17" t="s">
        <v>256</v>
      </c>
      <c r="E66" s="18"/>
      <c r="F66" s="2"/>
      <c r="G66" s="2"/>
      <c r="H66" s="4" t="str">
        <f>IFERROR(__xludf.DUMMYFUNCTION("GOOGLETRANSLATE(B66, ""en"", ""zh"")"),"蹴鞠比赛时使用的是哪种球？")</f>
        <v>蹴鞠比赛时使用的是哪种球？</v>
      </c>
      <c r="I66" s="4" t="str">
        <f>IFERROR(__xludf.DUMMYFUNCTION("GOOGLETRANSLATE(C66, ""en"", ""zh"")"),"A) 皮革球 B) 橡胶球 C) 木球 D) 布球")</f>
        <v>A) 皮革球 B) 橡胶球 C) 木球 D) 布球</v>
      </c>
      <c r="J66" s="4" t="str">
        <f>IFERROR(__xludf.DUMMYFUNCTION("GOOGLETRANSLATE(D66, ""en"", ""zh"")"),"A) 皮革球")</f>
        <v>A) 皮革球</v>
      </c>
      <c r="K66" s="4" t="str">
        <f>IFERROR(__xludf.DUMMYFUNCTION("GOOGLETRANSLATE(E66, ""en"", ""zh"")"),"#VALUE!")</f>
        <v>#VALUE!</v>
      </c>
      <c r="L66" s="8"/>
      <c r="M66" s="8"/>
      <c r="N66" s="8"/>
      <c r="O66" s="8"/>
      <c r="P66" s="2"/>
      <c r="Q66" s="2"/>
      <c r="R66" s="2"/>
      <c r="S66" s="2"/>
      <c r="T66" s="2"/>
      <c r="U66" s="2"/>
      <c r="V66" s="2"/>
      <c r="W66" s="2"/>
      <c r="X66" s="2"/>
      <c r="Y66" s="2"/>
      <c r="Z66" s="2"/>
      <c r="AA66" s="2"/>
      <c r="AB66" s="2"/>
      <c r="AC66" s="2"/>
    </row>
    <row r="67">
      <c r="A67" s="16">
        <v>67.0</v>
      </c>
      <c r="B67" s="17" t="s">
        <v>257</v>
      </c>
      <c r="C67" s="17" t="s">
        <v>258</v>
      </c>
      <c r="D67" s="17" t="s">
        <v>247</v>
      </c>
      <c r="E67" s="18"/>
      <c r="F67" s="2"/>
      <c r="G67" s="2"/>
      <c r="H67" s="4" t="str">
        <f>IFERROR(__xludf.DUMMYFUNCTION("GOOGLETRANSLATE(B67, ""en"", ""zh"")"),"蹴鞠比赛中最少需要多少名裁判？")</f>
        <v>蹴鞠比赛中最少需要多少名裁判？</v>
      </c>
      <c r="I67" s="4" t="str">
        <f>IFERROR(__xludf.DUMMYFUNCTION("GOOGLETRANSLATE(C67, ""en"", ""zh"")"),"A) 1 B) 2 C) 3 D) 4")</f>
        <v>A) 1 B) 2 C) 3 D) 4</v>
      </c>
      <c r="J67" s="4" t="str">
        <f>IFERROR(__xludf.DUMMYFUNCTION("GOOGLETRANSLATE(D67, ""en"", ""zh"")"),"A) 1")</f>
        <v>A) 1</v>
      </c>
      <c r="K67" s="4" t="str">
        <f>IFERROR(__xludf.DUMMYFUNCTION("GOOGLETRANSLATE(E67, ""en"", ""zh"")"),"#VALUE!")</f>
        <v>#VALUE!</v>
      </c>
      <c r="L67" s="8"/>
      <c r="M67" s="8"/>
      <c r="N67" s="8"/>
      <c r="O67" s="8"/>
      <c r="P67" s="8"/>
      <c r="Q67" s="2"/>
      <c r="R67" s="2"/>
      <c r="S67" s="2"/>
      <c r="T67" s="2"/>
      <c r="U67" s="2"/>
      <c r="V67" s="2"/>
      <c r="W67" s="2"/>
      <c r="X67" s="2"/>
      <c r="Y67" s="2"/>
      <c r="Z67" s="2"/>
      <c r="AA67" s="2"/>
      <c r="AB67" s="2"/>
      <c r="AC67" s="2"/>
    </row>
    <row r="68">
      <c r="A68" s="16">
        <v>68.0</v>
      </c>
      <c r="B68" s="17" t="s">
        <v>259</v>
      </c>
      <c r="C68" s="17" t="s">
        <v>260</v>
      </c>
      <c r="D68" s="17" t="s">
        <v>261</v>
      </c>
      <c r="E68" s="18"/>
      <c r="F68" s="2"/>
      <c r="G68" s="2"/>
      <c r="H68" s="4" t="str">
        <f>IFERROR(__xludf.DUMMYFUNCTION("GOOGLETRANSLATE(B68, ""en"", ""zh"")"),"“球门球”是指：")</f>
        <v>“球门球”是指：</v>
      </c>
      <c r="I68" s="4" t="str">
        <f>IFERROR(__xludf.DUMMYFUNCTION("GOOGLETRANSLATE(C68, ""en"", ""zh"")"),"A) 球越过球门线，最后触球者是防守队员 B) 球越过中场 C) 球员得分 D) 球出界")</f>
        <v>A) 球越过球门线，最后触球者是防守队员 B) 球越过中场 C) 球员得分 D) 球出界</v>
      </c>
      <c r="J68" s="4" t="str">
        <f>IFERROR(__xludf.DUMMYFUNCTION("GOOGLETRANSLATE(D68, ""en"", ""zh"")"),"A) 球越过球门线时，最后触球的是防守队员")</f>
        <v>A) 球越过球门线时，最后触球的是防守队员</v>
      </c>
      <c r="K68" s="4" t="str">
        <f>IFERROR(__xludf.DUMMYFUNCTION("GOOGLETRANSLATE(E68, ""en"", ""zh"")"),"#VALUE!")</f>
        <v>#VALUE!</v>
      </c>
      <c r="L68" s="2"/>
      <c r="M68" s="8"/>
      <c r="N68" s="2"/>
      <c r="O68" s="8"/>
      <c r="P68" s="8"/>
      <c r="Q68" s="2"/>
      <c r="R68" s="2"/>
      <c r="S68" s="2"/>
      <c r="T68" s="2"/>
      <c r="U68" s="2"/>
      <c r="V68" s="2"/>
      <c r="W68" s="2"/>
      <c r="X68" s="2"/>
      <c r="Y68" s="2"/>
      <c r="Z68" s="2"/>
      <c r="AA68" s="2"/>
      <c r="AB68" s="2"/>
      <c r="AC68" s="2"/>
    </row>
    <row r="69">
      <c r="A69" s="16">
        <v>69.0</v>
      </c>
      <c r="B69" s="17" t="s">
        <v>262</v>
      </c>
      <c r="C69" s="17" t="s">
        <v>263</v>
      </c>
      <c r="D69" s="17" t="s">
        <v>264</v>
      </c>
      <c r="E69" s="18"/>
      <c r="F69" s="2"/>
      <c r="G69" s="2"/>
      <c r="H69" s="4" t="str">
        <f>IFERROR(__xludf.DUMMYFUNCTION("GOOGLETRANSLATE(B69, ""en"", ""zh"")"),"蹴鞠是哪项现代运动的古代形式？")</f>
        <v>蹴鞠是哪项现代运动的古代形式？</v>
      </c>
      <c r="I69" s="4" t="str">
        <f>IFERROR(__xludf.DUMMYFUNCTION("GOOGLETRANSLATE(C69, ""en"", ""zh"")"),"A) 足球 B) 排球 C) 篮球 D) 橄榄球")</f>
        <v>A) 足球 B) 排球 C) 篮球 D) 橄榄球</v>
      </c>
      <c r="J69" s="4" t="str">
        <f>IFERROR(__xludf.DUMMYFUNCTION("GOOGLETRANSLATE(D69, ""en"", ""zh"")"),"A) 足球")</f>
        <v>A) 足球</v>
      </c>
      <c r="K69" s="4" t="str">
        <f>IFERROR(__xludf.DUMMYFUNCTION("GOOGLETRANSLATE(E69, ""en"", ""zh"")"),"#VALUE!")</f>
        <v>#VALUE!</v>
      </c>
      <c r="L69" s="2"/>
      <c r="M69" s="8"/>
      <c r="N69" s="2"/>
      <c r="O69" s="8"/>
      <c r="P69" s="8"/>
      <c r="Q69" s="2"/>
      <c r="R69" s="2"/>
      <c r="S69" s="2"/>
      <c r="T69" s="2"/>
      <c r="U69" s="2"/>
      <c r="V69" s="2"/>
      <c r="W69" s="2"/>
      <c r="X69" s="2"/>
      <c r="Y69" s="2"/>
      <c r="Z69" s="2"/>
      <c r="AA69" s="2"/>
      <c r="AB69" s="2"/>
      <c r="AC69" s="2"/>
    </row>
    <row r="70">
      <c r="A70" s="16">
        <v>70.0</v>
      </c>
      <c r="B70" s="17" t="s">
        <v>265</v>
      </c>
      <c r="C70" s="17" t="s">
        <v>266</v>
      </c>
      <c r="D70" s="17" t="s">
        <v>62</v>
      </c>
      <c r="E70" s="18"/>
      <c r="F70" s="2"/>
      <c r="G70" s="2"/>
      <c r="H70" s="4" t="str">
        <f>IFERROR(__xludf.DUMMYFUNCTION("GOOGLETRANSLATE(B70, ""en"", ""zh"")"),"在蹴鞠中，什么才算犯规？")</f>
        <v>在蹴鞠中，什么才算犯规？</v>
      </c>
      <c r="I70" s="4" t="str">
        <f>IFERROR(__xludf.DUMMYFUNCTION("GOOGLETRANSLATE(C70, ""en"", ""zh"")"),"A) 手球 B) 绊倒对手 C) 危险动作 D) 以上全部")</f>
        <v>A) 手球 B) 绊倒对手 C) 危险动作 D) 以上全部</v>
      </c>
      <c r="J70" s="4" t="str">
        <f>IFERROR(__xludf.DUMMYFUNCTION("GOOGLETRANSLATE(D70, ""en"", ""zh"")"),"D) 以上所有选项")</f>
        <v>D) 以上所有选项</v>
      </c>
      <c r="K70" s="4" t="str">
        <f>IFERROR(__xludf.DUMMYFUNCTION("GOOGLETRANSLATE(E70, ""en"", ""zh"")"),"#VALUE!")</f>
        <v>#VALUE!</v>
      </c>
      <c r="L70" s="8"/>
      <c r="M70" s="8"/>
      <c r="N70" s="8"/>
      <c r="O70" s="8"/>
      <c r="P70" s="8"/>
      <c r="Q70" s="2"/>
      <c r="R70" s="2"/>
      <c r="S70" s="2"/>
      <c r="T70" s="2"/>
      <c r="U70" s="2"/>
      <c r="V70" s="2"/>
      <c r="W70" s="2"/>
      <c r="X70" s="2"/>
      <c r="Y70" s="2"/>
      <c r="Z70" s="2"/>
      <c r="AA70" s="2"/>
      <c r="AB70" s="2"/>
      <c r="AC70" s="2"/>
    </row>
    <row r="71">
      <c r="A71" s="16">
        <v>71.0</v>
      </c>
      <c r="B71" s="17" t="s">
        <v>267</v>
      </c>
      <c r="C71" s="17" t="s">
        <v>268</v>
      </c>
      <c r="D71" s="17" t="s">
        <v>269</v>
      </c>
      <c r="E71" s="18"/>
      <c r="F71" s="2"/>
      <c r="G71" s="2"/>
      <c r="H71" s="4" t="str">
        <f>IFERROR(__xludf.DUMMYFUNCTION("GOOGLETRANSLATE(B71, ""en"", ""zh"")"),"历史上，蹴鞠比赛中平局是如何决出胜负的？")</f>
        <v>历史上，蹴鞠比赛中平局是如何决出胜负的？</v>
      </c>
      <c r="I71" s="4" t="str">
        <f>IFERROR(__xludf.DUMMYFUNCTION("GOOGLETRANSLATE(C71, ""en"", ""zh"")"),"A) 重赛 B) 加时赛 C) 点球大战 D) 掷硬币")</f>
        <v>A) 重赛 B) 加时赛 C) 点球大战 D) 掷硬币</v>
      </c>
      <c r="J71" s="4" t="str">
        <f>IFERROR(__xludf.DUMMYFUNCTION("GOOGLETRANSLATE(D71, ""en"", ""zh"")"),"A) 重赛")</f>
        <v>A) 重赛</v>
      </c>
      <c r="K71" s="4" t="str">
        <f>IFERROR(__xludf.DUMMYFUNCTION("GOOGLETRANSLATE(E71, ""en"", ""zh"")"),"#VALUE!")</f>
        <v>#VALUE!</v>
      </c>
      <c r="L71" s="8"/>
      <c r="M71" s="8"/>
      <c r="N71" s="2"/>
      <c r="O71" s="8"/>
      <c r="P71" s="8"/>
      <c r="Q71" s="2"/>
      <c r="R71" s="2"/>
      <c r="S71" s="2"/>
      <c r="T71" s="2"/>
      <c r="U71" s="2"/>
      <c r="V71" s="2"/>
      <c r="W71" s="2"/>
      <c r="X71" s="2"/>
      <c r="Y71" s="2"/>
      <c r="Z71" s="2"/>
      <c r="AA71" s="2"/>
      <c r="AB71" s="2"/>
      <c r="AC71" s="2"/>
    </row>
    <row r="72">
      <c r="A72" s="16">
        <v>72.0</v>
      </c>
      <c r="B72" s="17" t="s">
        <v>270</v>
      </c>
      <c r="C72" s="17" t="s">
        <v>271</v>
      </c>
      <c r="D72" s="17" t="s">
        <v>272</v>
      </c>
      <c r="E72" s="18"/>
      <c r="F72" s="2"/>
      <c r="G72" s="2"/>
      <c r="H72" s="4" t="str">
        <f>IFERROR(__xludf.DUMMYFUNCTION("GOOGLETRANSLATE(B72, ""en"", ""zh"")"),"貉曲最初是在哪里演奏的？")</f>
        <v>貉曲最初是在哪里演奏的？</v>
      </c>
      <c r="I72" s="4" t="str">
        <f>IFERROR(__xludf.DUMMYFUNCTION("GOOGLETRANSLATE(C72, ""en"", ""zh"")"),"A) 中国 B) 日本 C) 韩国 D) 印度")</f>
        <v>A) 中国 B) 日本 C) 韩国 D) 印度</v>
      </c>
      <c r="J72" s="4" t="str">
        <f>IFERROR(__xludf.DUMMYFUNCTION("GOOGLETRANSLATE(D72, ""en"", ""zh"")"),"A) 中国")</f>
        <v>A) 中国</v>
      </c>
      <c r="K72" s="4" t="str">
        <f>IFERROR(__xludf.DUMMYFUNCTION("GOOGLETRANSLATE(E72, ""en"", ""zh"")"),"#VALUE!")</f>
        <v>#VALUE!</v>
      </c>
      <c r="L72" s="2"/>
      <c r="M72" s="8"/>
      <c r="N72" s="2"/>
      <c r="O72" s="8"/>
      <c r="P72" s="8"/>
      <c r="Q72" s="2"/>
      <c r="R72" s="2"/>
      <c r="S72" s="2"/>
      <c r="T72" s="2"/>
      <c r="U72" s="2"/>
      <c r="V72" s="2"/>
      <c r="W72" s="2"/>
      <c r="X72" s="2"/>
      <c r="Y72" s="2"/>
      <c r="Z72" s="2"/>
      <c r="AA72" s="2"/>
      <c r="AB72" s="2"/>
      <c r="AC72" s="2"/>
    </row>
    <row r="73">
      <c r="A73" s="19">
        <v>73.0</v>
      </c>
      <c r="B73" s="17" t="s">
        <v>273</v>
      </c>
      <c r="C73" s="17" t="s">
        <v>274</v>
      </c>
      <c r="D73" s="17" t="s">
        <v>275</v>
      </c>
      <c r="E73" s="20"/>
      <c r="F73" s="2"/>
      <c r="G73" s="2"/>
      <c r="H73" s="4" t="str">
        <f>IFERROR(__xludf.DUMMYFUNCTION("GOOGLETRANSLATE(B73, ""en"", ""zh"")"),"在蹴鞠中，目标是：")</f>
        <v>在蹴鞠中，目标是：</v>
      </c>
      <c r="I73" s="4" t="str">
        <f>IFERROR(__xludf.DUMMYFUNCTION("GOOGLETRANSLATE(C73, ""en"", ""zh"")"),"A) 圆形网格 B) 矩形球门 C) 正方形区域 D) 空地")</f>
        <v>A) 圆形网格 B) 矩形球门 C) 正方形区域 D) 空地</v>
      </c>
      <c r="J73" s="4" t="str">
        <f>IFERROR(__xludf.DUMMYFUNCTION("GOOGLETRANSLATE(D73, ""en"", ""zh"")"),"A) 圆形网格")</f>
        <v>A) 圆形网格</v>
      </c>
      <c r="K73" s="4" t="str">
        <f>IFERROR(__xludf.DUMMYFUNCTION("GOOGLETRANSLATE(E73, ""en"", ""zh"")"),"#VALUE!")</f>
        <v>#VALUE!</v>
      </c>
      <c r="L73" s="2"/>
      <c r="M73" s="2"/>
      <c r="N73" s="2"/>
      <c r="O73" s="2"/>
      <c r="P73" s="2"/>
      <c r="Q73" s="2"/>
      <c r="R73" s="2"/>
      <c r="S73" s="2"/>
      <c r="T73" s="2"/>
      <c r="U73" s="2"/>
      <c r="V73" s="2"/>
      <c r="W73" s="2"/>
      <c r="X73" s="2"/>
      <c r="Y73" s="2"/>
      <c r="Z73" s="2"/>
      <c r="AA73" s="2"/>
      <c r="AB73" s="2"/>
      <c r="AC73" s="2"/>
    </row>
    <row r="74">
      <c r="A74" s="19">
        <v>74.0</v>
      </c>
      <c r="B74" s="17" t="s">
        <v>276</v>
      </c>
      <c r="C74" s="17" t="s">
        <v>277</v>
      </c>
      <c r="D74" s="17" t="s">
        <v>278</v>
      </c>
      <c r="E74" s="20"/>
      <c r="F74" s="2"/>
      <c r="G74" s="2"/>
      <c r="H74" s="4" t="str">
        <f>IFERROR(__xludf.DUMMYFUNCTION("GOOGLETRANSLATE(B74, ""en"", ""zh"")"),"貉的比赛在以下日期举行：")</f>
        <v>貉的比赛在以下日期举行：</v>
      </c>
      <c r="I74" s="4" t="str">
        <f>IFERROR(__xludf.DUMMYFUNCTION("GOOGLETRANSLATE(C74, ""en"", ""zh"")"),"A) 草地 B) 沙丘 C) 木地板 D) 人行道")</f>
        <v>A) 草地 B) 沙丘 C) 木地板 D) 人行道</v>
      </c>
      <c r="J74" s="4" t="str">
        <f>IFERROR(__xludf.DUMMYFUNCTION("GOOGLETRANSLATE(D74, ""en"", ""zh"")"),"A) 草地")</f>
        <v>A) 草地</v>
      </c>
      <c r="K74" s="4" t="str">
        <f>IFERROR(__xludf.DUMMYFUNCTION("GOOGLETRANSLATE(E74, ""en"", ""zh"")"),"#VALUE!")</f>
        <v>#VALUE!</v>
      </c>
      <c r="L74" s="2"/>
      <c r="M74" s="2"/>
      <c r="N74" s="2"/>
      <c r="O74" s="2"/>
      <c r="P74" s="2"/>
      <c r="Q74" s="2"/>
      <c r="R74" s="2"/>
      <c r="S74" s="2"/>
      <c r="T74" s="2"/>
      <c r="U74" s="2"/>
      <c r="V74" s="2"/>
      <c r="W74" s="2"/>
      <c r="X74" s="2"/>
      <c r="Y74" s="2"/>
      <c r="Z74" s="2"/>
      <c r="AA74" s="2"/>
      <c r="AB74" s="2"/>
      <c r="AC74" s="2"/>
    </row>
    <row r="75">
      <c r="A75" s="21">
        <v>75.0</v>
      </c>
      <c r="B75" s="17" t="s">
        <v>279</v>
      </c>
      <c r="C75" s="17" t="s">
        <v>280</v>
      </c>
      <c r="D75" s="17" t="s">
        <v>281</v>
      </c>
      <c r="E75" s="20"/>
      <c r="F75" s="2"/>
      <c r="G75" s="2"/>
      <c r="H75" s="4" t="str">
        <f>IFERROR(__xludf.DUMMYFUNCTION("GOOGLETRANSLATE(B75, ""en"", ""zh"")"),"在蹴鞠中，哪些行为是违法的？")</f>
        <v>在蹴鞠中，哪些行为是违法的？</v>
      </c>
      <c r="I75" s="4" t="str">
        <f>IFERROR(__xludf.DUMMYFUNCTION("GOOGLETRANSLATE(C75, ""en"", ""zh"")"),"A) 接球 B) 踢球 C) 传球 D) 运球")</f>
        <v>A) 接球 B) 踢球 C) 传球 D) 运球</v>
      </c>
      <c r="J75" s="4" t="str">
        <f>IFERROR(__xludf.DUMMYFUNCTION("GOOGLETRANSLATE(D75, ""en"", ""zh"")"),"A) 接球")</f>
        <v>A) 接球</v>
      </c>
      <c r="K75" s="4" t="str">
        <f>IFERROR(__xludf.DUMMYFUNCTION("GOOGLETRANSLATE(E75, ""en"", ""zh"")"),"#VALUE!")</f>
        <v>#VALUE!</v>
      </c>
      <c r="L75" s="2"/>
      <c r="M75" s="2"/>
      <c r="N75" s="2"/>
      <c r="O75" s="2"/>
      <c r="P75" s="2"/>
      <c r="Q75" s="2"/>
      <c r="R75" s="2"/>
      <c r="S75" s="2"/>
      <c r="T75" s="2"/>
      <c r="U75" s="2"/>
      <c r="V75" s="2"/>
      <c r="W75" s="2"/>
      <c r="X75" s="2"/>
      <c r="Y75" s="2"/>
      <c r="Z75" s="2"/>
      <c r="AA75" s="2"/>
      <c r="AB75" s="2"/>
      <c r="AC75" s="2"/>
    </row>
    <row r="76">
      <c r="A76" s="21">
        <v>76.0</v>
      </c>
      <c r="B76" s="17" t="s">
        <v>282</v>
      </c>
      <c r="C76" s="17" t="s">
        <v>283</v>
      </c>
      <c r="D76" s="17" t="s">
        <v>250</v>
      </c>
      <c r="E76" s="20"/>
      <c r="F76" s="2"/>
      <c r="G76" s="2"/>
      <c r="H76" s="4" t="str">
        <f>IFERROR(__xludf.DUMMYFUNCTION("GOOGLETRANSLATE(B76, ""en"", ""zh"")"),"在貉足球中，任意球是如何判罚的？")</f>
        <v>在貉足球中，任意球是如何判罚的？</v>
      </c>
      <c r="I76" s="4" t="str">
        <f>IFERROR(__xludf.DUMMYFUNCTION("GOOGLETRANSLATE(C76, ""en"", ""zh"")"),"A) 犯规 B) 得分 C) 守门员失误 D) 暂停")</f>
        <v>A) 犯规 B) 得分 C) 守门员失误 D) 暂停</v>
      </c>
      <c r="J76" s="4" t="str">
        <f>IFERROR(__xludf.DUMMYFUNCTION("GOOGLETRANSLATE(D76, ""en"", ""zh"")"),"A) 犯规")</f>
        <v>A) 犯规</v>
      </c>
      <c r="K76" s="4" t="str">
        <f>IFERROR(__xludf.DUMMYFUNCTION("GOOGLETRANSLATE(E76, ""en"", ""zh"")"),"#VALUE!")</f>
        <v>#VALUE!</v>
      </c>
      <c r="L76" s="2"/>
      <c r="M76" s="2"/>
      <c r="N76" s="2"/>
      <c r="O76" s="2"/>
      <c r="P76" s="2"/>
      <c r="Q76" s="2"/>
      <c r="R76" s="2"/>
      <c r="S76" s="2"/>
      <c r="T76" s="2"/>
      <c r="U76" s="2"/>
      <c r="V76" s="2"/>
      <c r="W76" s="2"/>
      <c r="X76" s="2"/>
      <c r="Y76" s="2"/>
      <c r="Z76" s="2"/>
      <c r="AA76" s="2"/>
      <c r="AB76" s="2"/>
      <c r="AC76" s="2"/>
    </row>
    <row r="77">
      <c r="A77" s="21">
        <v>77.0</v>
      </c>
      <c r="B77" s="17" t="s">
        <v>284</v>
      </c>
      <c r="C77" s="17" t="s">
        <v>285</v>
      </c>
      <c r="D77" s="17" t="s">
        <v>286</v>
      </c>
      <c r="E77" s="20"/>
      <c r="F77" s="2"/>
      <c r="G77" s="2"/>
      <c r="H77" s="4" t="str">
        <f>IFERROR(__xludf.DUMMYFUNCTION("GOOGLETRANSLATE(B77, ""en"", ""zh"")"),"蹴鞠中球是如何移动的？")</f>
        <v>蹴鞠中球是如何移动的？</v>
      </c>
      <c r="I77" s="4" t="str">
        <f>IFERROR(__xludf.DUMMYFUNCTION("GOOGLETRANSLATE(C77, ""en"", ""zh"")"),"A) 踢球和传球 B) 投掷 C) 手球 D) 仅头球")</f>
        <v>A) 踢球和传球 B) 投掷 C) 手球 D) 仅头球</v>
      </c>
      <c r="J77" s="4" t="str">
        <f>IFERROR(__xludf.DUMMYFUNCTION("GOOGLETRANSLATE(D77, ""en"", ""zh"")"),"A) 踢球和传球")</f>
        <v>A) 踢球和传球</v>
      </c>
      <c r="K77" s="4" t="str">
        <f>IFERROR(__xludf.DUMMYFUNCTION("GOOGLETRANSLATE(E77, ""en"", ""zh"")"),"#VALUE!")</f>
        <v>#VALUE!</v>
      </c>
      <c r="L77" s="2"/>
      <c r="M77" s="2"/>
      <c r="N77" s="2"/>
      <c r="O77" s="2"/>
      <c r="P77" s="2"/>
      <c r="Q77" s="2"/>
      <c r="R77" s="2"/>
      <c r="S77" s="2"/>
      <c r="T77" s="2"/>
      <c r="U77" s="2"/>
      <c r="V77" s="2"/>
      <c r="W77" s="2"/>
      <c r="X77" s="2"/>
      <c r="Y77" s="2"/>
      <c r="Z77" s="2"/>
      <c r="AA77" s="2"/>
      <c r="AB77" s="2"/>
      <c r="AC77" s="2"/>
    </row>
    <row r="78">
      <c r="A78" s="21">
        <v>78.0</v>
      </c>
      <c r="B78" s="17" t="s">
        <v>287</v>
      </c>
      <c r="C78" s="17" t="s">
        <v>288</v>
      </c>
      <c r="D78" s="17" t="s">
        <v>289</v>
      </c>
      <c r="E78" s="20"/>
      <c r="F78" s="2"/>
      <c r="G78" s="2"/>
      <c r="H78" s="4" t="str">
        <f>IFERROR(__xludf.DUMMYFUNCTION("GOOGLETRANSLATE(B78, ""en"", ""zh"")"),"蹴鞠球员传统上穿着：")</f>
        <v>蹴鞠球员传统上穿着：</v>
      </c>
      <c r="I78" s="4" t="str">
        <f>IFERROR(__xludf.DUMMYFUNCTION("GOOGLETRANSLATE(C78, ""en"", ""zh"")"),"A) 轻甲 B) 布袍 C) 运动服 D) 无衣")</f>
        <v>A) 轻甲 B) 布袍 C) 运动服 D) 无衣</v>
      </c>
      <c r="J78" s="4" t="str">
        <f>IFERROR(__xludf.DUMMYFUNCTION("GOOGLETRANSLATE(D78, ""en"", ""zh"")"),"B）布袍")</f>
        <v>B）布袍</v>
      </c>
      <c r="K78" s="4" t="str">
        <f>IFERROR(__xludf.DUMMYFUNCTION("GOOGLETRANSLATE(E78, ""en"", ""zh"")"),"#VALUE!")</f>
        <v>#VALUE!</v>
      </c>
      <c r="L78" s="2"/>
      <c r="M78" s="2"/>
      <c r="N78" s="2"/>
      <c r="O78" s="2"/>
      <c r="P78" s="2"/>
      <c r="Q78" s="2"/>
      <c r="R78" s="2"/>
      <c r="S78" s="2"/>
      <c r="T78" s="2"/>
      <c r="U78" s="2"/>
      <c r="V78" s="2"/>
      <c r="W78" s="2"/>
      <c r="X78" s="2"/>
      <c r="Y78" s="2"/>
      <c r="Z78" s="2"/>
      <c r="AA78" s="2"/>
      <c r="AB78" s="2"/>
      <c r="AC78" s="2"/>
    </row>
    <row r="79">
      <c r="A79" s="21">
        <v>79.0</v>
      </c>
      <c r="B79" s="17" t="s">
        <v>290</v>
      </c>
      <c r="C79" s="17" t="s">
        <v>291</v>
      </c>
      <c r="D79" s="17" t="s">
        <v>292</v>
      </c>
      <c r="E79" s="20"/>
      <c r="F79" s="2"/>
      <c r="G79" s="2"/>
      <c r="H79" s="4" t="str">
        <f>IFERROR(__xludf.DUMMYFUNCTION("GOOGLETRANSLATE(B79, ""en"", ""zh"")"),"蹴鞠可以在室内玩吗？")</f>
        <v>蹴鞠可以在室内玩吗？</v>
      </c>
      <c r="I79" s="4" t="str">
        <f>IFERROR(__xludf.DUMMYFUNCTION("GOOGLETRANSLATE(C79, ""en"", ""zh"")"),"A) 否 B) 是 C) 有时 D) 仅限小型团队")</f>
        <v>A) 否 B) 是 C) 有时 D) 仅限小型团队</v>
      </c>
      <c r="J79" s="4" t="str">
        <f>IFERROR(__xludf.DUMMYFUNCTION("GOOGLETRANSLATE(D79, ""en"", ""zh"")"),"B) 是的")</f>
        <v>B) 是的</v>
      </c>
      <c r="K79" s="4" t="str">
        <f>IFERROR(__xludf.DUMMYFUNCTION("GOOGLETRANSLATE(E79, ""en"", ""zh"")"),"#VALUE!")</f>
        <v>#VALUE!</v>
      </c>
      <c r="L79" s="2"/>
      <c r="M79" s="2"/>
      <c r="N79" s="2"/>
      <c r="O79" s="2"/>
      <c r="P79" s="2"/>
      <c r="Q79" s="2"/>
      <c r="R79" s="2"/>
      <c r="S79" s="2"/>
      <c r="T79" s="2"/>
      <c r="U79" s="2"/>
      <c r="V79" s="2"/>
      <c r="W79" s="2"/>
      <c r="X79" s="2"/>
      <c r="Y79" s="2"/>
      <c r="Z79" s="2"/>
      <c r="AA79" s="2"/>
      <c r="AB79" s="2"/>
      <c r="AC79" s="2"/>
    </row>
    <row r="80">
      <c r="A80" s="21">
        <v>80.0</v>
      </c>
      <c r="B80" s="17" t="s">
        <v>293</v>
      </c>
      <c r="C80" s="17" t="s">
        <v>294</v>
      </c>
      <c r="D80" s="17" t="s">
        <v>295</v>
      </c>
      <c r="E80" s="20"/>
      <c r="F80" s="2"/>
      <c r="G80" s="2"/>
      <c r="H80" s="4" t="str">
        <f>IFERROR(__xludf.DUMMYFUNCTION("GOOGLETRANSLATE(B80, ""en"", ""zh"")"),"蹴鞠比赛结束的信号是什么？")</f>
        <v>蹴鞠比赛结束的信号是什么？</v>
      </c>
      <c r="I80" s="4" t="str">
        <f>IFERROR(__xludf.DUMMYFUNCTION("GOOGLETRANSLATE(C80, ""en"", ""zh"")"),"A) 裁判哨声 B) 比分达到 C) 日落 D) 球员协议")</f>
        <v>A) 裁判哨声 B) 比分达到 C) 日落 D) 球员协议</v>
      </c>
      <c r="J80" s="4" t="str">
        <f>IFERROR(__xludf.DUMMYFUNCTION("GOOGLETRANSLATE(D80, ""en"", ""zh"")"),"A) 裁判哨声")</f>
        <v>A) 裁判哨声</v>
      </c>
      <c r="K80" s="4" t="str">
        <f>IFERROR(__xludf.DUMMYFUNCTION("GOOGLETRANSLATE(E80, ""en"", ""zh"")"),"#VALUE!")</f>
        <v>#VALUE!</v>
      </c>
      <c r="L80" s="2"/>
      <c r="M80" s="2"/>
      <c r="N80" s="2"/>
      <c r="O80" s="2"/>
      <c r="P80" s="2"/>
      <c r="Q80" s="2"/>
      <c r="R80" s="2"/>
      <c r="S80" s="2"/>
      <c r="T80" s="2"/>
      <c r="U80" s="2"/>
      <c r="V80" s="2"/>
      <c r="W80" s="2"/>
      <c r="X80" s="2"/>
      <c r="Y80" s="2"/>
      <c r="Z80" s="2"/>
      <c r="AA80" s="2"/>
      <c r="AB80" s="2"/>
      <c r="AC80" s="2"/>
    </row>
    <row r="81">
      <c r="A81" s="21">
        <v>81.0</v>
      </c>
      <c r="B81" s="17" t="s">
        <v>296</v>
      </c>
      <c r="C81" s="17" t="s">
        <v>297</v>
      </c>
      <c r="D81" s="17" t="s">
        <v>298</v>
      </c>
      <c r="E81" s="20"/>
      <c r="F81" s="2"/>
      <c r="G81" s="2"/>
      <c r="H81" s="4" t="str">
        <f>IFERROR(__xludf.DUMMYFUNCTION("GOOGLETRANSLATE(B81, ""en"", ""zh"")"),"在貉中，角球是如何判罚的？")</f>
        <v>在貉中，角球是如何判罚的？</v>
      </c>
      <c r="I81" s="4" t="str">
        <f>IFERROR(__xludf.DUMMYFUNCTION("GOOGLETRANSLATE(C81, ""en"", ""zh"")"),"A) 球越过球门线，最后触球者是防守队员 B) 球越过中场 C) 球员进球 D) 中场犯规")</f>
        <v>A) 球越过球门线，最后触球者是防守队员 B) 球越过中场 C) 球员进球 D) 中场犯规</v>
      </c>
      <c r="J81" s="4" t="str">
        <f>IFERROR(__xludf.DUMMYFUNCTION("GOOGLETRANSLATE(D81, ""en"", ""zh"")"),"A) 球越过球门线时，最后触球的是防守队员")</f>
        <v>A) 球越过球门线时，最后触球的是防守队员</v>
      </c>
      <c r="K81" s="4" t="str">
        <f>IFERROR(__xludf.DUMMYFUNCTION("GOOGLETRANSLATE(E81, ""en"", ""zh"")"),"#VALUE!")</f>
        <v>#VALUE!</v>
      </c>
      <c r="L81" s="2"/>
      <c r="M81" s="2"/>
      <c r="N81" s="2"/>
      <c r="O81" s="2"/>
      <c r="P81" s="2"/>
      <c r="Q81" s="2"/>
      <c r="R81" s="2"/>
      <c r="S81" s="2"/>
      <c r="T81" s="2"/>
      <c r="U81" s="2"/>
      <c r="V81" s="2"/>
      <c r="W81" s="2"/>
      <c r="X81" s="2"/>
      <c r="Y81" s="2"/>
      <c r="Z81" s="2"/>
      <c r="AA81" s="2"/>
      <c r="AB81" s="2"/>
      <c r="AC81" s="2"/>
    </row>
    <row r="82">
      <c r="A82" s="21">
        <v>82.0</v>
      </c>
      <c r="B82" s="17" t="s">
        <v>299</v>
      </c>
      <c r="C82" s="17" t="s">
        <v>300</v>
      </c>
      <c r="D82" s="17" t="s">
        <v>301</v>
      </c>
      <c r="E82" s="20"/>
      <c r="F82" s="2"/>
      <c r="G82" s="2"/>
      <c r="H82" s="4" t="str">
        <f>IFERROR(__xludf.DUMMYFUNCTION("GOOGLETRANSLATE(B82, ""en"", ""zh"")"),"传统蹴鞠球是由什么材料制成的？")</f>
        <v>传统蹴鞠球是由什么材料制成的？</v>
      </c>
      <c r="I82" s="4" t="str">
        <f>IFERROR(__xludf.DUMMYFUNCTION("GOOGLETRANSLATE(C82, ""en"", ""zh"")"),"A) 填充羽毛的皮革 B) 橡胶 C) 木头 D) 布料")</f>
        <v>A) 填充羽毛的皮革 B) 橡胶 C) 木头 D) 布料</v>
      </c>
      <c r="J82" s="4" t="str">
        <f>IFERROR(__xludf.DUMMYFUNCTION("GOOGLETRANSLATE(D82, ""en"", ""zh"")"),"A) 皮革填充羽毛")</f>
        <v>A) 皮革填充羽毛</v>
      </c>
      <c r="K82" s="4" t="str">
        <f>IFERROR(__xludf.DUMMYFUNCTION("GOOGLETRANSLATE(E82, ""en"", ""zh"")"),"#VALUE!")</f>
        <v>#VALUE!</v>
      </c>
      <c r="L82" s="2"/>
      <c r="M82" s="2"/>
      <c r="N82" s="2"/>
      <c r="O82" s="2"/>
      <c r="P82" s="2"/>
      <c r="Q82" s="2"/>
      <c r="R82" s="2"/>
      <c r="S82" s="2"/>
      <c r="T82" s="2"/>
      <c r="U82" s="2"/>
      <c r="V82" s="2"/>
      <c r="W82" s="2"/>
      <c r="X82" s="2"/>
      <c r="Y82" s="2"/>
      <c r="Z82" s="2"/>
      <c r="AA82" s="2"/>
      <c r="AB82" s="2"/>
      <c r="AC82" s="2"/>
    </row>
    <row r="83">
      <c r="A83" s="21">
        <v>83.0</v>
      </c>
      <c r="B83" s="17" t="s">
        <v>302</v>
      </c>
      <c r="C83" s="17" t="s">
        <v>303</v>
      </c>
      <c r="D83" s="17" t="s">
        <v>62</v>
      </c>
      <c r="E83" s="20"/>
      <c r="F83" s="2"/>
      <c r="G83" s="2"/>
      <c r="H83" s="4" t="str">
        <f>IFERROR(__xludf.DUMMYFUNCTION("GOOGLETRANSLATE(B83, ""en"", ""zh"")"),"蹴鞠策略的主要目标是什么？")</f>
        <v>蹴鞠策略的主要目标是什么？</v>
      </c>
      <c r="I83" s="4" t="str">
        <f>IFERROR(__xludf.DUMMYFUNCTION("GOOGLETRANSLATE(C83, ""en"", ""zh"")"),"A) 进球 B) 防守 C) 保持控球权 D) 以上所有选项")</f>
        <v>A) 进球 B) 防守 C) 保持控球权 D) 以上所有选项</v>
      </c>
      <c r="J83" s="4" t="str">
        <f>IFERROR(__xludf.DUMMYFUNCTION("GOOGLETRANSLATE(D83, ""en"", ""zh"")"),"D) 以上所有选项")</f>
        <v>D) 以上所有选项</v>
      </c>
      <c r="K83" s="4" t="str">
        <f>IFERROR(__xludf.DUMMYFUNCTION("GOOGLETRANSLATE(E83, ""en"", ""zh"")"),"#VALUE!")</f>
        <v>#VALUE!</v>
      </c>
      <c r="L83" s="2"/>
      <c r="M83" s="2"/>
      <c r="N83" s="2"/>
      <c r="O83" s="2"/>
      <c r="P83" s="2"/>
      <c r="Q83" s="2"/>
      <c r="R83" s="2"/>
      <c r="S83" s="2"/>
      <c r="T83" s="2"/>
      <c r="U83" s="2"/>
      <c r="V83" s="2"/>
      <c r="W83" s="2"/>
      <c r="X83" s="2"/>
      <c r="Y83" s="2"/>
      <c r="Z83" s="2"/>
      <c r="AA83" s="2"/>
      <c r="AB83" s="2"/>
      <c r="AC83" s="2"/>
    </row>
    <row r="84">
      <c r="A84" s="21">
        <v>84.0</v>
      </c>
      <c r="B84" s="17" t="s">
        <v>304</v>
      </c>
      <c r="C84" s="17" t="s">
        <v>305</v>
      </c>
      <c r="D84" s="17" t="s">
        <v>306</v>
      </c>
      <c r="E84" s="20"/>
      <c r="F84" s="2"/>
      <c r="G84" s="2"/>
      <c r="H84" s="4" t="str">
        <f>IFERROR(__xludf.DUMMYFUNCTION("GOOGLETRANSLATE(B84, ""en"", ""zh"")"),"历史上，蹴鞠选手被允许：")</f>
        <v>历史上，蹴鞠选手被允许：</v>
      </c>
      <c r="I84" s="4" t="str">
        <f>IFERROR(__xludf.DUMMYFUNCTION("GOOGLETRANSLATE(C84, ""en"", ""zh"")"),"A) 用脚踢 B) 用手接球 C) 用棍子接球 D) 只用头接球")</f>
        <v>A) 用脚踢 B) 用手接球 C) 用棍子接球 D) 只用头接球</v>
      </c>
      <c r="J84" s="4" t="str">
        <f>IFERROR(__xludf.DUMMYFUNCTION("GOOGLETRANSLATE(D84, ""en"", ""zh"")"),"A) 用脚踢")</f>
        <v>A) 用脚踢</v>
      </c>
      <c r="K84" s="4" t="str">
        <f>IFERROR(__xludf.DUMMYFUNCTION("GOOGLETRANSLATE(E84, ""en"", ""zh"")"),"#VALUE!")</f>
        <v>#VALUE!</v>
      </c>
      <c r="L84" s="2"/>
      <c r="M84" s="2"/>
      <c r="N84" s="2"/>
      <c r="O84" s="2"/>
      <c r="P84" s="2"/>
      <c r="Q84" s="2"/>
      <c r="R84" s="2"/>
      <c r="S84" s="2"/>
      <c r="T84" s="2"/>
      <c r="U84" s="2"/>
      <c r="V84" s="2"/>
      <c r="W84" s="2"/>
      <c r="X84" s="2"/>
      <c r="Y84" s="2"/>
      <c r="Z84" s="2"/>
      <c r="AA84" s="2"/>
      <c r="AB84" s="2"/>
      <c r="AC84" s="2"/>
    </row>
    <row r="85">
      <c r="A85" s="21">
        <v>85.0</v>
      </c>
      <c r="B85" s="17" t="s">
        <v>307</v>
      </c>
      <c r="C85" s="17" t="s">
        <v>308</v>
      </c>
      <c r="D85" s="17" t="s">
        <v>309</v>
      </c>
      <c r="E85" s="20"/>
      <c r="F85" s="2"/>
      <c r="G85" s="2"/>
      <c r="H85" s="4" t="str">
        <f>IFERROR(__xludf.DUMMYFUNCTION("GOOGLETRANSLATE(B85, ""en"", ""zh"")"),"在蹴鞠的比赛中，什么样的进球才算进球？")</f>
        <v>在蹴鞠的比赛中，什么样的进球才算进球？</v>
      </c>
      <c r="I85" s="4" t="str">
        <f>IFERROR(__xludf.DUMMYFUNCTION("GOOGLETRANSLATE(C85, ""en"", ""zh"")"),"A) 球越过圆形球网 B) 球击中围栏 C) 球落地 D) 球被抛出")</f>
        <v>A) 球越过圆形球网 B) 球击中围栏 C) 球落地 D) 球被抛出</v>
      </c>
      <c r="J85" s="4" t="str">
        <f>IFERROR(__xludf.DUMMYFUNCTION("GOOGLETRANSLATE(D85, ""en"", ""zh"")"),"A) 球越过圆形球网")</f>
        <v>A) 球越过圆形球网</v>
      </c>
      <c r="K85" s="4" t="str">
        <f>IFERROR(__xludf.DUMMYFUNCTION("GOOGLETRANSLATE(E85, ""en"", ""zh"")"),"#VALUE!")</f>
        <v>#VALUE!</v>
      </c>
      <c r="L85" s="2"/>
      <c r="M85" s="2"/>
      <c r="N85" s="2"/>
      <c r="O85" s="2"/>
      <c r="P85" s="2"/>
      <c r="Q85" s="2"/>
      <c r="R85" s="2"/>
      <c r="S85" s="2"/>
      <c r="T85" s="2"/>
      <c r="U85" s="2"/>
      <c r="V85" s="2"/>
      <c r="W85" s="2"/>
      <c r="X85" s="2"/>
      <c r="Y85" s="2"/>
      <c r="Z85" s="2"/>
      <c r="AA85" s="2"/>
      <c r="AB85" s="2"/>
      <c r="AC85" s="2"/>
    </row>
    <row r="86">
      <c r="A86" s="21">
        <v>86.0</v>
      </c>
      <c r="B86" s="17" t="s">
        <v>310</v>
      </c>
      <c r="C86" s="17" t="s">
        <v>311</v>
      </c>
      <c r="D86" s="17" t="s">
        <v>312</v>
      </c>
      <c r="E86" s="20"/>
      <c r="F86" s="2"/>
      <c r="G86" s="2"/>
      <c r="H86" s="4" t="str">
        <f>IFERROR(__xludf.DUMMYFUNCTION("GOOGLETRANSLATE(B86, ""en"", ""zh"")"),"开球时如何决定球权？")</f>
        <v>开球时如何决定球权？</v>
      </c>
      <c r="I86" s="4" t="str">
        <f>IFERROR(__xludf.DUMMYFUNCTION("GOOGLETRANSLATE(C86, ""en"", ""zh"")"),"A) 抛硬币 B) 抽签 C) 裁判判决 D) 球员协议")</f>
        <v>A) 抛硬币 B) 抽签 C) 裁判判决 D) 球员协议</v>
      </c>
      <c r="J86" s="4" t="str">
        <f>IFERROR(__xludf.DUMMYFUNCTION("GOOGLETRANSLATE(D86, ""en"", ""zh"")"),"A) 抛硬币")</f>
        <v>A) 抛硬币</v>
      </c>
      <c r="K86" s="4" t="str">
        <f>IFERROR(__xludf.DUMMYFUNCTION("GOOGLETRANSLATE(E86, ""en"", ""zh"")"),"#VALUE!")</f>
        <v>#VALUE!</v>
      </c>
      <c r="L86" s="2"/>
      <c r="M86" s="2"/>
      <c r="N86" s="2"/>
      <c r="O86" s="2"/>
      <c r="P86" s="2"/>
      <c r="Q86" s="2"/>
      <c r="R86" s="2"/>
      <c r="S86" s="2"/>
      <c r="T86" s="2"/>
      <c r="U86" s="2"/>
      <c r="V86" s="2"/>
      <c r="W86" s="2"/>
      <c r="X86" s="2"/>
      <c r="Y86" s="2"/>
      <c r="Z86" s="2"/>
      <c r="AA86" s="2"/>
      <c r="AB86" s="2"/>
      <c r="AC86" s="2"/>
    </row>
    <row r="87">
      <c r="A87" s="21">
        <v>87.0</v>
      </c>
      <c r="B87" s="17" t="s">
        <v>313</v>
      </c>
      <c r="C87" s="17" t="s">
        <v>314</v>
      </c>
      <c r="D87" s="17" t="s">
        <v>315</v>
      </c>
      <c r="E87" s="20"/>
      <c r="F87" s="2"/>
      <c r="G87" s="2"/>
      <c r="H87" s="4" t="str">
        <f>IFERROR(__xludf.DUMMYFUNCTION("GOOGLETRANSLATE(B87, ""en"", ""zh"")"),"在蹴鞠比赛中，多次犯规的处罚是什么？")</f>
        <v>在蹴鞠比赛中，多次犯规的处罚是什么？</v>
      </c>
      <c r="I87" s="4" t="str">
        <f>IFERROR(__xludf.DUMMYFUNCTION("GOOGLETRANSLATE(C87, ""en"", ""zh"")"),"A) 任意球 B) 罚下 C) 警告 D) 以上全部")</f>
        <v>A) 任意球 B) 罚下 C) 警告 D) 以上全部</v>
      </c>
      <c r="J87" s="4" t="str">
        <f>IFERROR(__xludf.DUMMYFUNCTION("GOOGLETRANSLATE(D87, ""en"", ""zh"")"),"B) 驱逐")</f>
        <v>B) 驱逐</v>
      </c>
      <c r="K87" s="4" t="str">
        <f>IFERROR(__xludf.DUMMYFUNCTION("GOOGLETRANSLATE(E87, ""en"", ""zh"")"),"#VALUE!")</f>
        <v>#VALUE!</v>
      </c>
      <c r="L87" s="2"/>
      <c r="M87" s="2"/>
      <c r="N87" s="2"/>
      <c r="O87" s="2"/>
      <c r="P87" s="2"/>
      <c r="Q87" s="2"/>
      <c r="R87" s="2"/>
      <c r="S87" s="2"/>
      <c r="T87" s="2"/>
      <c r="U87" s="2"/>
      <c r="V87" s="2"/>
      <c r="W87" s="2"/>
      <c r="X87" s="2"/>
      <c r="Y87" s="2"/>
      <c r="Z87" s="2"/>
      <c r="AA87" s="2"/>
      <c r="AB87" s="2"/>
      <c r="AC87" s="2"/>
    </row>
    <row r="88">
      <c r="A88" s="21">
        <v>88.0</v>
      </c>
      <c r="B88" s="17" t="s">
        <v>316</v>
      </c>
      <c r="C88" s="17" t="s">
        <v>317</v>
      </c>
      <c r="D88" s="17" t="s">
        <v>318</v>
      </c>
      <c r="E88" s="20"/>
      <c r="F88" s="2"/>
      <c r="G88" s="2"/>
      <c r="H88" s="4" t="str">
        <f>IFERROR(__xludf.DUMMYFUNCTION("GOOGLETRANSLATE(B88, ""en"", ""zh"")"),"蹴鞠常被称为：")</f>
        <v>蹴鞠常被称为：</v>
      </c>
      <c r="I88" s="4" t="str">
        <f>IFERROR(__xludf.DUMMYFUNCTION("GOOGLETRANSLATE(C88, ""en"", ""zh"")"),"A) 古代中国足球 B) 古代排球 C) 传统篮球 D) 古代橄榄球")</f>
        <v>A) 古代中国足球 B) 古代排球 C) 传统篮球 D) 古代橄榄球</v>
      </c>
      <c r="J88" s="4" t="str">
        <f>IFERROR(__xludf.DUMMYFUNCTION("GOOGLETRANSLATE(D88, ""en"", ""zh"")"),"A) 中国古代足球")</f>
        <v>A) 中国古代足球</v>
      </c>
      <c r="K88" s="4" t="str">
        <f>IFERROR(__xludf.DUMMYFUNCTION("GOOGLETRANSLATE(E88, ""en"", ""zh"")"),"#VALUE!")</f>
        <v>#VALUE!</v>
      </c>
      <c r="L88" s="2"/>
      <c r="M88" s="2"/>
      <c r="N88" s="2"/>
      <c r="O88" s="2"/>
      <c r="P88" s="2"/>
      <c r="Q88" s="2"/>
      <c r="R88" s="2"/>
      <c r="S88" s="2"/>
      <c r="T88" s="2"/>
      <c r="U88" s="2"/>
      <c r="V88" s="2"/>
      <c r="W88" s="2"/>
      <c r="X88" s="2"/>
      <c r="Y88" s="2"/>
      <c r="Z88" s="2"/>
      <c r="AA88" s="2"/>
      <c r="AB88" s="2"/>
      <c r="AC88" s="2"/>
    </row>
    <row r="89">
      <c r="A89" s="21">
        <v>89.0</v>
      </c>
      <c r="B89" s="17" t="s">
        <v>319</v>
      </c>
      <c r="C89" s="17" t="s">
        <v>320</v>
      </c>
      <c r="D89" s="17" t="s">
        <v>321</v>
      </c>
      <c r="E89" s="20"/>
      <c r="F89" s="2"/>
      <c r="G89" s="2"/>
      <c r="H89" s="4" t="str">
        <f>IFERROR(__xludf.DUMMYFUNCTION("GOOGLETRANSLATE(B89, ""en"", ""zh"")"),"蹴鞠球场上，什么决定了哪个角？")</f>
        <v>蹴鞠球场上，什么决定了哪个角？</v>
      </c>
      <c r="I89" s="4" t="str">
        <f>IFERROR(__xludf.DUMMYFUNCTION("GOOGLETRANSLATE(C89, ""en"", ""zh"")"),"A) 防守队员最后一次触球时球已越过球门线 B) 球出界 C) 中场犯规 D) 门将失守")</f>
        <v>A) 防守队员最后一次触球时球已越过球门线 B) 球出界 C) 中场犯规 D) 门将失守</v>
      </c>
      <c r="J89" s="4" t="str">
        <f>IFERROR(__xludf.DUMMYFUNCTION("GOOGLETRANSLATE(D89, ""en"", ""zh"")"),"A) 防守队员最后一次触球越过球门线")</f>
        <v>A) 防守队员最后一次触球越过球门线</v>
      </c>
      <c r="K89" s="4" t="str">
        <f>IFERROR(__xludf.DUMMYFUNCTION("GOOGLETRANSLATE(E89, ""en"", ""zh"")"),"#VALUE!")</f>
        <v>#VALUE!</v>
      </c>
      <c r="L89" s="2"/>
      <c r="M89" s="2"/>
      <c r="N89" s="2"/>
      <c r="O89" s="2"/>
      <c r="P89" s="2"/>
      <c r="Q89" s="2"/>
      <c r="R89" s="2"/>
      <c r="S89" s="2"/>
      <c r="T89" s="2"/>
      <c r="U89" s="2"/>
      <c r="V89" s="2"/>
      <c r="W89" s="2"/>
      <c r="X89" s="2"/>
      <c r="Y89" s="2"/>
      <c r="Z89" s="2"/>
      <c r="AA89" s="2"/>
      <c r="AB89" s="2"/>
      <c r="AC89" s="2"/>
    </row>
    <row r="90">
      <c r="A90" s="21">
        <v>90.0</v>
      </c>
      <c r="B90" s="17" t="s">
        <v>322</v>
      </c>
      <c r="C90" s="17" t="s">
        <v>323</v>
      </c>
      <c r="D90" s="17" t="s">
        <v>324</v>
      </c>
      <c r="E90" s="20"/>
      <c r="F90" s="2"/>
      <c r="G90" s="2"/>
      <c r="H90" s="4" t="str">
        <f>IFERROR(__xludf.DUMMYFUNCTION("GOOGLETRANSLATE(B90, ""en"", ""zh"")"),"传统蹴鞠比赛中，需要进多少球才能获胜？")</f>
        <v>传统蹴鞠比赛中，需要进多少球才能获胜？</v>
      </c>
      <c r="I90" s="4" t="str">
        <f>IFERROR(__xludf.DUMMYFUNCTION("GOOGLETRANSLATE(C90, ""en"", ""zh"")"),"A) 全时赛后最高数字 B) 1 C) 3 D) 5")</f>
        <v>A) 全时赛后最高数字 B) 1 C) 3 D) 5</v>
      </c>
      <c r="J90" s="4" t="str">
        <f>IFERROR(__xludf.DUMMYFUNCTION("GOOGLETRANSLATE(D90, ""en"", ""zh"")"),"A) 全勤后的最高数字")</f>
        <v>A) 全勤后的最高数字</v>
      </c>
      <c r="K90" s="4" t="str">
        <f>IFERROR(__xludf.DUMMYFUNCTION("GOOGLETRANSLATE(E90, ""en"", ""zh"")"),"#VALUE!")</f>
        <v>#VALUE!</v>
      </c>
      <c r="L90" s="2"/>
      <c r="M90" s="2"/>
      <c r="N90" s="2"/>
      <c r="O90" s="2"/>
      <c r="P90" s="2"/>
      <c r="Q90" s="2"/>
      <c r="R90" s="2"/>
      <c r="S90" s="2"/>
      <c r="T90" s="2"/>
      <c r="U90" s="2"/>
      <c r="V90" s="2"/>
      <c r="W90" s="2"/>
      <c r="X90" s="2"/>
      <c r="Y90" s="2"/>
      <c r="Z90" s="2"/>
      <c r="AA90" s="2"/>
      <c r="AB90" s="2"/>
      <c r="AC90" s="2"/>
    </row>
    <row r="91">
      <c r="A91" s="21">
        <v>91.0</v>
      </c>
      <c r="B91" s="17" t="s">
        <v>325</v>
      </c>
      <c r="C91" s="17" t="s">
        <v>326</v>
      </c>
      <c r="D91" s="17" t="s">
        <v>327</v>
      </c>
      <c r="E91" s="20"/>
      <c r="F91" s="2"/>
      <c r="G91" s="2"/>
      <c r="H91" s="4" t="str">
        <f>IFERROR(__xludf.DUMMYFUNCTION("GOOGLETRANSLATE(B91, ""en"", ""zh"")"),"蹴鞠球员可以通过以下方式传球：")</f>
        <v>蹴鞠球员可以通过以下方式传球：</v>
      </c>
      <c r="I91" s="4" t="str">
        <f>IFERROR(__xludf.DUMMYFUNCTION("GOOGLETRANSLATE(C91, ""en"", ""zh"")"),"A) 仅脚部 B) 手部 C) 头部 D) 手臂")</f>
        <v>A) 仅脚部 B) 手部 C) 头部 D) 手臂</v>
      </c>
      <c r="J91" s="4" t="str">
        <f>IFERROR(__xludf.DUMMYFUNCTION("GOOGLETRANSLATE(D91, ""en"", ""zh"")"),"A) 仅限脚部")</f>
        <v>A) 仅限脚部</v>
      </c>
      <c r="K91" s="4" t="str">
        <f>IFERROR(__xludf.DUMMYFUNCTION("GOOGLETRANSLATE(E91, ""en"", ""zh"")"),"#VALUE!")</f>
        <v>#VALUE!</v>
      </c>
      <c r="L91" s="2"/>
      <c r="M91" s="2"/>
      <c r="N91" s="2"/>
      <c r="O91" s="2"/>
      <c r="P91" s="2"/>
      <c r="Q91" s="2"/>
      <c r="R91" s="2"/>
      <c r="S91" s="2"/>
      <c r="T91" s="2"/>
      <c r="U91" s="2"/>
      <c r="V91" s="2"/>
      <c r="W91" s="2"/>
      <c r="X91" s="2"/>
      <c r="Y91" s="2"/>
      <c r="Z91" s="2"/>
      <c r="AA91" s="2"/>
      <c r="AB91" s="2"/>
      <c r="AC91" s="2"/>
    </row>
    <row r="92">
      <c r="A92" s="21">
        <v>92.0</v>
      </c>
      <c r="B92" s="17" t="s">
        <v>328</v>
      </c>
      <c r="C92" s="17" t="s">
        <v>329</v>
      </c>
      <c r="D92" s="17" t="s">
        <v>330</v>
      </c>
      <c r="E92" s="20"/>
      <c r="F92" s="2"/>
      <c r="G92" s="2"/>
      <c r="H92" s="4" t="str">
        <f>IFERROR(__xludf.DUMMYFUNCTION("GOOGLETRANSLATE(B92, ""en"", ""zh"")"),"蹴鞠场地历史上的尺寸为：")</f>
        <v>蹴鞠场地历史上的尺寸为：</v>
      </c>
      <c r="I92" s="4" t="str">
        <f>IFERROR(__xludf.DUMMYFUNCTION("GOOGLETRANSLATE(C92, ""en"", ""zh"")"),"A) 形状不一，大致呈矩形 B) 形状固定 C) 圆形 D) 正方形")</f>
        <v>A) 形状不一，大致呈矩形 B) 形状固定 C) 圆形 D) 正方形</v>
      </c>
      <c r="J92" s="4" t="str">
        <f>IFERROR(__xludf.DUMMYFUNCTION("GOOGLETRANSLATE(D92, ""en"", ""zh"")"),"A) 形状各异，大致呈矩形")</f>
        <v>A) 形状各异，大致呈矩形</v>
      </c>
      <c r="K92" s="4" t="str">
        <f>IFERROR(__xludf.DUMMYFUNCTION("GOOGLETRANSLATE(E92, ""en"", ""zh"")"),"#VALUE!")</f>
        <v>#VALUE!</v>
      </c>
      <c r="L92" s="2"/>
      <c r="M92" s="2"/>
      <c r="N92" s="2"/>
      <c r="O92" s="2"/>
      <c r="P92" s="2"/>
      <c r="Q92" s="2"/>
      <c r="R92" s="2"/>
      <c r="S92" s="2"/>
      <c r="T92" s="2"/>
      <c r="U92" s="2"/>
      <c r="V92" s="2"/>
      <c r="W92" s="2"/>
      <c r="X92" s="2"/>
      <c r="Y92" s="2"/>
      <c r="Z92" s="2"/>
      <c r="AA92" s="2"/>
      <c r="AB92" s="2"/>
      <c r="AC92" s="2"/>
    </row>
    <row r="93">
      <c r="A93" s="21">
        <v>93.0</v>
      </c>
      <c r="B93" s="17" t="s">
        <v>331</v>
      </c>
      <c r="C93" s="17" t="s">
        <v>332</v>
      </c>
      <c r="D93" s="17" t="s">
        <v>333</v>
      </c>
      <c r="E93" s="20"/>
      <c r="F93" s="2"/>
      <c r="G93" s="2"/>
      <c r="H93" s="4" t="str">
        <f>IFERROR(__xludf.DUMMYFUNCTION("GOOGLETRANSLATE(B93, ""en"", ""zh"")"),"蹴鞠队中守门员的角色是什么？")</f>
        <v>蹴鞠队中守门员的角色是什么？</v>
      </c>
      <c r="I93" s="4" t="str">
        <f>IFERROR(__xludf.DUMMYFUNCTION("GOOGLETRANSLATE(C93, ""en"", ""zh"")"),"A) 阻止进球 B) 仅限开球 C) 传球 D) 进球")</f>
        <v>A) 阻止进球 B) 仅限开球 C) 传球 D) 进球</v>
      </c>
      <c r="J93" s="4" t="str">
        <f>IFERROR(__xludf.DUMMYFUNCTION("GOOGLETRANSLATE(D93, ""en"", ""zh"")"),"A) 预防目标")</f>
        <v>A) 预防目标</v>
      </c>
      <c r="K93" s="4" t="str">
        <f>IFERROR(__xludf.DUMMYFUNCTION("GOOGLETRANSLATE(E93, ""en"", ""zh"")"),"#VALUE!")</f>
        <v>#VALUE!</v>
      </c>
      <c r="L93" s="2"/>
      <c r="M93" s="2"/>
      <c r="N93" s="2"/>
      <c r="O93" s="2"/>
      <c r="P93" s="2"/>
      <c r="Q93" s="2"/>
      <c r="R93" s="2"/>
      <c r="S93" s="2"/>
      <c r="T93" s="2"/>
      <c r="U93" s="2"/>
      <c r="V93" s="2"/>
      <c r="W93" s="2"/>
      <c r="X93" s="2"/>
      <c r="Y93" s="2"/>
      <c r="Z93" s="2"/>
      <c r="AA93" s="2"/>
      <c r="AB93" s="2"/>
      <c r="AC93" s="2"/>
    </row>
    <row r="94">
      <c r="A94" s="21">
        <v>94.0</v>
      </c>
      <c r="B94" s="17" t="s">
        <v>334</v>
      </c>
      <c r="C94" s="17" t="s">
        <v>335</v>
      </c>
      <c r="D94" s="17" t="s">
        <v>336</v>
      </c>
      <c r="E94" s="20"/>
      <c r="F94" s="2"/>
      <c r="G94" s="2"/>
      <c r="H94" s="4" t="str">
        <f>IFERROR(__xludf.DUMMYFUNCTION("GOOGLETRANSLATE(B94, ""en"", ""zh"")"),"蹴鞠历史上的比赛包括：")</f>
        <v>蹴鞠历史上的比赛包括：</v>
      </c>
      <c r="I94" s="4" t="str">
        <f>IFERROR(__xludf.DUMMYFUNCTION("GOOGLETRANSLATE(C94, ""en"", ""zh"")"),"A) 团队策略 B) 个人技能 C) A 和 B 均正确 D) 以上均不正确")</f>
        <v>A) 团队策略 B) 个人技能 C) A 和 B 均正确 D) 以上均不正确</v>
      </c>
      <c r="J94" s="4" t="str">
        <f>IFERROR(__xludf.DUMMYFUNCTION("GOOGLETRANSLATE(D94, ""en"", ""zh"")"),"C) A 和 B 都对")</f>
        <v>C) A 和 B 都对</v>
      </c>
      <c r="K94" s="4" t="str">
        <f>IFERROR(__xludf.DUMMYFUNCTION("GOOGLETRANSLATE(E94, ""en"", ""zh"")"),"#VALUE!")</f>
        <v>#VALUE!</v>
      </c>
      <c r="L94" s="2"/>
      <c r="M94" s="2"/>
      <c r="N94" s="2"/>
      <c r="O94" s="2"/>
      <c r="P94" s="2"/>
      <c r="Q94" s="2"/>
      <c r="R94" s="2"/>
      <c r="S94" s="2"/>
      <c r="T94" s="2"/>
      <c r="U94" s="2"/>
      <c r="V94" s="2"/>
      <c r="W94" s="2"/>
      <c r="X94" s="2"/>
      <c r="Y94" s="2"/>
      <c r="Z94" s="2"/>
      <c r="AA94" s="2"/>
      <c r="AB94" s="2"/>
      <c r="AC94" s="2"/>
    </row>
    <row r="95">
      <c r="A95" s="21">
        <v>95.0</v>
      </c>
      <c r="B95" s="17" t="s">
        <v>337</v>
      </c>
      <c r="C95" s="17" t="s">
        <v>338</v>
      </c>
      <c r="D95" s="17" t="s">
        <v>339</v>
      </c>
      <c r="E95" s="20"/>
      <c r="F95" s="2"/>
      <c r="G95" s="2"/>
      <c r="H95" s="4" t="str">
        <f>IFERROR(__xludf.DUMMYFUNCTION("GOOGLETRANSLATE(B95, ""en"", ""zh"")"),"貉中什么是间接任意球？")</f>
        <v>貉中什么是间接任意球？</v>
      </c>
      <c r="I95" s="4" t="str">
        <f>IFERROR(__xludf.DUMMYFUNCTION("GOOGLETRANSLATE(C95, ""en"", ""zh"")"),"A) 球必须先碰到其他球员才能进球 B) 直接射门 C) 掷界外球 D) 角球")</f>
        <v>A) 球必须先碰到其他球员才能进球 B) 直接射门 C) 掷界外球 D) 角球</v>
      </c>
      <c r="J95" s="4" t="str">
        <f>IFERROR(__xludf.DUMMYFUNCTION("GOOGLETRANSLATE(D95, ""en"", ""zh"")"),"A) 球必须先碰到另一名球员才能进球")</f>
        <v>A) 球必须先碰到另一名球员才能进球</v>
      </c>
      <c r="K95" s="4" t="str">
        <f>IFERROR(__xludf.DUMMYFUNCTION("GOOGLETRANSLATE(E95, ""en"", ""zh"")"),"#VALUE!")</f>
        <v>#VALUE!</v>
      </c>
      <c r="L95" s="2"/>
      <c r="M95" s="2"/>
      <c r="N95" s="2"/>
      <c r="O95" s="2"/>
      <c r="P95" s="2"/>
      <c r="Q95" s="2"/>
      <c r="R95" s="2"/>
      <c r="S95" s="2"/>
      <c r="T95" s="2"/>
      <c r="U95" s="2"/>
      <c r="V95" s="2"/>
      <c r="W95" s="2"/>
      <c r="X95" s="2"/>
      <c r="Y95" s="2"/>
      <c r="Z95" s="2"/>
      <c r="AA95" s="2"/>
      <c r="AB95" s="2"/>
      <c r="AC95" s="2"/>
    </row>
    <row r="96">
      <c r="A96" s="21">
        <v>96.0</v>
      </c>
      <c r="B96" s="17" t="s">
        <v>340</v>
      </c>
      <c r="C96" s="17" t="s">
        <v>341</v>
      </c>
      <c r="D96" s="17" t="s">
        <v>62</v>
      </c>
      <c r="E96" s="20"/>
      <c r="F96" s="2"/>
      <c r="G96" s="2"/>
      <c r="H96" s="4" t="str">
        <f>IFERROR(__xludf.DUMMYFUNCTION("GOOGLETRANSLATE(B96, ""en"", ""zh"")"),"蹴鞠经常在以下场合演奏：")</f>
        <v>蹴鞠经常在以下场合演奏：</v>
      </c>
      <c r="I96" s="4" t="str">
        <f>IFERROR(__xludf.DUMMYFUNCTION("GOOGLETRANSLATE(C96, ""en"", ""zh"")"),"A) 节日 B) 战争 C) 军事训练 D) 以上全部")</f>
        <v>A) 节日 B) 战争 C) 军事训练 D) 以上全部</v>
      </c>
      <c r="J96" s="4" t="str">
        <f>IFERROR(__xludf.DUMMYFUNCTION("GOOGLETRANSLATE(D96, ""en"", ""zh"")"),"D) 以上所有选项")</f>
        <v>D) 以上所有选项</v>
      </c>
      <c r="K96" s="4" t="str">
        <f>IFERROR(__xludf.DUMMYFUNCTION("GOOGLETRANSLATE(E96, ""en"", ""zh"")"),"#VALUE!")</f>
        <v>#VALUE!</v>
      </c>
      <c r="L96" s="2"/>
      <c r="M96" s="2"/>
      <c r="N96" s="2"/>
      <c r="O96" s="2"/>
      <c r="P96" s="2"/>
      <c r="Q96" s="2"/>
      <c r="R96" s="2"/>
      <c r="S96" s="2"/>
      <c r="T96" s="2"/>
      <c r="U96" s="2"/>
      <c r="V96" s="2"/>
      <c r="W96" s="2"/>
      <c r="X96" s="2"/>
      <c r="Y96" s="2"/>
      <c r="Z96" s="2"/>
      <c r="AA96" s="2"/>
      <c r="AB96" s="2"/>
      <c r="AC96" s="2"/>
    </row>
    <row r="97">
      <c r="A97" s="21">
        <v>97.0</v>
      </c>
      <c r="B97" s="17" t="s">
        <v>342</v>
      </c>
      <c r="C97" s="17" t="s">
        <v>343</v>
      </c>
      <c r="D97" s="17" t="s">
        <v>344</v>
      </c>
      <c r="E97" s="20"/>
      <c r="F97" s="2"/>
      <c r="G97" s="2"/>
      <c r="H97" s="4" t="str">
        <f>IFERROR(__xludf.DUMMYFUNCTION("GOOGLETRANSLATE(B97, ""en"", ""zh"")"),"蹴鞠球可以踢：")</f>
        <v>蹴鞠球可以踢：</v>
      </c>
      <c r="I97" s="4" t="str">
        <f>IFERROR(__xludf.DUMMYFUNCTION("GOOGLETRANSLATE(C97, ""en"", ""zh"")"),"A) 双脚用 B) 仅用手 C) 仅用头 D) 仅用棍子")</f>
        <v>A) 双脚用 B) 仅用手 C) 仅用头 D) 仅用棍子</v>
      </c>
      <c r="J97" s="4" t="str">
        <f>IFERROR(__xludf.DUMMYFUNCTION("GOOGLETRANSLATE(D97, ""en"", ""zh"")"),"A) 双脚")</f>
        <v>A) 双脚</v>
      </c>
      <c r="K97" s="4" t="str">
        <f>IFERROR(__xludf.DUMMYFUNCTION("GOOGLETRANSLATE(E97, ""en"", ""zh"")"),"#VALUE!")</f>
        <v>#VALUE!</v>
      </c>
      <c r="L97" s="2"/>
      <c r="M97" s="2"/>
      <c r="N97" s="2"/>
      <c r="O97" s="2"/>
      <c r="P97" s="2"/>
      <c r="Q97" s="2"/>
      <c r="R97" s="2"/>
      <c r="S97" s="2"/>
      <c r="T97" s="2"/>
      <c r="U97" s="2"/>
      <c r="V97" s="2"/>
      <c r="W97" s="2"/>
      <c r="X97" s="2"/>
      <c r="Y97" s="2"/>
      <c r="Z97" s="2"/>
      <c r="AA97" s="2"/>
      <c r="AB97" s="2"/>
      <c r="AC97" s="2"/>
    </row>
    <row r="98">
      <c r="A98" s="21">
        <v>98.0</v>
      </c>
      <c r="B98" s="17" t="s">
        <v>345</v>
      </c>
      <c r="C98" s="17" t="s">
        <v>346</v>
      </c>
      <c r="D98" s="17" t="s">
        <v>62</v>
      </c>
      <c r="E98" s="20"/>
      <c r="F98" s="2"/>
      <c r="G98" s="2"/>
      <c r="H98" s="4" t="str">
        <f>IFERROR(__xludf.DUMMYFUNCTION("GOOGLETRANSLATE(B98, ""en"", ""zh"")"),"在蹴鞠，以下哪项是违法的？")</f>
        <v>在蹴鞠，以下哪项是违法的？</v>
      </c>
      <c r="I98" s="4" t="str">
        <f>IFERROR(__xludf.DUMMYFUNCTION("GOOGLETRANSLATE(C98, ""en"", ""zh"")"),"A) 手球 B) 绊人 C) 危险动作 D) 以上全部")</f>
        <v>A) 手球 B) 绊人 C) 危险动作 D) 以上全部</v>
      </c>
      <c r="J98" s="4" t="str">
        <f>IFERROR(__xludf.DUMMYFUNCTION("GOOGLETRANSLATE(D98, ""en"", ""zh"")"),"D) 以上所有选项")</f>
        <v>D) 以上所有选项</v>
      </c>
      <c r="K98" s="4" t="str">
        <f>IFERROR(__xludf.DUMMYFUNCTION("GOOGLETRANSLATE(E98, ""en"", ""zh"")"),"#VALUE!")</f>
        <v>#VALUE!</v>
      </c>
      <c r="L98" s="2"/>
      <c r="M98" s="2"/>
      <c r="N98" s="2"/>
      <c r="O98" s="2"/>
      <c r="P98" s="2"/>
      <c r="Q98" s="2"/>
      <c r="R98" s="2"/>
      <c r="S98" s="2"/>
      <c r="T98" s="2"/>
      <c r="U98" s="2"/>
      <c r="V98" s="2"/>
      <c r="W98" s="2"/>
      <c r="X98" s="2"/>
      <c r="Y98" s="2"/>
      <c r="Z98" s="2"/>
      <c r="AA98" s="2"/>
      <c r="AB98" s="2"/>
      <c r="AC98" s="2"/>
    </row>
    <row r="99">
      <c r="A99" s="21">
        <v>99.0</v>
      </c>
      <c r="B99" s="17" t="s">
        <v>347</v>
      </c>
      <c r="C99" s="17" t="s">
        <v>348</v>
      </c>
      <c r="D99" s="17" t="s">
        <v>62</v>
      </c>
      <c r="E99" s="20"/>
      <c r="F99" s="2"/>
      <c r="G99" s="2"/>
      <c r="H99" s="4" t="str">
        <f>IFERROR(__xludf.DUMMYFUNCTION("GOOGLETRANSLATE(B99, ""en"", ""zh"")"),"貉裁判控制：")</f>
        <v>貉裁判控制：</v>
      </c>
      <c r="I99" s="4" t="str">
        <f>IFERROR(__xludf.DUMMYFUNCTION("GOOGLETRANSLATE(C99, ""en"", ""zh"")"),"A) 犯规 B) 时间 C) 进球确认 D) 以上所有选项")</f>
        <v>A) 犯规 B) 时间 C) 进球确认 D) 以上所有选项</v>
      </c>
      <c r="J99" s="4" t="str">
        <f>IFERROR(__xludf.DUMMYFUNCTION("GOOGLETRANSLATE(D99, ""en"", ""zh"")"),"D) 以上所有选项")</f>
        <v>D) 以上所有选项</v>
      </c>
      <c r="K99" s="4" t="str">
        <f>IFERROR(__xludf.DUMMYFUNCTION("GOOGLETRANSLATE(E99, ""en"", ""zh"")"),"#VALUE!")</f>
        <v>#VALUE!</v>
      </c>
      <c r="L99" s="2"/>
      <c r="M99" s="2"/>
      <c r="N99" s="2"/>
      <c r="O99" s="2"/>
      <c r="P99" s="2"/>
      <c r="Q99" s="2"/>
      <c r="R99" s="2"/>
      <c r="S99" s="2"/>
      <c r="T99" s="2"/>
      <c r="U99" s="2"/>
      <c r="V99" s="2"/>
      <c r="W99" s="2"/>
      <c r="X99" s="2"/>
      <c r="Y99" s="2"/>
      <c r="Z99" s="2"/>
      <c r="AA99" s="2"/>
      <c r="AB99" s="2"/>
      <c r="AC99" s="2"/>
    </row>
    <row r="100">
      <c r="A100" s="21">
        <v>100.0</v>
      </c>
      <c r="B100" s="17" t="s">
        <v>349</v>
      </c>
      <c r="C100" s="17" t="s">
        <v>350</v>
      </c>
      <c r="D100" s="17" t="s">
        <v>351</v>
      </c>
      <c r="E100" s="20"/>
      <c r="F100" s="2"/>
      <c r="G100" s="2"/>
      <c r="H100" s="4" t="str">
        <f>IFERROR(__xludf.DUMMYFUNCTION("GOOGLETRANSLATE(B100, ""en"", ""zh"")"),"蹴鞠中的圆形球门被称为：")</f>
        <v>蹴鞠中的圆形球门被称为：</v>
      </c>
      <c r="I100" s="4" t="str">
        <f>IFERROR(__xludf.DUMMYFUNCTION("GOOGLETRANSLATE(C100, ""en"", ""zh"")"),"A) 卓子 B) 网 C) 箍 D) 门")</f>
        <v>A) 卓子 B) 网 C) 箍 D) 门</v>
      </c>
      <c r="J100" s="4" t="str">
        <f>IFERROR(__xludf.DUMMYFUNCTION("GOOGLETRANSLATE(D100, ""en"", ""zh"")"),"A) 桌子")</f>
        <v>A) 桌子</v>
      </c>
      <c r="K100" s="4" t="str">
        <f>IFERROR(__xludf.DUMMYFUNCTION("GOOGLETRANSLATE(E100, ""en"", ""zh"")"),"#VALUE!")</f>
        <v>#VALUE!</v>
      </c>
      <c r="L100" s="2"/>
      <c r="M100" s="2"/>
      <c r="N100" s="2"/>
      <c r="O100" s="2"/>
      <c r="P100" s="2"/>
      <c r="Q100" s="2"/>
      <c r="R100" s="2"/>
      <c r="S100" s="2"/>
      <c r="T100" s="2"/>
      <c r="U100" s="2"/>
      <c r="V100" s="2"/>
      <c r="W100" s="2"/>
      <c r="X100" s="2"/>
      <c r="Y100" s="2"/>
      <c r="Z100" s="2"/>
      <c r="AA100" s="2"/>
      <c r="AB100" s="2"/>
      <c r="AC100" s="2"/>
    </row>
    <row r="101">
      <c r="A101" s="21">
        <v>101.0</v>
      </c>
      <c r="B101" s="17" t="s">
        <v>352</v>
      </c>
      <c r="C101" s="17" t="s">
        <v>353</v>
      </c>
      <c r="D101" s="17" t="s">
        <v>62</v>
      </c>
      <c r="E101" s="20"/>
      <c r="F101" s="2"/>
      <c r="G101" s="2"/>
      <c r="H101" s="4" t="str">
        <f>IFERROR(__xludf.DUMMYFUNCTION("GOOGLETRANSLATE(B101, ""en"", ""zh"")"),"蹴鞠比赛是为了：")</f>
        <v>蹴鞠比赛是为了：</v>
      </c>
      <c r="I101" s="4" t="str">
        <f>IFERROR(__xludf.DUMMYFUNCTION("GOOGLETRANSLATE(C101, ""en"", ""zh"")"),"A) 娱乐 B) 培训 C) 仪式 D) 以上全部")</f>
        <v>A) 娱乐 B) 培训 C) 仪式 D) 以上全部</v>
      </c>
      <c r="J101" s="4" t="str">
        <f>IFERROR(__xludf.DUMMYFUNCTION("GOOGLETRANSLATE(D101, ""en"", ""zh"")"),"D) 以上所有选项")</f>
        <v>D) 以上所有选项</v>
      </c>
      <c r="K101" s="4" t="str">
        <f>IFERROR(__xludf.DUMMYFUNCTION("GOOGLETRANSLATE(E101, ""en"", ""zh"")"),"#VALUE!")</f>
        <v>#VALUE!</v>
      </c>
      <c r="L101" s="2"/>
      <c r="M101" s="2"/>
      <c r="N101" s="2"/>
      <c r="O101" s="2"/>
      <c r="P101" s="2"/>
      <c r="Q101" s="2"/>
      <c r="R101" s="2"/>
      <c r="S101" s="2"/>
      <c r="T101" s="2"/>
      <c r="U101" s="2"/>
      <c r="V101" s="2"/>
      <c r="W101" s="2"/>
      <c r="X101" s="2"/>
      <c r="Y101" s="2"/>
      <c r="Z101" s="2"/>
      <c r="AA101" s="2"/>
      <c r="AB101" s="2"/>
      <c r="AC101" s="2"/>
    </row>
    <row r="102">
      <c r="A102" s="21">
        <v>102.0</v>
      </c>
      <c r="B102" s="17" t="s">
        <v>354</v>
      </c>
      <c r="C102" s="17" t="s">
        <v>355</v>
      </c>
      <c r="D102" s="17" t="s">
        <v>356</v>
      </c>
      <c r="E102" s="20"/>
      <c r="F102" s="2"/>
      <c r="G102" s="2"/>
      <c r="H102" s="4" t="str">
        <f>IFERROR(__xludf.DUMMYFUNCTION("GOOGLETRANSLATE(B102, ""en"", ""zh"")"),"蹴鞠历史上使用哪种类型的球填充物？")</f>
        <v>蹴鞠历史上使用哪种类型的球填充物？</v>
      </c>
      <c r="I102" s="4" t="str">
        <f>IFERROR(__xludf.DUMMYFUNCTION("GOOGLETRANSLATE(C102, ""en"", ""zh"")"),"A) 羽毛 B) 沙子 C) 橡胶 D) 布料")</f>
        <v>A) 羽毛 B) 沙子 C) 橡胶 D) 布料</v>
      </c>
      <c r="J102" s="4" t="str">
        <f>IFERROR(__xludf.DUMMYFUNCTION("GOOGLETRANSLATE(D102, ""en"", ""zh"")"),"A）羽毛")</f>
        <v>A）羽毛</v>
      </c>
      <c r="K102" s="4" t="str">
        <f>IFERROR(__xludf.DUMMYFUNCTION("GOOGLETRANSLATE(E102, ""en"", ""zh"")"),"#VALUE!")</f>
        <v>#VALUE!</v>
      </c>
      <c r="L102" s="2"/>
      <c r="M102" s="2"/>
      <c r="N102" s="2"/>
      <c r="O102" s="2"/>
      <c r="P102" s="2"/>
      <c r="Q102" s="2"/>
      <c r="R102" s="2"/>
      <c r="S102" s="2"/>
      <c r="T102" s="2"/>
      <c r="U102" s="2"/>
      <c r="V102" s="2"/>
      <c r="W102" s="2"/>
      <c r="X102" s="2"/>
      <c r="Y102" s="2"/>
      <c r="Z102" s="2"/>
      <c r="AA102" s="2"/>
      <c r="AB102" s="2"/>
      <c r="AC102" s="2"/>
    </row>
    <row r="103">
      <c r="A103" s="21">
        <v>103.0</v>
      </c>
      <c r="B103" s="17" t="s">
        <v>357</v>
      </c>
      <c r="C103" s="17" t="s">
        <v>358</v>
      </c>
      <c r="D103" s="17" t="s">
        <v>359</v>
      </c>
      <c r="E103" s="20"/>
      <c r="F103" s="2"/>
      <c r="G103" s="2"/>
      <c r="H103" s="4" t="str">
        <f>IFERROR(__xludf.DUMMYFUNCTION("GOOGLETRANSLATE(B103, ""en"", ""zh"")"),"蹴鞠最能培养哪项技能？")</f>
        <v>蹴鞠最能培养哪项技能？</v>
      </c>
      <c r="I103" s="4" t="str">
        <f>IFERROR(__xludf.DUMMYFUNCTION("GOOGLETRANSLATE(C103, ""en"", ""zh"")"),"A) 踢球精准度 B) 投掷 C) 杂技 D) 手部协调性")</f>
        <v>A) 踢球精准度 B) 投掷 C) 杂技 D) 手部协调性</v>
      </c>
      <c r="J103" s="4" t="str">
        <f>IFERROR(__xludf.DUMMYFUNCTION("GOOGLETRANSLATE(D103, ""en"", ""zh"")"),"A) 踢球准确性")</f>
        <v>A) 踢球准确性</v>
      </c>
      <c r="K103" s="4" t="str">
        <f>IFERROR(__xludf.DUMMYFUNCTION("GOOGLETRANSLATE(E103, ""en"", ""zh"")"),"#VALUE!")</f>
        <v>#VALUE!</v>
      </c>
      <c r="L103" s="2"/>
      <c r="M103" s="2"/>
      <c r="N103" s="2"/>
      <c r="O103" s="2"/>
      <c r="P103" s="2"/>
      <c r="Q103" s="2"/>
      <c r="R103" s="2"/>
      <c r="S103" s="2"/>
      <c r="T103" s="2"/>
      <c r="U103" s="2"/>
      <c r="V103" s="2"/>
      <c r="W103" s="2"/>
      <c r="X103" s="2"/>
      <c r="Y103" s="2"/>
      <c r="Z103" s="2"/>
      <c r="AA103" s="2"/>
      <c r="AB103" s="2"/>
      <c r="AC103" s="2"/>
    </row>
    <row r="104">
      <c r="A104" s="21">
        <v>104.0</v>
      </c>
      <c r="B104" s="17" t="s">
        <v>360</v>
      </c>
      <c r="C104" s="17" t="s">
        <v>361</v>
      </c>
      <c r="D104" s="17" t="s">
        <v>362</v>
      </c>
      <c r="E104" s="20"/>
      <c r="F104" s="2"/>
      <c r="G104" s="2"/>
      <c r="H104" s="4" t="str">
        <f>IFERROR(__xludf.DUMMYFUNCTION("GOOGLETRANSLATE(B104, ""en"", ""zh"")"),"蹴鞠的历史规则是在哪个朝代规范化的？")</f>
        <v>蹴鞠的历史规则是在哪个朝代规范化的？</v>
      </c>
      <c r="I104" s="4" t="str">
        <f>IFERROR(__xludf.DUMMYFUNCTION("GOOGLETRANSLATE(C104, ""en"", ""zh"")"),"A) 韩 B) 唐 C) 宋 D) 明")</f>
        <v>A) 韩 B) 唐 C) 宋 D) 明</v>
      </c>
      <c r="J104" s="4" t="str">
        <f>IFERROR(__xludf.DUMMYFUNCTION("GOOGLETRANSLATE(D104, ""en"", ""zh"")"),"B) 唐")</f>
        <v>B) 唐</v>
      </c>
      <c r="K104" s="4" t="str">
        <f>IFERROR(__xludf.DUMMYFUNCTION("GOOGLETRANSLATE(E104, ""en"", ""zh"")"),"#VALUE!")</f>
        <v>#VALUE!</v>
      </c>
      <c r="L104" s="2"/>
      <c r="M104" s="2"/>
      <c r="N104" s="2"/>
      <c r="O104" s="2"/>
      <c r="P104" s="2"/>
      <c r="Q104" s="2"/>
      <c r="R104" s="2"/>
      <c r="S104" s="2"/>
      <c r="T104" s="2"/>
      <c r="U104" s="2"/>
      <c r="V104" s="2"/>
      <c r="W104" s="2"/>
      <c r="X104" s="2"/>
      <c r="Y104" s="2"/>
      <c r="Z104" s="2"/>
      <c r="AA104" s="2"/>
      <c r="AB104" s="2"/>
      <c r="AC104" s="2"/>
    </row>
    <row r="105">
      <c r="A105" s="21">
        <v>105.0</v>
      </c>
      <c r="B105" s="17" t="s">
        <v>363</v>
      </c>
      <c r="C105" s="17" t="s">
        <v>364</v>
      </c>
      <c r="D105" s="17" t="s">
        <v>365</v>
      </c>
      <c r="E105" s="20"/>
      <c r="F105" s="2"/>
      <c r="G105" s="2"/>
      <c r="H105" s="4" t="str">
        <f>IFERROR(__xludf.DUMMYFUNCTION("GOOGLETRANSLATE(B105, ""en"", ""zh"")"),"貉队规模因以下因素而异：")</f>
        <v>貉队规模因以下因素而异：</v>
      </c>
      <c r="I105" s="4" t="str">
        <f>IFERROR(__xludf.DUMMYFUNCTION("GOOGLETRANSLATE(C105, ""en"", ""zh"")"),"A) 场地大小 B) 观众人数 C) 球门高度 D) 球的类型")</f>
        <v>A) 场地大小 B) 观众人数 C) 球门高度 D) 球的类型</v>
      </c>
      <c r="J105" s="4" t="str">
        <f>IFERROR(__xludf.DUMMYFUNCTION("GOOGLETRANSLATE(D105, ""en"", ""zh"")"),"A) 视野大小")</f>
        <v>A) 视野大小</v>
      </c>
      <c r="K105" s="4" t="str">
        <f>IFERROR(__xludf.DUMMYFUNCTION("GOOGLETRANSLATE(E105, ""en"", ""zh"")"),"#VALUE!")</f>
        <v>#VALUE!</v>
      </c>
      <c r="L105" s="2"/>
      <c r="M105" s="2"/>
      <c r="N105" s="2"/>
      <c r="O105" s="2"/>
      <c r="P105" s="2"/>
      <c r="Q105" s="2"/>
      <c r="R105" s="2"/>
      <c r="S105" s="2"/>
      <c r="T105" s="2"/>
      <c r="U105" s="2"/>
      <c r="V105" s="2"/>
      <c r="W105" s="2"/>
      <c r="X105" s="2"/>
      <c r="Y105" s="2"/>
      <c r="Z105" s="2"/>
      <c r="AA105" s="2"/>
      <c r="AB105" s="2"/>
      <c r="AC105" s="2"/>
    </row>
    <row r="106">
      <c r="A106" s="21">
        <v>106.0</v>
      </c>
      <c r="B106" s="17" t="s">
        <v>366</v>
      </c>
      <c r="C106" s="17" t="s">
        <v>367</v>
      </c>
      <c r="D106" s="17" t="s">
        <v>368</v>
      </c>
      <c r="E106" s="20"/>
      <c r="F106" s="2"/>
      <c r="G106" s="2"/>
      <c r="H106" s="4" t="str">
        <f>IFERROR(__xludf.DUMMYFUNCTION("GOOGLETRANSLATE(B106, ""en"", ""zh"")"),"貉中什么是点球？")</f>
        <v>貉中什么是点球？</v>
      </c>
      <c r="I106" s="4" t="str">
        <f>IFERROR(__xludf.DUMMYFUNCTION("GOOGLETRANSLATE(C106, ""en"", ""zh"")"),"A) 犯规后颁发 B) 进球后颁发 C) 中场休息时颁发 D) 掷硬币后颁发")</f>
        <v>A) 犯规后颁发 B) 进球后颁发 C) 中场休息时颁发 D) 掷硬币后颁发</v>
      </c>
      <c r="J106" s="4" t="str">
        <f>IFERROR(__xludf.DUMMYFUNCTION("GOOGLETRANSLATE(D106, ""en"", ""zh"")"),"A) 因犯规而获得的奖励")</f>
        <v>A) 因犯规而获得的奖励</v>
      </c>
      <c r="K106" s="4" t="str">
        <f>IFERROR(__xludf.DUMMYFUNCTION("GOOGLETRANSLATE(E106, ""en"", ""zh"")"),"#VALUE!")</f>
        <v>#VALUE!</v>
      </c>
      <c r="L106" s="2"/>
      <c r="M106" s="2"/>
      <c r="N106" s="2"/>
      <c r="O106" s="2"/>
      <c r="P106" s="2"/>
      <c r="Q106" s="2"/>
      <c r="R106" s="2"/>
      <c r="S106" s="2"/>
      <c r="T106" s="2"/>
      <c r="U106" s="2"/>
      <c r="V106" s="2"/>
      <c r="W106" s="2"/>
      <c r="X106" s="2"/>
      <c r="Y106" s="2"/>
      <c r="Z106" s="2"/>
      <c r="AA106" s="2"/>
      <c r="AB106" s="2"/>
      <c r="AC106" s="2"/>
    </row>
    <row r="107">
      <c r="A107" s="21">
        <v>107.0</v>
      </c>
      <c r="B107" s="17" t="s">
        <v>369</v>
      </c>
      <c r="C107" s="17" t="s">
        <v>370</v>
      </c>
      <c r="D107" s="17" t="s">
        <v>62</v>
      </c>
      <c r="E107" s="20"/>
      <c r="F107" s="2"/>
      <c r="G107" s="2"/>
      <c r="H107" s="4" t="str">
        <f>IFERROR(__xludf.DUMMYFUNCTION("GOOGLETRANSLATE(B107, ""en"", ""zh"")"),"蹴鞠策略强调：")</f>
        <v>蹴鞠策略强调：</v>
      </c>
      <c r="I107" s="4" t="str">
        <f>IFERROR(__xludf.DUMMYFUNCTION("GOOGLETRANSLATE(C107, ""en"", ""zh"")"),"A) 传球 B) 踢球精准度 C) 球门防守 D) 以上全部")</f>
        <v>A) 传球 B) 踢球精准度 C) 球门防守 D) 以上全部</v>
      </c>
      <c r="J107" s="4" t="str">
        <f>IFERROR(__xludf.DUMMYFUNCTION("GOOGLETRANSLATE(D107, ""en"", ""zh"")"),"D) 以上所有选项")</f>
        <v>D) 以上所有选项</v>
      </c>
      <c r="K107" s="4" t="str">
        <f>IFERROR(__xludf.DUMMYFUNCTION("GOOGLETRANSLATE(E107, ""en"", ""zh"")"),"#VALUE!")</f>
        <v>#VALUE!</v>
      </c>
      <c r="L107" s="2"/>
      <c r="M107" s="2"/>
      <c r="N107" s="2"/>
      <c r="O107" s="2"/>
      <c r="P107" s="2"/>
      <c r="Q107" s="2"/>
      <c r="R107" s="2"/>
      <c r="S107" s="2"/>
      <c r="T107" s="2"/>
      <c r="U107" s="2"/>
      <c r="V107" s="2"/>
      <c r="W107" s="2"/>
      <c r="X107" s="2"/>
      <c r="Y107" s="2"/>
      <c r="Z107" s="2"/>
      <c r="AA107" s="2"/>
      <c r="AB107" s="2"/>
      <c r="AC107" s="2"/>
    </row>
    <row r="108">
      <c r="A108" s="21">
        <v>108.0</v>
      </c>
      <c r="B108" s="17" t="s">
        <v>371</v>
      </c>
      <c r="C108" s="17" t="s">
        <v>372</v>
      </c>
      <c r="D108" s="17" t="s">
        <v>62</v>
      </c>
      <c r="E108" s="20"/>
      <c r="F108" s="2"/>
      <c r="G108" s="2"/>
      <c r="H108" s="4" t="str">
        <f>IFERROR(__xludf.DUMMYFUNCTION("GOOGLETRANSLATE(B108, ""en"", ""zh"")"),"蹴鞠规则禁止：")</f>
        <v>蹴鞠规则禁止：</v>
      </c>
      <c r="I108" s="4" t="str">
        <f>IFERROR(__xludf.DUMMYFUNCTION("GOOGLETRANSLATE(C108, ""en"", ""zh"")"),"A) 控球 B) 身体接触 C) 危险动作 D) 以上全部")</f>
        <v>A) 控球 B) 身体接触 C) 危险动作 D) 以上全部</v>
      </c>
      <c r="J108" s="4" t="str">
        <f>IFERROR(__xludf.DUMMYFUNCTION("GOOGLETRANSLATE(D108, ""en"", ""zh"")"),"D) 以上所有选项")</f>
        <v>D) 以上所有选项</v>
      </c>
      <c r="K108" s="4" t="str">
        <f>IFERROR(__xludf.DUMMYFUNCTION("GOOGLETRANSLATE(E108, ""en"", ""zh"")"),"#VALUE!")</f>
        <v>#VALUE!</v>
      </c>
      <c r="L108" s="2"/>
      <c r="M108" s="2"/>
      <c r="N108" s="2"/>
      <c r="O108" s="2"/>
      <c r="P108" s="2"/>
      <c r="Q108" s="2"/>
      <c r="R108" s="2"/>
      <c r="S108" s="2"/>
      <c r="T108" s="2"/>
      <c r="U108" s="2"/>
      <c r="V108" s="2"/>
      <c r="W108" s="2"/>
      <c r="X108" s="2"/>
      <c r="Y108" s="2"/>
      <c r="Z108" s="2"/>
      <c r="AA108" s="2"/>
      <c r="AB108" s="2"/>
      <c r="AC108" s="2"/>
    </row>
    <row r="109">
      <c r="A109" s="21">
        <v>109.0</v>
      </c>
      <c r="B109" s="17" t="s">
        <v>373</v>
      </c>
      <c r="C109" s="17" t="s">
        <v>374</v>
      </c>
      <c r="D109" s="17" t="s">
        <v>375</v>
      </c>
      <c r="E109" s="20"/>
      <c r="F109" s="2"/>
      <c r="G109" s="2"/>
      <c r="H109" s="4" t="str">
        <f>IFERROR(__xludf.DUMMYFUNCTION("GOOGLETRANSLATE(B109, ""en"", ""zh"")"),"裁判是如何判罚蹴鞠犯规的？")</f>
        <v>裁判是如何判罚蹴鞠犯规的？</v>
      </c>
      <c r="I109" s="4" t="str">
        <f>IFERROR(__xludf.DUMMYFUNCTION("GOOGLETRANSLATE(C109, ""en"", ""zh"")"),"A) 哨声 B) 旗帜 C) 喊叫 D) 手势")</f>
        <v>A) 哨声 B) 旗帜 C) 喊叫 D) 手势</v>
      </c>
      <c r="J109" s="4" t="str">
        <f>IFERROR(__xludf.DUMMYFUNCTION("GOOGLETRANSLATE(D109, ""en"", ""zh"")"),"A) 哨声")</f>
        <v>A) 哨声</v>
      </c>
      <c r="K109" s="4" t="str">
        <f>IFERROR(__xludf.DUMMYFUNCTION("GOOGLETRANSLATE(E109, ""en"", ""zh"")"),"#VALUE!")</f>
        <v>#VALUE!</v>
      </c>
      <c r="L109" s="2"/>
      <c r="M109" s="2"/>
      <c r="N109" s="2"/>
      <c r="O109" s="2"/>
      <c r="P109" s="2"/>
      <c r="Q109" s="2"/>
      <c r="R109" s="2"/>
      <c r="S109" s="2"/>
      <c r="T109" s="2"/>
      <c r="U109" s="2"/>
      <c r="V109" s="2"/>
      <c r="W109" s="2"/>
      <c r="X109" s="2"/>
      <c r="Y109" s="2"/>
      <c r="Z109" s="2"/>
      <c r="AA109" s="2"/>
      <c r="AB109" s="2"/>
      <c r="AC109" s="2"/>
    </row>
    <row r="110">
      <c r="A110" s="21">
        <v>110.0</v>
      </c>
      <c r="B110" s="17" t="s">
        <v>376</v>
      </c>
      <c r="C110" s="17" t="s">
        <v>377</v>
      </c>
      <c r="D110" s="17" t="s">
        <v>378</v>
      </c>
      <c r="E110" s="20"/>
      <c r="F110" s="2"/>
      <c r="G110" s="2"/>
      <c r="H110" s="4" t="str">
        <f>IFERROR(__xludf.DUMMYFUNCTION("GOOGLETRANSLATE(B110, ""en"", ""zh"")"),"蹴鞠比赛可能持续：")</f>
        <v>蹴鞠比赛可能持续：</v>
      </c>
      <c r="I110" s="4" t="str">
        <f>IFERROR(__xludf.DUMMYFUNCTION("GOOGLETRANSLATE(C110, ""en"", ""zh"")"),"A) 30-90分钟 B) 10-20分钟 C) 2-3小时 D) 120分钟")</f>
        <v>A) 30-90分钟 B) 10-20分钟 C) 2-3小时 D) 120分钟</v>
      </c>
      <c r="J110" s="4" t="str">
        <f>IFERROR(__xludf.DUMMYFUNCTION("GOOGLETRANSLATE(D110, ""en"", ""zh"")"),"A) 30–90分钟")</f>
        <v>A) 30–90分钟</v>
      </c>
      <c r="K110" s="4" t="str">
        <f>IFERROR(__xludf.DUMMYFUNCTION("GOOGLETRANSLATE(E110, ""en"", ""zh"")"),"#VALUE!")</f>
        <v>#VALUE!</v>
      </c>
      <c r="L110" s="2"/>
      <c r="M110" s="2"/>
      <c r="N110" s="2"/>
      <c r="O110" s="2"/>
      <c r="P110" s="2"/>
      <c r="Q110" s="2"/>
      <c r="R110" s="2"/>
      <c r="S110" s="2"/>
      <c r="T110" s="2"/>
      <c r="U110" s="2"/>
      <c r="V110" s="2"/>
      <c r="W110" s="2"/>
      <c r="X110" s="2"/>
      <c r="Y110" s="2"/>
      <c r="Z110" s="2"/>
      <c r="AA110" s="2"/>
      <c r="AB110" s="2"/>
      <c r="AC110" s="2"/>
    </row>
    <row r="111">
      <c r="A111" s="21">
        <v>111.0</v>
      </c>
      <c r="B111" s="17" t="s">
        <v>379</v>
      </c>
      <c r="C111" s="17" t="s">
        <v>380</v>
      </c>
      <c r="D111" s="17" t="s">
        <v>381</v>
      </c>
      <c r="E111" s="20"/>
      <c r="F111" s="2"/>
      <c r="G111" s="2"/>
      <c r="H111" s="4" t="str">
        <f>IFERROR(__xludf.DUMMYFUNCTION("GOOGLETRANSLATE(B111, ""en"", ""zh"")"),"貉的圆形进球高度：")</f>
        <v>貉的圆形进球高度：</v>
      </c>
      <c r="I111" s="4" t="str">
        <f>IFERROR(__xludf.DUMMYFUNCTION("GOOGLETRANSLATE(C111, ""en"", ""zh"")"),"A) 约1.5米 B) 1米 C) 2米 D) 0.5米")</f>
        <v>A) 约1.5米 B) 1米 C) 2米 D) 0.5米</v>
      </c>
      <c r="J111" s="4" t="str">
        <f>IFERROR(__xludf.DUMMYFUNCTION("GOOGLETRANSLATE(D111, ""en"", ""zh"")"),"A) 约1.5米")</f>
        <v>A) 约1.5米</v>
      </c>
      <c r="K111" s="4" t="str">
        <f>IFERROR(__xludf.DUMMYFUNCTION("GOOGLETRANSLATE(E111, ""en"", ""zh"")"),"#VALUE!")</f>
        <v>#VALUE!</v>
      </c>
      <c r="L111" s="2"/>
      <c r="M111" s="2"/>
      <c r="N111" s="2"/>
      <c r="O111" s="2"/>
      <c r="P111" s="2"/>
      <c r="Q111" s="2"/>
      <c r="R111" s="2"/>
      <c r="S111" s="2"/>
      <c r="T111" s="2"/>
      <c r="U111" s="2"/>
      <c r="V111" s="2"/>
      <c r="W111" s="2"/>
      <c r="X111" s="2"/>
      <c r="Y111" s="2"/>
      <c r="Z111" s="2"/>
      <c r="AA111" s="2"/>
      <c r="AB111" s="2"/>
      <c r="AC111" s="2"/>
    </row>
    <row r="112">
      <c r="A112" s="21">
        <v>112.0</v>
      </c>
      <c r="B112" s="17" t="s">
        <v>382</v>
      </c>
      <c r="C112" s="17" t="s">
        <v>383</v>
      </c>
      <c r="D112" s="17" t="s">
        <v>384</v>
      </c>
      <c r="E112" s="20"/>
      <c r="F112" s="2"/>
      <c r="G112" s="2"/>
      <c r="H112" s="4" t="str">
        <f>IFERROR(__xludf.DUMMYFUNCTION("GOOGLETRANSLATE(B112, ""en"", ""zh"")"),"球出界会发生什么？")</f>
        <v>球出界会发生什么？</v>
      </c>
      <c r="I112" s="4" t="str">
        <f>IFERROR(__xludf.DUMMYFUNCTION("GOOGLETRANSLATE(C112, ""en"", ""zh"")"),"A) 掷界外球或踢入界外球 B) 进球 C) 点球 D) 重新开始")</f>
        <v>A) 掷界外球或踢入界外球 B) 进球 C) 点球 D) 重新开始</v>
      </c>
      <c r="J112" s="4" t="str">
        <f>IFERROR(__xludf.DUMMYFUNCTION("GOOGLETRANSLATE(D112, ""en"", ""zh"")"),"A) 掷界外球或踢入")</f>
        <v>A) 掷界外球或踢入</v>
      </c>
      <c r="K112" s="4" t="str">
        <f>IFERROR(__xludf.DUMMYFUNCTION("GOOGLETRANSLATE(E112, ""en"", ""zh"")"),"#VALUE!")</f>
        <v>#VALUE!</v>
      </c>
      <c r="L112" s="2"/>
      <c r="M112" s="2"/>
      <c r="N112" s="2"/>
      <c r="O112" s="2"/>
      <c r="P112" s="2"/>
      <c r="Q112" s="2"/>
      <c r="R112" s="2"/>
      <c r="S112" s="2"/>
      <c r="T112" s="2"/>
      <c r="U112" s="2"/>
      <c r="V112" s="2"/>
      <c r="W112" s="2"/>
      <c r="X112" s="2"/>
      <c r="Y112" s="2"/>
      <c r="Z112" s="2"/>
      <c r="AA112" s="2"/>
      <c r="AB112" s="2"/>
      <c r="AC112" s="2"/>
    </row>
    <row r="113">
      <c r="A113" s="21">
        <v>113.0</v>
      </c>
      <c r="B113" s="17" t="s">
        <v>385</v>
      </c>
      <c r="C113" s="17" t="s">
        <v>386</v>
      </c>
      <c r="D113" s="17" t="s">
        <v>387</v>
      </c>
      <c r="E113" s="20"/>
      <c r="F113" s="2"/>
      <c r="G113" s="2"/>
      <c r="H113" s="4" t="str">
        <f>IFERROR(__xludf.DUMMYFUNCTION("GOOGLETRANSLATE(B113, ""en"", ""zh"")"),"蹴鞠强调的是哪项技能？")</f>
        <v>蹴鞠强调的是哪项技能？</v>
      </c>
      <c r="I113" s="4" t="str">
        <f>IFERROR(__xludf.DUMMYFUNCTION("GOOGLETRANSLATE(C113, ""en"", ""zh"")"),"A) 眼脚协调能力 B) 手部力量 C) 杂技 D) 游泳")</f>
        <v>A) 眼脚协调能力 B) 手部力量 C) 杂技 D) 游泳</v>
      </c>
      <c r="J113" s="4" t="str">
        <f>IFERROR(__xludf.DUMMYFUNCTION("GOOGLETRANSLATE(D113, ""en"", ""zh"")"),"A) 足眼协调")</f>
        <v>A) 足眼协调</v>
      </c>
      <c r="K113" s="4" t="str">
        <f>IFERROR(__xludf.DUMMYFUNCTION("GOOGLETRANSLATE(E113, ""en"", ""zh"")"),"#VALUE!")</f>
        <v>#VALUE!</v>
      </c>
      <c r="L113" s="2"/>
      <c r="M113" s="2"/>
      <c r="N113" s="2"/>
      <c r="O113" s="2"/>
      <c r="P113" s="2"/>
      <c r="Q113" s="2"/>
      <c r="R113" s="2"/>
      <c r="S113" s="2"/>
      <c r="T113" s="2"/>
      <c r="U113" s="2"/>
      <c r="V113" s="2"/>
      <c r="W113" s="2"/>
      <c r="X113" s="2"/>
      <c r="Y113" s="2"/>
      <c r="Z113" s="2"/>
      <c r="AA113" s="2"/>
      <c r="AB113" s="2"/>
      <c r="AC113" s="2"/>
    </row>
    <row r="114">
      <c r="A114" s="21">
        <v>114.0</v>
      </c>
      <c r="B114" s="17" t="s">
        <v>388</v>
      </c>
      <c r="C114" s="17" t="s">
        <v>389</v>
      </c>
      <c r="D114" s="17" t="s">
        <v>62</v>
      </c>
      <c r="E114" s="20"/>
      <c r="F114" s="2"/>
      <c r="G114" s="2"/>
      <c r="H114" s="4" t="str">
        <f>IFERROR(__xludf.DUMMYFUNCTION("GOOGLETRANSLATE(B114, ""en"", ""zh"")"),"蹴鞠球可以踢向：")</f>
        <v>蹴鞠球可以踢向：</v>
      </c>
      <c r="I114" s="4" t="str">
        <f>IFERROR(__xludf.DUMMYFUNCTION("GOOGLETRANSLATE(C114, ""en"", ""zh"")"),"A) 进球 B) 传球 C) 防守 D) 以上全部")</f>
        <v>A) 进球 B) 传球 C) 防守 D) 以上全部</v>
      </c>
      <c r="J114" s="4" t="str">
        <f>IFERROR(__xludf.DUMMYFUNCTION("GOOGLETRANSLATE(D114, ""en"", ""zh"")"),"D) 以上所有选项")</f>
        <v>D) 以上所有选项</v>
      </c>
      <c r="K114" s="4" t="str">
        <f>IFERROR(__xludf.DUMMYFUNCTION("GOOGLETRANSLATE(E114, ""en"", ""zh"")"),"#VALUE!")</f>
        <v>#VALUE!</v>
      </c>
      <c r="L114" s="2"/>
      <c r="M114" s="2"/>
      <c r="N114" s="2"/>
      <c r="O114" s="2"/>
      <c r="P114" s="2"/>
      <c r="Q114" s="2"/>
      <c r="R114" s="2"/>
      <c r="S114" s="2"/>
      <c r="T114" s="2"/>
      <c r="U114" s="2"/>
      <c r="V114" s="2"/>
      <c r="W114" s="2"/>
      <c r="X114" s="2"/>
      <c r="Y114" s="2"/>
      <c r="Z114" s="2"/>
      <c r="AA114" s="2"/>
      <c r="AB114" s="2"/>
      <c r="AC114" s="2"/>
    </row>
    <row r="115">
      <c r="A115" s="21">
        <v>115.0</v>
      </c>
      <c r="B115" s="17" t="s">
        <v>390</v>
      </c>
      <c r="C115" s="17" t="s">
        <v>391</v>
      </c>
      <c r="D115" s="17" t="s">
        <v>62</v>
      </c>
      <c r="E115" s="20"/>
      <c r="F115" s="2"/>
      <c r="G115" s="2"/>
      <c r="H115" s="4" t="str">
        <f>IFERROR(__xludf.DUMMYFUNCTION("GOOGLETRANSLATE(B115, ""en"", ""zh"")"),"蹴鞠常用于：")</f>
        <v>蹴鞠常用于：</v>
      </c>
      <c r="I115" s="4" t="str">
        <f>IFERROR(__xludf.DUMMYFUNCTION("GOOGLETRANSLATE(C115, ""en"", ""zh"")"),"A) 军事训练 B) 节日庆典 C) 社交聚会 D) 以上所有选项")</f>
        <v>A) 军事训练 B) 节日庆典 C) 社交聚会 D) 以上所有选项</v>
      </c>
      <c r="J115" s="4" t="str">
        <f>IFERROR(__xludf.DUMMYFUNCTION("GOOGLETRANSLATE(D115, ""en"", ""zh"")"),"D) 以上所有选项")</f>
        <v>D) 以上所有选项</v>
      </c>
      <c r="K115" s="4" t="str">
        <f>IFERROR(__xludf.DUMMYFUNCTION("GOOGLETRANSLATE(E115, ""en"", ""zh"")"),"#VALUE!")</f>
        <v>#VALUE!</v>
      </c>
      <c r="L115" s="2"/>
      <c r="M115" s="2"/>
      <c r="N115" s="2"/>
      <c r="O115" s="2"/>
      <c r="P115" s="2"/>
      <c r="Q115" s="2"/>
      <c r="R115" s="2"/>
      <c r="S115" s="2"/>
      <c r="T115" s="2"/>
      <c r="U115" s="2"/>
      <c r="V115" s="2"/>
      <c r="W115" s="2"/>
      <c r="X115" s="2"/>
      <c r="Y115" s="2"/>
      <c r="Z115" s="2"/>
      <c r="AA115" s="2"/>
      <c r="AB115" s="2"/>
      <c r="AC115" s="2"/>
    </row>
    <row r="116">
      <c r="A116" s="21">
        <v>116.0</v>
      </c>
      <c r="B116" s="17" t="s">
        <v>392</v>
      </c>
      <c r="C116" s="17" t="s">
        <v>393</v>
      </c>
      <c r="D116" s="17" t="s">
        <v>394</v>
      </c>
      <c r="E116" s="20"/>
      <c r="F116" s="2"/>
      <c r="G116" s="2"/>
      <c r="H116" s="4" t="str">
        <f>IFERROR(__xludf.DUMMYFUNCTION("GOOGLETRANSLATE(B116, ""en"", ""zh"")"),"貉队队员身穿：")</f>
        <v>貉队队员身穿：</v>
      </c>
      <c r="I116" s="4" t="str">
        <f>IFERROR(__xludf.DUMMYFUNCTION("GOOGLETRANSLATE(C116, ""en"", ""zh"")"),"A) 传统长袍 B) 盔甲 C) 现代制服 D) 无衣")</f>
        <v>A) 传统长袍 B) 盔甲 C) 现代制服 D) 无衣</v>
      </c>
      <c r="J116" s="4" t="str">
        <f>IFERROR(__xludf.DUMMYFUNCTION("GOOGLETRANSLATE(D116, ""en"", ""zh"")"),"A) 传统长袍")</f>
        <v>A) 传统长袍</v>
      </c>
      <c r="K116" s="4" t="str">
        <f>IFERROR(__xludf.DUMMYFUNCTION("GOOGLETRANSLATE(E116, ""en"", ""zh"")"),"#VALUE!")</f>
        <v>#VALUE!</v>
      </c>
      <c r="L116" s="2"/>
      <c r="M116" s="2"/>
      <c r="N116" s="2"/>
      <c r="O116" s="2"/>
      <c r="P116" s="2"/>
      <c r="Q116" s="2"/>
      <c r="R116" s="2"/>
      <c r="S116" s="2"/>
      <c r="T116" s="2"/>
      <c r="U116" s="2"/>
      <c r="V116" s="2"/>
      <c r="W116" s="2"/>
      <c r="X116" s="2"/>
      <c r="Y116" s="2"/>
      <c r="Z116" s="2"/>
      <c r="AA116" s="2"/>
      <c r="AB116" s="2"/>
      <c r="AC116" s="2"/>
    </row>
    <row r="117">
      <c r="A117" s="21">
        <v>117.0</v>
      </c>
      <c r="B117" s="17" t="s">
        <v>395</v>
      </c>
      <c r="C117" s="17" t="s">
        <v>396</v>
      </c>
      <c r="D117" s="17" t="s">
        <v>397</v>
      </c>
      <c r="E117" s="20"/>
      <c r="F117" s="2"/>
      <c r="G117" s="2"/>
      <c r="H117" s="4" t="str">
        <f>IFERROR(__xludf.DUMMYFUNCTION("GOOGLETRANSLATE(B117, ""en"", ""zh"")"),"贰聚的主要得分方式：")</f>
        <v>贰聚的主要得分方式：</v>
      </c>
      <c r="I117" s="4" t="str">
        <f>IFERROR(__xludf.DUMMYFUNCTION("GOOGLETRANSLATE(C117, ""en"", ""zh"")"),"A) 用脚踢球入网 B) 用手击球 C) 用手投掷球 D) 击打对手")</f>
        <v>A) 用脚踢球入网 B) 用手击球 C) 用手投掷球 D) 击打对手</v>
      </c>
      <c r="J117" s="4" t="str">
        <f>IFERROR(__xludf.DUMMYFUNCTION("GOOGLETRANSLATE(D117, ""en"", ""zh"")"),"A) 将球踢入球门")</f>
        <v>A) 将球踢入球门</v>
      </c>
      <c r="K117" s="4" t="str">
        <f>IFERROR(__xludf.DUMMYFUNCTION("GOOGLETRANSLATE(E117, ""en"", ""zh"")"),"#VALUE!")</f>
        <v>#VALUE!</v>
      </c>
      <c r="L117" s="2"/>
      <c r="M117" s="2"/>
      <c r="N117" s="2"/>
      <c r="O117" s="2"/>
      <c r="P117" s="2"/>
      <c r="Q117" s="2"/>
      <c r="R117" s="2"/>
      <c r="S117" s="2"/>
      <c r="T117" s="2"/>
      <c r="U117" s="2"/>
      <c r="V117" s="2"/>
      <c r="W117" s="2"/>
      <c r="X117" s="2"/>
      <c r="Y117" s="2"/>
      <c r="Z117" s="2"/>
      <c r="AA117" s="2"/>
      <c r="AB117" s="2"/>
      <c r="AC117" s="2"/>
    </row>
    <row r="118">
      <c r="A118" s="21">
        <v>118.0</v>
      </c>
      <c r="B118" s="17" t="s">
        <v>398</v>
      </c>
      <c r="C118" s="17" t="s">
        <v>399</v>
      </c>
      <c r="D118" s="17" t="s">
        <v>400</v>
      </c>
      <c r="E118" s="20"/>
      <c r="F118" s="2"/>
      <c r="G118" s="2"/>
      <c r="H118" s="4" t="str">
        <f>IFERROR(__xludf.DUMMYFUNCTION("GOOGLETRANSLATE(B118, ""en"", ""zh"")"),"蹴鞠中相当于抛投的招式是什么？")</f>
        <v>蹴鞠中相当于抛投的招式是什么？</v>
      </c>
      <c r="I118" s="4" t="str">
        <f>IFERROR(__xludf.DUMMYFUNCTION("GOOGLETRANSLATE(C118, ""en"", ""zh"")"),"A) 边线开球 B) 手传球 C) 反弹球 D) 守门员重新开球")</f>
        <v>A) 边线开球 B) 手传球 C) 反弹球 D) 守门员重新开球</v>
      </c>
      <c r="J118" s="4" t="str">
        <f>IFERROR(__xludf.DUMMYFUNCTION("GOOGLETRANSLATE(D118, ""en"", ""zh"")"),"A) 从边界踢球")</f>
        <v>A) 从边界踢球</v>
      </c>
      <c r="K118" s="4" t="str">
        <f>IFERROR(__xludf.DUMMYFUNCTION("GOOGLETRANSLATE(E118, ""en"", ""zh"")"),"#VALUE!")</f>
        <v>#VALUE!</v>
      </c>
      <c r="L118" s="2"/>
      <c r="M118" s="2"/>
      <c r="N118" s="2"/>
      <c r="O118" s="2"/>
      <c r="P118" s="2"/>
      <c r="Q118" s="2"/>
      <c r="R118" s="2"/>
      <c r="S118" s="2"/>
      <c r="T118" s="2"/>
      <c r="U118" s="2"/>
      <c r="V118" s="2"/>
      <c r="W118" s="2"/>
      <c r="X118" s="2"/>
      <c r="Y118" s="2"/>
      <c r="Z118" s="2"/>
      <c r="AA118" s="2"/>
      <c r="AB118" s="2"/>
      <c r="AC118" s="2"/>
    </row>
    <row r="119">
      <c r="A119" s="21">
        <v>119.0</v>
      </c>
      <c r="B119" s="17" t="s">
        <v>401</v>
      </c>
      <c r="C119" s="17" t="s">
        <v>402</v>
      </c>
      <c r="D119" s="17" t="s">
        <v>403</v>
      </c>
      <c r="E119" s="20"/>
      <c r="F119" s="2"/>
      <c r="G119" s="2"/>
      <c r="H119" s="4" t="str">
        <f>IFERROR(__xludf.DUMMYFUNCTION("GOOGLETRANSLATE(B119, ""en"", ""zh"")"),"蹴鞠被认为是以下动作的最早形式：")</f>
        <v>蹴鞠被认为是以下动作的最早形式：</v>
      </c>
      <c r="I119" s="4" t="str">
        <f>IFERROR(__xludf.DUMMYFUNCTION("GOOGLETRANSLATE(C119, ""en"", ""zh"")"),"A) 足球 B) 篮球 C) 排球 D) 橄榄球")</f>
        <v>A) 足球 B) 篮球 C) 排球 D) 橄榄球</v>
      </c>
      <c r="J119" s="4" t="str">
        <f>IFERROR(__xludf.DUMMYFUNCTION("GOOGLETRANSLATE(D119, ""en"", ""zh"")"),"A) 足球（soccer）")</f>
        <v>A) 足球（soccer）</v>
      </c>
      <c r="K119" s="4" t="str">
        <f>IFERROR(__xludf.DUMMYFUNCTION("GOOGLETRANSLATE(E119, ""en"", ""zh"")"),"#VALUE!")</f>
        <v>#VALUE!</v>
      </c>
      <c r="L119" s="2"/>
      <c r="M119" s="2"/>
      <c r="N119" s="2"/>
      <c r="O119" s="2"/>
      <c r="P119" s="2"/>
      <c r="Q119" s="2"/>
      <c r="R119" s="2"/>
      <c r="S119" s="2"/>
      <c r="T119" s="2"/>
      <c r="U119" s="2"/>
      <c r="V119" s="2"/>
      <c r="W119" s="2"/>
      <c r="X119" s="2"/>
      <c r="Y119" s="2"/>
      <c r="Z119" s="2"/>
      <c r="AA119" s="2"/>
      <c r="AB119" s="2"/>
      <c r="AC119" s="2"/>
    </row>
    <row r="120">
      <c r="A120" s="21">
        <v>120.0</v>
      </c>
      <c r="B120" s="17" t="s">
        <v>404</v>
      </c>
      <c r="C120" s="17" t="s">
        <v>405</v>
      </c>
      <c r="D120" s="17" t="s">
        <v>62</v>
      </c>
      <c r="E120" s="20"/>
      <c r="F120" s="2"/>
      <c r="G120" s="2"/>
      <c r="H120" s="4" t="str">
        <f>IFERROR(__xludf.DUMMYFUNCTION("GOOGLETRANSLATE(B120, ""en"", ""zh"")"),"蹴鞠规则包括：")</f>
        <v>蹴鞠规则包括：</v>
      </c>
      <c r="I120" s="4" t="str">
        <f>IFERROR(__xludf.DUMMYFUNCTION("GOOGLETRANSLATE(C120, ""en"", ""zh"")"),"A) 犯规 B) 任意球 C) 角球 D) 以上全部")</f>
        <v>A) 犯规 B) 任意球 C) 角球 D) 以上全部</v>
      </c>
      <c r="J120" s="4" t="str">
        <f>IFERROR(__xludf.DUMMYFUNCTION("GOOGLETRANSLATE(D120, ""en"", ""zh"")"),"D) 以上所有选项")</f>
        <v>D) 以上所有选项</v>
      </c>
      <c r="K120" s="4" t="str">
        <f>IFERROR(__xludf.DUMMYFUNCTION("GOOGLETRANSLATE(E120, ""en"", ""zh"")"),"#VALUE!")</f>
        <v>#VALUE!</v>
      </c>
      <c r="L120" s="2"/>
      <c r="M120" s="2"/>
      <c r="N120" s="2"/>
      <c r="O120" s="2"/>
      <c r="P120" s="2"/>
      <c r="Q120" s="2"/>
      <c r="R120" s="2"/>
      <c r="S120" s="2"/>
      <c r="T120" s="2"/>
      <c r="U120" s="2"/>
      <c r="V120" s="2"/>
      <c r="W120" s="2"/>
      <c r="X120" s="2"/>
      <c r="Y120" s="2"/>
      <c r="Z120" s="2"/>
      <c r="AA120" s="2"/>
      <c r="AB120" s="2"/>
      <c r="AC120" s="2"/>
    </row>
    <row r="121">
      <c r="A121" s="21">
        <v>121.0</v>
      </c>
      <c r="B121" s="17" t="s">
        <v>406</v>
      </c>
      <c r="C121" s="17" t="s">
        <v>407</v>
      </c>
      <c r="D121" s="17" t="s">
        <v>62</v>
      </c>
      <c r="E121" s="20"/>
      <c r="F121" s="2"/>
      <c r="G121" s="2"/>
      <c r="H121" s="4" t="str">
        <f>IFERROR(__xludf.DUMMYFUNCTION("GOOGLETRANSLATE(B121, ""en"", ""zh"")"),"貉鼓励：")</f>
        <v>貉鼓励：</v>
      </c>
      <c r="I121" s="4" t="str">
        <f>IFERROR(__xludf.DUMMYFUNCTION("GOOGLETRANSLATE(C121, ""en"", ""zh"")"),"A) 团队合作 B) 个人技能 C) 策略 D) 以上所有")</f>
        <v>A) 团队合作 B) 个人技能 C) 策略 D) 以上所有</v>
      </c>
      <c r="J121" s="4" t="str">
        <f>IFERROR(__xludf.DUMMYFUNCTION("GOOGLETRANSLATE(D121, ""en"", ""zh"")"),"D) 以上所有选项")</f>
        <v>D) 以上所有选项</v>
      </c>
      <c r="K121" s="4" t="str">
        <f>IFERROR(__xludf.DUMMYFUNCTION("GOOGLETRANSLATE(E121, ""en"", ""zh"")"),"#VALUE!")</f>
        <v>#VALUE!</v>
      </c>
      <c r="L121" s="2"/>
      <c r="M121" s="2"/>
      <c r="N121" s="2"/>
      <c r="O121" s="2"/>
      <c r="P121" s="2"/>
      <c r="Q121" s="2"/>
      <c r="R121" s="2"/>
      <c r="S121" s="2"/>
      <c r="T121" s="2"/>
      <c r="U121" s="2"/>
      <c r="V121" s="2"/>
      <c r="W121" s="2"/>
      <c r="X121" s="2"/>
      <c r="Y121" s="2"/>
      <c r="Z121" s="2"/>
      <c r="AA121" s="2"/>
      <c r="AB121" s="2"/>
      <c r="AC121" s="2"/>
    </row>
    <row r="122">
      <c r="A122" s="21">
        <v>122.0</v>
      </c>
      <c r="B122" s="17" t="s">
        <v>408</v>
      </c>
      <c r="C122" s="17" t="s">
        <v>409</v>
      </c>
      <c r="D122" s="17" t="s">
        <v>410</v>
      </c>
      <c r="E122" s="20"/>
      <c r="F122" s="2"/>
      <c r="G122" s="2"/>
      <c r="H122" s="4" t="str">
        <f>IFERROR(__xludf.DUMMYFUNCTION("GOOGLETRANSLATE(B122, ""en"", ""zh"")"),"蹴鞠比赛的裁判是：")</f>
        <v>蹴鞠比赛的裁判是：</v>
      </c>
      <c r="I122" s="4" t="str">
        <f>IFERROR(__xludf.DUMMYFUNCTION("GOOGLETRANSLATE(C122, ""en"", ""zh"")"),"A) 裁判 B) 球员 C) 队长 D) 观众")</f>
        <v>A) 裁判 B) 球员 C) 队长 D) 观众</v>
      </c>
      <c r="J122" s="4" t="str">
        <f>IFERROR(__xludf.DUMMYFUNCTION("GOOGLETRANSLATE(D122, ""en"", ""zh"")"),"A) 裁判")</f>
        <v>A) 裁判</v>
      </c>
      <c r="K122" s="4" t="str">
        <f>IFERROR(__xludf.DUMMYFUNCTION("GOOGLETRANSLATE(E122, ""en"", ""zh"")"),"#VALUE!")</f>
        <v>#VALUE!</v>
      </c>
      <c r="L122" s="2"/>
      <c r="M122" s="2"/>
      <c r="N122" s="2"/>
      <c r="O122" s="2"/>
      <c r="P122" s="2"/>
      <c r="Q122" s="2"/>
      <c r="R122" s="2"/>
      <c r="S122" s="2"/>
      <c r="T122" s="2"/>
      <c r="U122" s="2"/>
      <c r="V122" s="2"/>
      <c r="W122" s="2"/>
      <c r="X122" s="2"/>
      <c r="Y122" s="2"/>
      <c r="Z122" s="2"/>
      <c r="AA122" s="2"/>
      <c r="AB122" s="2"/>
      <c r="AC122" s="2"/>
    </row>
    <row r="123">
      <c r="A123" s="21">
        <v>123.0</v>
      </c>
      <c r="B123" s="17" t="s">
        <v>411</v>
      </c>
      <c r="C123" s="17" t="s">
        <v>412</v>
      </c>
      <c r="D123" s="17" t="s">
        <v>413</v>
      </c>
      <c r="E123" s="20"/>
      <c r="F123" s="2"/>
      <c r="G123" s="2"/>
      <c r="H123" s="4" t="str">
        <f>IFERROR(__xludf.DUMMYFUNCTION("GOOGLETRANSLATE(B123, ""en"", ""zh"")"),"蹴鞠队的传统进球方式是：")</f>
        <v>蹴鞠队的传统进球方式是：</v>
      </c>
      <c r="I123" s="4" t="str">
        <f>IFERROR(__xludf.DUMMYFUNCTION("GOOGLETRANSLATE(C123, ""en"", ""zh"")"),"A) 圆形网格 B) 矩形柱 C) 旗帜 D) 圆锥体")</f>
        <v>A) 圆形网格 B) 矩形柱 C) 旗帜 D) 圆锥体</v>
      </c>
      <c r="J123" s="4" t="str">
        <f>IFERROR(__xludf.DUMMYFUNCTION("GOOGLETRANSLATE(D123, ""en"", ""zh"")"),"A) 圆形网格")</f>
        <v>A) 圆形网格</v>
      </c>
      <c r="K123" s="4" t="str">
        <f>IFERROR(__xludf.DUMMYFUNCTION("GOOGLETRANSLATE(E123, ""en"", ""zh"")"),"#VALUE!")</f>
        <v>#VALUE!</v>
      </c>
      <c r="L123" s="2"/>
      <c r="M123" s="2"/>
      <c r="N123" s="2"/>
      <c r="O123" s="2"/>
      <c r="P123" s="2"/>
      <c r="Q123" s="2"/>
      <c r="R123" s="2"/>
      <c r="S123" s="2"/>
      <c r="T123" s="2"/>
      <c r="U123" s="2"/>
      <c r="V123" s="2"/>
      <c r="W123" s="2"/>
      <c r="X123" s="2"/>
      <c r="Y123" s="2"/>
      <c r="Z123" s="2"/>
      <c r="AA123" s="2"/>
      <c r="AB123" s="2"/>
      <c r="AC123" s="2"/>
    </row>
    <row r="124">
      <c r="A124" s="21">
        <v>124.0</v>
      </c>
      <c r="B124" s="17" t="s">
        <v>414</v>
      </c>
      <c r="C124" s="17" t="s">
        <v>415</v>
      </c>
      <c r="D124" s="17" t="s">
        <v>416</v>
      </c>
      <c r="E124" s="20"/>
      <c r="F124" s="2"/>
      <c r="G124" s="2"/>
      <c r="H124" s="4" t="str">
        <f>IFERROR(__xludf.DUMMYFUNCTION("GOOGLETRANSLATE(B124, ""en"", ""zh"")"),"蹴鞠田径：")</f>
        <v>蹴鞠田径：</v>
      </c>
      <c r="I124" s="4" t="str">
        <f>IFERROR(__xludf.DUMMYFUNCTION("GOOGLETRANSLATE(C124, ""en"", ""zh"")"),"A) 50-100米 B) 30米 C) 200米 D) 10米")</f>
        <v>A) 50-100米 B) 30米 C) 200米 D) 10米</v>
      </c>
      <c r="J124" s="4" t="str">
        <f>IFERROR(__xludf.DUMMYFUNCTION("GOOGLETRANSLATE(D124, ""en"", ""zh"")"),"A) 50–100米")</f>
        <v>A) 50–100米</v>
      </c>
      <c r="K124" s="4" t="str">
        <f>IFERROR(__xludf.DUMMYFUNCTION("GOOGLETRANSLATE(E124, ""en"", ""zh"")"),"#VALUE!")</f>
        <v>#VALUE!</v>
      </c>
      <c r="L124" s="2"/>
      <c r="M124" s="2"/>
      <c r="N124" s="2"/>
      <c r="O124" s="2"/>
      <c r="P124" s="2"/>
      <c r="Q124" s="2"/>
      <c r="R124" s="2"/>
      <c r="S124" s="2"/>
      <c r="T124" s="2"/>
      <c r="U124" s="2"/>
      <c r="V124" s="2"/>
      <c r="W124" s="2"/>
      <c r="X124" s="2"/>
      <c r="Y124" s="2"/>
      <c r="Z124" s="2"/>
      <c r="AA124" s="2"/>
      <c r="AB124" s="2"/>
      <c r="AC124" s="2"/>
    </row>
    <row r="125">
      <c r="A125" s="21">
        <v>125.0</v>
      </c>
      <c r="B125" s="17" t="s">
        <v>417</v>
      </c>
      <c r="C125" s="17" t="s">
        <v>418</v>
      </c>
      <c r="D125" s="17" t="s">
        <v>419</v>
      </c>
      <c r="E125" s="20"/>
      <c r="F125" s="2"/>
      <c r="G125" s="2"/>
      <c r="H125" s="4" t="str">
        <f>IFERROR(__xludf.DUMMYFUNCTION("GOOGLETRANSLATE(B125, ""en"", ""zh"")"),"在蹴鞠比赛中，球传出底线会导致：")</f>
        <v>在蹴鞠比赛中，球传出底线会导致：</v>
      </c>
      <c r="I125" s="4" t="str">
        <f>IFERROR(__xludf.DUMMYFUNCTION("GOOGLETRANSLATE(C125, ""en"", ""zh"")"),"A) 边线掷界外球 B) 进球 C) 任意球 D) 比赛暂停")</f>
        <v>A) 边线掷界外球 B) 进球 C) 任意球 D) 比赛暂停</v>
      </c>
      <c r="J125" s="4" t="str">
        <f>IFERROR(__xludf.DUMMYFUNCTION("GOOGLETRANSLATE(D125, ""en"", ""zh"")"),"A) 从边界掷球入场")</f>
        <v>A) 从边界掷球入场</v>
      </c>
      <c r="K125" s="4" t="str">
        <f>IFERROR(__xludf.DUMMYFUNCTION("GOOGLETRANSLATE(E125, ""en"", ""zh"")"),"#VALUE!")</f>
        <v>#VALUE!</v>
      </c>
      <c r="L125" s="2"/>
      <c r="M125" s="2"/>
      <c r="N125" s="2"/>
      <c r="O125" s="2"/>
      <c r="P125" s="2"/>
      <c r="Q125" s="2"/>
      <c r="R125" s="2"/>
      <c r="S125" s="2"/>
      <c r="T125" s="2"/>
      <c r="U125" s="2"/>
      <c r="V125" s="2"/>
      <c r="W125" s="2"/>
      <c r="X125" s="2"/>
      <c r="Y125" s="2"/>
      <c r="Z125" s="2"/>
      <c r="AA125" s="2"/>
      <c r="AB125" s="2"/>
      <c r="AC125" s="2"/>
    </row>
    <row r="126">
      <c r="A126" s="21">
        <v>126.0</v>
      </c>
      <c r="B126" s="17" t="s">
        <v>420</v>
      </c>
      <c r="C126" s="17" t="s">
        <v>421</v>
      </c>
      <c r="D126" s="17" t="s">
        <v>422</v>
      </c>
      <c r="E126" s="20"/>
      <c r="F126" s="2"/>
      <c r="G126" s="2"/>
      <c r="H126" s="4" t="str">
        <f>IFERROR(__xludf.DUMMYFUNCTION("GOOGLETRANSLATE(B126, ""en"", ""zh"")"),"貉队比赛每队允许多少次换人？")</f>
        <v>貉队比赛每队允许多少次换人？</v>
      </c>
      <c r="I126" s="4" t="str">
        <f>IFERROR(__xludf.DUMMYFUNCTION("GOOGLETRANSLATE(C126, ""en"", ""zh"")"),"A) 3 B) 1 C) 5 D) 无限")</f>
        <v>A) 3 B) 1 C) 5 D) 无限</v>
      </c>
      <c r="J126" s="4" t="str">
        <f>IFERROR(__xludf.DUMMYFUNCTION("GOOGLETRANSLATE(D126, ""en"", ""zh"")"),"A) 3")</f>
        <v>A) 3</v>
      </c>
      <c r="K126" s="4" t="str">
        <f>IFERROR(__xludf.DUMMYFUNCTION("GOOGLETRANSLATE(E126, ""en"", ""zh"")"),"#VALUE!")</f>
        <v>#VALUE!</v>
      </c>
      <c r="L126" s="2"/>
      <c r="M126" s="2"/>
      <c r="N126" s="2"/>
      <c r="O126" s="2"/>
      <c r="P126" s="2"/>
      <c r="Q126" s="2"/>
      <c r="R126" s="2"/>
      <c r="S126" s="2"/>
      <c r="T126" s="2"/>
      <c r="U126" s="2"/>
      <c r="V126" s="2"/>
      <c r="W126" s="2"/>
      <c r="X126" s="2"/>
      <c r="Y126" s="2"/>
      <c r="Z126" s="2"/>
      <c r="AA126" s="2"/>
      <c r="AB126" s="2"/>
      <c r="AC126" s="2"/>
    </row>
    <row r="127">
      <c r="A127" s="21">
        <v>127.0</v>
      </c>
      <c r="B127" s="17" t="s">
        <v>423</v>
      </c>
      <c r="C127" s="17" t="s">
        <v>424</v>
      </c>
      <c r="D127" s="17" t="s">
        <v>269</v>
      </c>
      <c r="E127" s="20"/>
      <c r="F127" s="2"/>
      <c r="G127" s="2"/>
      <c r="H127" s="4" t="str">
        <f>IFERROR(__xludf.DUMMYFUNCTION("GOOGLETRANSLATE(B127, ""en"", ""zh"")"),"传统蹴鞠比赛中，平局如何决出胜负？")</f>
        <v>传统蹴鞠比赛中，平局如何决出胜负？</v>
      </c>
      <c r="I127" s="4" t="str">
        <f>IFERROR(__xludf.DUMMYFUNCTION("GOOGLETRANSLATE(C127, ""en"", ""zh"")"),"A) 重赛 B) 加时赛 C) 点球大战 D) 掷硬币")</f>
        <v>A) 重赛 B) 加时赛 C) 点球大战 D) 掷硬币</v>
      </c>
      <c r="J127" s="4" t="str">
        <f>IFERROR(__xludf.DUMMYFUNCTION("GOOGLETRANSLATE(D127, ""en"", ""zh"")"),"A) 重赛")</f>
        <v>A) 重赛</v>
      </c>
      <c r="K127" s="4" t="str">
        <f>IFERROR(__xludf.DUMMYFUNCTION("GOOGLETRANSLATE(E127, ""en"", ""zh"")"),"#VALUE!")</f>
        <v>#VALUE!</v>
      </c>
      <c r="L127" s="2"/>
      <c r="M127" s="2"/>
      <c r="N127" s="2"/>
      <c r="O127" s="2"/>
      <c r="P127" s="2"/>
      <c r="Q127" s="2"/>
      <c r="R127" s="2"/>
      <c r="S127" s="2"/>
      <c r="T127" s="2"/>
      <c r="U127" s="2"/>
      <c r="V127" s="2"/>
      <c r="W127" s="2"/>
      <c r="X127" s="2"/>
      <c r="Y127" s="2"/>
      <c r="Z127" s="2"/>
      <c r="AA127" s="2"/>
      <c r="AB127" s="2"/>
      <c r="AC127" s="2"/>
    </row>
    <row r="128">
      <c r="A128" s="21">
        <v>128.0</v>
      </c>
      <c r="B128" s="17" t="s">
        <v>425</v>
      </c>
      <c r="C128" s="17" t="s">
        <v>426</v>
      </c>
      <c r="D128" s="17" t="s">
        <v>427</v>
      </c>
      <c r="E128" s="20"/>
      <c r="F128" s="2"/>
      <c r="G128" s="2"/>
      <c r="H128" s="4" t="str">
        <f>IFERROR(__xludf.DUMMYFUNCTION("GOOGLETRANSLATE(B128, ""en"", ""zh"")"),"蹴鞠球员被禁止：")</f>
        <v>蹴鞠球员被禁止：</v>
      </c>
      <c r="I128" s="4" t="str">
        <f>IFERROR(__xludf.DUMMYFUNCTION("GOOGLETRANSLATE(C128, ""en"", ""zh"")"),"A) 用手触球 B) 传球 C) 踢球 D) 防守")</f>
        <v>A) 用手触球 B) 传球 C) 踢球 D) 防守</v>
      </c>
      <c r="J128" s="4" t="str">
        <f>IFERROR(__xludf.DUMMYFUNCTION("GOOGLETRANSLATE(D128, ""en"", ""zh"")"),"A) 用手触球")</f>
        <v>A) 用手触球</v>
      </c>
      <c r="K128" s="4" t="str">
        <f>IFERROR(__xludf.DUMMYFUNCTION("GOOGLETRANSLATE(E128, ""en"", ""zh"")"),"#VALUE!")</f>
        <v>#VALUE!</v>
      </c>
      <c r="L128" s="2"/>
      <c r="M128" s="2"/>
      <c r="N128" s="2"/>
      <c r="O128" s="2"/>
      <c r="P128" s="2"/>
      <c r="Q128" s="2"/>
      <c r="R128" s="2"/>
      <c r="S128" s="2"/>
      <c r="T128" s="2"/>
      <c r="U128" s="2"/>
      <c r="V128" s="2"/>
      <c r="W128" s="2"/>
      <c r="X128" s="2"/>
      <c r="Y128" s="2"/>
      <c r="Z128" s="2"/>
      <c r="AA128" s="2"/>
      <c r="AB128" s="2"/>
      <c r="AC128" s="2"/>
    </row>
    <row r="129">
      <c r="A129" s="21">
        <v>129.0</v>
      </c>
      <c r="B129" s="17" t="s">
        <v>428</v>
      </c>
      <c r="C129" s="17" t="s">
        <v>429</v>
      </c>
      <c r="D129" s="17" t="s">
        <v>430</v>
      </c>
      <c r="E129" s="20"/>
      <c r="F129" s="2"/>
      <c r="G129" s="2"/>
      <c r="H129" s="4" t="str">
        <f>IFERROR(__xludf.DUMMYFUNCTION("GOOGLETRANSLATE(B129, ""en"", ""zh"")"),"蹴鞠队中角球的作用是什么？")</f>
        <v>蹴鞠队中角球的作用是什么？</v>
      </c>
      <c r="I129" s="4" t="str">
        <f>IFERROR(__xludf.DUMMYFUNCTION("GOOGLETRANSLATE(C129, ""en"", ""zh"")"),"A) 球越过球门线后重新开始比赛 B) 直接得分 C) 犯规点球 D) 掷界外球")</f>
        <v>A) 球越过球门线后重新开始比赛 B) 直接得分 C) 犯规点球 D) 掷界外球</v>
      </c>
      <c r="J129" s="4" t="str">
        <f>IFERROR(__xludf.DUMMYFUNCTION("GOOGLETRANSLATE(D129, ""en"", ""zh"")"),"A) 球越过球门线后重新开始比赛")</f>
        <v>A) 球越过球门线后重新开始比赛</v>
      </c>
      <c r="K129" s="4" t="str">
        <f>IFERROR(__xludf.DUMMYFUNCTION("GOOGLETRANSLATE(E129, ""en"", ""zh"")"),"#VALUE!")</f>
        <v>#VALUE!</v>
      </c>
      <c r="L129" s="2"/>
      <c r="M129" s="2"/>
      <c r="N129" s="2"/>
      <c r="O129" s="2"/>
      <c r="P129" s="2"/>
      <c r="Q129" s="2"/>
      <c r="R129" s="2"/>
      <c r="S129" s="2"/>
      <c r="T129" s="2"/>
      <c r="U129" s="2"/>
      <c r="V129" s="2"/>
      <c r="W129" s="2"/>
      <c r="X129" s="2"/>
      <c r="Y129" s="2"/>
      <c r="Z129" s="2"/>
      <c r="AA129" s="2"/>
      <c r="AB129" s="2"/>
      <c r="AC129" s="2"/>
    </row>
    <row r="130">
      <c r="A130" s="21">
        <v>130.0</v>
      </c>
      <c r="B130" s="17" t="s">
        <v>431</v>
      </c>
      <c r="C130" s="17" t="s">
        <v>432</v>
      </c>
      <c r="D130" s="17" t="s">
        <v>433</v>
      </c>
      <c r="E130" s="20"/>
      <c r="F130" s="2"/>
      <c r="G130" s="2"/>
      <c r="H130" s="4" t="str">
        <f>IFERROR(__xludf.DUMMYFUNCTION("GOOGLETRANSLATE(B130, ""en"", ""zh"")"),"蹴鞠球传统上使用以下方法充气：")</f>
        <v>蹴鞠球传统上使用以下方法充气：</v>
      </c>
      <c r="I130" s="4" t="str">
        <f>IFERROR(__xludf.DUMMYFUNCTION("GOOGLETRANSLATE(C130, ""en"", ""zh"")"),"A) 动物膀胱 B) 橡胶泵 C) 布塞 D) 气压")</f>
        <v>A) 动物膀胱 B) 橡胶泵 C) 布塞 D) 气压</v>
      </c>
      <c r="J130" s="4" t="str">
        <f>IFERROR(__xludf.DUMMYFUNCTION("GOOGLETRANSLATE(D130, ""en"", ""zh"")"),"A）动物膀胱")</f>
        <v>A）动物膀胱</v>
      </c>
      <c r="K130" s="4" t="str">
        <f>IFERROR(__xludf.DUMMYFUNCTION("GOOGLETRANSLATE(E130, ""en"", ""zh"")"),"#VALUE!")</f>
        <v>#VALUE!</v>
      </c>
      <c r="L130" s="2"/>
      <c r="M130" s="2"/>
      <c r="N130" s="2"/>
      <c r="O130" s="2"/>
      <c r="P130" s="2"/>
      <c r="Q130" s="2"/>
      <c r="R130" s="2"/>
      <c r="S130" s="2"/>
      <c r="T130" s="2"/>
      <c r="U130" s="2"/>
      <c r="V130" s="2"/>
      <c r="W130" s="2"/>
      <c r="X130" s="2"/>
      <c r="Y130" s="2"/>
      <c r="Z130" s="2"/>
      <c r="AA130" s="2"/>
      <c r="AB130" s="2"/>
      <c r="AC130" s="2"/>
    </row>
    <row r="131">
      <c r="A131" s="21">
        <v>131.0</v>
      </c>
      <c r="B131" s="17" t="s">
        <v>434</v>
      </c>
      <c r="C131" s="17" t="s">
        <v>435</v>
      </c>
      <c r="D131" s="17" t="s">
        <v>436</v>
      </c>
      <c r="E131" s="20"/>
      <c r="F131" s="2"/>
      <c r="G131" s="2"/>
      <c r="H131" s="4" t="str">
        <f>IFERROR(__xludf.DUMMYFUNCTION("GOOGLETRANSLATE(B131, ""en"", ""zh"")"),"哪个朝代规范了蹴鞠规则？")</f>
        <v>哪个朝代规范了蹴鞠规则？</v>
      </c>
      <c r="I131" s="4" t="str">
        <f>IFERROR(__xludf.DUMMYFUNCTION("GOOGLETRANSLATE(C131, ""en"", ""zh"")"),"A) 唐 B) 明 C) 韩 D) 宋")</f>
        <v>A) 唐 B) 明 C) 韩 D) 宋</v>
      </c>
      <c r="J131" s="4" t="str">
        <f>IFERROR(__xludf.DUMMYFUNCTION("GOOGLETRANSLATE(D131, ""en"", ""zh"")"),"A) 唐")</f>
        <v>A) 唐</v>
      </c>
      <c r="K131" s="4" t="str">
        <f>IFERROR(__xludf.DUMMYFUNCTION("GOOGLETRANSLATE(E131, ""en"", ""zh"")"),"#VALUE!")</f>
        <v>#VALUE!</v>
      </c>
      <c r="L131" s="2"/>
      <c r="M131" s="2"/>
      <c r="N131" s="2"/>
      <c r="O131" s="2"/>
      <c r="P131" s="2"/>
      <c r="Q131" s="2"/>
      <c r="R131" s="2"/>
      <c r="S131" s="2"/>
      <c r="T131" s="2"/>
      <c r="U131" s="2"/>
      <c r="V131" s="2"/>
      <c r="W131" s="2"/>
      <c r="X131" s="2"/>
      <c r="Y131" s="2"/>
      <c r="Z131" s="2"/>
      <c r="AA131" s="2"/>
      <c r="AB131" s="2"/>
      <c r="AC131" s="2"/>
    </row>
    <row r="132">
      <c r="A132" s="21">
        <v>132.0</v>
      </c>
      <c r="B132" s="17" t="s">
        <v>437</v>
      </c>
      <c r="C132" s="17" t="s">
        <v>438</v>
      </c>
      <c r="D132" s="17" t="s">
        <v>439</v>
      </c>
      <c r="E132" s="20"/>
      <c r="F132" s="2"/>
      <c r="G132" s="2"/>
      <c r="H132" s="4" t="str">
        <f>IFERROR(__xludf.DUMMYFUNCTION("GOOGLETRANSLATE(B132, ""en"", ""zh"")"),"貉强调的是哪种类型的团队合作？")</f>
        <v>貉强调的是哪种类型的团队合作？</v>
      </c>
      <c r="I132" s="4" t="str">
        <f>IFERROR(__xludf.DUMMYFUNCTION("GOOGLETRANSLATE(C132, ""en"", ""zh"")"),"A) 传球和站位 B) 仅限个人踢击 C) 杂技 D) 武器使用")</f>
        <v>A) 传球和站位 B) 仅限个人踢击 C) 杂技 D) 武器使用</v>
      </c>
      <c r="J132" s="4" t="str">
        <f>IFERROR(__xludf.DUMMYFUNCTION("GOOGLETRANSLATE(D132, ""en"", ""zh"")"),"A) 传球和站位")</f>
        <v>A) 传球和站位</v>
      </c>
      <c r="K132" s="4" t="str">
        <f>IFERROR(__xludf.DUMMYFUNCTION("GOOGLETRANSLATE(E132, ""en"", ""zh"")"),"#VALUE!")</f>
        <v>#VALUE!</v>
      </c>
      <c r="L132" s="2"/>
      <c r="M132" s="2"/>
      <c r="N132" s="2"/>
      <c r="O132" s="2"/>
      <c r="P132" s="2"/>
      <c r="Q132" s="2"/>
      <c r="R132" s="2"/>
      <c r="S132" s="2"/>
      <c r="T132" s="2"/>
      <c r="U132" s="2"/>
      <c r="V132" s="2"/>
      <c r="W132" s="2"/>
      <c r="X132" s="2"/>
      <c r="Y132" s="2"/>
      <c r="Z132" s="2"/>
      <c r="AA132" s="2"/>
      <c r="AB132" s="2"/>
      <c r="AC132" s="2"/>
    </row>
    <row r="133">
      <c r="A133" s="21">
        <v>133.0</v>
      </c>
      <c r="B133" s="17" t="s">
        <v>440</v>
      </c>
      <c r="C133" s="17" t="s">
        <v>441</v>
      </c>
      <c r="D133" s="17" t="s">
        <v>62</v>
      </c>
      <c r="E133" s="20"/>
      <c r="F133" s="2"/>
      <c r="G133" s="2"/>
      <c r="H133" s="4" t="str">
        <f>IFERROR(__xludf.DUMMYFUNCTION("GOOGLETRANSLATE(B133, ""en"", ""zh"")"),"蹴鞠球员历来接受以下训练：")</f>
        <v>蹴鞠球员历来接受以下训练：</v>
      </c>
      <c r="I133" s="4" t="str">
        <f>IFERROR(__xludf.DUMMYFUNCTION("GOOGLETRANSLATE(C133, ""en"", ""zh"")"),"A) 精准踢球 B) 防守 C) 与队友配合 D) 以上全部")</f>
        <v>A) 精准踢球 B) 防守 C) 与队友配合 D) 以上全部</v>
      </c>
      <c r="J133" s="4" t="str">
        <f>IFERROR(__xludf.DUMMYFUNCTION("GOOGLETRANSLATE(D133, ""en"", ""zh"")"),"D) 以上所有选项")</f>
        <v>D) 以上所有选项</v>
      </c>
      <c r="K133" s="4" t="str">
        <f>IFERROR(__xludf.DUMMYFUNCTION("GOOGLETRANSLATE(E133, ""en"", ""zh"")"),"#VALUE!")</f>
        <v>#VALUE!</v>
      </c>
      <c r="L133" s="2"/>
      <c r="M133" s="2"/>
      <c r="N133" s="2"/>
      <c r="O133" s="2"/>
      <c r="P133" s="2"/>
      <c r="Q133" s="2"/>
      <c r="R133" s="2"/>
      <c r="S133" s="2"/>
      <c r="T133" s="2"/>
      <c r="U133" s="2"/>
      <c r="V133" s="2"/>
      <c r="W133" s="2"/>
      <c r="X133" s="2"/>
      <c r="Y133" s="2"/>
      <c r="Z133" s="2"/>
      <c r="AA133" s="2"/>
      <c r="AB133" s="2"/>
      <c r="AC133" s="2"/>
    </row>
    <row r="134">
      <c r="A134" s="21">
        <v>134.0</v>
      </c>
      <c r="B134" s="17" t="s">
        <v>442</v>
      </c>
      <c r="C134" s="17" t="s">
        <v>443</v>
      </c>
      <c r="D134" s="17" t="s">
        <v>444</v>
      </c>
      <c r="E134" s="20"/>
      <c r="F134" s="2"/>
      <c r="G134" s="2"/>
      <c r="H134" s="4" t="str">
        <f>IFERROR(__xludf.DUMMYFUNCTION("GOOGLETRANSLATE(B134, ""en"", ""zh"")"),"蹴鞠主要用身体的哪个部位演奏？")</f>
        <v>蹴鞠主要用身体的哪个部位演奏？</v>
      </c>
      <c r="I134" s="4" t="str">
        <f>IFERROR(__xludf.DUMMYFUNCTION("GOOGLETRANSLATE(C134, ""en"", ""zh"")"),"A) 脚 B) 手 C) 头 D) 手和脚")</f>
        <v>A) 脚 B) 手 C) 头 D) 手和脚</v>
      </c>
      <c r="J134" s="4" t="str">
        <f>IFERROR(__xludf.DUMMYFUNCTION("GOOGLETRANSLATE(D134, ""en"", ""zh"")"),"A) 脚")</f>
        <v>A) 脚</v>
      </c>
      <c r="K134" s="4" t="str">
        <f>IFERROR(__xludf.DUMMYFUNCTION("GOOGLETRANSLATE(E134, ""en"", ""zh"")"),"#VALUE!")</f>
        <v>#VALUE!</v>
      </c>
      <c r="L134" s="2"/>
      <c r="M134" s="2"/>
      <c r="N134" s="2"/>
      <c r="O134" s="2"/>
      <c r="P134" s="2"/>
      <c r="Q134" s="2"/>
      <c r="R134" s="2"/>
      <c r="S134" s="2"/>
      <c r="T134" s="2"/>
      <c r="U134" s="2"/>
      <c r="V134" s="2"/>
      <c r="W134" s="2"/>
      <c r="X134" s="2"/>
      <c r="Y134" s="2"/>
      <c r="Z134" s="2"/>
      <c r="AA134" s="2"/>
      <c r="AB134" s="2"/>
      <c r="AC134" s="2"/>
    </row>
    <row r="135">
      <c r="A135" s="21">
        <v>135.0</v>
      </c>
      <c r="B135" s="17" t="s">
        <v>445</v>
      </c>
      <c r="C135" s="17" t="s">
        <v>446</v>
      </c>
      <c r="D135" s="17" t="s">
        <v>295</v>
      </c>
      <c r="E135" s="20"/>
      <c r="F135" s="2"/>
      <c r="G135" s="2"/>
      <c r="H135" s="4" t="str">
        <f>IFERROR(__xludf.DUMMYFUNCTION("GOOGLETRANSLATE(B135, ""en"", ""zh"")"),"蹴鞠比赛中的犯规信号是：")</f>
        <v>蹴鞠比赛中的犯规信号是：</v>
      </c>
      <c r="I135" s="4" t="str">
        <f>IFERROR(__xludf.DUMMYFUNCTION("GOOGLETRANSLATE(C135, ""en"", ""zh"")"),"A) 裁判哨声 B) 旗语 C) 球员喊叫 D) 铃声")</f>
        <v>A) 裁判哨声 B) 旗语 C) 球员喊叫 D) 铃声</v>
      </c>
      <c r="J135" s="4" t="str">
        <f>IFERROR(__xludf.DUMMYFUNCTION("GOOGLETRANSLATE(D135, ""en"", ""zh"")"),"A) 裁判哨声")</f>
        <v>A) 裁判哨声</v>
      </c>
      <c r="K135" s="4" t="str">
        <f>IFERROR(__xludf.DUMMYFUNCTION("GOOGLETRANSLATE(E135, ""en"", ""zh"")"),"#VALUE!")</f>
        <v>#VALUE!</v>
      </c>
      <c r="L135" s="2"/>
      <c r="M135" s="2"/>
      <c r="N135" s="2"/>
      <c r="O135" s="2"/>
      <c r="P135" s="2"/>
      <c r="Q135" s="2"/>
      <c r="R135" s="2"/>
      <c r="S135" s="2"/>
      <c r="T135" s="2"/>
      <c r="U135" s="2"/>
      <c r="V135" s="2"/>
      <c r="W135" s="2"/>
      <c r="X135" s="2"/>
      <c r="Y135" s="2"/>
      <c r="Z135" s="2"/>
      <c r="AA135" s="2"/>
      <c r="AB135" s="2"/>
      <c r="AC135" s="2"/>
    </row>
    <row r="136">
      <c r="A136" s="22">
        <v>136.0</v>
      </c>
      <c r="B136" s="17" t="s">
        <v>447</v>
      </c>
      <c r="C136" s="17" t="s">
        <v>448</v>
      </c>
      <c r="D136" s="17" t="s">
        <v>62</v>
      </c>
      <c r="E136" s="20"/>
      <c r="F136" s="2"/>
      <c r="G136" s="2"/>
      <c r="H136" s="4" t="str">
        <f>IFERROR(__xludf.DUMMYFUNCTION("GOOGLETRANSLATE(B136, ""en"", ""zh"")"),"蹴鞠比赛历史上曾用于：")</f>
        <v>蹴鞠比赛历史上曾用于：</v>
      </c>
      <c r="I136" s="4" t="str">
        <f>IFERROR(__xludf.DUMMYFUNCTION("GOOGLETRANSLATE(C136, ""en"", ""zh"")"),"A) 娱乐 B) 军事训练 C) 节日 D) 以上全部")</f>
        <v>A) 娱乐 B) 军事训练 C) 节日 D) 以上全部</v>
      </c>
      <c r="J136" s="4" t="str">
        <f>IFERROR(__xludf.DUMMYFUNCTION("GOOGLETRANSLATE(D136, ""en"", ""zh"")"),"D) 以上所有选项")</f>
        <v>D) 以上所有选项</v>
      </c>
      <c r="K136" s="4" t="str">
        <f>IFERROR(__xludf.DUMMYFUNCTION("GOOGLETRANSLATE(E136, ""en"", ""zh"")"),"#VALUE!")</f>
        <v>#VALUE!</v>
      </c>
      <c r="L136" s="2"/>
      <c r="M136" s="2"/>
      <c r="N136" s="2"/>
      <c r="O136" s="2"/>
      <c r="P136" s="2"/>
      <c r="Q136" s="2"/>
      <c r="R136" s="2"/>
      <c r="S136" s="2"/>
      <c r="T136" s="2"/>
      <c r="U136" s="2"/>
      <c r="V136" s="2"/>
      <c r="W136" s="2"/>
      <c r="X136" s="2"/>
      <c r="Y136" s="2"/>
      <c r="Z136" s="2"/>
      <c r="AA136" s="2"/>
      <c r="AB136" s="2"/>
      <c r="AC136" s="2"/>
    </row>
    <row r="137">
      <c r="A137" s="22">
        <v>137.0</v>
      </c>
      <c r="B137" s="17" t="s">
        <v>449</v>
      </c>
      <c r="C137" s="17" t="s">
        <v>450</v>
      </c>
      <c r="D137" s="17" t="s">
        <v>451</v>
      </c>
      <c r="E137" s="20"/>
      <c r="F137" s="2"/>
      <c r="G137" s="2"/>
      <c r="H137" s="4" t="str">
        <f>IFERROR(__xludf.DUMMYFUNCTION("GOOGLETRANSLATE(B137, ""en"", ""zh"")"),"在貉城比赛中进球后会发生什么？")</f>
        <v>在貉城比赛中进球后会发生什么？</v>
      </c>
      <c r="I137" s="4" t="str">
        <f>IFERROR(__xludf.DUMMYFUNCTION("GOOGLETRANSLATE(C137, ""en"", ""zh"")"),"A) 由失球方开球 B) 任意球 C) 比赛结束 D) 由得分方重新开始")</f>
        <v>A) 由失球方开球 B) 任意球 C) 比赛结束 D) 由得分方重新开始</v>
      </c>
      <c r="J137" s="4" t="str">
        <f>IFERROR(__xludf.DUMMYFUNCTION("GOOGLETRANSLATE(D137, ""en"", ""zh"")"),"A) 由失球方开球")</f>
        <v>A) 由失球方开球</v>
      </c>
      <c r="K137" s="4" t="str">
        <f>IFERROR(__xludf.DUMMYFUNCTION("GOOGLETRANSLATE(E137, ""en"", ""zh"")"),"#VALUE!")</f>
        <v>#VALUE!</v>
      </c>
      <c r="L137" s="2"/>
      <c r="M137" s="2"/>
      <c r="N137" s="2"/>
      <c r="O137" s="2"/>
      <c r="P137" s="2"/>
      <c r="Q137" s="2"/>
      <c r="R137" s="2"/>
      <c r="S137" s="2"/>
      <c r="T137" s="2"/>
      <c r="U137" s="2"/>
      <c r="V137" s="2"/>
      <c r="W137" s="2"/>
      <c r="X137" s="2"/>
      <c r="Y137" s="2"/>
      <c r="Z137" s="2"/>
      <c r="AA137" s="2"/>
      <c r="AB137" s="2"/>
      <c r="AC137" s="2"/>
    </row>
    <row r="138">
      <c r="A138" s="22">
        <v>138.0</v>
      </c>
      <c r="B138" s="17" t="s">
        <v>304</v>
      </c>
      <c r="C138" s="17" t="s">
        <v>452</v>
      </c>
      <c r="D138" s="17" t="s">
        <v>453</v>
      </c>
      <c r="E138" s="20"/>
      <c r="F138" s="2"/>
      <c r="G138" s="2"/>
      <c r="H138" s="4" t="str">
        <f>IFERROR(__xludf.DUMMYFUNCTION("GOOGLETRANSLATE(B138, ""en"", ""zh"")"),"历史上，蹴鞠选手被允许：")</f>
        <v>历史上，蹴鞠选手被允许：</v>
      </c>
      <c r="I138" s="4" t="str">
        <f>IFERROR(__xludf.DUMMYFUNCTION("GOOGLETRANSLATE(C138, ""en"", ""zh"")"),"A) 双脚踢球 B) 手球 C) 使用球棍 D) 仅用头顶球")</f>
        <v>A) 双脚踢球 B) 手球 C) 使用球棍 D) 仅用头顶球</v>
      </c>
      <c r="J138" s="4" t="str">
        <f>IFERROR(__xludf.DUMMYFUNCTION("GOOGLETRANSLATE(D138, ""en"", ""zh"")"),"A) 双脚踢")</f>
        <v>A) 双脚踢</v>
      </c>
      <c r="K138" s="4" t="str">
        <f>IFERROR(__xludf.DUMMYFUNCTION("GOOGLETRANSLATE(E138, ""en"", ""zh"")"),"#VALUE!")</f>
        <v>#VALUE!</v>
      </c>
      <c r="L138" s="2"/>
      <c r="M138" s="2"/>
      <c r="N138" s="2"/>
      <c r="O138" s="2"/>
      <c r="P138" s="2"/>
      <c r="Q138" s="2"/>
      <c r="R138" s="2"/>
      <c r="S138" s="2"/>
      <c r="T138" s="2"/>
      <c r="U138" s="2"/>
      <c r="V138" s="2"/>
      <c r="W138" s="2"/>
      <c r="X138" s="2"/>
      <c r="Y138" s="2"/>
      <c r="Z138" s="2"/>
      <c r="AA138" s="2"/>
      <c r="AB138" s="2"/>
      <c r="AC138" s="2"/>
    </row>
    <row r="139">
      <c r="A139" s="22">
        <v>139.0</v>
      </c>
      <c r="B139" s="17" t="s">
        <v>454</v>
      </c>
      <c r="C139" s="17" t="s">
        <v>455</v>
      </c>
      <c r="D139" s="17" t="s">
        <v>456</v>
      </c>
      <c r="E139" s="20"/>
      <c r="F139" s="2"/>
      <c r="G139" s="2"/>
      <c r="H139" s="4" t="str">
        <f>IFERROR(__xludf.DUMMYFUNCTION("GOOGLETRANSLATE(B139, ""en"", ""zh"")"),"貉队的球门位置是这样的：")</f>
        <v>貉队的球门位置是这样的：</v>
      </c>
      <c r="I139" s="4" t="str">
        <f>IFERROR(__xludf.DUMMYFUNCTION("GOOGLETRANSLATE(C139, ""en"", ""zh"")"),"A) 场地两端 B) 场地任意位置 C) 场地中心 D) 随机位置")</f>
        <v>A) 场地两端 B) 场地任意位置 C) 场地中心 D) 随机位置</v>
      </c>
      <c r="J139" s="4" t="str">
        <f>IFERROR(__xludf.DUMMYFUNCTION("GOOGLETRANSLATE(D139, ""en"", ""zh"")"),"A) 在场地的两端")</f>
        <v>A) 在场地的两端</v>
      </c>
      <c r="K139" s="4" t="str">
        <f>IFERROR(__xludf.DUMMYFUNCTION("GOOGLETRANSLATE(E139, ""en"", ""zh"")"),"#VALUE!")</f>
        <v>#VALUE!</v>
      </c>
      <c r="L139" s="2"/>
      <c r="M139" s="2"/>
      <c r="N139" s="2"/>
      <c r="O139" s="2"/>
      <c r="P139" s="2"/>
      <c r="Q139" s="2"/>
      <c r="R139" s="2"/>
      <c r="S139" s="2"/>
      <c r="T139" s="2"/>
      <c r="U139" s="2"/>
      <c r="V139" s="2"/>
      <c r="W139" s="2"/>
      <c r="X139" s="2"/>
      <c r="Y139" s="2"/>
      <c r="Z139" s="2"/>
      <c r="AA139" s="2"/>
      <c r="AB139" s="2"/>
      <c r="AC139" s="2"/>
    </row>
    <row r="140">
      <c r="A140" s="22">
        <v>140.0</v>
      </c>
      <c r="B140" s="17" t="s">
        <v>457</v>
      </c>
      <c r="C140" s="17" t="s">
        <v>458</v>
      </c>
      <c r="D140" s="17" t="s">
        <v>459</v>
      </c>
      <c r="E140" s="20"/>
      <c r="F140" s="2"/>
      <c r="G140" s="2"/>
      <c r="H140" s="4" t="str">
        <f>IFERROR(__xludf.DUMMYFUNCTION("GOOGLETRANSLATE(B140, ""en"", ""zh"")"),"蹴鞠田地边界以以下标志标示：")</f>
        <v>蹴鞠田地边界以以下标志标示：</v>
      </c>
      <c r="I140" s="4" t="str">
        <f>IFERROR(__xludf.DUMMYFUNCTION("GOOGLETRANSLATE(C140, ""en"", ""zh"")"),"A) 绳索或线 B) 仅旗帜 C) 锥形路标 D) 无")</f>
        <v>A) 绳索或线 B) 仅旗帜 C) 锥形路标 D) 无</v>
      </c>
      <c r="J140" s="4" t="str">
        <f>IFERROR(__xludf.DUMMYFUNCTION("GOOGLETRANSLATE(D140, ""en"", ""zh"")"),"A) 绳索或线")</f>
        <v>A) 绳索或线</v>
      </c>
      <c r="K140" s="4" t="str">
        <f>IFERROR(__xludf.DUMMYFUNCTION("GOOGLETRANSLATE(E140, ""en"", ""zh"")"),"#VALUE!")</f>
        <v>#VALUE!</v>
      </c>
      <c r="L140" s="2"/>
      <c r="M140" s="2"/>
      <c r="N140" s="2"/>
      <c r="O140" s="2"/>
      <c r="P140" s="2"/>
      <c r="Q140" s="2"/>
      <c r="R140" s="2"/>
      <c r="S140" s="2"/>
      <c r="T140" s="2"/>
      <c r="U140" s="2"/>
      <c r="V140" s="2"/>
      <c r="W140" s="2"/>
      <c r="X140" s="2"/>
      <c r="Y140" s="2"/>
      <c r="Z140" s="2"/>
      <c r="AA140" s="2"/>
      <c r="AB140" s="2"/>
      <c r="AC140" s="2"/>
    </row>
    <row r="141">
      <c r="A141" s="22">
        <v>141.0</v>
      </c>
      <c r="B141" s="17" t="s">
        <v>460</v>
      </c>
      <c r="C141" s="17" t="s">
        <v>461</v>
      </c>
      <c r="D141" s="17" t="s">
        <v>462</v>
      </c>
      <c r="E141" s="20"/>
      <c r="F141" s="2"/>
      <c r="G141" s="2"/>
      <c r="H141" s="4" t="str">
        <f>IFERROR(__xludf.DUMMYFUNCTION("GOOGLETRANSLATE(B141, ""en"", ""zh"")"),"库朱的主要得分方式是：")</f>
        <v>库朱的主要得分方式是：</v>
      </c>
      <c r="I141" s="4" t="str">
        <f>IFERROR(__xludf.DUMMYFUNCTION("GOOGLETRANSLATE(C141, ""en"", ""zh"")"),"A) 将球踢入圆形球门 B) 投掷 C) 击打对手 D) 运球")</f>
        <v>A) 将球踢入圆形球门 B) 投掷 C) 击打对手 D) 运球</v>
      </c>
      <c r="J141" s="4" t="str">
        <f>IFERROR(__xludf.DUMMYFUNCTION("GOOGLETRANSLATE(D141, ""en"", ""zh"")"),"A) 将球踢入圆形球门")</f>
        <v>A) 将球踢入圆形球门</v>
      </c>
      <c r="K141" s="4" t="str">
        <f>IFERROR(__xludf.DUMMYFUNCTION("GOOGLETRANSLATE(E141, ""en"", ""zh"")"),"#VALUE!")</f>
        <v>#VALUE!</v>
      </c>
      <c r="L141" s="2"/>
      <c r="M141" s="2"/>
      <c r="N141" s="2"/>
      <c r="O141" s="2"/>
      <c r="P141" s="2"/>
      <c r="Q141" s="2"/>
      <c r="R141" s="2"/>
      <c r="S141" s="2"/>
      <c r="T141" s="2"/>
      <c r="U141" s="2"/>
      <c r="V141" s="2"/>
      <c r="W141" s="2"/>
      <c r="X141" s="2"/>
      <c r="Y141" s="2"/>
      <c r="Z141" s="2"/>
      <c r="AA141" s="2"/>
      <c r="AB141" s="2"/>
      <c r="AC141" s="2"/>
    </row>
    <row r="142">
      <c r="A142" s="22">
        <v>142.0</v>
      </c>
      <c r="B142" s="17" t="s">
        <v>463</v>
      </c>
      <c r="C142" s="17" t="s">
        <v>464</v>
      </c>
      <c r="D142" s="17" t="s">
        <v>465</v>
      </c>
      <c r="E142" s="20"/>
      <c r="F142" s="2"/>
      <c r="G142" s="2"/>
      <c r="H142" s="4" t="str">
        <f>IFERROR(__xludf.DUMMYFUNCTION("GOOGLETRANSLATE(B142, ""en"", ""zh"")"),"历史上，貔貅是由哪个性别的演员扮演的？")</f>
        <v>历史上，貔貅是由哪个性别的演员扮演的？</v>
      </c>
      <c r="I142" s="4" t="str">
        <f>IFERROR(__xludf.DUMMYFUNCTION("GOOGLETRANSLATE(C142, ""en"", ""zh"")"),"A) 男性 B) 女性 C) 两者皆可 D) 仅限皇室成员")</f>
        <v>A) 男性 B) 女性 C) 两者皆可 D) 仅限皇室成员</v>
      </c>
      <c r="J142" s="4" t="str">
        <f>IFERROR(__xludf.DUMMYFUNCTION("GOOGLETRANSLATE(D142, ""en"", ""zh"")"),"C) 两者")</f>
        <v>C) 两者</v>
      </c>
      <c r="K142" s="4" t="str">
        <f>IFERROR(__xludf.DUMMYFUNCTION("GOOGLETRANSLATE(E142, ""en"", ""zh"")"),"#VALUE!")</f>
        <v>#VALUE!</v>
      </c>
      <c r="L142" s="2"/>
      <c r="M142" s="2"/>
      <c r="N142" s="2"/>
      <c r="O142" s="2"/>
      <c r="P142" s="2"/>
      <c r="Q142" s="2"/>
      <c r="R142" s="2"/>
      <c r="S142" s="2"/>
      <c r="T142" s="2"/>
      <c r="U142" s="2"/>
      <c r="V142" s="2"/>
      <c r="W142" s="2"/>
      <c r="X142" s="2"/>
      <c r="Y142" s="2"/>
      <c r="Z142" s="2"/>
      <c r="AA142" s="2"/>
      <c r="AB142" s="2"/>
      <c r="AC142" s="2"/>
    </row>
    <row r="143">
      <c r="A143" s="22">
        <v>143.0</v>
      </c>
      <c r="B143" s="17" t="s">
        <v>466</v>
      </c>
      <c r="C143" s="17" t="s">
        <v>467</v>
      </c>
      <c r="D143" s="17" t="s">
        <v>468</v>
      </c>
      <c r="E143" s="20"/>
      <c r="F143" s="2"/>
      <c r="G143" s="2"/>
      <c r="H143" s="4" t="str">
        <f>IFERROR(__xludf.DUMMYFUNCTION("GOOGLETRANSLATE(B143, ""en"", ""zh"")"),"蹴鞠比赛通常在以下时期举行：")</f>
        <v>蹴鞠比赛通常在以下时期举行：</v>
      </c>
      <c r="I143" s="4" t="str">
        <f>IFERROR(__xludf.DUMMYFUNCTION("GOOGLETRANSLATE(C143, ""en"", ""zh"")"),"A) 节日 B) 收获季节 C) 冬季 D) 仅夏季")</f>
        <v>A) 节日 B) 收获季节 C) 冬季 D) 仅夏季</v>
      </c>
      <c r="J143" s="4" t="str">
        <f>IFERROR(__xludf.DUMMYFUNCTION("GOOGLETRANSLATE(D143, ""en"", ""zh"")"),"A) 节日")</f>
        <v>A) 节日</v>
      </c>
      <c r="K143" s="4" t="str">
        <f>IFERROR(__xludf.DUMMYFUNCTION("GOOGLETRANSLATE(E143, ""en"", ""zh"")"),"#VALUE!")</f>
        <v>#VALUE!</v>
      </c>
      <c r="L143" s="2"/>
      <c r="M143" s="2"/>
      <c r="N143" s="2"/>
      <c r="O143" s="2"/>
      <c r="P143" s="2"/>
      <c r="Q143" s="2"/>
      <c r="R143" s="2"/>
      <c r="S143" s="2"/>
      <c r="T143" s="2"/>
      <c r="U143" s="2"/>
      <c r="V143" s="2"/>
      <c r="W143" s="2"/>
      <c r="X143" s="2"/>
      <c r="Y143" s="2"/>
      <c r="Z143" s="2"/>
      <c r="AA143" s="2"/>
      <c r="AB143" s="2"/>
      <c r="AC143" s="2"/>
    </row>
    <row r="144">
      <c r="A144" s="22">
        <v>144.0</v>
      </c>
      <c r="B144" s="17" t="s">
        <v>401</v>
      </c>
      <c r="C144" s="17" t="s">
        <v>469</v>
      </c>
      <c r="D144" s="17" t="s">
        <v>470</v>
      </c>
      <c r="E144" s="20"/>
      <c r="F144" s="2"/>
      <c r="G144" s="2"/>
      <c r="H144" s="4" t="str">
        <f>IFERROR(__xludf.DUMMYFUNCTION("GOOGLETRANSLATE(B144, ""en"", ""zh"")"),"蹴鞠被认为是以下动作的最早形式：")</f>
        <v>蹴鞠被认为是以下动作的最早形式：</v>
      </c>
      <c r="I144" s="4" t="str">
        <f>IFERROR(__xludf.DUMMYFUNCTION("GOOGLETRANSLATE(C144, ""en"", ""zh"")"),"A) 足球 B) 篮球 C) 排球 D) 橄榄球")</f>
        <v>A) 足球 B) 篮球 C) 排球 D) 橄榄球</v>
      </c>
      <c r="J144" s="4" t="str">
        <f>IFERROR(__xludf.DUMMYFUNCTION("GOOGLETRANSLATE(D144, ""en"", ""zh"")"),"A) 足球")</f>
        <v>A) 足球</v>
      </c>
      <c r="K144" s="4" t="str">
        <f>IFERROR(__xludf.DUMMYFUNCTION("GOOGLETRANSLATE(E144, ""en"", ""zh"")"),"#VALUE!")</f>
        <v>#VALUE!</v>
      </c>
      <c r="L144" s="2"/>
      <c r="M144" s="2"/>
      <c r="N144" s="2"/>
      <c r="O144" s="2"/>
      <c r="P144" s="2"/>
      <c r="Q144" s="2"/>
      <c r="R144" s="2"/>
      <c r="S144" s="2"/>
      <c r="T144" s="2"/>
      <c r="U144" s="2"/>
      <c r="V144" s="2"/>
      <c r="W144" s="2"/>
      <c r="X144" s="2"/>
      <c r="Y144" s="2"/>
      <c r="Z144" s="2"/>
      <c r="AA144" s="2"/>
      <c r="AB144" s="2"/>
      <c r="AC144" s="2"/>
    </row>
    <row r="145">
      <c r="A145" s="22">
        <v>145.0</v>
      </c>
      <c r="B145" s="17" t="s">
        <v>471</v>
      </c>
      <c r="C145" s="17" t="s">
        <v>472</v>
      </c>
      <c r="D145" s="17" t="s">
        <v>473</v>
      </c>
      <c r="E145" s="20"/>
      <c r="F145" s="2"/>
      <c r="G145" s="2"/>
      <c r="H145" s="4" t="str">
        <f>IFERROR(__xludf.DUMMYFUNCTION("GOOGLETRANSLATE(B145, ""en"", ""zh"")"),"在貘鞠的比赛中，越位是如何判定的？")</f>
        <v>在貘鞠的比赛中，越位是如何判定的？</v>
      </c>
      <c r="I145" s="4" t="str">
        <f>IFERROR(__xludf.DUMMYFUNCTION("GOOGLETRANSLATE(C145, ""en"", ""zh"")"),"A) 无越位规则 B) 球员位置 C) 球的高度 D) 守门员位置")</f>
        <v>A) 无越位规则 B) 球员位置 C) 球的高度 D) 守门员位置</v>
      </c>
      <c r="J145" s="4" t="str">
        <f>IFERROR(__xludf.DUMMYFUNCTION("GOOGLETRANSLATE(D145, ""en"", ""zh"")"),"A) 无越位规则")</f>
        <v>A) 无越位规则</v>
      </c>
      <c r="K145" s="4" t="str">
        <f>IFERROR(__xludf.DUMMYFUNCTION("GOOGLETRANSLATE(E145, ""en"", ""zh"")"),"#VALUE!")</f>
        <v>#VALUE!</v>
      </c>
      <c r="L145" s="2"/>
      <c r="M145" s="2"/>
      <c r="N145" s="2"/>
      <c r="O145" s="2"/>
      <c r="P145" s="2"/>
      <c r="Q145" s="2"/>
      <c r="R145" s="2"/>
      <c r="S145" s="2"/>
      <c r="T145" s="2"/>
      <c r="U145" s="2"/>
      <c r="V145" s="2"/>
      <c r="W145" s="2"/>
      <c r="X145" s="2"/>
      <c r="Y145" s="2"/>
      <c r="Z145" s="2"/>
      <c r="AA145" s="2"/>
      <c r="AB145" s="2"/>
      <c r="AC145" s="2"/>
    </row>
    <row r="146">
      <c r="A146" s="22">
        <v>146.0</v>
      </c>
      <c r="B146" s="17" t="s">
        <v>474</v>
      </c>
      <c r="C146" s="17" t="s">
        <v>475</v>
      </c>
      <c r="D146" s="17" t="s">
        <v>476</v>
      </c>
      <c r="E146" s="20"/>
      <c r="F146" s="2"/>
      <c r="G146" s="2"/>
      <c r="H146" s="4" t="str">
        <f>IFERROR(__xludf.DUMMYFUNCTION("GOOGLETRANSLATE(B146, ""en"", ""zh"")"),"貉的任意球可以是：")</f>
        <v>貉的任意球可以是：</v>
      </c>
      <c r="I146" s="4" t="str">
        <f>IFERROR(__xludf.DUMMYFUNCTION("GOOGLETRANSLATE(C146, ""en"", ""zh"")"),"A) 直接或间接 B) 仅直接 C) 仅间接 D) 不允许")</f>
        <v>A) 直接或间接 B) 仅直接 C) 仅间接 D) 不允许</v>
      </c>
      <c r="J146" s="4" t="str">
        <f>IFERROR(__xludf.DUMMYFUNCTION("GOOGLETRANSLATE(D146, ""en"", ""zh"")"),"A) 直接或间接")</f>
        <v>A) 直接或间接</v>
      </c>
      <c r="K146" s="4" t="str">
        <f>IFERROR(__xludf.DUMMYFUNCTION("GOOGLETRANSLATE(E146, ""en"", ""zh"")"),"#VALUE!")</f>
        <v>#VALUE!</v>
      </c>
      <c r="L146" s="2"/>
      <c r="M146" s="2"/>
      <c r="N146" s="2"/>
      <c r="O146" s="2"/>
      <c r="P146" s="2"/>
      <c r="Q146" s="2"/>
      <c r="R146" s="2"/>
      <c r="S146" s="2"/>
      <c r="T146" s="2"/>
      <c r="U146" s="2"/>
      <c r="V146" s="2"/>
      <c r="W146" s="2"/>
      <c r="X146" s="2"/>
      <c r="Y146" s="2"/>
      <c r="Z146" s="2"/>
      <c r="AA146" s="2"/>
      <c r="AB146" s="2"/>
      <c r="AC146" s="2"/>
    </row>
    <row r="147">
      <c r="A147" s="22">
        <v>147.0</v>
      </c>
      <c r="B147" s="17" t="s">
        <v>477</v>
      </c>
      <c r="C147" s="17" t="s">
        <v>478</v>
      </c>
      <c r="D147" s="17" t="s">
        <v>62</v>
      </c>
      <c r="E147" s="20"/>
      <c r="F147" s="2"/>
      <c r="G147" s="2"/>
      <c r="H147" s="4" t="str">
        <f>IFERROR(__xludf.DUMMYFUNCTION("GOOGLETRANSLATE(B147, ""en"", ""zh"")"),"蹴鞠选手传统上接受以下训练：")</f>
        <v>蹴鞠选手传统上接受以下训练：</v>
      </c>
      <c r="I147" s="4" t="str">
        <f>IFERROR(__xludf.DUMMYFUNCTION("GOOGLETRANSLATE(C147, ""en"", ""zh"")"),"A) 保持体力 B) 精准踢球 C) 有效传球 D) 以上全部")</f>
        <v>A) 保持体力 B) 精准踢球 C) 有效传球 D) 以上全部</v>
      </c>
      <c r="J147" s="4" t="str">
        <f>IFERROR(__xludf.DUMMYFUNCTION("GOOGLETRANSLATE(D147, ""en"", ""zh"")"),"D) 以上所有选项")</f>
        <v>D) 以上所有选项</v>
      </c>
      <c r="K147" s="4" t="str">
        <f>IFERROR(__xludf.DUMMYFUNCTION("GOOGLETRANSLATE(E147, ""en"", ""zh"")"),"#VALUE!")</f>
        <v>#VALUE!</v>
      </c>
      <c r="L147" s="2"/>
      <c r="M147" s="2"/>
      <c r="N147" s="2"/>
      <c r="O147" s="2"/>
      <c r="P147" s="2"/>
      <c r="Q147" s="2"/>
      <c r="R147" s="2"/>
      <c r="S147" s="2"/>
      <c r="T147" s="2"/>
      <c r="U147" s="2"/>
      <c r="V147" s="2"/>
      <c r="W147" s="2"/>
      <c r="X147" s="2"/>
      <c r="Y147" s="2"/>
      <c r="Z147" s="2"/>
      <c r="AA147" s="2"/>
      <c r="AB147" s="2"/>
      <c r="AC147" s="2"/>
    </row>
    <row r="148">
      <c r="A148" s="2"/>
      <c r="B148" s="2"/>
      <c r="C148" s="2"/>
      <c r="D148" s="2"/>
      <c r="E148" s="2"/>
      <c r="F148" s="2"/>
      <c r="G148" s="2"/>
      <c r="H148" s="2"/>
      <c r="I148" s="2"/>
      <c r="J148" s="8"/>
      <c r="K148" s="2"/>
      <c r="L148" s="2"/>
      <c r="M148" s="2"/>
      <c r="N148" s="2"/>
      <c r="O148" s="2"/>
      <c r="P148" s="2"/>
      <c r="Q148" s="2"/>
      <c r="R148" s="2"/>
      <c r="S148" s="2"/>
      <c r="T148" s="2"/>
      <c r="U148" s="2"/>
      <c r="V148" s="2"/>
      <c r="W148" s="2"/>
      <c r="X148" s="2"/>
      <c r="Y148" s="2"/>
      <c r="Z148" s="2"/>
      <c r="AA148" s="2"/>
      <c r="AB148" s="2"/>
      <c r="AC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row>
    <row r="963">
      <c r="A963" s="12"/>
      <c r="B963" s="12"/>
      <c r="C963" s="12"/>
      <c r="D963" s="12"/>
      <c r="E963" s="12"/>
      <c r="F963" s="12"/>
      <c r="G963" s="12"/>
      <c r="H963" s="2"/>
      <c r="I963" s="12"/>
      <c r="J963" s="12"/>
      <c r="K963" s="12"/>
      <c r="L963" s="12"/>
      <c r="M963" s="12"/>
      <c r="N963" s="12"/>
      <c r="O963" s="12"/>
      <c r="P963" s="12"/>
      <c r="Q963" s="12"/>
      <c r="R963" s="12"/>
      <c r="S963" s="12"/>
      <c r="T963" s="12"/>
      <c r="U963" s="12"/>
      <c r="V963" s="12"/>
      <c r="W963" s="12"/>
      <c r="X963" s="12"/>
      <c r="Y963" s="12"/>
      <c r="Z963" s="12"/>
      <c r="AA963" s="12"/>
      <c r="AB963" s="12"/>
      <c r="AC963" s="12"/>
    </row>
    <row r="964">
      <c r="A964" s="12"/>
      <c r="B964" s="12"/>
      <c r="C964" s="12"/>
      <c r="D964" s="12"/>
      <c r="E964" s="12"/>
      <c r="F964" s="12"/>
      <c r="G964" s="12"/>
      <c r="H964" s="2"/>
      <c r="I964" s="12"/>
      <c r="J964" s="12"/>
      <c r="K964" s="12"/>
      <c r="L964" s="12"/>
      <c r="M964" s="12"/>
      <c r="N964" s="12"/>
      <c r="O964" s="12"/>
      <c r="P964" s="12"/>
      <c r="Q964" s="12"/>
      <c r="R964" s="12"/>
      <c r="S964" s="12"/>
      <c r="T964" s="12"/>
      <c r="U964" s="12"/>
      <c r="V964" s="12"/>
      <c r="W964" s="12"/>
      <c r="X964" s="12"/>
      <c r="Y964" s="12"/>
      <c r="Z964" s="12"/>
      <c r="AA964" s="12"/>
      <c r="AB964" s="12"/>
      <c r="AC964" s="12"/>
    </row>
    <row r="965">
      <c r="A965" s="12"/>
      <c r="B965" s="12"/>
      <c r="C965" s="12"/>
      <c r="D965" s="12"/>
      <c r="E965" s="12"/>
      <c r="F965" s="12"/>
      <c r="G965" s="12"/>
      <c r="H965" s="2"/>
      <c r="I965" s="12"/>
      <c r="J965" s="12"/>
      <c r="K965" s="12"/>
      <c r="L965" s="12"/>
      <c r="M965" s="12"/>
      <c r="N965" s="12"/>
      <c r="O965" s="12"/>
      <c r="P965" s="12"/>
      <c r="Q965" s="12"/>
      <c r="R965" s="12"/>
      <c r="S965" s="12"/>
      <c r="T965" s="12"/>
      <c r="U965" s="12"/>
      <c r="V965" s="12"/>
      <c r="W965" s="12"/>
      <c r="X965" s="12"/>
      <c r="Y965" s="12"/>
      <c r="Z965" s="12"/>
      <c r="AA965" s="12"/>
      <c r="AB965" s="12"/>
      <c r="AC965" s="12"/>
    </row>
    <row r="966">
      <c r="A966" s="12"/>
      <c r="B966" s="12"/>
      <c r="C966" s="12"/>
      <c r="D966" s="12"/>
      <c r="E966" s="12"/>
      <c r="F966" s="12"/>
      <c r="G966" s="12"/>
      <c r="H966" s="2"/>
      <c r="I966" s="12"/>
      <c r="J966" s="12"/>
      <c r="K966" s="12"/>
      <c r="L966" s="12"/>
      <c r="M966" s="12"/>
      <c r="N966" s="12"/>
      <c r="O966" s="12"/>
      <c r="P966" s="12"/>
      <c r="Q966" s="12"/>
      <c r="R966" s="12"/>
      <c r="S966" s="12"/>
      <c r="T966" s="12"/>
      <c r="U966" s="12"/>
      <c r="V966" s="12"/>
      <c r="W966" s="12"/>
      <c r="X966" s="12"/>
      <c r="Y966" s="12"/>
      <c r="Z966" s="12"/>
      <c r="AA966" s="12"/>
      <c r="AB966" s="12"/>
      <c r="AC966" s="12"/>
    </row>
    <row r="967">
      <c r="A967" s="12"/>
      <c r="B967" s="12"/>
      <c r="C967" s="12"/>
      <c r="D967" s="12"/>
      <c r="E967" s="12"/>
      <c r="F967" s="12"/>
      <c r="G967" s="12"/>
      <c r="H967" s="2"/>
      <c r="I967" s="12"/>
      <c r="J967" s="12"/>
      <c r="K967" s="12"/>
      <c r="L967" s="12"/>
      <c r="M967" s="12"/>
      <c r="N967" s="12"/>
      <c r="O967" s="12"/>
      <c r="P967" s="12"/>
      <c r="Q967" s="12"/>
      <c r="R967" s="12"/>
      <c r="S967" s="12"/>
      <c r="T967" s="12"/>
      <c r="U967" s="12"/>
      <c r="V967" s="12"/>
      <c r="W967" s="12"/>
      <c r="X967" s="12"/>
      <c r="Y967" s="12"/>
      <c r="Z967" s="12"/>
      <c r="AA967" s="12"/>
      <c r="AB967" s="12"/>
      <c r="AC967" s="12"/>
    </row>
    <row r="968">
      <c r="A968" s="12"/>
      <c r="B968" s="12"/>
      <c r="C968" s="12"/>
      <c r="D968" s="12"/>
      <c r="E968" s="12"/>
      <c r="F968" s="12"/>
      <c r="G968" s="12"/>
      <c r="H968" s="2"/>
      <c r="I968" s="12"/>
      <c r="J968" s="12"/>
      <c r="K968" s="12"/>
      <c r="L968" s="12"/>
      <c r="M968" s="12"/>
      <c r="N968" s="12"/>
      <c r="O968" s="12"/>
      <c r="P968" s="12"/>
      <c r="Q968" s="12"/>
      <c r="R968" s="12"/>
      <c r="S968" s="12"/>
      <c r="T968" s="12"/>
      <c r="U968" s="12"/>
      <c r="V968" s="12"/>
      <c r="W968" s="12"/>
      <c r="X968" s="12"/>
      <c r="Y968" s="12"/>
      <c r="Z968" s="12"/>
      <c r="AA968" s="12"/>
      <c r="AB968" s="12"/>
      <c r="AC968" s="12"/>
    </row>
    <row r="969">
      <c r="A969" s="12"/>
      <c r="B969" s="12"/>
      <c r="C969" s="12"/>
      <c r="D969" s="12"/>
      <c r="E969" s="12"/>
      <c r="F969" s="12"/>
      <c r="G969" s="12"/>
      <c r="H969" s="2"/>
      <c r="I969" s="12"/>
      <c r="J969" s="12"/>
      <c r="K969" s="12"/>
      <c r="L969" s="12"/>
      <c r="M969" s="12"/>
      <c r="N969" s="12"/>
      <c r="O969" s="12"/>
      <c r="P969" s="12"/>
      <c r="Q969" s="12"/>
      <c r="R969" s="12"/>
      <c r="S969" s="12"/>
      <c r="T969" s="12"/>
      <c r="U969" s="12"/>
      <c r="V969" s="12"/>
      <c r="W969" s="12"/>
      <c r="X969" s="12"/>
      <c r="Y969" s="12"/>
      <c r="Z969" s="12"/>
      <c r="AA969" s="12"/>
      <c r="AB969" s="12"/>
      <c r="AC969" s="12"/>
    </row>
    <row r="970">
      <c r="A970" s="12"/>
      <c r="B970" s="12"/>
      <c r="C970" s="12"/>
      <c r="D970" s="12"/>
      <c r="E970" s="12"/>
      <c r="F970" s="12"/>
      <c r="G970" s="12"/>
      <c r="H970" s="2"/>
      <c r="I970" s="12"/>
      <c r="J970" s="12"/>
      <c r="K970" s="12"/>
      <c r="L970" s="12"/>
      <c r="M970" s="12"/>
      <c r="N970" s="12"/>
      <c r="O970" s="12"/>
      <c r="P970" s="12"/>
      <c r="Q970" s="12"/>
      <c r="R970" s="12"/>
      <c r="S970" s="12"/>
      <c r="T970" s="12"/>
      <c r="U970" s="12"/>
      <c r="V970" s="12"/>
      <c r="W970" s="12"/>
      <c r="X970" s="12"/>
      <c r="Y970" s="12"/>
      <c r="Z970" s="12"/>
      <c r="AA970" s="12"/>
      <c r="AB970" s="12"/>
      <c r="AC970" s="12"/>
    </row>
    <row r="971">
      <c r="A971" s="12"/>
      <c r="B971" s="12"/>
      <c r="C971" s="12"/>
      <c r="D971" s="12"/>
      <c r="E971" s="12"/>
      <c r="F971" s="12"/>
      <c r="G971" s="12"/>
      <c r="H971" s="2"/>
      <c r="I971" s="12"/>
      <c r="J971" s="12"/>
      <c r="K971" s="12"/>
      <c r="L971" s="12"/>
      <c r="M971" s="12"/>
      <c r="N971" s="12"/>
      <c r="O971" s="12"/>
      <c r="P971" s="12"/>
      <c r="Q971" s="12"/>
      <c r="R971" s="12"/>
      <c r="S971" s="12"/>
      <c r="T971" s="12"/>
      <c r="U971" s="12"/>
      <c r="V971" s="12"/>
      <c r="W971" s="12"/>
      <c r="X971" s="12"/>
      <c r="Y971" s="12"/>
      <c r="Z971" s="12"/>
      <c r="AA971" s="12"/>
      <c r="AB971" s="12"/>
      <c r="AC971" s="12"/>
    </row>
    <row r="972">
      <c r="A972" s="12"/>
      <c r="B972" s="12"/>
      <c r="C972" s="12"/>
      <c r="D972" s="12"/>
      <c r="E972" s="12"/>
      <c r="F972" s="12"/>
      <c r="G972" s="12"/>
      <c r="H972" s="2"/>
      <c r="I972" s="12"/>
      <c r="J972" s="12"/>
      <c r="K972" s="12"/>
      <c r="L972" s="12"/>
      <c r="M972" s="12"/>
      <c r="N972" s="12"/>
      <c r="O972" s="12"/>
      <c r="P972" s="12"/>
      <c r="Q972" s="12"/>
      <c r="R972" s="12"/>
      <c r="S972" s="12"/>
      <c r="T972" s="12"/>
      <c r="U972" s="12"/>
      <c r="V972" s="12"/>
      <c r="W972" s="12"/>
      <c r="X972" s="12"/>
      <c r="Y972" s="12"/>
      <c r="Z972" s="12"/>
      <c r="AA972" s="12"/>
      <c r="AB972" s="12"/>
      <c r="AC972" s="12"/>
    </row>
    <row r="973">
      <c r="A973" s="12"/>
      <c r="B973" s="12"/>
      <c r="C973" s="12"/>
      <c r="D973" s="12"/>
      <c r="E973" s="12"/>
      <c r="F973" s="12"/>
      <c r="G973" s="12"/>
      <c r="H973" s="2"/>
      <c r="I973" s="12"/>
      <c r="J973" s="12"/>
      <c r="K973" s="12"/>
      <c r="L973" s="12"/>
      <c r="M973" s="12"/>
      <c r="N973" s="12"/>
      <c r="O973" s="12"/>
      <c r="P973" s="12"/>
      <c r="Q973" s="12"/>
      <c r="R973" s="12"/>
      <c r="S973" s="12"/>
      <c r="T973" s="12"/>
      <c r="U973" s="12"/>
      <c r="V973" s="12"/>
      <c r="W973" s="12"/>
      <c r="X973" s="12"/>
      <c r="Y973" s="12"/>
      <c r="Z973" s="12"/>
      <c r="AA973" s="12"/>
      <c r="AB973" s="12"/>
      <c r="AC973" s="12"/>
    </row>
    <row r="974">
      <c r="A974" s="12"/>
      <c r="B974" s="12"/>
      <c r="C974" s="12"/>
      <c r="D974" s="12"/>
      <c r="E974" s="12"/>
      <c r="F974" s="12"/>
      <c r="G974" s="12"/>
      <c r="H974" s="2"/>
      <c r="I974" s="12"/>
      <c r="J974" s="12"/>
      <c r="K974" s="12"/>
      <c r="L974" s="12"/>
      <c r="M974" s="12"/>
      <c r="N974" s="12"/>
      <c r="O974" s="12"/>
      <c r="P974" s="12"/>
      <c r="Q974" s="12"/>
      <c r="R974" s="12"/>
      <c r="S974" s="12"/>
      <c r="T974" s="12"/>
      <c r="U974" s="12"/>
      <c r="V974" s="12"/>
      <c r="W974" s="12"/>
      <c r="X974" s="12"/>
      <c r="Y974" s="12"/>
      <c r="Z974" s="12"/>
      <c r="AA974" s="12"/>
      <c r="AB974" s="12"/>
      <c r="AC974" s="12"/>
    </row>
    <row r="975">
      <c r="A975" s="12"/>
      <c r="B975" s="12"/>
      <c r="C975" s="12"/>
      <c r="D975" s="12"/>
      <c r="E975" s="12"/>
      <c r="F975" s="12"/>
      <c r="G975" s="12"/>
      <c r="H975" s="2"/>
      <c r="I975" s="12"/>
      <c r="J975" s="12"/>
      <c r="K975" s="12"/>
      <c r="L975" s="12"/>
      <c r="M975" s="12"/>
      <c r="N975" s="12"/>
      <c r="O975" s="12"/>
      <c r="P975" s="12"/>
      <c r="Q975" s="12"/>
      <c r="R975" s="12"/>
      <c r="S975" s="12"/>
      <c r="T975" s="12"/>
      <c r="U975" s="12"/>
      <c r="V975" s="12"/>
      <c r="W975" s="12"/>
      <c r="X975" s="12"/>
      <c r="Y975" s="12"/>
      <c r="Z975" s="12"/>
      <c r="AA975" s="12"/>
      <c r="AB975" s="12"/>
      <c r="AC975" s="12"/>
    </row>
    <row r="976">
      <c r="A976" s="12"/>
      <c r="B976" s="12"/>
      <c r="C976" s="12"/>
      <c r="D976" s="12"/>
      <c r="E976" s="12"/>
      <c r="F976" s="12"/>
      <c r="G976" s="12"/>
      <c r="H976" s="2"/>
      <c r="I976" s="12"/>
      <c r="J976" s="12"/>
      <c r="K976" s="12"/>
      <c r="L976" s="12"/>
      <c r="M976" s="12"/>
      <c r="N976" s="12"/>
      <c r="O976" s="12"/>
      <c r="P976" s="12"/>
      <c r="Q976" s="12"/>
      <c r="R976" s="12"/>
      <c r="S976" s="12"/>
      <c r="T976" s="12"/>
      <c r="U976" s="12"/>
      <c r="V976" s="12"/>
      <c r="W976" s="12"/>
      <c r="X976" s="12"/>
      <c r="Y976" s="12"/>
      <c r="Z976" s="12"/>
      <c r="AA976" s="12"/>
      <c r="AB976" s="12"/>
      <c r="AC976" s="12"/>
    </row>
    <row r="977">
      <c r="A977" s="12"/>
      <c r="B977" s="12"/>
      <c r="C977" s="12"/>
      <c r="D977" s="12"/>
      <c r="E977" s="12"/>
      <c r="F977" s="12"/>
      <c r="G977" s="12"/>
      <c r="H977" s="2"/>
      <c r="I977" s="12"/>
      <c r="J977" s="12"/>
      <c r="K977" s="12"/>
      <c r="L977" s="12"/>
      <c r="M977" s="12"/>
      <c r="N977" s="12"/>
      <c r="O977" s="12"/>
      <c r="P977" s="12"/>
      <c r="Q977" s="12"/>
      <c r="R977" s="12"/>
      <c r="S977" s="12"/>
      <c r="T977" s="12"/>
      <c r="U977" s="12"/>
      <c r="V977" s="12"/>
      <c r="W977" s="12"/>
      <c r="X977" s="12"/>
      <c r="Y977" s="12"/>
      <c r="Z977" s="12"/>
      <c r="AA977" s="12"/>
      <c r="AB977" s="12"/>
      <c r="AC977" s="12"/>
    </row>
    <row r="978">
      <c r="A978" s="12"/>
      <c r="B978" s="12"/>
      <c r="C978" s="12"/>
      <c r="D978" s="12"/>
      <c r="E978" s="12"/>
      <c r="F978" s="12"/>
      <c r="G978" s="12"/>
      <c r="H978" s="2"/>
      <c r="I978" s="12"/>
      <c r="J978" s="12"/>
      <c r="K978" s="12"/>
      <c r="L978" s="12"/>
      <c r="M978" s="12"/>
      <c r="N978" s="12"/>
      <c r="O978" s="12"/>
      <c r="P978" s="12"/>
      <c r="Q978" s="12"/>
      <c r="R978" s="12"/>
      <c r="S978" s="12"/>
      <c r="T978" s="12"/>
      <c r="U978" s="12"/>
      <c r="V978" s="12"/>
      <c r="W978" s="12"/>
      <c r="X978" s="12"/>
      <c r="Y978" s="12"/>
      <c r="Z978" s="12"/>
      <c r="AA978" s="12"/>
      <c r="AB978" s="12"/>
      <c r="AC978" s="12"/>
    </row>
    <row r="979">
      <c r="A979" s="12"/>
      <c r="B979" s="12"/>
      <c r="C979" s="12"/>
      <c r="D979" s="12"/>
      <c r="E979" s="12"/>
      <c r="F979" s="12"/>
      <c r="G979" s="12"/>
      <c r="H979" s="2"/>
      <c r="I979" s="12"/>
      <c r="J979" s="12"/>
      <c r="K979" s="12"/>
      <c r="L979" s="12"/>
      <c r="M979" s="12"/>
      <c r="N979" s="12"/>
      <c r="O979" s="12"/>
      <c r="P979" s="12"/>
      <c r="Q979" s="12"/>
      <c r="R979" s="12"/>
      <c r="S979" s="12"/>
      <c r="T979" s="12"/>
      <c r="U979" s="12"/>
      <c r="V979" s="12"/>
      <c r="W979" s="12"/>
      <c r="X979" s="12"/>
      <c r="Y979" s="12"/>
      <c r="Z979" s="12"/>
      <c r="AA979" s="12"/>
      <c r="AB979" s="12"/>
      <c r="AC979" s="12"/>
    </row>
    <row r="980">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c r="AB980" s="23"/>
      <c r="AC980" s="23"/>
    </row>
    <row r="98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c r="AB981" s="23"/>
      <c r="AC981" s="23"/>
    </row>
    <row r="982">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c r="AB982" s="23"/>
      <c r="AC982" s="23"/>
    </row>
    <row r="983">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c r="AB983" s="23"/>
      <c r="AC983" s="23"/>
    </row>
    <row r="984">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c r="AB984" s="23"/>
      <c r="AC984" s="23"/>
    </row>
    <row r="98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3"/>
      <c r="AB985" s="23"/>
      <c r="AC985" s="23"/>
    </row>
    <row r="986">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3"/>
      <c r="AB986" s="23"/>
      <c r="AC986" s="23"/>
    </row>
    <row r="987">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3"/>
      <c r="AB987" s="23"/>
      <c r="AC987" s="23"/>
    </row>
    <row r="988">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3"/>
      <c r="AB988" s="23"/>
      <c r="AC988" s="23"/>
    </row>
    <row r="989">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3"/>
      <c r="AB989" s="23"/>
      <c r="AC989" s="23"/>
    </row>
    <row r="990">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3"/>
      <c r="AB990" s="23"/>
      <c r="AC990" s="23"/>
    </row>
    <row r="99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3"/>
      <c r="AB991" s="23"/>
      <c r="AC991" s="23"/>
    </row>
    <row r="992">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3"/>
      <c r="AB992" s="23"/>
      <c r="AC992" s="23"/>
    </row>
    <row r="993">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3"/>
      <c r="AB993" s="23"/>
      <c r="AC993" s="23"/>
    </row>
    <row r="994">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3"/>
      <c r="AB994" s="23"/>
      <c r="AC994" s="23"/>
    </row>
    <row r="99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c r="AA995" s="23"/>
      <c r="AB995" s="23"/>
      <c r="AC995" s="23"/>
    </row>
    <row r="996">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c r="AA996" s="23"/>
      <c r="AB996" s="23"/>
      <c r="AC996" s="23"/>
    </row>
    <row r="997">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c r="AA997" s="23"/>
      <c r="AB997" s="23"/>
      <c r="AC997" s="23"/>
    </row>
    <row r="998">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c r="AA998" s="23"/>
      <c r="AB998" s="23"/>
      <c r="AC998" s="23"/>
    </row>
    <row r="999">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c r="AA999" s="23"/>
      <c r="AB999" s="23"/>
      <c r="AC999" s="23"/>
    </row>
  </sheetData>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3" width="12.75"/>
    <col customWidth="1" min="5" max="5" width="12.75"/>
    <col customWidth="1" min="9" max="9" width="12.75"/>
  </cols>
  <sheetData>
    <row r="1">
      <c r="A1" s="1" t="s">
        <v>0</v>
      </c>
      <c r="B1" s="1" t="s">
        <v>1</v>
      </c>
      <c r="C1" s="1" t="s">
        <v>2</v>
      </c>
      <c r="D1" s="1" t="s">
        <v>3</v>
      </c>
      <c r="E1" s="1" t="s">
        <v>4</v>
      </c>
      <c r="F1" s="2"/>
      <c r="G1" s="2"/>
      <c r="H1" s="1" t="s">
        <v>5</v>
      </c>
      <c r="I1" s="1" t="s">
        <v>6</v>
      </c>
      <c r="J1" s="1" t="s">
        <v>7</v>
      </c>
      <c r="K1" s="1" t="s">
        <v>4</v>
      </c>
      <c r="L1" s="3"/>
      <c r="M1" s="3"/>
      <c r="N1" s="3"/>
      <c r="O1" s="3"/>
      <c r="P1" s="3"/>
      <c r="Q1" s="23"/>
      <c r="R1" s="23"/>
      <c r="S1" s="23"/>
      <c r="T1" s="23"/>
      <c r="U1" s="23"/>
      <c r="V1" s="23"/>
      <c r="W1" s="23"/>
      <c r="X1" s="23"/>
      <c r="Y1" s="23"/>
      <c r="Z1" s="23"/>
    </row>
    <row r="2">
      <c r="A2" s="4">
        <v>1.0</v>
      </c>
      <c r="B2" s="5" t="s">
        <v>479</v>
      </c>
      <c r="C2" s="5" t="s">
        <v>480</v>
      </c>
      <c r="D2" s="5" t="s">
        <v>481</v>
      </c>
      <c r="E2" s="5" t="s">
        <v>482</v>
      </c>
      <c r="F2" s="2"/>
      <c r="G2" s="2"/>
      <c r="H2" s="4" t="str">
        <f>IFERROR(__xludf.DUMMYFUNCTION("GOOGLETRANSLATE(B2, ""en"", ""zh"")"),"一艘龙舟通常有多少桨手划桨？")</f>
        <v>一艘龙舟通常有多少桨手划桨？</v>
      </c>
      <c r="I2" s="4" t="str">
        <f>IFERROR(__xludf.DUMMYFUNCTION("GOOGLETRANSLATE(C2, ""en"", ""zh"")"),"A) 8，B) 10，C) 12，D) 20")</f>
        <v>A) 8，B) 10，C) 12，D) 20</v>
      </c>
      <c r="J2" s="4" t="str">
        <f>IFERROR(__xludf.DUMMYFUNCTION("GOOGLETRANSLATE(D2, ""en"", ""zh"")"),"C) 12")</f>
        <v>C) 12</v>
      </c>
      <c r="K2" s="4" t="str">
        <f>IFERROR(__xludf.DUMMYFUNCTION("GOOGLETRANSLATE(E2, ""en"", ""zh"")"),"一艘标准的龙舟有 12 名桨手，但人数可以有所不同。")</f>
        <v>一艘标准的龙舟有 12 名桨手，但人数可以有所不同。</v>
      </c>
      <c r="L2" s="2"/>
      <c r="M2" s="3"/>
      <c r="N2" s="3"/>
      <c r="O2" s="3"/>
      <c r="P2" s="2"/>
      <c r="Q2" s="23"/>
      <c r="R2" s="23"/>
      <c r="S2" s="23"/>
      <c r="T2" s="23"/>
      <c r="U2" s="23"/>
      <c r="V2" s="23"/>
      <c r="W2" s="23"/>
      <c r="X2" s="23"/>
      <c r="Y2" s="23"/>
      <c r="Z2" s="23"/>
    </row>
    <row r="3">
      <c r="A3" s="4">
        <v>2.0</v>
      </c>
      <c r="B3" s="5" t="s">
        <v>483</v>
      </c>
      <c r="C3" s="5" t="s">
        <v>484</v>
      </c>
      <c r="D3" s="5" t="s">
        <v>485</v>
      </c>
      <c r="E3" s="5" t="s">
        <v>486</v>
      </c>
      <c r="F3" s="2"/>
      <c r="G3" s="2"/>
      <c r="H3" s="4" t="str">
        <f>IFERROR(__xludf.DUMMYFUNCTION("GOOGLETRANSLATE(B3, ""en"", ""zh"")"),"龙舟比赛中的鼓声象征着什么？")</f>
        <v>龙舟比赛中的鼓声象征着什么？</v>
      </c>
      <c r="I3" s="4" t="str">
        <f>IFERROR(__xludf.DUMMYFUNCTION("GOOGLETRANSLATE(C3, ""en"", ""zh"")"),"A) 计时，B) 发出开始信号，C) 震慑对手，D) 为球队加油")</f>
        <v>A) 计时，B) 发出开始信号，C) 震慑对手，D) 为球队加油</v>
      </c>
      <c r="J3" s="4" t="str">
        <f>IFERROR(__xludf.DUMMYFUNCTION("GOOGLETRANSLATE(D3, ""en"", ""zh"")"),"A) 保持时间")</f>
        <v>A) 保持时间</v>
      </c>
      <c r="K3" s="4" t="str">
        <f>IFERROR(__xludf.DUMMYFUNCTION("GOOGLETRANSLATE(E3, ""en"", ""zh"")"),"鼓手为划桨手设定节奏和速度。")</f>
        <v>鼓手为划桨手设定节奏和速度。</v>
      </c>
      <c r="L3" s="3"/>
      <c r="M3" s="3"/>
      <c r="N3" s="2"/>
      <c r="O3" s="3"/>
      <c r="P3" s="2"/>
      <c r="Q3" s="23"/>
      <c r="R3" s="23"/>
      <c r="S3" s="23"/>
      <c r="T3" s="23"/>
      <c r="U3" s="23"/>
      <c r="V3" s="23"/>
      <c r="W3" s="23"/>
      <c r="X3" s="23"/>
      <c r="Y3" s="23"/>
      <c r="Z3" s="23"/>
    </row>
    <row r="4">
      <c r="A4" s="4">
        <v>3.0</v>
      </c>
      <c r="B4" s="5" t="s">
        <v>487</v>
      </c>
      <c r="C4" s="5" t="s">
        <v>488</v>
      </c>
      <c r="D4" s="5" t="s">
        <v>489</v>
      </c>
      <c r="E4" s="5" t="s">
        <v>490</v>
      </c>
      <c r="F4" s="2"/>
      <c r="G4" s="2"/>
      <c r="H4" s="4" t="str">
        <f>IFERROR(__xludf.DUMMYFUNCTION("GOOGLETRANSLATE(B4, ""en"", ""zh"")"),"龙舟通常用什么材料制成？")</f>
        <v>龙舟通常用什么材料制成？</v>
      </c>
      <c r="I4" s="4" t="str">
        <f>IFERROR(__xludf.DUMMYFUNCTION("GOOGLETRANSLATE(C4, ""en"", ""zh"")"),"A) 木材，B) 金属，C) 玻璃纤维，D) 塑料")</f>
        <v>A) 木材，B) 金属，C) 玻璃纤维，D) 塑料</v>
      </c>
      <c r="J4" s="4" t="str">
        <f>IFERROR(__xludf.DUMMYFUNCTION("GOOGLETRANSLATE(D4, ""en"", ""zh"")"),"A) 木材")</f>
        <v>A) 木材</v>
      </c>
      <c r="K4" s="4" t="str">
        <f>IFERROR(__xludf.DUMMYFUNCTION("GOOGLETRANSLATE(E4, ""en"", ""zh"")"),"传统的龙舟是用木头制成的，而现代的龙舟则经常使用玻璃纤维。")</f>
        <v>传统的龙舟是用木头制成的，而现代的龙舟则经常使用玻璃纤维。</v>
      </c>
      <c r="L4" s="3"/>
      <c r="M4" s="3"/>
      <c r="N4" s="2"/>
      <c r="O4" s="3"/>
      <c r="P4" s="2"/>
      <c r="Q4" s="23"/>
      <c r="R4" s="23"/>
      <c r="S4" s="23"/>
      <c r="T4" s="23"/>
      <c r="U4" s="23"/>
      <c r="V4" s="23"/>
      <c r="W4" s="23"/>
      <c r="X4" s="23"/>
      <c r="Y4" s="23"/>
      <c r="Z4" s="23"/>
    </row>
    <row r="5">
      <c r="A5" s="4">
        <v>4.0</v>
      </c>
      <c r="B5" s="5" t="s">
        <v>491</v>
      </c>
      <c r="C5" s="5" t="s">
        <v>492</v>
      </c>
      <c r="D5" s="5" t="s">
        <v>493</v>
      </c>
      <c r="E5" s="5" t="s">
        <v>494</v>
      </c>
      <c r="F5" s="2"/>
      <c r="G5" s="2"/>
      <c r="H5" s="4" t="str">
        <f>IFERROR(__xludf.DUMMYFUNCTION("GOOGLETRANSLATE(B5, ""en"", ""zh"")"),"一支完整的龙舟队通常由多少人组成？")</f>
        <v>一支完整的龙舟队通常由多少人组成？</v>
      </c>
      <c r="I5" s="4" t="str">
        <f>IFERROR(__xludf.DUMMYFUNCTION("GOOGLETRANSLATE(C5, ""en"", ""zh"")"),"A) 10，B) 20，C) 30，D) 40")</f>
        <v>A) 10，B) 20，C) 30，D) 40</v>
      </c>
      <c r="J5" s="4" t="str">
        <f>IFERROR(__xludf.DUMMYFUNCTION("GOOGLETRANSLATE(D5, ""en"", ""zh"")"),"B) 20")</f>
        <v>B) 20</v>
      </c>
      <c r="K5" s="4" t="str">
        <f>IFERROR(__xludf.DUMMYFUNCTION("GOOGLETRANSLATE(E5, ""en"", ""zh"")"),"一支标准的龙舟队由20名桨手组成。")</f>
        <v>一支标准的龙舟队由20名桨手组成。</v>
      </c>
      <c r="L5" s="2"/>
      <c r="M5" s="3"/>
      <c r="N5" s="3"/>
      <c r="O5" s="3"/>
      <c r="P5" s="2"/>
      <c r="Q5" s="23"/>
      <c r="R5" s="23"/>
      <c r="S5" s="23"/>
      <c r="T5" s="23"/>
      <c r="U5" s="23"/>
      <c r="V5" s="23"/>
      <c r="W5" s="23"/>
      <c r="X5" s="23"/>
      <c r="Y5" s="23"/>
      <c r="Z5" s="23"/>
    </row>
    <row r="6">
      <c r="A6" s="4">
        <v>5.0</v>
      </c>
      <c r="B6" s="5" t="s">
        <v>495</v>
      </c>
      <c r="C6" s="5" t="s">
        <v>496</v>
      </c>
      <c r="D6" s="5" t="s">
        <v>497</v>
      </c>
      <c r="E6" s="5" t="s">
        <v>498</v>
      </c>
      <c r="F6" s="2"/>
      <c r="G6" s="2"/>
      <c r="H6" s="4" t="str">
        <f>IFERROR(__xludf.DUMMYFUNCTION("GOOGLETRANSLATE(B6, ""en"", ""zh"")"),"龙舟桨长什么样？")</f>
        <v>龙舟桨长什么样？</v>
      </c>
      <c r="I6" s="4" t="str">
        <f>IFERROR(__xludf.DUMMYFUNCTION("GOOGLETRANSLATE(C6, ""en"", ""zh"")"),"A) 直的，B) 弯曲的，C) 扁平的，D) 圆形的")</f>
        <v>A) 直的，B) 弯曲的，C) 扁平的，D) 圆形的</v>
      </c>
      <c r="J6" s="4" t="str">
        <f>IFERROR(__xludf.DUMMYFUNCTION("GOOGLETRANSLATE(D6, ""en"", ""zh"")"),"C) 使用扁平刀片")</f>
        <v>C) 使用扁平刀片</v>
      </c>
      <c r="K6" s="4" t="str">
        <f>IFERROR(__xludf.DUMMYFUNCTION("GOOGLETRANSLATE(E6, ""en"", ""zh"")"),"龙舟桨的桨叶是扁平的，以最大限度地提高在水中的效率。")</f>
        <v>龙舟桨的桨叶是扁平的，以最大限度地提高在水中的效率。</v>
      </c>
      <c r="L6" s="3"/>
      <c r="M6" s="3"/>
      <c r="N6" s="3"/>
      <c r="O6" s="3"/>
      <c r="P6" s="2"/>
      <c r="Q6" s="23"/>
      <c r="R6" s="23"/>
      <c r="S6" s="23"/>
      <c r="T6" s="23"/>
      <c r="U6" s="23"/>
      <c r="V6" s="23"/>
      <c r="W6" s="23"/>
      <c r="X6" s="23"/>
      <c r="Y6" s="23"/>
      <c r="Z6" s="23"/>
    </row>
    <row r="7">
      <c r="A7" s="4">
        <v>6.0</v>
      </c>
      <c r="B7" s="5" t="s">
        <v>499</v>
      </c>
      <c r="C7" s="5" t="s">
        <v>500</v>
      </c>
      <c r="D7" s="5" t="s">
        <v>501</v>
      </c>
      <c r="E7" s="5" t="s">
        <v>502</v>
      </c>
      <c r="F7" s="2"/>
      <c r="G7" s="2"/>
      <c r="H7" s="4" t="str">
        <f>IFERROR(__xludf.DUMMYFUNCTION("GOOGLETRANSLATE(B7, ""en"", ""zh"")"),"比赛时，谁坐在龙舟的最前面？")</f>
        <v>比赛时，谁坐在龙舟的最前面？</v>
      </c>
      <c r="I7" s="4" t="str">
        <f>IFERROR(__xludf.DUMMYFUNCTION("GOOGLETRANSLATE(C7, ""en"", ""zh"")"),"A) 划桨手，B) 教练，C) 鼓手，D) 舵手")</f>
        <v>A) 划桨手，B) 教练，C) 鼓手，D) 舵手</v>
      </c>
      <c r="J7" s="4" t="str">
        <f>IFERROR(__xludf.DUMMYFUNCTION("GOOGLETRANSLATE(D7, ""en"", ""zh"")"),"D) 舵手")</f>
        <v>D) 舵手</v>
      </c>
      <c r="K7" s="4" t="str">
        <f>IFERROR(__xludf.DUMMYFUNCTION("GOOGLETRANSLATE(E7, ""en"", ""zh"")"),"舵手控制船的方向，位于龙舟的前端。")</f>
        <v>舵手控制船的方向，位于龙舟的前端。</v>
      </c>
      <c r="L7" s="2"/>
      <c r="M7" s="3"/>
      <c r="N7" s="2"/>
      <c r="O7" s="3"/>
      <c r="P7" s="2"/>
      <c r="Q7" s="23"/>
      <c r="R7" s="23"/>
      <c r="S7" s="23"/>
      <c r="T7" s="23"/>
      <c r="U7" s="23"/>
      <c r="V7" s="23"/>
      <c r="W7" s="23"/>
      <c r="X7" s="23"/>
      <c r="Y7" s="23"/>
      <c r="Z7" s="23"/>
    </row>
    <row r="8">
      <c r="A8" s="4">
        <v>7.0</v>
      </c>
      <c r="B8" s="5" t="s">
        <v>503</v>
      </c>
      <c r="C8" s="5" t="s">
        <v>504</v>
      </c>
      <c r="D8" s="5" t="s">
        <v>505</v>
      </c>
      <c r="E8" s="5" t="s">
        <v>506</v>
      </c>
      <c r="F8" s="2"/>
      <c r="G8" s="2"/>
      <c r="H8" s="4" t="str">
        <f>IFERROR(__xludf.DUMMYFUNCTION("GOOGLETRANSLATE(B8, ""en"", ""zh"")"),"龙舟比赛中最常见的比赛形式是什么？")</f>
        <v>龙舟比赛中最常见的比赛形式是什么？</v>
      </c>
      <c r="I8" s="4" t="str">
        <f>IFERROR(__xludf.DUMMYFUNCTION("GOOGLETRANSLATE(C8, ""en"", ""zh"")"),"A) 短跑，B) 马拉松，C) 接力赛，D) 团体赛")</f>
        <v>A) 短跑，B) 马拉松，C) 接力赛，D) 团体赛</v>
      </c>
      <c r="J8" s="4" t="str">
        <f>IFERROR(__xludf.DUMMYFUNCTION("GOOGLETRANSLATE(D8, ""en"", ""zh"")"),"A) 短跑")</f>
        <v>A) 短跑</v>
      </c>
      <c r="K8" s="4" t="str">
        <f>IFERROR(__xludf.DUMMYFUNCTION("GOOGLETRANSLATE(E8, ""en"", ""zh"")"),"龙舟比赛通常是短距离冲刺项目，注重速度和团队合作。")</f>
        <v>龙舟比赛通常是短距离冲刺项目，注重速度和团队合作。</v>
      </c>
      <c r="L8" s="3"/>
      <c r="M8" s="3"/>
      <c r="N8" s="2"/>
      <c r="O8" s="3"/>
      <c r="P8" s="3"/>
      <c r="Q8" s="23"/>
      <c r="R8" s="23"/>
      <c r="S8" s="23"/>
      <c r="T8" s="23"/>
      <c r="U8" s="23"/>
      <c r="V8" s="23"/>
      <c r="W8" s="23"/>
      <c r="X8" s="23"/>
      <c r="Y8" s="23"/>
      <c r="Z8" s="23"/>
    </row>
    <row r="9">
      <c r="A9" s="4">
        <v>8.0</v>
      </c>
      <c r="B9" s="5" t="s">
        <v>507</v>
      </c>
      <c r="C9" s="5" t="s">
        <v>508</v>
      </c>
      <c r="D9" s="5" t="s">
        <v>509</v>
      </c>
      <c r="E9" s="5" t="s">
        <v>510</v>
      </c>
      <c r="F9" s="2"/>
      <c r="G9" s="2"/>
      <c r="H9" s="4" t="str">
        <f>IFERROR(__xludf.DUMMYFUNCTION("GOOGLETRANSLATE(B9, ""en"", ""zh"")"),"龙舟比赛的典型赛程有多长？")</f>
        <v>龙舟比赛的典型赛程有多长？</v>
      </c>
      <c r="I9" s="4" t="str">
        <f>IFERROR(__xludf.DUMMYFUNCTION("GOOGLETRANSLATE(C9, ""en"", ""zh"")"),"A) 100米，B) 200米，C) 500米，D) 1000米")</f>
        <v>A) 100米，B) 200米，C) 500米，D) 1000米</v>
      </c>
      <c r="J9" s="4" t="str">
        <f>IFERROR(__xludf.DUMMYFUNCTION("GOOGLETRANSLATE(D9, ""en"", ""zh"")"),"C) 500米")</f>
        <v>C) 500米</v>
      </c>
      <c r="K9" s="4" t="str">
        <f>IFERROR(__xludf.DUMMYFUNCTION("GOOGLETRANSLATE(E9, ""en"", ""zh"")"),"龙舟比赛的典型赛程为500米，但赛程也可能有所不同。")</f>
        <v>龙舟比赛的典型赛程为500米，但赛程也可能有所不同。</v>
      </c>
      <c r="L9" s="3"/>
      <c r="M9" s="3"/>
      <c r="N9" s="2"/>
      <c r="O9" s="3"/>
      <c r="P9" s="2"/>
      <c r="Q9" s="23"/>
      <c r="R9" s="23"/>
      <c r="S9" s="23"/>
      <c r="T9" s="23"/>
      <c r="U9" s="23"/>
      <c r="V9" s="23"/>
      <c r="W9" s="23"/>
      <c r="X9" s="23"/>
      <c r="Y9" s="23"/>
      <c r="Z9" s="23"/>
    </row>
    <row r="10">
      <c r="A10" s="4">
        <v>9.0</v>
      </c>
      <c r="B10" s="5" t="s">
        <v>511</v>
      </c>
      <c r="C10" s="5" t="s">
        <v>512</v>
      </c>
      <c r="D10" s="5" t="s">
        <v>513</v>
      </c>
      <c r="E10" s="5" t="s">
        <v>514</v>
      </c>
      <c r="F10" s="2"/>
      <c r="G10" s="2"/>
      <c r="H10" s="4" t="str">
        <f>IFERROR(__xludf.DUMMYFUNCTION("GOOGLETRANSLATE(B10, ""en"", ""zh"")"),"以下哪项是龙舟竞渡技术中的关键要素？")</f>
        <v>以下哪项是龙舟竞渡技术中的关键要素？</v>
      </c>
      <c r="I10" s="4" t="str">
        <f>IFERROR(__xludf.DUMMYFUNCTION("GOOGLETRANSLATE(C10, ""en"", ""zh"")"),"A) 同步性，B) 力量，C) 耐力，D) 速度")</f>
        <v>A) 同步性，B) 力量，C) 耐力，D) 速度</v>
      </c>
      <c r="J10" s="4" t="str">
        <f>IFERROR(__xludf.DUMMYFUNCTION("GOOGLETRANSLATE(D10, ""en"", ""zh"")"),"A) 同步")</f>
        <v>A) 同步</v>
      </c>
      <c r="K10" s="4" t="str">
        <f>IFERROR(__xludf.DUMMYFUNCTION("GOOGLETRANSLATE(E10, ""en"", ""zh"")"),"成功的龙舟比赛需要所有桨手之间完美配合。")</f>
        <v>成功的龙舟比赛需要所有桨手之间完美配合。</v>
      </c>
      <c r="L10" s="2"/>
      <c r="M10" s="3"/>
      <c r="N10" s="3"/>
      <c r="O10" s="3"/>
      <c r="P10" s="2"/>
      <c r="Q10" s="23"/>
      <c r="R10" s="23"/>
      <c r="S10" s="23"/>
      <c r="T10" s="23"/>
      <c r="U10" s="23"/>
      <c r="V10" s="23"/>
      <c r="W10" s="23"/>
      <c r="X10" s="23"/>
      <c r="Y10" s="23"/>
      <c r="Z10" s="23"/>
    </row>
    <row r="11">
      <c r="A11" s="4">
        <v>10.0</v>
      </c>
      <c r="B11" s="5" t="s">
        <v>515</v>
      </c>
      <c r="C11" s="5" t="s">
        <v>516</v>
      </c>
      <c r="D11" s="5" t="s">
        <v>517</v>
      </c>
      <c r="E11" s="5" t="s">
        <v>518</v>
      </c>
      <c r="F11" s="2"/>
      <c r="G11" s="2"/>
      <c r="H11" s="4" t="str">
        <f>IFERROR(__xludf.DUMMYFUNCTION("GOOGLETRANSLATE(B11, ""en"", ""zh"")"),"龙舟比赛开始时，各队通常如何发出信号？")</f>
        <v>龙舟比赛开始时，各队通常如何发出信号？</v>
      </c>
      <c r="I11" s="4" t="str">
        <f>IFERROR(__xludf.DUMMYFUNCTION("GOOGLETRANSLATE(C11, ""en"", ""zh"")"),"A) 哨子，B) 鼓，C) 号角，D) 旗帜")</f>
        <v>A) 哨子，B) 鼓，C) 号角，D) 旗帜</v>
      </c>
      <c r="J11" s="4" t="str">
        <f>IFERROR(__xludf.DUMMYFUNCTION("GOOGLETRANSLATE(D11, ""en"", ""zh"")"),"B) 鼓")</f>
        <v>B) 鼓</v>
      </c>
      <c r="K11" s="4" t="str">
        <f>IFERROR(__xludf.DUMMYFUNCTION("GOOGLETRANSLATE(E11, ""en"", ""zh"")"),"当鼓声响起，划桨手们开始比赛时，比赛就正式开始了。")</f>
        <v>当鼓声响起，划桨手们开始比赛时，比赛就正式开始了。</v>
      </c>
      <c r="L11" s="2"/>
      <c r="M11" s="3"/>
      <c r="N11" s="3"/>
      <c r="O11" s="3"/>
      <c r="P11" s="2"/>
      <c r="Q11" s="23"/>
      <c r="R11" s="23"/>
      <c r="S11" s="23"/>
      <c r="T11" s="23"/>
      <c r="U11" s="23"/>
      <c r="V11" s="23"/>
      <c r="W11" s="23"/>
      <c r="X11" s="23"/>
      <c r="Y11" s="23"/>
      <c r="Z11" s="23"/>
    </row>
    <row r="12">
      <c r="A12" s="4">
        <v>11.0</v>
      </c>
      <c r="B12" s="5" t="s">
        <v>519</v>
      </c>
      <c r="C12" s="5" t="s">
        <v>520</v>
      </c>
      <c r="D12" s="5" t="s">
        <v>521</v>
      </c>
      <c r="E12" s="5" t="s">
        <v>522</v>
      </c>
      <c r="F12" s="2"/>
      <c r="G12" s="2"/>
      <c r="H12" s="4" t="str">
        <f>IFERROR(__xludf.DUMMYFUNCTION("GOOGLETRANSLATE(B12, ""en"", ""zh"")"),"龙舟比赛中使用的小船叫什么？")</f>
        <v>龙舟比赛中使用的小船叫什么？</v>
      </c>
      <c r="I12" s="4" t="str">
        <f>IFERROR(__xludf.DUMMYFUNCTION("GOOGLETRANSLATE(C12, ""en"", ""zh"")"),"A) 小艇，B) 舢板，C) 独木舟，D) 龙舟")</f>
        <v>A) 小艇，B) 舢板，C) 独木舟，D) 龙舟</v>
      </c>
      <c r="J12" s="4" t="str">
        <f>IFERROR(__xludf.DUMMYFUNCTION("GOOGLETRANSLATE(D12, ""en"", ""zh"")"),"D) 龙舟")</f>
        <v>D) 龙舟</v>
      </c>
      <c r="K12" s="4" t="str">
        <f>IFERROR(__xludf.DUMMYFUNCTION("GOOGLETRANSLATE(E12, ""en"", ""zh"")"),"比赛中使用的船只称为龙舟，是专门为这项运动设计的。")</f>
        <v>比赛中使用的船只称为龙舟，是专门为这项运动设计的。</v>
      </c>
      <c r="L12" s="2"/>
      <c r="M12" s="3"/>
      <c r="N12" s="2"/>
      <c r="O12" s="3"/>
      <c r="P12" s="2"/>
      <c r="Q12" s="23"/>
      <c r="R12" s="23"/>
      <c r="S12" s="23"/>
      <c r="T12" s="23"/>
      <c r="U12" s="23"/>
      <c r="V12" s="23"/>
      <c r="W12" s="23"/>
      <c r="X12" s="23"/>
      <c r="Y12" s="23"/>
      <c r="Z12" s="23"/>
    </row>
    <row r="13">
      <c r="A13" s="4">
        <v>12.0</v>
      </c>
      <c r="B13" s="5" t="s">
        <v>523</v>
      </c>
      <c r="C13" s="5" t="s">
        <v>524</v>
      </c>
      <c r="D13" s="5" t="s">
        <v>525</v>
      </c>
      <c r="E13" s="5" t="s">
        <v>526</v>
      </c>
      <c r="F13" s="2"/>
      <c r="G13" s="2"/>
      <c r="H13" s="4" t="str">
        <f>IFERROR(__xludf.DUMMYFUNCTION("GOOGLETRANSLATE(B13, ""en"", ""zh"")"),"龙舟舵手负责什么？")</f>
        <v>龙舟舵手负责什么？</v>
      </c>
      <c r="I13" s="4" t="str">
        <f>IFERROR(__xludf.DUMMYFUNCTION("GOOGLETRANSLATE(C13, ""en"", ""zh"")"),"A) 划桨，B) 击鼓，C) 掌舵，D) 指导")</f>
        <v>A) 划桨，B) 击鼓，C) 掌舵，D) 指导</v>
      </c>
      <c r="J13" s="4" t="str">
        <f>IFERROR(__xludf.DUMMYFUNCTION("GOOGLETRANSLATE(D13, ""en"", ""zh"")"),"C）驾驶船只")</f>
        <v>C）驾驶船只</v>
      </c>
      <c r="K13" s="4" t="str">
        <f>IFERROR(__xludf.DUMMYFUNCTION("GOOGLETRANSLATE(E13, ""en"", ""zh"")"),"舵手负责驾驶赛艇完成比赛。")</f>
        <v>舵手负责驾驶赛艇完成比赛。</v>
      </c>
      <c r="L13" s="2"/>
      <c r="M13" s="3"/>
      <c r="N13" s="3"/>
      <c r="O13" s="3"/>
      <c r="P13" s="2"/>
      <c r="Q13" s="23"/>
      <c r="R13" s="23"/>
      <c r="S13" s="23"/>
      <c r="T13" s="23"/>
      <c r="U13" s="23"/>
      <c r="V13" s="23"/>
      <c r="W13" s="23"/>
      <c r="X13" s="23"/>
      <c r="Y13" s="23"/>
      <c r="Z13" s="23"/>
    </row>
    <row r="14">
      <c r="A14" s="4">
        <v>13.0</v>
      </c>
      <c r="B14" s="5" t="s">
        <v>527</v>
      </c>
      <c r="C14" s="5" t="s">
        <v>528</v>
      </c>
      <c r="D14" s="5" t="s">
        <v>529</v>
      </c>
      <c r="E14" s="5" t="s">
        <v>530</v>
      </c>
      <c r="F14" s="2"/>
      <c r="G14" s="2"/>
      <c r="H14" s="4" t="str">
        <f>IFERROR(__xludf.DUMMYFUNCTION("GOOGLETRANSLATE(B14, ""en"", ""zh"")"),"以下哪项是龙舟比赛成功的关键因素？")</f>
        <v>以下哪项是龙舟比赛成功的关键因素？</v>
      </c>
      <c r="I14" s="4" t="str">
        <f>IFERROR(__xludf.DUMMYFUNCTION("GOOGLETRANSLATE(C14, ""en"", ""zh"")"),"A) 速度，B) 耐力，C) 团队合作，D) 力量")</f>
        <v>A) 速度，B) 耐力，C) 团队合作，D) 力量</v>
      </c>
      <c r="J14" s="4" t="str">
        <f>IFERROR(__xludf.DUMMYFUNCTION("GOOGLETRANSLATE(D14, ""en"", ""zh"")"),"C) 团队合作")</f>
        <v>C) 团队合作</v>
      </c>
      <c r="K14" s="4" t="str">
        <f>IFERROR(__xludf.DUMMYFUNCTION("GOOGLETRANSLATE(E14, ""en"", ""zh"")"),"龙舟比赛需要所有桨手之间完美的团队合作和协调。")</f>
        <v>龙舟比赛需要所有桨手之间完美的团队合作和协调。</v>
      </c>
      <c r="L14" s="2"/>
      <c r="M14" s="3"/>
      <c r="N14" s="2"/>
      <c r="O14" s="3"/>
      <c r="P14" s="2"/>
      <c r="Q14" s="23"/>
      <c r="R14" s="23"/>
      <c r="S14" s="23"/>
      <c r="T14" s="23"/>
      <c r="U14" s="23"/>
      <c r="V14" s="23"/>
      <c r="W14" s="23"/>
      <c r="X14" s="23"/>
      <c r="Y14" s="23"/>
      <c r="Z14" s="23"/>
    </row>
    <row r="15">
      <c r="A15" s="4">
        <v>14.0</v>
      </c>
      <c r="B15" s="5" t="s">
        <v>531</v>
      </c>
      <c r="C15" s="5" t="s">
        <v>532</v>
      </c>
      <c r="D15" s="5" t="s">
        <v>533</v>
      </c>
      <c r="E15" s="5" t="s">
        <v>534</v>
      </c>
      <c r="F15" s="2"/>
      <c r="G15" s="2"/>
      <c r="H15" s="4" t="str">
        <f>IFERROR(__xludf.DUMMYFUNCTION("GOOGLETRANSLATE(B15, ""en"", ""zh"")"),"龙舟比赛的结果通常是如何判定的？")</f>
        <v>龙舟比赛的结果通常是如何判定的？</v>
      </c>
      <c r="I15" s="4" t="str">
        <f>IFERROR(__xludf.DUMMYFUNCTION("GOOGLETRANSLATE(C15, ""en"", ""zh"")"),"A) 按时间，B) 按速度，C) 按技巧，D) 按耐力")</f>
        <v>A) 按时间，B) 按速度，C) 按技巧，D) 按耐力</v>
      </c>
      <c r="J15" s="4" t="str">
        <f>IFERROR(__xludf.DUMMYFUNCTION("GOOGLETRANSLATE(D15, ""en"", ""zh"")"),"A) 按时间")</f>
        <v>A) 按时间</v>
      </c>
      <c r="K15" s="4" t="str">
        <f>IFERROR(__xludf.DUMMYFUNCTION("GOOGLETRANSLATE(E15, ""en"", ""zh"")"),"龙舟比赛的胜负取决于完成赛程的最快用时。")</f>
        <v>龙舟比赛的胜负取决于完成赛程的最快用时。</v>
      </c>
      <c r="L15" s="3"/>
      <c r="M15" s="3"/>
      <c r="N15" s="3"/>
      <c r="O15" s="3"/>
      <c r="P15" s="2"/>
      <c r="Q15" s="23"/>
      <c r="R15" s="23"/>
      <c r="S15" s="23"/>
      <c r="T15" s="23"/>
      <c r="U15" s="23"/>
      <c r="V15" s="23"/>
      <c r="W15" s="23"/>
      <c r="X15" s="23"/>
      <c r="Y15" s="23"/>
      <c r="Z15" s="23"/>
    </row>
    <row r="16">
      <c r="A16" s="4">
        <v>15.0</v>
      </c>
      <c r="B16" s="5" t="s">
        <v>535</v>
      </c>
      <c r="C16" s="5" t="s">
        <v>536</v>
      </c>
      <c r="D16" s="5" t="s">
        <v>537</v>
      </c>
      <c r="E16" s="5" t="s">
        <v>538</v>
      </c>
      <c r="F16" s="2"/>
      <c r="G16" s="2"/>
      <c r="H16" s="4" t="str">
        <f>IFERROR(__xludf.DUMMYFUNCTION("GOOGLETRANSLATE(B16, ""en"", ""zh"")"),"龙舟比赛最常在哪片水域举行？")</f>
        <v>龙舟比赛最常在哪片水域举行？</v>
      </c>
      <c r="I16" s="4" t="str">
        <f>IFERROR(__xludf.DUMMYFUNCTION("GOOGLETRANSLATE(C16, ""en"", ""zh"")"),"A) 河流，B) 湖泊，C) 海洋，D) 水池")</f>
        <v>A) 河流，B) 湖泊，C) 海洋，D) 水池</v>
      </c>
      <c r="J16" s="4" t="str">
        <f>IFERROR(__xludf.DUMMYFUNCTION("GOOGLETRANSLATE(D16, ""en"", ""zh"")"),"B）湖泊")</f>
        <v>B）湖泊</v>
      </c>
      <c r="K16" s="4" t="str">
        <f>IFERROR(__xludf.DUMMYFUNCTION("GOOGLETRANSLATE(E16, ""en"", ""zh"")"),"为了更好地控制龙舟，比赛通常在平静的湖泊或河流上举行。")</f>
        <v>为了更好地控制龙舟，比赛通常在平静的湖泊或河流上举行。</v>
      </c>
      <c r="L16" s="2"/>
      <c r="M16" s="3"/>
      <c r="N16" s="2"/>
      <c r="O16" s="3"/>
      <c r="P16" s="2"/>
      <c r="Q16" s="23"/>
      <c r="R16" s="23"/>
      <c r="S16" s="23"/>
      <c r="T16" s="23"/>
      <c r="U16" s="23"/>
      <c r="V16" s="23"/>
      <c r="W16" s="23"/>
      <c r="X16" s="23"/>
      <c r="Y16" s="23"/>
      <c r="Z16" s="23"/>
    </row>
    <row r="17">
      <c r="A17" s="4">
        <v>16.0</v>
      </c>
      <c r="B17" s="5" t="s">
        <v>539</v>
      </c>
      <c r="C17" s="5" t="s">
        <v>540</v>
      </c>
      <c r="D17" s="5" t="s">
        <v>541</v>
      </c>
      <c r="E17" s="5" t="s">
        <v>542</v>
      </c>
      <c r="F17" s="2"/>
      <c r="G17" s="2"/>
      <c r="H17" s="4" t="str">
        <f>IFERROR(__xludf.DUMMYFUNCTION("GOOGLETRANSLATE(B17, ""en"", ""zh"")"),"龙舟比赛最初的目的是什么？")</f>
        <v>龙舟比赛最初的目的是什么？</v>
      </c>
      <c r="I17" s="4" t="str">
        <f>IFERROR(__xludf.DUMMYFUNCTION("GOOGLETRANSLATE(C17, ""en"", ""zh"")"),"A) 庆祝丰收，B) 祭祀祖先，C) 寻找屈原的遗体，D) 争夺荣耀")</f>
        <v>A) 庆祝丰收，B) 祭祀祖先，C) 寻找屈原的遗体，D) 争夺荣耀</v>
      </c>
      <c r="J17" s="4" t="str">
        <f>IFERROR(__xludf.DUMMYFUNCTION("GOOGLETRANSLATE(D17, ""en"", ""zh"")"),"C）寻找屈原的尸体")</f>
        <v>C）寻找屈原的尸体</v>
      </c>
      <c r="K17" s="4" t="str">
        <f>IFERROR(__xludf.DUMMYFUNCTION("GOOGLETRANSLATE(E17, ""en"", ""zh"")"),"龙舟比赛起源于人们试图找回屈原的遗体，屈原投水自尽以示抗议。")</f>
        <v>龙舟比赛起源于人们试图找回屈原的遗体，屈原投水自尽以示抗议。</v>
      </c>
      <c r="L17" s="3"/>
      <c r="M17" s="3"/>
      <c r="N17" s="2"/>
      <c r="O17" s="3"/>
      <c r="P17" s="3"/>
      <c r="Q17" s="23"/>
      <c r="R17" s="23"/>
      <c r="S17" s="23"/>
      <c r="T17" s="23"/>
      <c r="U17" s="23"/>
      <c r="V17" s="23"/>
      <c r="W17" s="23"/>
      <c r="X17" s="23"/>
      <c r="Y17" s="23"/>
      <c r="Z17" s="23"/>
    </row>
    <row r="18">
      <c r="A18" s="4">
        <v>17.0</v>
      </c>
      <c r="B18" s="5" t="s">
        <v>543</v>
      </c>
      <c r="C18" s="5" t="s">
        <v>544</v>
      </c>
      <c r="D18" s="5" t="s">
        <v>545</v>
      </c>
      <c r="E18" s="5" t="s">
        <v>546</v>
      </c>
      <c r="F18" s="2"/>
      <c r="G18" s="2"/>
      <c r="H18" s="4" t="str">
        <f>IFERROR(__xludf.DUMMYFUNCTION("GOOGLETRANSLATE(B18, ""en"", ""zh"")"),"龙舟比赛中鼓手扮演什么角色？")</f>
        <v>龙舟比赛中鼓手扮演什么角色？</v>
      </c>
      <c r="I18" s="4" t="str">
        <f>IFERROR(__xludf.DUMMYFUNCTION("GOOGLETRANSLATE(C18, ""en"", ""zh"")"),"A) 掌舵，B) 保持划桨手的节奏，C) 发出出发信号，D) 为船员加油")</f>
        <v>A) 掌舵，B) 保持划桨手的节奏，C) 发出出发信号，D) 为船员加油</v>
      </c>
      <c r="J18" s="4" t="str">
        <f>IFERROR(__xludf.DUMMYFUNCTION("GOOGLETRANSLATE(D18, ""en"", ""zh"")"),"B) 保持划桨者的节奏")</f>
        <v>B) 保持划桨者的节奏</v>
      </c>
      <c r="K18" s="4" t="str">
        <f>IFERROR(__xludf.DUMMYFUNCTION("GOOGLETRANSLATE(E18, ""en"", ""zh"")"),"鼓手通过保持节奏来控制节奏，确保船员们划桨动作同步。")</f>
        <v>鼓手通过保持节奏来控制节奏，确保船员们划桨动作同步。</v>
      </c>
      <c r="L18" s="2"/>
      <c r="M18" s="3"/>
      <c r="N18" s="2"/>
      <c r="O18" s="3"/>
      <c r="P18" s="2"/>
      <c r="Q18" s="23"/>
      <c r="R18" s="23"/>
      <c r="S18" s="23"/>
      <c r="T18" s="23"/>
      <c r="U18" s="23"/>
      <c r="V18" s="23"/>
      <c r="W18" s="23"/>
      <c r="X18" s="23"/>
      <c r="Y18" s="23"/>
      <c r="Z18" s="23"/>
    </row>
    <row r="19">
      <c r="A19" s="4">
        <v>18.0</v>
      </c>
      <c r="B19" s="5" t="s">
        <v>547</v>
      </c>
      <c r="C19" s="5" t="s">
        <v>548</v>
      </c>
      <c r="D19" s="5" t="s">
        <v>549</v>
      </c>
      <c r="E19" s="5" t="s">
        <v>550</v>
      </c>
      <c r="F19" s="2"/>
      <c r="G19" s="2"/>
      <c r="H19" s="4" t="str">
        <f>IFERROR(__xludf.DUMMYFUNCTION("GOOGLETRANSLATE(B19, ""en"", ""zh"")"),"龙舟比赛中最常见的比赛类型是什么？")</f>
        <v>龙舟比赛中最常见的比赛类型是什么？</v>
      </c>
      <c r="I19" s="4" t="str">
        <f>IFERROR(__xludf.DUMMYFUNCTION("GOOGLETRANSLATE(C19, ""en"", ""zh"")"),"A) 短跑，B) 马拉松，C) 接力赛，D) 越野赛")</f>
        <v>A) 短跑，B) 马拉松，C) 接力赛，D) 越野赛</v>
      </c>
      <c r="J19" s="4" t="str">
        <f>IFERROR(__xludf.DUMMYFUNCTION("GOOGLETRANSLATE(D19, ""en"", ""zh"")"),"A) 冲刺")</f>
        <v>A) 冲刺</v>
      </c>
      <c r="K19" s="4" t="str">
        <f>IFERROR(__xludf.DUMMYFUNCTION("GOOGLETRANSLATE(E19, ""en"", ""zh"")"),"龙舟比赛通常以短距离冲刺的形式进行，强调速度和同步性。")</f>
        <v>龙舟比赛通常以短距离冲刺的形式进行，强调速度和同步性。</v>
      </c>
      <c r="L19" s="3"/>
      <c r="M19" s="3"/>
      <c r="N19" s="2"/>
      <c r="O19" s="3"/>
      <c r="P19" s="3"/>
      <c r="Q19" s="23"/>
      <c r="R19" s="23"/>
      <c r="S19" s="23"/>
      <c r="T19" s="23"/>
      <c r="U19" s="23"/>
      <c r="V19" s="23"/>
      <c r="W19" s="23"/>
      <c r="X19" s="23"/>
      <c r="Y19" s="23"/>
      <c r="Z19" s="23"/>
    </row>
    <row r="20">
      <c r="A20" s="4">
        <v>19.0</v>
      </c>
      <c r="B20" s="5" t="s">
        <v>551</v>
      </c>
      <c r="C20" s="5" t="s">
        <v>552</v>
      </c>
      <c r="D20" s="5" t="s">
        <v>553</v>
      </c>
      <c r="E20" s="5" t="s">
        <v>554</v>
      </c>
      <c r="F20" s="2"/>
      <c r="G20" s="2"/>
      <c r="H20" s="4" t="str">
        <f>IFERROR(__xludf.DUMMYFUNCTION("GOOGLETRANSLATE(B20, ""en"", ""zh"")"),"一支10人龙舟队有多少名桨手？")</f>
        <v>一支10人龙舟队有多少名桨手？</v>
      </c>
      <c r="I20" s="4" t="str">
        <f>IFERROR(__xludf.DUMMYFUNCTION("GOOGLETRANSLATE(C20, ""en"", ""zh"")"),"A) 5，B) 8，C) 10，D) 12")</f>
        <v>A) 5，B) 8，C) 10，D) 12</v>
      </c>
      <c r="J20" s="4" t="str">
        <f>IFERROR(__xludf.DUMMYFUNCTION("GOOGLETRANSLATE(D20, ""en"", ""zh"")"),"C) 10")</f>
        <v>C) 10</v>
      </c>
      <c r="K20" s="4" t="str">
        <f>IFERROR(__xludf.DUMMYFUNCTION("GOOGLETRANSLATE(E20, ""en"", ""zh"")"),"一支标准的十人龙舟队由十名桨手组成。")</f>
        <v>一支标准的十人龙舟队由十名桨手组成。</v>
      </c>
      <c r="L20" s="2"/>
      <c r="M20" s="3"/>
      <c r="N20" s="3"/>
      <c r="O20" s="3"/>
      <c r="P20" s="2"/>
      <c r="Q20" s="23"/>
      <c r="R20" s="23"/>
      <c r="S20" s="23"/>
      <c r="T20" s="23"/>
      <c r="U20" s="23"/>
      <c r="V20" s="23"/>
      <c r="W20" s="23"/>
      <c r="X20" s="23"/>
      <c r="Y20" s="23"/>
      <c r="Z20" s="23"/>
    </row>
    <row r="21">
      <c r="A21" s="4">
        <v>20.0</v>
      </c>
      <c r="B21" s="5" t="s">
        <v>555</v>
      </c>
      <c r="C21" s="5" t="s">
        <v>556</v>
      </c>
      <c r="D21" s="5" t="s">
        <v>557</v>
      </c>
      <c r="E21" s="5" t="s">
        <v>558</v>
      </c>
      <c r="F21" s="2"/>
      <c r="G21" s="2"/>
      <c r="H21" s="4" t="str">
        <f>IFERROR(__xludf.DUMMYFUNCTION("GOOGLETRANSLATE(B21, ""en"", ""zh"")"),"龙舟比赛的主要目标是什么？")</f>
        <v>龙舟比赛的主要目标是什么？</v>
      </c>
      <c r="I21" s="4" t="str">
        <f>IFERROR(__xludf.DUMMYFUNCTION("GOOGLETRANSLATE(C21, ""en"", ""zh"")"),"A) 第一个到达终点线，B) 尊重文化习俗，C) 展示力量，D) 娱乐观众")</f>
        <v>A) 第一个到达终点线，B) 尊重文化习俗，C) 展示力量，D) 娱乐观众</v>
      </c>
      <c r="J21" s="4" t="str">
        <f>IFERROR(__xludf.DUMMYFUNCTION("GOOGLETRANSLATE(D21, ""en"", ""zh"")"),"A) 首先到达终点线")</f>
        <v>A) 首先到达终点线</v>
      </c>
      <c r="K21" s="4" t="str">
        <f>IFERROR(__xludf.DUMMYFUNCTION("GOOGLETRANSLATE(E21, ""en"", ""zh"")"),"龙舟比赛的主要目标是比对手更快到达终点线。")</f>
        <v>龙舟比赛的主要目标是比对手更快到达终点线。</v>
      </c>
      <c r="L21" s="2"/>
      <c r="M21" s="3"/>
      <c r="N21" s="3"/>
      <c r="O21" s="3"/>
      <c r="P21" s="2"/>
      <c r="Q21" s="23"/>
      <c r="R21" s="23"/>
      <c r="S21" s="23"/>
      <c r="T21" s="23"/>
      <c r="U21" s="23"/>
      <c r="V21" s="23"/>
      <c r="W21" s="23"/>
      <c r="X21" s="23"/>
      <c r="Y21" s="23"/>
      <c r="Z21" s="23"/>
    </row>
    <row r="22">
      <c r="A22" s="4">
        <v>21.0</v>
      </c>
      <c r="B22" s="5" t="s">
        <v>559</v>
      </c>
      <c r="C22" s="5" t="s">
        <v>560</v>
      </c>
      <c r="D22" s="5" t="s">
        <v>561</v>
      </c>
      <c r="E22" s="5" t="s">
        <v>562</v>
      </c>
      <c r="F22" s="2"/>
      <c r="G22" s="2"/>
      <c r="H22" s="4" t="str">
        <f>IFERROR(__xludf.DUMMYFUNCTION("GOOGLETRANSLATE(B22, ""en"", ""zh"")"),"在龙舟比赛中，龙象征着什么？")</f>
        <v>在龙舟比赛中，龙象征着什么？</v>
      </c>
      <c r="I22" s="4" t="str">
        <f>IFERROR(__xludf.DUMMYFUNCTION("GOOGLETRANSLATE(C22, ""en"", ""zh"")"),"A) 力量和权力，B) 好运，C) 速度，D) 团结")</f>
        <v>A) 力量和权力，B) 好运，C) 速度，D) 团结</v>
      </c>
      <c r="J22" s="4" t="str">
        <f>IFERROR(__xludf.DUMMYFUNCTION("GOOGLETRANSLATE(D22, ""en"", ""zh"")"),"A) 力量和功率")</f>
        <v>A) 力量和功率</v>
      </c>
      <c r="K22" s="4" t="str">
        <f>IFERROR(__xludf.DUMMYFUNCTION("GOOGLETRANSLATE(E22, ""en"", ""zh"")"),"在龙舟比赛中，龙象征着力量和权力，而力量和权力是取得成功的关键因素。")</f>
        <v>在龙舟比赛中，龙象征着力量和权力，而力量和权力是取得成功的关键因素。</v>
      </c>
      <c r="L22" s="3"/>
      <c r="M22" s="3"/>
      <c r="N22" s="3"/>
      <c r="O22" s="3"/>
      <c r="P22" s="2"/>
      <c r="Q22" s="23"/>
      <c r="R22" s="23"/>
      <c r="S22" s="23"/>
      <c r="T22" s="23"/>
      <c r="U22" s="23"/>
      <c r="V22" s="23"/>
      <c r="W22" s="23"/>
      <c r="X22" s="23"/>
      <c r="Y22" s="23"/>
      <c r="Z22" s="23"/>
    </row>
    <row r="23">
      <c r="A23" s="4">
        <v>22.0</v>
      </c>
      <c r="B23" s="5" t="s">
        <v>563</v>
      </c>
      <c r="C23" s="5" t="s">
        <v>564</v>
      </c>
      <c r="D23" s="5" t="s">
        <v>565</v>
      </c>
      <c r="E23" s="5" t="s">
        <v>566</v>
      </c>
      <c r="F23" s="2"/>
      <c r="G23" s="2"/>
      <c r="H23" s="4" t="str">
        <f>IFERROR(__xludf.DUMMYFUNCTION("GOOGLETRANSLATE(B23, ""en"", ""zh"")"),"现代龙舟通常由什么材料制成？")</f>
        <v>现代龙舟通常由什么材料制成？</v>
      </c>
      <c r="I23" s="4" t="str">
        <f>IFERROR(__xludf.DUMMYFUNCTION("GOOGLETRANSLATE(C23, ""en"", ""zh"")"),"A) 木材，B) 金属，C) 塑料，D) 碳纤维")</f>
        <v>A) 木材，B) 金属，C) 塑料，D) 碳纤维</v>
      </c>
      <c r="J23" s="4" t="str">
        <f>IFERROR(__xludf.DUMMYFUNCTION("GOOGLETRANSLATE(D23, ""en"", ""zh"")"),"D) 碳纤维")</f>
        <v>D) 碳纤维</v>
      </c>
      <c r="K23" s="4" t="str">
        <f>IFERROR(__xludf.DUMMYFUNCTION("GOOGLETRANSLATE(E23, ""en"", ""zh"")"),"现代龙舟通常采用轻便耐用的碳纤维材料制成，以提高性能。")</f>
        <v>现代龙舟通常采用轻便耐用的碳纤维材料制成，以提高性能。</v>
      </c>
      <c r="L23" s="2"/>
      <c r="M23" s="3"/>
      <c r="N23" s="2"/>
      <c r="O23" s="3"/>
      <c r="P23" s="2"/>
      <c r="Q23" s="23"/>
      <c r="R23" s="23"/>
      <c r="S23" s="23"/>
      <c r="T23" s="23"/>
      <c r="U23" s="23"/>
      <c r="V23" s="23"/>
      <c r="W23" s="23"/>
      <c r="X23" s="23"/>
      <c r="Y23" s="23"/>
      <c r="Z23" s="23"/>
    </row>
    <row r="24">
      <c r="A24" s="4">
        <v>23.0</v>
      </c>
      <c r="B24" s="5" t="s">
        <v>567</v>
      </c>
      <c r="C24" s="5" t="s">
        <v>568</v>
      </c>
      <c r="D24" s="5" t="s">
        <v>569</v>
      </c>
      <c r="E24" s="5" t="s">
        <v>570</v>
      </c>
      <c r="F24" s="2"/>
      <c r="G24" s="2"/>
      <c r="H24" s="4" t="str">
        <f>IFERROR(__xludf.DUMMYFUNCTION("GOOGLETRANSLATE(B24, ""en"", ""zh"")"),"龙舟比赛中舵手的角色是什么？")</f>
        <v>龙舟比赛中舵手的角色是什么？</v>
      </c>
      <c r="I24" s="4" t="str">
        <f>IFERROR(__xludf.DUMMYFUNCTION("GOOGLETRANSLATE(C24, ""en"", ""zh"")"),"A) 划桨，B) 发出出发信号，C) 保持节奏，D) 控制船的方向")</f>
        <v>A) 划桨，B) 发出出发信号，C) 保持节奏，D) 控制船的方向</v>
      </c>
      <c r="J24" s="4" t="str">
        <f>IFERROR(__xludf.DUMMYFUNCTION("GOOGLETRANSLATE(D24, ""en"", ""zh"")"),"D) 控制船的航向")</f>
        <v>D) 控制船的航向</v>
      </c>
      <c r="K24" s="4" t="str">
        <f>IFERROR(__xludf.DUMMYFUNCTION("GOOGLETRANSLATE(E24, ""en"", ""zh"")"),"舵手负责引导船只沿赛道行驶。")</f>
        <v>舵手负责引导船只沿赛道行驶。</v>
      </c>
      <c r="L24" s="2"/>
      <c r="M24" s="3"/>
      <c r="N24" s="2"/>
      <c r="O24" s="3"/>
      <c r="P24" s="2"/>
      <c r="Q24" s="23"/>
      <c r="R24" s="23"/>
      <c r="S24" s="23"/>
      <c r="T24" s="23"/>
      <c r="U24" s="23"/>
      <c r="V24" s="23"/>
      <c r="W24" s="23"/>
      <c r="X24" s="23"/>
      <c r="Y24" s="23"/>
      <c r="Z24" s="23"/>
    </row>
    <row r="25">
      <c r="A25" s="4">
        <v>24.0</v>
      </c>
      <c r="B25" s="5" t="s">
        <v>571</v>
      </c>
      <c r="C25" s="5" t="s">
        <v>572</v>
      </c>
      <c r="D25" s="5" t="s">
        <v>493</v>
      </c>
      <c r="E25" s="5" t="s">
        <v>573</v>
      </c>
      <c r="F25" s="2"/>
      <c r="G25" s="2"/>
      <c r="H25" s="4" t="str">
        <f>IFERROR(__xludf.DUMMYFUNCTION("GOOGLETRANSLATE(B25, ""en"", ""zh"")"),"一支完整的龙舟队有多少人？")</f>
        <v>一支完整的龙舟队有多少人？</v>
      </c>
      <c r="I25" s="4" t="str">
        <f>IFERROR(__xludf.DUMMYFUNCTION("GOOGLETRANSLATE(C25, ""en"", ""zh"")"),"A) 16，B) 20，C) 22，D) 24")</f>
        <v>A) 16，B) 20，C) 22，D) 24</v>
      </c>
      <c r="J25" s="4" t="str">
        <f>IFERROR(__xludf.DUMMYFUNCTION("GOOGLETRANSLATE(D25, ""en"", ""zh"")"),"B) 20")</f>
        <v>B) 20</v>
      </c>
      <c r="K25" s="4" t="str">
        <f>IFERROR(__xludf.DUMMYFUNCTION("GOOGLETRANSLATE(E25, ""en"", ""zh"")"),"一支完整的龙舟队通常由 20 名桨手、一名鼓手和一名舵手组成。")</f>
        <v>一支完整的龙舟队通常由 20 名桨手、一名鼓手和一名舵手组成。</v>
      </c>
      <c r="L25" s="2"/>
      <c r="M25" s="3"/>
      <c r="N25" s="3"/>
      <c r="O25" s="3"/>
      <c r="P25" s="2"/>
      <c r="Q25" s="23"/>
      <c r="R25" s="23"/>
      <c r="S25" s="23"/>
      <c r="T25" s="23"/>
      <c r="U25" s="23"/>
      <c r="V25" s="23"/>
      <c r="W25" s="23"/>
      <c r="X25" s="23"/>
      <c r="Y25" s="23"/>
      <c r="Z25" s="23"/>
    </row>
    <row r="26">
      <c r="A26" s="4">
        <v>25.0</v>
      </c>
      <c r="B26" s="5" t="s">
        <v>574</v>
      </c>
      <c r="C26" s="5" t="s">
        <v>575</v>
      </c>
      <c r="D26" s="5" t="s">
        <v>62</v>
      </c>
      <c r="E26" s="5" t="s">
        <v>576</v>
      </c>
      <c r="F26" s="2"/>
      <c r="G26" s="2"/>
      <c r="H26" s="4" t="str">
        <f>IFERROR(__xludf.DUMMYFUNCTION("GOOGLETRANSLATE(B26, ""en"", ""zh"")"),"龙舟队桨手人数会影响什么？")</f>
        <v>龙舟队桨手人数会影响什么？</v>
      </c>
      <c r="I26" s="4" t="str">
        <f>IFERROR(__xludf.DUMMYFUNCTION("GOOGLETRANSLATE(C26, ""en"", ""zh"")"),"A) 船速，B) 船体稳定性，C) 同步性，D) 以上所有选项")</f>
        <v>A) 船速，B) 船体稳定性，C) 同步性，D) 以上所有选项</v>
      </c>
      <c r="J26" s="4" t="str">
        <f>IFERROR(__xludf.DUMMYFUNCTION("GOOGLETRANSLATE(D26, ""en"", ""zh"")"),"D) 以上所有选项")</f>
        <v>D) 以上所有选项</v>
      </c>
      <c r="K26" s="4" t="str">
        <f>IFERROR(__xludf.DUMMYFUNCTION("GOOGLETRANSLATE(E26, ""en"", ""zh"")"),"龙舟比赛中，桨手的数量会影响船速、稳定性以及同步性。")</f>
        <v>龙舟比赛中，桨手的数量会影响船速、稳定性以及同步性。</v>
      </c>
      <c r="L26" s="3"/>
      <c r="M26" s="3"/>
      <c r="N26" s="2"/>
      <c r="O26" s="3"/>
      <c r="P26" s="2"/>
      <c r="Q26" s="23"/>
      <c r="R26" s="23"/>
      <c r="S26" s="23"/>
      <c r="T26" s="23"/>
      <c r="U26" s="23"/>
      <c r="V26" s="23"/>
      <c r="W26" s="23"/>
      <c r="X26" s="23"/>
      <c r="Y26" s="23"/>
      <c r="Z26" s="23"/>
    </row>
    <row r="27">
      <c r="A27" s="4">
        <v>26.0</v>
      </c>
      <c r="B27" s="5" t="s">
        <v>577</v>
      </c>
      <c r="C27" s="5" t="s">
        <v>578</v>
      </c>
      <c r="D27" s="5" t="s">
        <v>579</v>
      </c>
      <c r="E27" s="5" t="s">
        <v>580</v>
      </c>
      <c r="F27" s="2"/>
      <c r="G27" s="2"/>
      <c r="H27" s="4" t="str">
        <f>IFERROR(__xludf.DUMMYFUNCTION("GOOGLETRANSLATE(B27, ""en"", ""zh"")"),"龙舟比赛中使用的划桨技巧是什么？")</f>
        <v>龙舟比赛中使用的划桨技巧是什么？</v>
      </c>
      <c r="I27" s="4" t="str">
        <f>IFERROR(__xludf.DUMMYFUNCTION("GOOGLETRANSLATE(C27, ""en"", ""zh"")"),"A) 交替划桨，B) 双桨，C) 单桨，D) 连续划桨")</f>
        <v>A) 交替划桨，B) 双桨，C) 单桨，D) 连续划桨</v>
      </c>
      <c r="J27" s="4" t="str">
        <f>IFERROR(__xludf.DUMMYFUNCTION("GOOGLETRANSLATE(D27, ""en"", ""zh"")"),"A) 交替桨叶")</f>
        <v>A) 交替桨叶</v>
      </c>
      <c r="K27" s="4" t="str">
        <f>IFERROR(__xludf.DUMMYFUNCTION("GOOGLETRANSLATE(E27, ""en"", ""zh"")"),"划桨者采用交替划桨法，以最大限度地提高船的速度和效率。")</f>
        <v>划桨者采用交替划桨法，以最大限度地提高船的速度和效率。</v>
      </c>
      <c r="L27" s="2"/>
      <c r="M27" s="3"/>
      <c r="N27" s="3"/>
      <c r="O27" s="3"/>
      <c r="P27" s="2"/>
      <c r="Q27" s="23"/>
      <c r="R27" s="23"/>
      <c r="S27" s="23"/>
      <c r="T27" s="23"/>
      <c r="U27" s="23"/>
      <c r="V27" s="23"/>
      <c r="W27" s="23"/>
      <c r="X27" s="23"/>
      <c r="Y27" s="23"/>
      <c r="Z27" s="23"/>
    </row>
    <row r="28">
      <c r="A28" s="4">
        <v>27.0</v>
      </c>
      <c r="B28" s="5" t="s">
        <v>581</v>
      </c>
      <c r="C28" s="5" t="s">
        <v>582</v>
      </c>
      <c r="D28" s="5" t="s">
        <v>583</v>
      </c>
      <c r="E28" s="5" t="s">
        <v>584</v>
      </c>
      <c r="F28" s="2"/>
      <c r="G28" s="2"/>
      <c r="H28" s="4" t="str">
        <f>IFERROR(__xludf.DUMMYFUNCTION("GOOGLETRANSLATE(B28, ""en"", ""zh"")"),"龙舟比赛队伍之间的竞争象征着什么？")</f>
        <v>龙舟比赛队伍之间的竞争象征着什么？</v>
      </c>
      <c r="I28" s="4" t="str">
        <f>IFERROR(__xludf.DUMMYFUNCTION("GOOGLETRANSLATE(C28, ""en"", ""zh"")"),"A) 冲突，B) 兄弟情谊，C) 生存，D) 庆祝")</f>
        <v>A) 冲突，B) 兄弟情谊，C) 生存，D) 庆祝</v>
      </c>
      <c r="J28" s="4" t="str">
        <f>IFERROR(__xludf.DUMMYFUNCTION("GOOGLETRANSLATE(D28, ""en"", ""zh"")"),"B) 兄弟情")</f>
        <v>B) 兄弟情</v>
      </c>
      <c r="K28" s="4" t="str">
        <f>IFERROR(__xludf.DUMMYFUNCTION("GOOGLETRANSLATE(E28, ""en"", ""zh"")"),"龙舟比赛强调船员之间的团队合作和团结。")</f>
        <v>龙舟比赛强调船员之间的团队合作和团结。</v>
      </c>
      <c r="L28" s="2"/>
      <c r="M28" s="3"/>
      <c r="N28" s="2"/>
      <c r="O28" s="3"/>
      <c r="P28" s="2"/>
      <c r="Q28" s="23"/>
      <c r="R28" s="23"/>
      <c r="S28" s="23"/>
      <c r="T28" s="23"/>
      <c r="U28" s="23"/>
      <c r="V28" s="23"/>
      <c r="W28" s="23"/>
      <c r="X28" s="23"/>
      <c r="Y28" s="23"/>
      <c r="Z28" s="23"/>
    </row>
    <row r="29">
      <c r="A29" s="4">
        <v>28.0</v>
      </c>
      <c r="B29" s="5" t="s">
        <v>585</v>
      </c>
      <c r="C29" s="5" t="s">
        <v>586</v>
      </c>
      <c r="D29" s="5" t="s">
        <v>587</v>
      </c>
      <c r="E29" s="5" t="s">
        <v>588</v>
      </c>
      <c r="F29" s="2"/>
      <c r="G29" s="2"/>
      <c r="H29" s="4" t="str">
        <f>IFERROR(__xludf.DUMMYFUNCTION("GOOGLETRANSLATE(B29, ""en"", ""zh"")"),"以下哪一项不是龙舟队的标准组成部分？")</f>
        <v>以下哪一项不是龙舟队的标准组成部分？</v>
      </c>
      <c r="I29" s="4" t="str">
        <f>IFERROR(__xludf.DUMMYFUNCTION("GOOGLETRANSLATE(C29, ""en"", ""zh"")"),"A) 划桨手，B) 鼓手，C) 舵手，D) 教练")</f>
        <v>A) 划桨手，B) 鼓手，C) 舵手，D) 教练</v>
      </c>
      <c r="J29" s="4" t="str">
        <f>IFERROR(__xludf.DUMMYFUNCTION("GOOGLETRANSLATE(D29, ""en"", ""zh"")"),"D) 教练")</f>
        <v>D) 教练</v>
      </c>
      <c r="K29" s="4" t="str">
        <f>IFERROR(__xludf.DUMMYFUNCTION("GOOGLETRANSLATE(E29, ""en"", ""zh"")"),"虽然教练可能会在场，但他们并非正式的船员，不像桨手、鼓手和舵手那样。")</f>
        <v>虽然教练可能会在场，但他们并非正式的船员，不像桨手、鼓手和舵手那样。</v>
      </c>
      <c r="L29" s="2"/>
      <c r="M29" s="3"/>
      <c r="N29" s="2"/>
      <c r="O29" s="3"/>
      <c r="P29" s="2"/>
      <c r="Q29" s="23"/>
      <c r="R29" s="23"/>
      <c r="S29" s="23"/>
      <c r="T29" s="23"/>
      <c r="U29" s="23"/>
      <c r="V29" s="23"/>
      <c r="W29" s="23"/>
      <c r="X29" s="23"/>
      <c r="Y29" s="23"/>
      <c r="Z29" s="23"/>
    </row>
    <row r="30">
      <c r="A30" s="4">
        <v>29.0</v>
      </c>
      <c r="B30" s="5" t="s">
        <v>589</v>
      </c>
      <c r="C30" s="5" t="s">
        <v>590</v>
      </c>
      <c r="D30" s="5" t="s">
        <v>591</v>
      </c>
      <c r="E30" s="5" t="s">
        <v>592</v>
      </c>
      <c r="F30" s="2"/>
      <c r="G30" s="2"/>
      <c r="H30" s="4" t="str">
        <f>IFERROR(__xludf.DUMMYFUNCTION("GOOGLETRANSLATE(B30, ""en"", ""zh"")"),"以下哪项是龙舟比赛成功的关键因素？")</f>
        <v>以下哪项是龙舟比赛成功的关键因素？</v>
      </c>
      <c r="I30" s="4" t="str">
        <f>IFERROR(__xludf.DUMMYFUNCTION("GOOGLETRANSLATE(C30, ""en"", ""zh"")"),"A) 个人力量，B) 船速，C) 划桨手的配合，D) 舵手的力量")</f>
        <v>A) 个人力量，B) 船速，C) 划桨手的配合，D) 舵手的力量</v>
      </c>
      <c r="J30" s="4" t="str">
        <f>IFERROR(__xludf.DUMMYFUNCTION("GOOGLETRANSLATE(D30, ""en"", ""zh"")"),"C) 划桨手的同步")</f>
        <v>C) 划桨手的同步</v>
      </c>
      <c r="K30" s="4" t="str">
        <f>IFERROR(__xludf.DUMMYFUNCTION("GOOGLETRANSLATE(E30, ""en"", ""zh"")"),"龙舟比赛成功的关键在于所有桨手的完美配合。")</f>
        <v>龙舟比赛成功的关键在于所有桨手的完美配合。</v>
      </c>
      <c r="L30" s="2"/>
      <c r="M30" s="3"/>
      <c r="N30" s="2"/>
      <c r="O30" s="3"/>
      <c r="P30" s="2"/>
      <c r="Q30" s="23"/>
      <c r="R30" s="23"/>
      <c r="S30" s="23"/>
      <c r="T30" s="23"/>
      <c r="U30" s="23"/>
      <c r="V30" s="23"/>
      <c r="W30" s="23"/>
      <c r="X30" s="23"/>
      <c r="Y30" s="23"/>
      <c r="Z30" s="23"/>
    </row>
    <row r="31">
      <c r="A31" s="4">
        <v>30.0</v>
      </c>
      <c r="B31" s="5" t="s">
        <v>593</v>
      </c>
      <c r="C31" s="5" t="s">
        <v>594</v>
      </c>
      <c r="D31" s="5" t="s">
        <v>595</v>
      </c>
      <c r="E31" s="5" t="s">
        <v>596</v>
      </c>
      <c r="F31" s="2"/>
      <c r="G31" s="2"/>
      <c r="H31" s="4" t="str">
        <f>IFERROR(__xludf.DUMMYFUNCTION("GOOGLETRANSLATE(B31, ""en"", ""zh"")"),"龙舟队在比赛开始前必须做好哪些准备？")</f>
        <v>龙舟队在比赛开始前必须做好哪些准备？</v>
      </c>
      <c r="I31" s="4" t="str">
        <f>IFERROR(__xludf.DUMMYFUNCTION("GOOGLETRANSLATE(C31, ""en"", ""zh"")"),"A) 念诵祷文，B) 进行仪式，C) 热身，D) 放火烧船")</f>
        <v>A) 念诵祷文，B) 进行仪式，C) 热身，D) 放火烧船</v>
      </c>
      <c r="J31" s="4" t="str">
        <f>IFERROR(__xludf.DUMMYFUNCTION("GOOGLETRANSLATE(D31, ""en"", ""zh"")"),"C）热身")</f>
        <v>C）热身</v>
      </c>
      <c r="K31" s="4" t="str">
        <f>IFERROR(__xludf.DUMMYFUNCTION("GOOGLETRANSLATE(E31, ""en"", ""zh"")"),"各队必须进行热身，以确保肌肉做好准备，并降低比赛期间受伤的风险。")</f>
        <v>各队必须进行热身，以确保肌肉做好准备，并降低比赛期间受伤的风险。</v>
      </c>
      <c r="L31" s="2"/>
      <c r="M31" s="3"/>
      <c r="N31" s="2"/>
      <c r="O31" s="3"/>
      <c r="P31" s="2"/>
      <c r="Q31" s="23"/>
      <c r="R31" s="23"/>
      <c r="S31" s="23"/>
      <c r="T31" s="23"/>
      <c r="U31" s="23"/>
      <c r="V31" s="23"/>
      <c r="W31" s="23"/>
      <c r="X31" s="23"/>
      <c r="Y31" s="23"/>
      <c r="Z31" s="23"/>
    </row>
    <row r="32">
      <c r="A32" s="4">
        <v>31.0</v>
      </c>
      <c r="B32" s="5" t="s">
        <v>597</v>
      </c>
      <c r="C32" s="5" t="s">
        <v>598</v>
      </c>
      <c r="D32" s="5" t="s">
        <v>599</v>
      </c>
      <c r="E32" s="5" t="s">
        <v>600</v>
      </c>
      <c r="F32" s="2"/>
      <c r="G32" s="2"/>
      <c r="H32" s="4" t="str">
        <f>IFERROR(__xludf.DUMMYFUNCTION("GOOGLETRANSLATE(B32, ""en"", ""zh"")"),"龙舟比赛的开始通常包括哪些环节？")</f>
        <v>龙舟比赛的开始通常包括哪些环节？</v>
      </c>
      <c r="I32" s="4" t="str">
        <f>IFERROR(__xludf.DUMMYFUNCTION("GOOGLETRANSLATE(C32, ""en"", ""zh"")"),"A) 游行，B) 船只祈福仪式，C) 鸣炮，D) 鸣笛")</f>
        <v>A) 游行，B) 船只祈福仪式，C) 鸣炮，D) 鸣笛</v>
      </c>
      <c r="J32" s="4" t="str">
        <f>IFERROR(__xludf.DUMMYFUNCTION("GOOGLETRANSLATE(D32, ""en"", ""zh"")"),"D) 吹哨")</f>
        <v>D) 吹哨</v>
      </c>
      <c r="K32" s="4" t="str">
        <f>IFERROR(__xludf.DUMMYFUNCTION("GOOGLETRANSLATE(E32, ""en"", ""zh"")"),"龙舟比赛通常以鸣笛开始。")</f>
        <v>龙舟比赛通常以鸣笛开始。</v>
      </c>
      <c r="L32" s="2"/>
      <c r="M32" s="3"/>
      <c r="N32" s="3"/>
      <c r="O32" s="3"/>
      <c r="P32" s="2"/>
      <c r="Q32" s="23"/>
      <c r="R32" s="23"/>
      <c r="S32" s="23"/>
      <c r="T32" s="23"/>
      <c r="U32" s="23"/>
      <c r="V32" s="23"/>
      <c r="W32" s="23"/>
      <c r="X32" s="23"/>
      <c r="Y32" s="23"/>
      <c r="Z32" s="23"/>
    </row>
    <row r="33">
      <c r="A33" s="4">
        <v>32.0</v>
      </c>
      <c r="B33" s="5" t="s">
        <v>601</v>
      </c>
      <c r="C33" s="5" t="s">
        <v>602</v>
      </c>
      <c r="D33" s="5" t="s">
        <v>603</v>
      </c>
      <c r="E33" s="5" t="s">
        <v>604</v>
      </c>
      <c r="F33" s="2"/>
      <c r="G33" s="2"/>
      <c r="H33" s="4" t="str">
        <f>IFERROR(__xludf.DUMMYFUNCTION("GOOGLETRANSLATE(B33, ""en"", ""zh"")"),"在龙舟比赛中，“划桨”一词指的是什么？")</f>
        <v>在龙舟比赛中，“划桨”一词指的是什么？</v>
      </c>
      <c r="I33" s="4" t="str">
        <f>IFERROR(__xludf.DUMMYFUNCTION("GOOGLETRANSLATE(C33, ""en"", ""zh"")"),"A) 划桨动作，B) 比赛中的船只数量，C) 比赛类型，D) 比赛距离")</f>
        <v>A) 划桨动作，B) 比赛中的船只数量，C) 比赛类型，D) 比赛距离</v>
      </c>
      <c r="J33" s="4" t="str">
        <f>IFERROR(__xludf.DUMMYFUNCTION("GOOGLETRANSLATE(D33, ""en"", ""zh"")"),"A) 划桨动作")</f>
        <v>A) 划桨动作</v>
      </c>
      <c r="K33" s="4" t="str">
        <f>IFERROR(__xludf.DUMMYFUNCTION("GOOGLETRANSLATE(E33, ""en"", ""zh"")"),"在龙舟比赛中，“划桨”指的是每位桨手所做的划桨动作。")</f>
        <v>在龙舟比赛中，“划桨”指的是每位桨手所做的划桨动作。</v>
      </c>
      <c r="L33" s="2"/>
      <c r="M33" s="3"/>
      <c r="N33" s="2"/>
      <c r="O33" s="3"/>
      <c r="P33" s="2"/>
      <c r="Q33" s="23"/>
      <c r="R33" s="23"/>
      <c r="S33" s="23"/>
      <c r="T33" s="23"/>
      <c r="U33" s="23"/>
      <c r="V33" s="23"/>
      <c r="W33" s="23"/>
      <c r="X33" s="23"/>
      <c r="Y33" s="23"/>
      <c r="Z33" s="23"/>
    </row>
    <row r="34">
      <c r="A34" s="4">
        <v>33.0</v>
      </c>
      <c r="B34" s="5" t="s">
        <v>605</v>
      </c>
      <c r="C34" s="5" t="s">
        <v>606</v>
      </c>
      <c r="D34" s="5" t="s">
        <v>607</v>
      </c>
      <c r="E34" s="5" t="s">
        <v>608</v>
      </c>
      <c r="F34" s="2"/>
      <c r="G34" s="2"/>
      <c r="H34" s="4" t="str">
        <f>IFERROR(__xludf.DUMMYFUNCTION("GOOGLETRANSLATE(B34, ""en"", ""zh"")"),"以下哪项是龙舟竞渡的一项重要国际赛事？")</f>
        <v>以下哪项是龙舟竞渡的一项重要国际赛事？</v>
      </c>
      <c r="I34" s="4" t="str">
        <f>IFERROR(__xludf.DUMMYFUNCTION("GOOGLETRANSLATE(C34, ""en"", ""zh"")"),"A) 龙舟世界杯，B) 世界龙舟锦标赛，C) 国际划桨锦标赛，D) 亚洲龙舟运动会")</f>
        <v>A) 龙舟世界杯，B) 世界龙舟锦标赛，C) 国际划桨锦标赛，D) 亚洲龙舟运动会</v>
      </c>
      <c r="J34" s="4" t="str">
        <f>IFERROR(__xludf.DUMMYFUNCTION("GOOGLETRANSLATE(D34, ""en"", ""zh"")"),"B) 世界龙舟锦标赛")</f>
        <v>B) 世界龙舟锦标赛</v>
      </c>
      <c r="K34" s="4" t="str">
        <f>IFERROR(__xludf.DUMMYFUNCTION("GOOGLETRANSLATE(E34, ""en"", ""zh"")"),"世界龙舟锦标赛是这项运动的主要国际赛事之一。")</f>
        <v>世界龙舟锦标赛是这项运动的主要国际赛事之一。</v>
      </c>
      <c r="L34" s="2"/>
      <c r="M34" s="3"/>
      <c r="N34" s="2"/>
      <c r="O34" s="3"/>
      <c r="P34" s="2"/>
      <c r="Q34" s="23"/>
      <c r="R34" s="23"/>
      <c r="S34" s="23"/>
      <c r="T34" s="23"/>
      <c r="U34" s="23"/>
      <c r="V34" s="23"/>
      <c r="W34" s="23"/>
      <c r="X34" s="23"/>
      <c r="Y34" s="23"/>
      <c r="Z34" s="23"/>
    </row>
    <row r="35">
      <c r="A35" s="4">
        <v>34.0</v>
      </c>
      <c r="B35" s="5" t="s">
        <v>609</v>
      </c>
      <c r="C35" s="5" t="s">
        <v>610</v>
      </c>
      <c r="D35" s="5" t="s">
        <v>611</v>
      </c>
      <c r="E35" s="5" t="s">
        <v>612</v>
      </c>
      <c r="F35" s="2"/>
      <c r="G35" s="2"/>
      <c r="H35" s="4" t="str">
        <f>IFERROR(__xludf.DUMMYFUNCTION("GOOGLETRANSLATE(B35, ""en"", ""zh"")"),"龙舟比赛通常是如何开始的？")</f>
        <v>龙舟比赛通常是如何开始的？</v>
      </c>
      <c r="I35" s="4" t="str">
        <f>IFERROR(__xludf.DUMMYFUNCTION("GOOGLETRANSLATE(C35, ""en"", ""zh"")"),"A) 伴着哨声，B) 伴着旗帜，C) 伴着号角声，D) 伴着鼓声")</f>
        <v>A) 伴着哨声，B) 伴着旗帜，C) 伴着号角声，D) 伴着鼓声</v>
      </c>
      <c r="J35" s="4" t="str">
        <f>IFERROR(__xludf.DUMMYFUNCTION("GOOGLETRANSLATE(D35, ""en"", ""zh"")"),"A）伴随着一声哨响")</f>
        <v>A）伴随着一声哨响</v>
      </c>
      <c r="K35" s="4" t="str">
        <f>IFERROR(__xludf.DUMMYFUNCTION("GOOGLETRANSLATE(E35, ""en"", ""zh"")"),"比赛通常以一声哨响开始，标志着比赛正式开始。")</f>
        <v>比赛通常以一声哨响开始，标志着比赛正式开始。</v>
      </c>
      <c r="L35" s="3"/>
      <c r="M35" s="3"/>
      <c r="N35" s="2"/>
      <c r="O35" s="3"/>
      <c r="P35" s="2"/>
      <c r="Q35" s="23"/>
      <c r="R35" s="23"/>
      <c r="S35" s="23"/>
      <c r="T35" s="23"/>
      <c r="U35" s="23"/>
      <c r="V35" s="23"/>
      <c r="W35" s="23"/>
      <c r="X35" s="23"/>
      <c r="Y35" s="23"/>
      <c r="Z35" s="23"/>
    </row>
    <row r="36">
      <c r="A36" s="4">
        <v>35.0</v>
      </c>
      <c r="B36" s="5" t="s">
        <v>613</v>
      </c>
      <c r="C36" s="5" t="s">
        <v>614</v>
      </c>
      <c r="D36" s="5" t="s">
        <v>615</v>
      </c>
      <c r="E36" s="5" t="s">
        <v>616</v>
      </c>
      <c r="F36" s="2"/>
      <c r="G36" s="2"/>
      <c r="H36" s="4" t="str">
        <f>IFERROR(__xludf.DUMMYFUNCTION("GOOGLETRANSLATE(B36, ""en"", ""zh"")"),"如果一支队伍在龙舟比赛中抢跑会发生什么？")</f>
        <v>如果一支队伍在龙舟比赛中抢跑会发生什么？</v>
      </c>
      <c r="I36" s="4" t="str">
        <f>IFERROR(__xludf.DUMMYFUNCTION("GOOGLETRANSLATE(C36, ""en"", ""zh"")"),"A) 该队获胜，B) 比赛重新开始，C) 该队被取消资格，D) 该队受到时间处罚。")</f>
        <v>A) 该队获胜，B) 比赛重新开始，C) 该队被取消资格，D) 该队受到时间处罚。</v>
      </c>
      <c r="J36" s="4" t="str">
        <f>IFERROR(__xludf.DUMMYFUNCTION("GOOGLETRANSLATE(D36, ""en"", ""zh"")"),"C) 该队被取消参赛资格")</f>
        <v>C) 该队被取消参赛资格</v>
      </c>
      <c r="K36" s="4" t="str">
        <f>IFERROR(__xludf.DUMMYFUNCTION("GOOGLETRANSLATE(E36, ""en"", ""zh"")"),"为保证比赛公平，抢跑者将被取消比赛资格。")</f>
        <v>为保证比赛公平，抢跑者将被取消比赛资格。</v>
      </c>
      <c r="L36" s="3"/>
      <c r="M36" s="3"/>
      <c r="N36" s="3"/>
      <c r="O36" s="3"/>
      <c r="P36" s="2"/>
      <c r="Q36" s="23"/>
      <c r="R36" s="23"/>
      <c r="S36" s="23"/>
      <c r="T36" s="23"/>
      <c r="U36" s="23"/>
      <c r="V36" s="23"/>
      <c r="W36" s="23"/>
      <c r="X36" s="23"/>
      <c r="Y36" s="23"/>
      <c r="Z36" s="23"/>
    </row>
    <row r="37">
      <c r="A37" s="4">
        <v>36.0</v>
      </c>
      <c r="B37" s="5" t="s">
        <v>617</v>
      </c>
      <c r="C37" s="5" t="s">
        <v>618</v>
      </c>
      <c r="D37" s="5" t="s">
        <v>619</v>
      </c>
      <c r="E37" s="5" t="s">
        <v>620</v>
      </c>
      <c r="F37" s="2"/>
      <c r="G37" s="2"/>
      <c r="H37" s="4" t="str">
        <f>IFERROR(__xludf.DUMMYFUNCTION("GOOGLETRANSLATE(B37, ""en"", ""zh"")"),"一场龙舟比赛中通常有多少人掌舵？")</f>
        <v>一场龙舟比赛中通常有多少人掌舵？</v>
      </c>
      <c r="I37" s="4" t="str">
        <f>IFERROR(__xludf.DUMMYFUNCTION("GOOGLETRANSLATE(C37, ""en"", ""zh"")"),"A) 一，B) 二，C) 三，D) 四")</f>
        <v>A) 一，B) 二，C) 三，D) 四</v>
      </c>
      <c r="J37" s="4" t="str">
        <f>IFERROR(__xludf.DUMMYFUNCTION("GOOGLETRANSLATE(D37, ""en"", ""zh"")"),"A) 一")</f>
        <v>A) 一</v>
      </c>
      <c r="K37" s="4" t="str">
        <f>IFERROR(__xludf.DUMMYFUNCTION("GOOGLETRANSLATE(E37, ""en"", ""zh"")"),"通常情况下，只有一个人在船尾掌舵，引导船只沿赛道行驶。")</f>
        <v>通常情况下，只有一个人在船尾掌舵，引导船只沿赛道行驶。</v>
      </c>
      <c r="L37" s="3"/>
      <c r="M37" s="3"/>
      <c r="N37" s="3"/>
      <c r="O37" s="3"/>
      <c r="P37" s="2"/>
      <c r="Q37" s="23"/>
      <c r="R37" s="23"/>
      <c r="S37" s="23"/>
      <c r="T37" s="23"/>
      <c r="U37" s="23"/>
      <c r="V37" s="23"/>
      <c r="W37" s="23"/>
      <c r="X37" s="23"/>
      <c r="Y37" s="23"/>
      <c r="Z37" s="23"/>
    </row>
    <row r="38">
      <c r="A38" s="4">
        <v>37.0</v>
      </c>
      <c r="B38" s="5" t="s">
        <v>621</v>
      </c>
      <c r="C38" s="5" t="s">
        <v>622</v>
      </c>
      <c r="D38" s="5" t="s">
        <v>623</v>
      </c>
      <c r="E38" s="5" t="s">
        <v>624</v>
      </c>
      <c r="F38" s="2"/>
      <c r="G38" s="2"/>
      <c r="H38" s="4" t="str">
        <f>IFERROR(__xludf.DUMMYFUNCTION("GOOGLETRANSLATE(B38, ""en"", ""zh"")"),"龙舟竞渡中，桨手最重要的素质是什么？")</f>
        <v>龙舟竞渡中，桨手最重要的素质是什么？</v>
      </c>
      <c r="I38" s="4" t="str">
        <f>IFERROR(__xludf.DUMMYFUNCTION("GOOGLETRANSLATE(C38, ""en"", ""zh"")"),"A) 力量，B) 耐力，C) 同步性，D) 速度")</f>
        <v>A) 力量，B) 耐力，C) 同步性，D) 速度</v>
      </c>
      <c r="J38" s="4" t="str">
        <f>IFERROR(__xludf.DUMMYFUNCTION("GOOGLETRANSLATE(D38, ""en"", ""zh"")"),"C) 同步")</f>
        <v>C) 同步</v>
      </c>
      <c r="K38" s="4" t="str">
        <f>IFERROR(__xludf.DUMMYFUNCTION("GOOGLETRANSLATE(E38, ""en"", ""zh"")"),"桨手之间的完美配合是赢得龙舟比赛的最重要因素。")</f>
        <v>桨手之间的完美配合是赢得龙舟比赛的最重要因素。</v>
      </c>
      <c r="L38" s="2"/>
      <c r="M38" s="3"/>
      <c r="N38" s="2"/>
      <c r="O38" s="3"/>
      <c r="P38" s="2"/>
      <c r="Q38" s="23"/>
      <c r="R38" s="23"/>
      <c r="S38" s="23"/>
      <c r="T38" s="23"/>
      <c r="U38" s="23"/>
      <c r="V38" s="23"/>
      <c r="W38" s="23"/>
      <c r="X38" s="23"/>
      <c r="Y38" s="23"/>
      <c r="Z38" s="23"/>
    </row>
    <row r="39">
      <c r="A39" s="4">
        <v>38.0</v>
      </c>
      <c r="B39" s="5" t="s">
        <v>625</v>
      </c>
      <c r="C39" s="5" t="s">
        <v>626</v>
      </c>
      <c r="D39" s="5" t="s">
        <v>627</v>
      </c>
      <c r="E39" s="5" t="s">
        <v>628</v>
      </c>
      <c r="F39" s="2"/>
      <c r="G39" s="2"/>
      <c r="H39" s="4" t="str">
        <f>IFERROR(__xludf.DUMMYFUNCTION("GOOGLETRANSLATE(B39, ""en"", ""zh"")"),"龙舟通常是如何前进的？")</f>
        <v>龙舟通常是如何前进的？</v>
      </c>
      <c r="I39" s="4" t="str">
        <f>IFERROR(__xludf.DUMMYFUNCTION("GOOGLETRANSLATE(C39, ""en"", ""zh"")"),"A) 通过桨手的划桨，B) 通过风力，C) 通过发动机，D) 通过鼓手的信号")</f>
        <v>A) 通过桨手的划桨，B) 通过风力，C) 通过发动机，D) 通过鼓手的信号</v>
      </c>
      <c r="J39" s="4" t="str">
        <f>IFERROR(__xludf.DUMMYFUNCTION("GOOGLETRANSLATE(D39, ""en"", ""zh"")"),"A) 通过划桨者的划水动作")</f>
        <v>A) 通过划桨者的划水动作</v>
      </c>
      <c r="K39" s="4" t="str">
        <f>IFERROR(__xludf.DUMMYFUNCTION("GOOGLETRANSLATE(E39, ""en"", ""zh"")"),"船的前进动力来自划桨者的同步划桨。")</f>
        <v>船的前进动力来自划桨者的同步划桨。</v>
      </c>
      <c r="L39" s="2"/>
      <c r="M39" s="3"/>
      <c r="N39" s="3"/>
      <c r="O39" s="3"/>
      <c r="P39" s="2"/>
      <c r="Q39" s="23"/>
      <c r="R39" s="23"/>
      <c r="S39" s="23"/>
      <c r="T39" s="23"/>
      <c r="U39" s="23"/>
      <c r="V39" s="23"/>
      <c r="W39" s="23"/>
      <c r="X39" s="23"/>
      <c r="Y39" s="23"/>
      <c r="Z39" s="23"/>
    </row>
    <row r="40">
      <c r="A40" s="10">
        <v>39.0</v>
      </c>
      <c r="B40" s="5" t="s">
        <v>629</v>
      </c>
      <c r="C40" s="5" t="s">
        <v>630</v>
      </c>
      <c r="D40" s="5" t="s">
        <v>631</v>
      </c>
      <c r="E40" s="5" t="s">
        <v>632</v>
      </c>
      <c r="F40" s="2"/>
      <c r="G40" s="2"/>
      <c r="H40" s="4" t="str">
        <f>IFERROR(__xludf.DUMMYFUNCTION("GOOGLETRANSLATE(B40, ""en"", ""zh"")"),"龙舟中“鼓手”的角色是什么？")</f>
        <v>龙舟中“鼓手”的角色是什么？</v>
      </c>
      <c r="I40" s="4" t="str">
        <f>IFERROR(__xludf.DUMMYFUNCTION("GOOGLETRANSLATE(C40, ""en"", ""zh"")"),"A) 控制船的方向，B) 确保同步，C) 与桨手保持节奏，D) 与其他队伍比赛")</f>
        <v>A) 控制船的方向，B) 确保同步，C) 与桨手保持节奏，D) 与其他队伍比赛</v>
      </c>
      <c r="J40" s="4" t="str">
        <f>IFERROR(__xludf.DUMMYFUNCTION("GOOGLETRANSLATE(D40, ""en"", ""zh"")"),"B) 为确保同步")</f>
        <v>B) 为确保同步</v>
      </c>
      <c r="K40" s="4" t="str">
        <f>IFERROR(__xludf.DUMMYFUNCTION("GOOGLETRANSLATE(E40, ""en"", ""zh"")"),"鼓手负责设定节奏，帮助划桨者保持同步。")</f>
        <v>鼓手负责设定节奏，帮助划桨者保持同步。</v>
      </c>
      <c r="L40" s="2"/>
      <c r="M40" s="3"/>
      <c r="N40" s="2"/>
      <c r="O40" s="3"/>
      <c r="P40" s="2"/>
      <c r="Q40" s="23"/>
      <c r="R40" s="23"/>
      <c r="S40" s="23"/>
      <c r="T40" s="23"/>
      <c r="U40" s="23"/>
      <c r="V40" s="23"/>
      <c r="W40" s="23"/>
      <c r="X40" s="23"/>
      <c r="Y40" s="23"/>
      <c r="Z40" s="23"/>
    </row>
    <row r="41">
      <c r="A41" s="10">
        <v>40.0</v>
      </c>
      <c r="B41" s="5" t="s">
        <v>633</v>
      </c>
      <c r="C41" s="5" t="s">
        <v>634</v>
      </c>
      <c r="D41" s="5" t="s">
        <v>635</v>
      </c>
      <c r="E41" s="5" t="s">
        <v>636</v>
      </c>
      <c r="F41" s="2"/>
      <c r="G41" s="2"/>
      <c r="H41" s="4" t="str">
        <f>IFERROR(__xludf.DUMMYFUNCTION("GOOGLETRANSLATE(B41, ""en"", ""zh"")"),"船上龙头图案的主色调是什么？")</f>
        <v>船上龙头图案的主色调是什么？</v>
      </c>
      <c r="I41" s="4" t="str">
        <f>IFERROR(__xludf.DUMMYFUNCTION("GOOGLETRANSLATE(C41, ""en"", ""zh"")"),"A) 红色，B) 金色，C) 绿色，D) 蓝色")</f>
        <v>A) 红色，B) 金色，C) 绿色，D) 蓝色</v>
      </c>
      <c r="J41" s="4" t="str">
        <f>IFERROR(__xludf.DUMMYFUNCTION("GOOGLETRANSLATE(D41, ""en"", ""zh"")"),"B) 黄金")</f>
        <v>B) 黄金</v>
      </c>
      <c r="K41" s="4" t="str">
        <f>IFERROR(__xludf.DUMMYFUNCTION("GOOGLETRANSLATE(E41, ""en"", ""zh"")"),"龙头通常为金色，在中国文化中象征着力量和权力。")</f>
        <v>龙头通常为金色，在中国文化中象征着力量和权力。</v>
      </c>
      <c r="L41" s="2"/>
      <c r="M41" s="3"/>
      <c r="N41" s="3"/>
      <c r="O41" s="3"/>
      <c r="P41" s="2"/>
      <c r="Q41" s="23"/>
      <c r="R41" s="23"/>
      <c r="S41" s="23"/>
      <c r="T41" s="23"/>
      <c r="U41" s="23"/>
      <c r="V41" s="23"/>
      <c r="W41" s="23"/>
      <c r="X41" s="23"/>
      <c r="Y41" s="23"/>
      <c r="Z41" s="23"/>
    </row>
    <row r="42">
      <c r="A42" s="4">
        <v>41.0</v>
      </c>
      <c r="B42" s="17" t="s">
        <v>637</v>
      </c>
      <c r="C42" s="17" t="s">
        <v>638</v>
      </c>
      <c r="D42" s="17" t="s">
        <v>639</v>
      </c>
      <c r="E42" s="18"/>
      <c r="F42" s="2"/>
      <c r="G42" s="2"/>
      <c r="H42" s="4" t="str">
        <f>IFERROR(__xludf.DUMMYFUNCTION("GOOGLETRANSLATE(B42, ""en"", ""zh"")"),"一支龙舟队通常有多少名桨手？")</f>
        <v>一支龙舟队通常有多少名桨手？</v>
      </c>
      <c r="I42" s="4" t="str">
        <f>IFERROR(__xludf.DUMMYFUNCTION("GOOGLETRANSLATE(C42, ""en"", ""zh"")"),"A) 20 B) 10 C) 50 D) 5")</f>
        <v>A) 20 B) 10 C) 50 D) 5</v>
      </c>
      <c r="J42" s="4" t="str">
        <f>IFERROR(__xludf.DUMMYFUNCTION("GOOGLETRANSLATE(D42, ""en"", ""zh"")"),"A) 20")</f>
        <v>A) 20</v>
      </c>
      <c r="K42" s="4" t="str">
        <f>IFERROR(__xludf.DUMMYFUNCTION("GOOGLETRANSLATE(E42, ""en"", ""zh"")"),"#VALUE!")</f>
        <v>#VALUE!</v>
      </c>
      <c r="L42" s="2"/>
      <c r="M42" s="2"/>
      <c r="N42" s="2"/>
      <c r="O42" s="2"/>
      <c r="P42" s="2"/>
      <c r="Q42" s="23"/>
      <c r="R42" s="23"/>
      <c r="S42" s="23"/>
      <c r="T42" s="23"/>
      <c r="U42" s="23"/>
      <c r="V42" s="23"/>
      <c r="W42" s="23"/>
      <c r="X42" s="23"/>
      <c r="Y42" s="23"/>
      <c r="Z42" s="23"/>
    </row>
    <row r="43">
      <c r="A43" s="4">
        <v>42.0</v>
      </c>
      <c r="B43" s="17" t="s">
        <v>640</v>
      </c>
      <c r="C43" s="17" t="s">
        <v>641</v>
      </c>
      <c r="D43" s="17" t="s">
        <v>642</v>
      </c>
      <c r="E43" s="18"/>
      <c r="F43" s="2"/>
      <c r="G43" s="2"/>
      <c r="H43" s="4" t="str">
        <f>IFERROR(__xludf.DUMMYFUNCTION("GOOGLETRANSLATE(B43, ""en"", ""zh"")"),"龙舟比赛中鼓手扮演什么角色？")</f>
        <v>龙舟比赛中鼓手扮演什么角色？</v>
      </c>
      <c r="I43" s="4" t="str">
        <f>IFERROR(__xludf.DUMMYFUNCTION("GOOGLETRANSLATE(C43, ""en"", ""zh"")"),"A) 保持速度 B) 划桨 C) 掌舵 D) 教练")</f>
        <v>A) 保持速度 B) 划桨 C) 掌舵 D) 教练</v>
      </c>
      <c r="J43" s="4" t="str">
        <f>IFERROR(__xludf.DUMMYFUNCTION("GOOGLETRANSLATE(D43, ""en"", ""zh"")"),"A) 保持速度")</f>
        <v>A) 保持速度</v>
      </c>
      <c r="K43" s="4" t="str">
        <f>IFERROR(__xludf.DUMMYFUNCTION("GOOGLETRANSLATE(E43, ""en"", ""zh"")"),"#VALUE!")</f>
        <v>#VALUE!</v>
      </c>
      <c r="L43" s="2"/>
      <c r="M43" s="2"/>
      <c r="N43" s="2"/>
      <c r="O43" s="2"/>
      <c r="P43" s="2"/>
      <c r="Q43" s="23"/>
      <c r="R43" s="23"/>
      <c r="S43" s="23"/>
      <c r="T43" s="23"/>
      <c r="U43" s="23"/>
      <c r="V43" s="23"/>
      <c r="W43" s="23"/>
      <c r="X43" s="23"/>
      <c r="Y43" s="23"/>
      <c r="Z43" s="23"/>
    </row>
    <row r="44">
      <c r="A44" s="4">
        <v>43.0</v>
      </c>
      <c r="B44" s="17" t="s">
        <v>643</v>
      </c>
      <c r="C44" s="17" t="s">
        <v>644</v>
      </c>
      <c r="D44" s="17" t="s">
        <v>645</v>
      </c>
      <c r="E44" s="18"/>
      <c r="F44" s="2"/>
      <c r="G44" s="2"/>
      <c r="H44" s="4" t="str">
        <f>IFERROR(__xludf.DUMMYFUNCTION("GOOGLETRANSLATE(B44, ""en"", ""zh"")"),"龙舟比赛中如何控制船舵？")</f>
        <v>龙舟比赛中如何控制船舵？</v>
      </c>
      <c r="I44" s="4" t="str">
        <f>IFERROR(__xludf.DUMMYFUNCTION("GOOGLETRANSLATE(C44, ""en"", ""zh"")"),"A) 使用舵或扫桨 B) 仅由划桨者操控 C) 由鼓手操控 D) 自动")</f>
        <v>A) 使用舵或扫桨 B) 仅由划桨者操控 C) 由鼓手操控 D) 自动</v>
      </c>
      <c r="J44" s="4" t="str">
        <f>IFERROR(__xludf.DUMMYFUNCTION("GOOGLETRANSLATE(D44, ""en"", ""zh"")"),"A) 使用舵或扫桨")</f>
        <v>A) 使用舵或扫桨</v>
      </c>
      <c r="K44" s="4" t="str">
        <f>IFERROR(__xludf.DUMMYFUNCTION("GOOGLETRANSLATE(E44, ""en"", ""zh"")"),"#VALUE!")</f>
        <v>#VALUE!</v>
      </c>
      <c r="L44" s="2"/>
      <c r="M44" s="2"/>
      <c r="N44" s="2"/>
      <c r="O44" s="2"/>
      <c r="P44" s="2"/>
      <c r="Q44" s="23"/>
      <c r="R44" s="23"/>
      <c r="S44" s="23"/>
      <c r="T44" s="23"/>
      <c r="U44" s="23"/>
      <c r="V44" s="23"/>
      <c r="W44" s="23"/>
      <c r="X44" s="23"/>
      <c r="Y44" s="23"/>
      <c r="Z44" s="23"/>
    </row>
    <row r="45">
      <c r="A45" s="4">
        <v>44.0</v>
      </c>
      <c r="B45" s="17" t="s">
        <v>646</v>
      </c>
      <c r="C45" s="17" t="s">
        <v>647</v>
      </c>
      <c r="D45" s="17" t="s">
        <v>648</v>
      </c>
      <c r="E45" s="18"/>
      <c r="F45" s="2"/>
      <c r="G45" s="2"/>
      <c r="H45" s="4" t="str">
        <f>IFERROR(__xludf.DUMMYFUNCTION("GOOGLETRANSLATE(B45, ""en"", ""zh"")"),"龙舟比赛通常赛程有多远？")</f>
        <v>龙舟比赛通常赛程有多远？</v>
      </c>
      <c r="I45" s="4" t="str">
        <f>IFERROR(__xludf.DUMMYFUNCTION("GOOGLETRANSLATE(C45, ""en"", ""zh"")"),"A) 200-500米 B) 50米 C) 1000米 D) 5公里")</f>
        <v>A) 200-500米 B) 50米 C) 1000米 D) 5公里</v>
      </c>
      <c r="J45" s="4" t="str">
        <f>IFERROR(__xludf.DUMMYFUNCTION("GOOGLETRANSLATE(D45, ""en"", ""zh"")"),"A) 200–500 米")</f>
        <v>A) 200–500 米</v>
      </c>
      <c r="K45" s="4" t="str">
        <f>IFERROR(__xludf.DUMMYFUNCTION("GOOGLETRANSLATE(E45, ""en"", ""zh"")"),"#VALUE!")</f>
        <v>#VALUE!</v>
      </c>
      <c r="L45" s="2"/>
      <c r="M45" s="2"/>
      <c r="N45" s="2"/>
      <c r="O45" s="2"/>
      <c r="P45" s="2"/>
      <c r="Q45" s="23"/>
      <c r="R45" s="23"/>
      <c r="S45" s="23"/>
      <c r="T45" s="23"/>
      <c r="U45" s="23"/>
      <c r="V45" s="23"/>
      <c r="W45" s="23"/>
      <c r="X45" s="23"/>
      <c r="Y45" s="23"/>
      <c r="Z45" s="23"/>
    </row>
    <row r="46">
      <c r="A46" s="4">
        <v>45.0</v>
      </c>
      <c r="B46" s="17" t="s">
        <v>649</v>
      </c>
      <c r="C46" s="17" t="s">
        <v>650</v>
      </c>
      <c r="D46" s="17" t="s">
        <v>651</v>
      </c>
      <c r="E46" s="18"/>
      <c r="F46" s="2"/>
      <c r="G46" s="2"/>
      <c r="H46" s="4" t="str">
        <f>IFERROR(__xludf.DUMMYFUNCTION("GOOGLETRANSLATE(B46, ""en"", ""zh"")"),"一艘正规的龙舟至少需要多少名桨手？")</f>
        <v>一艘正规的龙舟至少需要多少名桨手？</v>
      </c>
      <c r="I46" s="4" t="str">
        <f>IFERROR(__xludf.DUMMYFUNCTION("GOOGLETRANSLATE(C46, ""en"", ""zh"")"),"A) 10 B) 5 C) 20 D) 30")</f>
        <v>A) 10 B) 5 C) 20 D) 30</v>
      </c>
      <c r="J46" s="4" t="str">
        <f>IFERROR(__xludf.DUMMYFUNCTION("GOOGLETRANSLATE(D46, ""en"", ""zh"")"),"A) 10")</f>
        <v>A) 10</v>
      </c>
      <c r="K46" s="4" t="str">
        <f>IFERROR(__xludf.DUMMYFUNCTION("GOOGLETRANSLATE(E46, ""en"", ""zh"")"),"#VALUE!")</f>
        <v>#VALUE!</v>
      </c>
      <c r="L46" s="2"/>
      <c r="M46" s="2"/>
      <c r="N46" s="2"/>
      <c r="O46" s="2"/>
      <c r="P46" s="2"/>
      <c r="Q46" s="23"/>
      <c r="R46" s="23"/>
      <c r="S46" s="23"/>
      <c r="T46" s="23"/>
      <c r="U46" s="23"/>
      <c r="V46" s="23"/>
      <c r="W46" s="23"/>
      <c r="X46" s="23"/>
      <c r="Y46" s="23"/>
      <c r="Z46" s="23"/>
    </row>
    <row r="47">
      <c r="A47" s="4">
        <v>46.0</v>
      </c>
      <c r="B47" s="17" t="s">
        <v>652</v>
      </c>
      <c r="C47" s="17" t="s">
        <v>653</v>
      </c>
      <c r="D47" s="17" t="s">
        <v>654</v>
      </c>
      <c r="E47" s="18"/>
      <c r="F47" s="2"/>
      <c r="G47" s="2"/>
      <c r="H47" s="4" t="str">
        <f>IFERROR(__xludf.DUMMYFUNCTION("GOOGLETRANSLATE(B47, ""en"", ""zh"")"),"龙舟比赛中的“划桨频率”是什么？")</f>
        <v>龙舟比赛中的“划桨频率”是什么？</v>
      </c>
      <c r="I47" s="4" t="str">
        <f>IFERROR(__xludf.DUMMYFUNCTION("GOOGLETRANSLATE(C47, ""en"", ""zh"")"),"A) 每分钟划桨次数 B) 心率 C) 船速 D) 转弯次数")</f>
        <v>A) 每分钟划桨次数 B) 心率 C) 船速 D) 转弯次数</v>
      </c>
      <c r="J47" s="4" t="str">
        <f>IFERROR(__xludf.DUMMYFUNCTION("GOOGLETRANSLATE(D47, ""en"", ""zh"")"),"A) 每分钟划桨次数")</f>
        <v>A) 每分钟划桨次数</v>
      </c>
      <c r="K47" s="4" t="str">
        <f>IFERROR(__xludf.DUMMYFUNCTION("GOOGLETRANSLATE(E47, ""en"", ""zh"")"),"#VALUE!")</f>
        <v>#VALUE!</v>
      </c>
      <c r="L47" s="2"/>
      <c r="M47" s="2"/>
      <c r="N47" s="2"/>
      <c r="O47" s="2"/>
      <c r="P47" s="2"/>
      <c r="Q47" s="23"/>
      <c r="R47" s="23"/>
      <c r="S47" s="23"/>
      <c r="T47" s="23"/>
      <c r="U47" s="23"/>
      <c r="V47" s="23"/>
      <c r="W47" s="23"/>
      <c r="X47" s="23"/>
      <c r="Y47" s="23"/>
      <c r="Z47" s="23"/>
    </row>
    <row r="48">
      <c r="A48" s="4">
        <v>47.0</v>
      </c>
      <c r="B48" s="17" t="s">
        <v>655</v>
      </c>
      <c r="C48" s="17" t="s">
        <v>656</v>
      </c>
      <c r="D48" s="17" t="s">
        <v>657</v>
      </c>
      <c r="E48" s="18"/>
      <c r="F48" s="2"/>
      <c r="G48" s="2"/>
      <c r="H48" s="4" t="str">
        <f>IFERROR(__xludf.DUMMYFUNCTION("GOOGLETRANSLATE(B48, ""en"", ""zh"")"),"龙舟比赛中通常由谁发令？")</f>
        <v>龙舟比赛中通常由谁发令？</v>
      </c>
      <c r="I48" s="4" t="str">
        <f>IFERROR(__xludf.DUMMYFUNCTION("GOOGLETRANSLATE(C48, ""en"", ""zh"")"),"A) 发令员/官员 B) 鼓手 C) 队长 D) 第一桨手")</f>
        <v>A) 发令员/官员 B) 鼓手 C) 队长 D) 第一桨手</v>
      </c>
      <c r="J48" s="4" t="str">
        <f>IFERROR(__xludf.DUMMYFUNCTION("GOOGLETRANSLATE(D48, ""en"", ""zh"")"),"A) 启动器/官方")</f>
        <v>A) 启动器/官方</v>
      </c>
      <c r="K48" s="4" t="str">
        <f>IFERROR(__xludf.DUMMYFUNCTION("GOOGLETRANSLATE(E48, ""en"", ""zh"")"),"#VALUE!")</f>
        <v>#VALUE!</v>
      </c>
      <c r="L48" s="2"/>
      <c r="M48" s="2"/>
      <c r="N48" s="2"/>
      <c r="O48" s="2"/>
      <c r="P48" s="2"/>
      <c r="Q48" s="23"/>
      <c r="R48" s="23"/>
      <c r="S48" s="23"/>
      <c r="T48" s="23"/>
      <c r="U48" s="23"/>
      <c r="V48" s="23"/>
      <c r="W48" s="23"/>
      <c r="X48" s="23"/>
      <c r="Y48" s="23"/>
      <c r="Z48" s="23"/>
    </row>
    <row r="49">
      <c r="A49" s="10">
        <v>48.0</v>
      </c>
      <c r="B49" s="17" t="s">
        <v>658</v>
      </c>
      <c r="C49" s="17" t="s">
        <v>659</v>
      </c>
      <c r="D49" s="17" t="s">
        <v>660</v>
      </c>
      <c r="E49" s="18"/>
      <c r="F49" s="2"/>
      <c r="G49" s="2"/>
      <c r="H49" s="4" t="str">
        <f>IFERROR(__xludf.DUMMYFUNCTION("GOOGLETRANSLATE(B49, ""en"", ""zh"")"),"如果船只越过航道线会发生什么？")</f>
        <v>如果船只越过航道线会发生什么？</v>
      </c>
      <c r="I49" s="4" t="str">
        <f>IFERROR(__xludf.DUMMYFUNCTION("GOOGLETRANSLATE(C49, ""en"", ""zh"")"),"A) 处罚 B) 无影响 C) 重新开始 D) 取消资格")</f>
        <v>A) 处罚 B) 无影响 C) 重新开始 D) 取消资格</v>
      </c>
      <c r="J49" s="4" t="str">
        <f>IFERROR(__xludf.DUMMYFUNCTION("GOOGLETRANSLATE(D49, ""en"", ""zh"")"),"A) 处罚")</f>
        <v>A) 处罚</v>
      </c>
      <c r="K49" s="4" t="str">
        <f>IFERROR(__xludf.DUMMYFUNCTION("GOOGLETRANSLATE(E49, ""en"", ""zh"")"),"#VALUE!")</f>
        <v>#VALUE!</v>
      </c>
      <c r="L49" s="2"/>
      <c r="M49" s="2"/>
      <c r="N49" s="2"/>
      <c r="O49" s="2"/>
      <c r="P49" s="2"/>
      <c r="Q49" s="23"/>
      <c r="R49" s="23"/>
      <c r="S49" s="23"/>
      <c r="T49" s="23"/>
      <c r="U49" s="23"/>
      <c r="V49" s="23"/>
      <c r="W49" s="23"/>
      <c r="X49" s="23"/>
      <c r="Y49" s="23"/>
      <c r="Z49" s="23"/>
    </row>
    <row r="50">
      <c r="A50" s="10">
        <v>49.0</v>
      </c>
      <c r="B50" s="17" t="s">
        <v>661</v>
      </c>
      <c r="C50" s="17" t="s">
        <v>662</v>
      </c>
      <c r="D50" s="17" t="s">
        <v>663</v>
      </c>
      <c r="E50" s="18"/>
      <c r="F50" s="2"/>
      <c r="G50" s="2"/>
      <c r="H50" s="4" t="str">
        <f>IFERROR(__xludf.DUMMYFUNCTION("GOOGLETRANSLATE(B50, ""en"", ""zh"")"),"船尾的那个人叫什么名字？")</f>
        <v>船尾的那个人叫什么名字？</v>
      </c>
      <c r="I50" s="4" t="str">
        <f>IFERROR(__xludf.DUMMYFUNCTION("GOOGLETRANSLATE(C50, ""en"", ""zh"")"),"A) 舵手/扫桨手 B) 鼓手 C) 船首桨手 D) 船长")</f>
        <v>A) 舵手/扫桨手 B) 鼓手 C) 船首桨手 D) 船长</v>
      </c>
      <c r="J50" s="4" t="str">
        <f>IFERROR(__xludf.DUMMYFUNCTION("GOOGLETRANSLATE(D50, ""en"", ""zh"")"),"A) 舵/扫掠")</f>
        <v>A) 舵/扫掠</v>
      </c>
      <c r="K50" s="4" t="str">
        <f>IFERROR(__xludf.DUMMYFUNCTION("GOOGLETRANSLATE(E50, ""en"", ""zh"")"),"#VALUE!")</f>
        <v>#VALUE!</v>
      </c>
      <c r="L50" s="2"/>
      <c r="M50" s="2"/>
      <c r="N50" s="2"/>
      <c r="O50" s="2"/>
      <c r="P50" s="2"/>
      <c r="Q50" s="23"/>
      <c r="R50" s="23"/>
      <c r="S50" s="23"/>
      <c r="T50" s="23"/>
      <c r="U50" s="23"/>
      <c r="V50" s="23"/>
      <c r="W50" s="23"/>
      <c r="X50" s="23"/>
      <c r="Y50" s="23"/>
      <c r="Z50" s="23"/>
    </row>
    <row r="51">
      <c r="A51" s="10">
        <v>50.0</v>
      </c>
      <c r="B51" s="17" t="s">
        <v>664</v>
      </c>
      <c r="C51" s="17" t="s">
        <v>665</v>
      </c>
      <c r="D51" s="17" t="s">
        <v>666</v>
      </c>
      <c r="E51" s="18"/>
      <c r="F51" s="2"/>
      <c r="G51" s="2"/>
      <c r="H51" s="4" t="str">
        <f>IFERROR(__xludf.DUMMYFUNCTION("GOOGLETRANSLATE(B51, ""en"", ""zh"")"),"鼓手向划桨手发出信号：")</f>
        <v>鼓手向划桨手发出信号：</v>
      </c>
      <c r="I51" s="4" t="str">
        <f>IFERROR(__xludf.DUMMYFUNCTION("GOOGLETRANSLATE(C51, ""en"", ""zh"")"),"A) 同步划桨 B) 停止划桨 C) 控制方向 D) 跳跃")</f>
        <v>A) 同步划桨 B) 停止划桨 C) 控制方向 D) 跳跃</v>
      </c>
      <c r="J51" s="4" t="str">
        <f>IFERROR(__xludf.DUMMYFUNCTION("GOOGLETRANSLATE(D51, ""en"", ""zh"")"),"A) 同步笔画")</f>
        <v>A) 同步笔画</v>
      </c>
      <c r="K51" s="4" t="str">
        <f>IFERROR(__xludf.DUMMYFUNCTION("GOOGLETRANSLATE(E51, ""en"", ""zh"")"),"#VALUE!")</f>
        <v>#VALUE!</v>
      </c>
      <c r="L51" s="2"/>
      <c r="M51" s="2"/>
      <c r="N51" s="2"/>
      <c r="O51" s="2"/>
      <c r="P51" s="2"/>
      <c r="Q51" s="23"/>
      <c r="R51" s="23"/>
      <c r="S51" s="23"/>
      <c r="T51" s="23"/>
      <c r="U51" s="23"/>
      <c r="V51" s="23"/>
      <c r="W51" s="23"/>
      <c r="X51" s="23"/>
      <c r="Y51" s="23"/>
      <c r="Z51" s="23"/>
    </row>
    <row r="52">
      <c r="A52" s="10">
        <v>51.0</v>
      </c>
      <c r="B52" s="17" t="s">
        <v>667</v>
      </c>
      <c r="C52" s="17" t="s">
        <v>668</v>
      </c>
      <c r="D52" s="17" t="s">
        <v>272</v>
      </c>
      <c r="E52" s="18"/>
      <c r="F52" s="2"/>
      <c r="G52" s="2"/>
      <c r="H52" s="4" t="str">
        <f>IFERROR(__xludf.DUMMYFUNCTION("GOOGLETRANSLATE(B52, ""en"", ""zh"")"),"龙舟竞渡起源于哪个国家？")</f>
        <v>龙舟竞渡起源于哪个国家？</v>
      </c>
      <c r="I52" s="4" t="str">
        <f>IFERROR(__xludf.DUMMYFUNCTION("GOOGLETRANSLATE(C52, ""en"", ""zh"")"),"A) 中国 B) 日本 C) 韩国 D) 越南")</f>
        <v>A) 中国 B) 日本 C) 韩国 D) 越南</v>
      </c>
      <c r="J52" s="4" t="str">
        <f>IFERROR(__xludf.DUMMYFUNCTION("GOOGLETRANSLATE(D52, ""en"", ""zh"")"),"A) 中国")</f>
        <v>A) 中国</v>
      </c>
      <c r="K52" s="4" t="str">
        <f>IFERROR(__xludf.DUMMYFUNCTION("GOOGLETRANSLATE(E52, ""en"", ""zh"")"),"#VALUE!")</f>
        <v>#VALUE!</v>
      </c>
      <c r="L52" s="2"/>
      <c r="M52" s="2"/>
      <c r="N52" s="2"/>
      <c r="O52" s="2"/>
      <c r="P52" s="2"/>
      <c r="Q52" s="23"/>
      <c r="R52" s="23"/>
      <c r="S52" s="23"/>
      <c r="T52" s="23"/>
      <c r="U52" s="23"/>
      <c r="V52" s="23"/>
      <c r="W52" s="23"/>
      <c r="X52" s="23"/>
      <c r="Y52" s="23"/>
      <c r="Z52" s="23"/>
    </row>
    <row r="53">
      <c r="A53" s="10">
        <v>52.0</v>
      </c>
      <c r="B53" s="17" t="s">
        <v>669</v>
      </c>
      <c r="C53" s="17" t="s">
        <v>670</v>
      </c>
      <c r="D53" s="17" t="s">
        <v>671</v>
      </c>
      <c r="E53" s="18"/>
      <c r="F53" s="2"/>
      <c r="G53" s="2"/>
      <c r="H53" s="4" t="str">
        <f>IFERROR(__xludf.DUMMYFUNCTION("GOOGLETRANSLATE(B53, ""en"", ""zh"")"),"龙舟船头装饰有：")</f>
        <v>龙舟船头装饰有：</v>
      </c>
      <c r="I53" s="4" t="str">
        <f>IFERROR(__xludf.DUMMYFUNCTION("GOOGLETRANSLATE(C53, ""en"", ""zh"")"),"A) 龙头 B) 凤凰 C) 狮子 D) 鱼")</f>
        <v>A) 龙头 B) 凤凰 C) 狮子 D) 鱼</v>
      </c>
      <c r="J53" s="4" t="str">
        <f>IFERROR(__xludf.DUMMYFUNCTION("GOOGLETRANSLATE(D53, ""en"", ""zh"")"),"A) 龙头")</f>
        <v>A) 龙头</v>
      </c>
      <c r="K53" s="4" t="str">
        <f>IFERROR(__xludf.DUMMYFUNCTION("GOOGLETRANSLATE(E53, ""en"", ""zh"")"),"#VALUE!")</f>
        <v>#VALUE!</v>
      </c>
      <c r="L53" s="2"/>
      <c r="M53" s="2"/>
      <c r="N53" s="2"/>
      <c r="O53" s="2"/>
      <c r="P53" s="2"/>
      <c r="Q53" s="23"/>
      <c r="R53" s="23"/>
      <c r="S53" s="23"/>
      <c r="T53" s="23"/>
      <c r="U53" s="23"/>
      <c r="V53" s="23"/>
      <c r="W53" s="23"/>
      <c r="X53" s="23"/>
      <c r="Y53" s="23"/>
      <c r="Z53" s="23"/>
    </row>
    <row r="54">
      <c r="A54" s="10">
        <v>53.0</v>
      </c>
      <c r="B54" s="17" t="s">
        <v>672</v>
      </c>
      <c r="C54" s="17" t="s">
        <v>673</v>
      </c>
      <c r="D54" s="17" t="s">
        <v>674</v>
      </c>
      <c r="E54" s="18"/>
      <c r="F54" s="2"/>
      <c r="G54" s="2"/>
      <c r="H54" s="4" t="str">
        <f>IFERROR(__xludf.DUMMYFUNCTION("GOOGLETRANSLATE(B54, ""en"", ""zh"")"),"龙舟比赛传统上在以下时期举行：")</f>
        <v>龙舟比赛传统上在以下时期举行：</v>
      </c>
      <c r="I54" s="4" t="str">
        <f>IFERROR(__xludf.DUMMYFUNCTION("GOOGLETRANSLATE(C54, ""en"", ""zh"")"),"A) 端午节 B) 农历新年 C) 中秋节 D) 冬至")</f>
        <v>A) 端午节 B) 农历新年 C) 中秋节 D) 冬至</v>
      </c>
      <c r="J54" s="4" t="str">
        <f>IFERROR(__xludf.DUMMYFUNCTION("GOOGLETRANSLATE(D54, ""en"", ""zh"")"),"A) 端午节")</f>
        <v>A) 端午节</v>
      </c>
      <c r="K54" s="4" t="str">
        <f>IFERROR(__xludf.DUMMYFUNCTION("GOOGLETRANSLATE(E54, ""en"", ""zh"")"),"#VALUE!")</f>
        <v>#VALUE!</v>
      </c>
      <c r="L54" s="2"/>
      <c r="M54" s="2"/>
      <c r="N54" s="2"/>
      <c r="O54" s="2"/>
      <c r="P54" s="2"/>
      <c r="Q54" s="23"/>
      <c r="R54" s="23"/>
      <c r="S54" s="23"/>
      <c r="T54" s="23"/>
      <c r="U54" s="23"/>
      <c r="V54" s="23"/>
      <c r="W54" s="23"/>
      <c r="X54" s="23"/>
      <c r="Y54" s="23"/>
      <c r="Z54" s="23"/>
    </row>
    <row r="55">
      <c r="A55" s="10">
        <v>54.0</v>
      </c>
      <c r="B55" s="17" t="s">
        <v>675</v>
      </c>
      <c r="C55" s="17" t="s">
        <v>676</v>
      </c>
      <c r="D55" s="17" t="s">
        <v>677</v>
      </c>
      <c r="E55" s="18"/>
      <c r="F55" s="2"/>
      <c r="G55" s="2"/>
      <c r="H55" s="4" t="str">
        <f>IFERROR(__xludf.DUMMYFUNCTION("GOOGLETRANSLATE(B55, ""en"", ""zh"")"),"在某些队伍中，队长或“指挥者”负责：")</f>
        <v>在某些队伍中，队长或“指挥者”负责：</v>
      </c>
      <c r="I55" s="4" t="str">
        <f>IFERROR(__xludf.DUMMYFUNCTION("GOOGLETRANSLATE(C55, ""en"", ""zh"")"),"A) 战略与协调 B) 击鼓 C) 掌舵 D) 烹饪")</f>
        <v>A) 战略与协调 B) 击鼓 C) 掌舵 D) 烹饪</v>
      </c>
      <c r="J55" s="4" t="str">
        <f>IFERROR(__xludf.DUMMYFUNCTION("GOOGLETRANSLATE(D55, ""en"", ""zh"")"),"A) 战略与协调")</f>
        <v>A) 战略与协调</v>
      </c>
      <c r="K55" s="4" t="str">
        <f>IFERROR(__xludf.DUMMYFUNCTION("GOOGLETRANSLATE(E55, ""en"", ""zh"")"),"#VALUE!")</f>
        <v>#VALUE!</v>
      </c>
      <c r="L55" s="2"/>
      <c r="M55" s="2"/>
      <c r="N55" s="2"/>
      <c r="O55" s="2"/>
      <c r="P55" s="2"/>
      <c r="Q55" s="23"/>
      <c r="R55" s="23"/>
      <c r="S55" s="23"/>
      <c r="T55" s="23"/>
      <c r="U55" s="23"/>
      <c r="V55" s="23"/>
      <c r="W55" s="23"/>
      <c r="X55" s="23"/>
      <c r="Y55" s="23"/>
      <c r="Z55" s="23"/>
    </row>
    <row r="56">
      <c r="A56" s="10">
        <v>55.0</v>
      </c>
      <c r="B56" s="17" t="s">
        <v>678</v>
      </c>
      <c r="C56" s="17" t="s">
        <v>679</v>
      </c>
      <c r="D56" s="17" t="s">
        <v>680</v>
      </c>
      <c r="E56" s="18"/>
      <c r="F56" s="2"/>
      <c r="G56" s="2"/>
      <c r="H56" s="4" t="str">
        <f>IFERROR(__xludf.DUMMYFUNCTION("GOOGLETRANSLATE(B56, ""en"", ""zh"")"),"龙舟比赛抢跑会导致：")</f>
        <v>龙舟比赛抢跑会导致：</v>
      </c>
      <c r="I56" s="4" t="str">
        <f>IFERROR(__xludf.DUMMYFUNCTION("GOOGLETRANSLATE(C56, ""en"", ""zh"")"),"A) 警告或重新开始 B) 立即取消比赛资格 C) 罚时 D) 加罚杆数")</f>
        <v>A) 警告或重新开始 B) 立即取消比赛资格 C) 罚时 D) 加罚杆数</v>
      </c>
      <c r="J56" s="4" t="str">
        <f>IFERROR(__xludf.DUMMYFUNCTION("GOOGLETRANSLATE(D56, ""en"", ""zh"")"),"A) 警告或重启")</f>
        <v>A) 警告或重启</v>
      </c>
      <c r="K56" s="4" t="str">
        <f>IFERROR(__xludf.DUMMYFUNCTION("GOOGLETRANSLATE(E56, ""en"", ""zh"")"),"#VALUE!")</f>
        <v>#VALUE!</v>
      </c>
      <c r="L56" s="2"/>
      <c r="M56" s="2"/>
      <c r="N56" s="2"/>
      <c r="O56" s="2"/>
      <c r="P56" s="2"/>
      <c r="Q56" s="23"/>
      <c r="R56" s="23"/>
      <c r="S56" s="23"/>
      <c r="T56" s="23"/>
      <c r="U56" s="23"/>
      <c r="V56" s="23"/>
      <c r="W56" s="23"/>
      <c r="X56" s="23"/>
      <c r="Y56" s="23"/>
      <c r="Z56" s="23"/>
    </row>
    <row r="57">
      <c r="A57" s="10">
        <v>56.0</v>
      </c>
      <c r="B57" s="17" t="s">
        <v>681</v>
      </c>
      <c r="C57" s="17" t="s">
        <v>682</v>
      </c>
      <c r="D57" s="17" t="s">
        <v>683</v>
      </c>
      <c r="E57" s="18"/>
      <c r="F57" s="2"/>
      <c r="G57" s="2"/>
      <c r="H57" s="4" t="str">
        <f>IFERROR(__xludf.DUMMYFUNCTION("GOOGLETRANSLATE(B57, ""en"", ""zh"")"),"通常情况下，划船时船的哪一侧先划？")</f>
        <v>通常情况下，划船时船的哪一侧先划？</v>
      </c>
      <c r="I57" s="4" t="str">
        <f>IFERROR(__xludf.DUMMYFUNCTION("GOOGLETRANSLATE(C57, ""en"", ""zh"")"),"A) 左右交替 B) 仅左旋 C) 仅右旋 D) 取决于风向")</f>
        <v>A) 左右交替 B) 仅左旋 C) 仅右旋 D) 取决于风向</v>
      </c>
      <c r="J57" s="4" t="str">
        <f>IFERROR(__xludf.DUMMYFUNCTION("GOOGLETRANSLATE(D57, ""en"", ""zh"")"),"A) 左或右交替")</f>
        <v>A) 左或右交替</v>
      </c>
      <c r="K57" s="4" t="str">
        <f>IFERROR(__xludf.DUMMYFUNCTION("GOOGLETRANSLATE(E57, ""en"", ""zh"")"),"#VALUE!")</f>
        <v>#VALUE!</v>
      </c>
      <c r="L57" s="2"/>
      <c r="M57" s="2"/>
      <c r="N57" s="2"/>
      <c r="O57" s="2"/>
      <c r="P57" s="2"/>
      <c r="Q57" s="23"/>
      <c r="R57" s="23"/>
      <c r="S57" s="23"/>
      <c r="T57" s="23"/>
      <c r="U57" s="23"/>
      <c r="V57" s="23"/>
      <c r="W57" s="23"/>
      <c r="X57" s="23"/>
      <c r="Y57" s="23"/>
      <c r="Z57" s="23"/>
    </row>
    <row r="58">
      <c r="A58" s="10">
        <v>57.0</v>
      </c>
      <c r="B58" s="17" t="s">
        <v>684</v>
      </c>
      <c r="C58" s="17" t="s">
        <v>685</v>
      </c>
      <c r="D58" s="17" t="s">
        <v>686</v>
      </c>
      <c r="E58" s="18"/>
      <c r="F58" s="2"/>
      <c r="G58" s="2"/>
      <c r="H58" s="4" t="str">
        <f>IFERROR(__xludf.DUMMYFUNCTION("GOOGLETRANSLATE(B58, ""en"", ""zh"")"),"标准龙舟的最大船员人数是多少？")</f>
        <v>标准龙舟的最大船员人数是多少？</v>
      </c>
      <c r="I58" s="4" t="str">
        <f>IFERROR(__xludf.DUMMYFUNCTION("GOOGLETRANSLATE(C58, ""en"", ""zh"")"),"A) 20–22 B) 10 C) 50 D) 5")</f>
        <v>A) 20–22 B) 10 C) 50 D) 5</v>
      </c>
      <c r="J58" s="4" t="str">
        <f>IFERROR(__xludf.DUMMYFUNCTION("GOOGLETRANSLATE(D58, ""en"", ""zh"")"),"A) 20–22")</f>
        <v>A) 20–22</v>
      </c>
      <c r="K58" s="4" t="str">
        <f>IFERROR(__xludf.DUMMYFUNCTION("GOOGLETRANSLATE(E58, ""en"", ""zh"")"),"#VALUE!")</f>
        <v>#VALUE!</v>
      </c>
      <c r="L58" s="2"/>
      <c r="M58" s="2"/>
      <c r="N58" s="2"/>
      <c r="O58" s="2"/>
      <c r="P58" s="2"/>
      <c r="Q58" s="23"/>
      <c r="R58" s="23"/>
      <c r="S58" s="23"/>
      <c r="T58" s="23"/>
      <c r="U58" s="23"/>
      <c r="V58" s="23"/>
      <c r="W58" s="23"/>
      <c r="X58" s="23"/>
      <c r="Y58" s="23"/>
      <c r="Z58" s="23"/>
    </row>
    <row r="59">
      <c r="A59" s="10">
        <v>58.0</v>
      </c>
      <c r="B59" s="17" t="s">
        <v>687</v>
      </c>
      <c r="C59" s="17" t="s">
        <v>688</v>
      </c>
      <c r="D59" s="17" t="s">
        <v>689</v>
      </c>
      <c r="E59" s="18"/>
      <c r="F59" s="2"/>
      <c r="G59" s="2"/>
      <c r="H59" s="4" t="str">
        <f>IFERROR(__xludf.DUMMYFUNCTION("GOOGLETRANSLATE(B59, ""en"", ""zh"")"),"龙舟比赛中的“动力划桨”是什么？")</f>
        <v>龙舟比赛中的“动力划桨”是什么？</v>
      </c>
      <c r="I59" s="4" t="str">
        <f>IFERROR(__xludf.DUMMYFUNCTION("GOOGLETRANSLATE(C59, ""en"", ""zh"")"),"A) 强劲有力的划桨动作 B) 轻柔的划桨动作 C) 鼓点式划桨动作 D) 转向式划桨动作")</f>
        <v>A) 强劲有力的划桨动作 B) 轻柔的划桨动作 C) 鼓点式划桨动作 D) 转向式划桨动作</v>
      </c>
      <c r="J59" s="4" t="str">
        <f>IFERROR(__xludf.DUMMYFUNCTION("GOOGLETRANSLATE(D59, ""en"", ""zh"")"),"A) 强劲有力的全桨划水")</f>
        <v>A) 强劲有力的全桨划水</v>
      </c>
      <c r="K59" s="4" t="str">
        <f>IFERROR(__xludf.DUMMYFUNCTION("GOOGLETRANSLATE(E59, ""en"", ""zh"")"),"#VALUE!")</f>
        <v>#VALUE!</v>
      </c>
      <c r="L59" s="2"/>
      <c r="M59" s="2"/>
      <c r="N59" s="2"/>
      <c r="O59" s="2"/>
      <c r="P59" s="2"/>
      <c r="Q59" s="23"/>
      <c r="R59" s="23"/>
      <c r="S59" s="23"/>
      <c r="T59" s="23"/>
      <c r="U59" s="23"/>
      <c r="V59" s="23"/>
      <c r="W59" s="23"/>
      <c r="X59" s="23"/>
      <c r="Y59" s="23"/>
      <c r="Z59" s="23"/>
    </row>
    <row r="60">
      <c r="A60" s="16">
        <v>59.0</v>
      </c>
      <c r="B60" s="17" t="s">
        <v>690</v>
      </c>
      <c r="C60" s="17" t="s">
        <v>691</v>
      </c>
      <c r="D60" s="17" t="s">
        <v>692</v>
      </c>
      <c r="E60" s="18"/>
      <c r="F60" s="2"/>
      <c r="G60" s="2"/>
      <c r="H60" s="4" t="str">
        <f>IFERROR(__xludf.DUMMYFUNCTION("GOOGLETRANSLATE(B60, ""en"", ""zh"")"),"划桨者必须保持坐姿，因为：")</f>
        <v>划桨者必须保持坐姿，因为：</v>
      </c>
      <c r="I60" s="4" t="str">
        <f>IFERROR(__xludf.DUMMYFUNCTION("GOOGLETRANSLATE(C60, ""en"", ""zh"")"),"A) 稳定性和安全性 B) 传统 C) 鼓手规则 D) 速度优势")</f>
        <v>A) 稳定性和安全性 B) 传统 C) 鼓手规则 D) 速度优势</v>
      </c>
      <c r="J60" s="4" t="str">
        <f>IFERROR(__xludf.DUMMYFUNCTION("GOOGLETRANSLATE(D60, ""en"", ""zh"")"),"A) 稳定性和安全性")</f>
        <v>A) 稳定性和安全性</v>
      </c>
      <c r="K60" s="4" t="str">
        <f>IFERROR(__xludf.DUMMYFUNCTION("GOOGLETRANSLATE(E60, ""en"", ""zh"")"),"#VALUE!")</f>
        <v>#VALUE!</v>
      </c>
      <c r="L60" s="2"/>
      <c r="M60" s="2"/>
      <c r="N60" s="2"/>
      <c r="O60" s="2"/>
      <c r="P60" s="2"/>
      <c r="Q60" s="23"/>
      <c r="R60" s="23"/>
      <c r="S60" s="23"/>
      <c r="T60" s="23"/>
      <c r="U60" s="23"/>
      <c r="V60" s="23"/>
      <c r="W60" s="23"/>
      <c r="X60" s="23"/>
      <c r="Y60" s="23"/>
      <c r="Z60" s="23"/>
    </row>
    <row r="61">
      <c r="A61" s="16">
        <v>60.0</v>
      </c>
      <c r="B61" s="17" t="s">
        <v>693</v>
      </c>
      <c r="C61" s="17" t="s">
        <v>694</v>
      </c>
      <c r="D61" s="17" t="s">
        <v>695</v>
      </c>
      <c r="E61" s="20"/>
      <c r="F61" s="2"/>
      <c r="G61" s="2"/>
      <c r="H61" s="4" t="str">
        <f>IFERROR(__xludf.DUMMYFUNCTION("GOOGLETRANSLATE(B61, ""en"", ""zh"")"),"什么是“冲刺起跑”？")</f>
        <v>什么是“冲刺起跑”？</v>
      </c>
      <c r="I61" s="4" t="str">
        <f>IFERROR(__xludf.DUMMYFUNCTION("GOOGLETRANSLATE(C61, ""en"", ""zh"")"),"A) 起步全力 B) 慢速起步 C) 只用一侧划桨 D) 鼓手划桨")</f>
        <v>A) 起步全力 B) 慢速起步 C) 只用一侧划桨 D) 鼓手划桨</v>
      </c>
      <c r="J61" s="4" t="str">
        <f>IFERROR(__xludf.DUMMYFUNCTION("GOOGLETRANSLATE(D61, ""en"", ""zh"")"),"A) 开局时的最大努力")</f>
        <v>A) 开局时的最大努力</v>
      </c>
      <c r="K61" s="4" t="str">
        <f>IFERROR(__xludf.DUMMYFUNCTION("GOOGLETRANSLATE(E61, ""en"", ""zh"")"),"#VALUE!")</f>
        <v>#VALUE!</v>
      </c>
      <c r="L61" s="2"/>
      <c r="M61" s="2"/>
      <c r="N61" s="2"/>
      <c r="O61" s="2"/>
      <c r="P61" s="2"/>
      <c r="Q61" s="23"/>
      <c r="R61" s="23"/>
      <c r="S61" s="23"/>
      <c r="T61" s="23"/>
      <c r="U61" s="23"/>
      <c r="V61" s="23"/>
      <c r="W61" s="23"/>
      <c r="X61" s="23"/>
      <c r="Y61" s="23"/>
      <c r="Z61" s="23"/>
    </row>
    <row r="62">
      <c r="A62" s="16">
        <v>61.0</v>
      </c>
      <c r="B62" s="17" t="s">
        <v>696</v>
      </c>
      <c r="C62" s="17" t="s">
        <v>697</v>
      </c>
      <c r="D62" s="17" t="s">
        <v>698</v>
      </c>
      <c r="E62" s="20"/>
      <c r="F62" s="2"/>
      <c r="G62" s="2"/>
      <c r="H62" s="4" t="str">
        <f>IFERROR(__xludf.DUMMYFUNCTION("GOOGLETRANSLATE(B62, ""en"", ""zh"")"),"比赛期间禁止哪些行为？")</f>
        <v>比赛期间禁止哪些行为？</v>
      </c>
      <c r="I62" s="4" t="str">
        <f>IFERROR(__xludf.DUMMYFUNCTION("GOOGLETRANSLATE(C62, ""en"", ""zh"")"),"A) 探出船外 B) 划桨 C) 击鼓 D) 掌舵")</f>
        <v>A) 探出船外 B) 划桨 C) 击鼓 D) 掌舵</v>
      </c>
      <c r="J62" s="4" t="str">
        <f>IFERROR(__xludf.DUMMYFUNCTION("GOOGLETRANSLATE(D62, ""en"", ""zh"")"),"A）探出船外")</f>
        <v>A）探出船外</v>
      </c>
      <c r="K62" s="4" t="str">
        <f>IFERROR(__xludf.DUMMYFUNCTION("GOOGLETRANSLATE(E62, ""en"", ""zh"")"),"#VALUE!")</f>
        <v>#VALUE!</v>
      </c>
      <c r="L62" s="2"/>
      <c r="M62" s="2"/>
      <c r="N62" s="2"/>
      <c r="O62" s="2"/>
      <c r="P62" s="2"/>
      <c r="Q62" s="23"/>
      <c r="R62" s="23"/>
      <c r="S62" s="23"/>
      <c r="T62" s="23"/>
      <c r="U62" s="23"/>
      <c r="V62" s="23"/>
      <c r="W62" s="23"/>
      <c r="X62" s="23"/>
      <c r="Y62" s="23"/>
      <c r="Z62" s="23"/>
    </row>
    <row r="63">
      <c r="A63" s="16">
        <v>62.0</v>
      </c>
      <c r="B63" s="17" t="s">
        <v>699</v>
      </c>
      <c r="C63" s="17" t="s">
        <v>700</v>
      </c>
      <c r="D63" s="17" t="s">
        <v>701</v>
      </c>
      <c r="E63" s="20"/>
      <c r="F63" s="2"/>
      <c r="G63" s="2"/>
      <c r="H63" s="4" t="str">
        <f>IFERROR(__xludf.DUMMYFUNCTION("GOOGLETRANSLATE(B63, ""en"", ""zh"")"),"如何提高船速？")</f>
        <v>如何提高船速？</v>
      </c>
      <c r="I63" s="4" t="str">
        <f>IFERROR(__xludf.DUMMYFUNCTION("GOOGLETRANSLATE(C63, ""en"", ""zh"")"),"A) 更快、更协调的划水动作 B) 身体前倾 C) 抬起船身 D) 跳入水中")</f>
        <v>A) 更快、更协调的划水动作 B) 身体前倾 C) 抬起船身 D) 跳入水中</v>
      </c>
      <c r="J63" s="4" t="str">
        <f>IFERROR(__xludf.DUMMYFUNCTION("GOOGLETRANSLATE(D63, ""en"", ""zh"")"),"A) 更快、更同步的击球")</f>
        <v>A) 更快、更同步的击球</v>
      </c>
      <c r="K63" s="4" t="str">
        <f>IFERROR(__xludf.DUMMYFUNCTION("GOOGLETRANSLATE(E63, ""en"", ""zh"")"),"#VALUE!")</f>
        <v>#VALUE!</v>
      </c>
      <c r="L63" s="2"/>
      <c r="M63" s="2"/>
      <c r="N63" s="2"/>
      <c r="O63" s="2"/>
      <c r="P63" s="2"/>
      <c r="Q63" s="23"/>
      <c r="R63" s="23"/>
      <c r="S63" s="23"/>
      <c r="T63" s="23"/>
      <c r="U63" s="23"/>
      <c r="V63" s="23"/>
      <c r="W63" s="23"/>
      <c r="X63" s="23"/>
      <c r="Y63" s="23"/>
      <c r="Z63" s="23"/>
    </row>
    <row r="64">
      <c r="A64" s="16">
        <v>63.0</v>
      </c>
      <c r="B64" s="17" t="s">
        <v>702</v>
      </c>
      <c r="C64" s="17" t="s">
        <v>703</v>
      </c>
      <c r="D64" s="17" t="s">
        <v>704</v>
      </c>
      <c r="E64" s="20"/>
      <c r="F64" s="2"/>
      <c r="G64" s="2"/>
      <c r="H64" s="4" t="str">
        <f>IFERROR(__xludf.DUMMYFUNCTION("GOOGLETRANSLATE(B64, ""en"", ""zh"")"),"鼓手在终点线做什么？")</f>
        <v>鼓手在终点线做什么？</v>
      </c>
      <c r="I64" s="4" t="str">
        <f>IFERROR(__xludf.DUMMYFUNCTION("GOOGLETRANSLATE(C64, ""en"", ""zh"")"),"A) 停止击鼓 B) 继续击鼓 C) 转向 D) 跳跃")</f>
        <v>A) 停止击鼓 B) 继续击鼓 C) 转向 D) 跳跃</v>
      </c>
      <c r="J64" s="4" t="str">
        <f>IFERROR(__xludf.DUMMYFUNCTION("GOOGLETRANSLATE(D64, ""en"", ""zh"")"),"A）停止打鼓")</f>
        <v>A）停止打鼓</v>
      </c>
      <c r="K64" s="4" t="str">
        <f>IFERROR(__xludf.DUMMYFUNCTION("GOOGLETRANSLATE(E64, ""en"", ""zh"")"),"#VALUE!")</f>
        <v>#VALUE!</v>
      </c>
      <c r="L64" s="2"/>
      <c r="M64" s="2"/>
      <c r="N64" s="2"/>
      <c r="O64" s="2"/>
      <c r="P64" s="2"/>
      <c r="Q64" s="23"/>
      <c r="R64" s="23"/>
      <c r="S64" s="23"/>
      <c r="T64" s="23"/>
      <c r="U64" s="23"/>
      <c r="V64" s="23"/>
      <c r="W64" s="23"/>
      <c r="X64" s="23"/>
      <c r="Y64" s="23"/>
      <c r="Z64" s="23"/>
    </row>
    <row r="65">
      <c r="A65" s="16">
        <v>64.0</v>
      </c>
      <c r="B65" s="17" t="s">
        <v>705</v>
      </c>
      <c r="C65" s="17" t="s">
        <v>706</v>
      </c>
      <c r="D65" s="17" t="s">
        <v>707</v>
      </c>
      <c r="E65" s="20"/>
      <c r="F65" s="2"/>
      <c r="G65" s="2"/>
      <c r="H65" s="4" t="str">
        <f>IFERROR(__xludf.DUMMYFUNCTION("GOOGLETRANSLATE(B65, ""en"", ""zh"")"),"龙舟桨手通常使用哪种桨？")</f>
        <v>龙舟桨手通常使用哪种桨？</v>
      </c>
      <c r="I65" s="4" t="str">
        <f>IFERROR(__xludf.DUMMYFUNCTION("GOOGLETRANSLATE(C65, ""en"", ""zh"")"),"A) 单刃 B) 双刃 C) 桨 D) 勺子")</f>
        <v>A) 单刃 B) 双刃 C) 桨 D) 勺子</v>
      </c>
      <c r="J65" s="4" t="str">
        <f>IFERROR(__xludf.DUMMYFUNCTION("GOOGLETRANSLATE(D65, ""en"", ""zh"")"),"A) 单刃")</f>
        <v>A) 单刃</v>
      </c>
      <c r="K65" s="4" t="str">
        <f>IFERROR(__xludf.DUMMYFUNCTION("GOOGLETRANSLATE(E65, ""en"", ""zh"")"),"#VALUE!")</f>
        <v>#VALUE!</v>
      </c>
      <c r="L65" s="2"/>
      <c r="M65" s="2"/>
      <c r="N65" s="2"/>
      <c r="O65" s="2"/>
      <c r="P65" s="2"/>
      <c r="Q65" s="23"/>
      <c r="R65" s="23"/>
      <c r="S65" s="23"/>
      <c r="T65" s="23"/>
      <c r="U65" s="23"/>
      <c r="V65" s="23"/>
      <c r="W65" s="23"/>
      <c r="X65" s="23"/>
      <c r="Y65" s="23"/>
      <c r="Z65" s="23"/>
    </row>
    <row r="66">
      <c r="A66" s="16">
        <v>65.0</v>
      </c>
      <c r="B66" s="17" t="s">
        <v>708</v>
      </c>
      <c r="C66" s="17" t="s">
        <v>709</v>
      </c>
      <c r="D66" s="17" t="s">
        <v>710</v>
      </c>
      <c r="E66" s="20"/>
      <c r="F66" s="2"/>
      <c r="G66" s="2"/>
      <c r="H66" s="4" t="str">
        <f>IFERROR(__xludf.DUMMYFUNCTION("GOOGLETRANSLATE(B66, ""en"", ""zh"")"),"正确的划桨技巧包括：")</f>
        <v>正确的划桨技巧包括：</v>
      </c>
      <c r="I66" s="4" t="str">
        <f>IFERROR(__xludf.DUMMYFUNCTION("GOOGLETRANSLATE(C66, ""en"", ""zh"")"),"A) 全程伸展，稳定挥杆 B) 短促有力的挥杆 C) 仅用手挥杆 D) 随意挥杆")</f>
        <v>A) 全程伸展，稳定挥杆 B) 短促有力的挥杆 C) 仅用手挥杆 D) 随意挥杆</v>
      </c>
      <c r="J66" s="4" t="str">
        <f>IFERROR(__xludf.DUMMYFUNCTION("GOOGLETRANSLATE(D66, ""en"", ""zh"")"),"A) 充分伸展，保持稳定的击球动作")</f>
        <v>A) 充分伸展，保持稳定的击球动作</v>
      </c>
      <c r="K66" s="4" t="str">
        <f>IFERROR(__xludf.DUMMYFUNCTION("GOOGLETRANSLATE(E66, ""en"", ""zh"")"),"#VALUE!")</f>
        <v>#VALUE!</v>
      </c>
      <c r="L66" s="2"/>
      <c r="M66" s="2"/>
      <c r="N66" s="2"/>
      <c r="O66" s="2"/>
      <c r="P66" s="2"/>
      <c r="Q66" s="23"/>
      <c r="R66" s="23"/>
      <c r="S66" s="23"/>
      <c r="T66" s="23"/>
      <c r="U66" s="23"/>
      <c r="V66" s="23"/>
      <c r="W66" s="23"/>
      <c r="X66" s="23"/>
      <c r="Y66" s="23"/>
      <c r="Z66" s="23"/>
    </row>
    <row r="67">
      <c r="A67" s="16">
        <v>66.0</v>
      </c>
      <c r="B67" s="17" t="s">
        <v>711</v>
      </c>
      <c r="C67" s="17" t="s">
        <v>712</v>
      </c>
      <c r="D67" s="17" t="s">
        <v>713</v>
      </c>
      <c r="E67" s="20"/>
      <c r="F67" s="2"/>
      <c r="G67" s="2"/>
      <c r="H67" s="4" t="str">
        <f>IFERROR(__xludf.DUMMYFUNCTION("GOOGLETRANSLATE(B67, ""en"", ""zh"")"),"龙舟比赛中的“接船点”是什么？")</f>
        <v>龙舟比赛中的“接船点”是什么？</v>
      </c>
      <c r="I67" s="4" t="str">
        <f>IFERROR(__xludf.DUMMYFUNCTION("GOOGLETRANSLATE(C67, ""en"", ""zh"")"),"A) 桨入水瞬间 B) 船只碰撞 C) 桨抬起 D) 终点线")</f>
        <v>A) 桨入水瞬间 B) 船只碰撞 C) 桨抬起 D) 终点线</v>
      </c>
      <c r="J67" s="4" t="str">
        <f>IFERROR(__xludf.DUMMYFUNCTION("GOOGLETRANSLATE(D67, ""en"", ""zh"")"),"A) 桨叶初始入水阶段")</f>
        <v>A) 桨叶初始入水阶段</v>
      </c>
      <c r="K67" s="4" t="str">
        <f>IFERROR(__xludf.DUMMYFUNCTION("GOOGLETRANSLATE(E67, ""en"", ""zh"")"),"#VALUE!")</f>
        <v>#VALUE!</v>
      </c>
      <c r="L67" s="2"/>
      <c r="M67" s="2"/>
      <c r="N67" s="2"/>
      <c r="O67" s="2"/>
      <c r="P67" s="2"/>
      <c r="Q67" s="23"/>
      <c r="R67" s="23"/>
      <c r="S67" s="23"/>
      <c r="T67" s="23"/>
      <c r="U67" s="23"/>
      <c r="V67" s="23"/>
      <c r="W67" s="23"/>
      <c r="X67" s="23"/>
      <c r="Y67" s="23"/>
      <c r="Z67" s="23"/>
    </row>
    <row r="68">
      <c r="A68" s="16">
        <v>67.0</v>
      </c>
      <c r="B68" s="17" t="s">
        <v>714</v>
      </c>
      <c r="C68" s="17" t="s">
        <v>715</v>
      </c>
      <c r="D68" s="17" t="s">
        <v>716</v>
      </c>
      <c r="E68" s="20"/>
      <c r="F68" s="2"/>
      <c r="G68" s="2"/>
      <c r="H68" s="4" t="str">
        <f>IFERROR(__xludf.DUMMYFUNCTION("GOOGLETRANSLATE(B68, ""en"", ""zh"")"),"龙舟技术中的“释放”是什么？")</f>
        <v>龙舟技术中的“释放”是什么？</v>
      </c>
      <c r="I68" s="4" t="str">
        <f>IFERROR(__xludf.DUMMYFUNCTION("GOOGLETRANSLATE(C68, ""en"", ""zh"")"),"A) 将桨从水中取出 B) 船只停止 C) 跳出 D) 转向")</f>
        <v>A) 将桨从水中取出 B) 船只停止 C) 跳出 D) 转向</v>
      </c>
      <c r="J68" s="4" t="str">
        <f>IFERROR(__xludf.DUMMYFUNCTION("GOOGLETRANSLATE(D68, ""en"", ""zh"")"),"A) 将桨从水中取出")</f>
        <v>A) 将桨从水中取出</v>
      </c>
      <c r="K68" s="4" t="str">
        <f>IFERROR(__xludf.DUMMYFUNCTION("GOOGLETRANSLATE(E68, ""en"", ""zh"")"),"#VALUE!")</f>
        <v>#VALUE!</v>
      </c>
      <c r="L68" s="2"/>
      <c r="M68" s="2"/>
      <c r="N68" s="2"/>
      <c r="O68" s="2"/>
      <c r="P68" s="2"/>
      <c r="Q68" s="23"/>
      <c r="R68" s="23"/>
      <c r="S68" s="23"/>
      <c r="T68" s="23"/>
      <c r="U68" s="23"/>
      <c r="V68" s="23"/>
      <c r="W68" s="23"/>
      <c r="X68" s="23"/>
      <c r="Y68" s="23"/>
      <c r="Z68" s="23"/>
    </row>
    <row r="69">
      <c r="A69" s="16">
        <v>68.0</v>
      </c>
      <c r="B69" s="17" t="s">
        <v>717</v>
      </c>
      <c r="C69" s="17" t="s">
        <v>718</v>
      </c>
      <c r="D69" s="17" t="s">
        <v>719</v>
      </c>
      <c r="E69" s="20"/>
      <c r="F69" s="2"/>
      <c r="G69" s="2"/>
      <c r="H69" s="4" t="str">
        <f>IFERROR(__xludf.DUMMYFUNCTION("GOOGLETRANSLATE(B69, ""en"", ""zh"")"),"谁负责协调球队的节奏？")</f>
        <v>谁负责协调球队的节奏？</v>
      </c>
      <c r="I69" s="4" t="str">
        <f>IFERROR(__xludf.DUMMYFUNCTION("GOOGLETRANSLATE(C69, ""en"", ""zh"")"),"A) 鼓手 B) 船长 C) 舵手 D) 首席桨手")</f>
        <v>A) 鼓手 B) 船长 C) 舵手 D) 首席桨手</v>
      </c>
      <c r="J69" s="4" t="str">
        <f>IFERROR(__xludf.DUMMYFUNCTION("GOOGLETRANSLATE(D69, ""en"", ""zh"")"),"A）鼓手")</f>
        <v>A）鼓手</v>
      </c>
      <c r="K69" s="4" t="str">
        <f>IFERROR(__xludf.DUMMYFUNCTION("GOOGLETRANSLATE(E69, ""en"", ""zh"")"),"#VALUE!")</f>
        <v>#VALUE!</v>
      </c>
      <c r="L69" s="2"/>
      <c r="M69" s="2"/>
      <c r="N69" s="2"/>
      <c r="O69" s="2"/>
      <c r="P69" s="2"/>
      <c r="Q69" s="23"/>
      <c r="R69" s="23"/>
      <c r="S69" s="23"/>
      <c r="T69" s="23"/>
      <c r="U69" s="23"/>
      <c r="V69" s="23"/>
      <c r="W69" s="23"/>
      <c r="X69" s="23"/>
      <c r="Y69" s="23"/>
      <c r="Z69" s="23"/>
    </row>
    <row r="70">
      <c r="A70" s="16">
        <v>69.0</v>
      </c>
      <c r="B70" s="17" t="s">
        <v>720</v>
      </c>
      <c r="C70" s="17" t="s">
        <v>721</v>
      </c>
      <c r="D70" s="17" t="s">
        <v>722</v>
      </c>
      <c r="E70" s="20"/>
      <c r="F70" s="2"/>
      <c r="G70" s="2"/>
      <c r="H70" s="4" t="str">
        <f>IFERROR(__xludf.DUMMYFUNCTION("GOOGLETRANSLATE(B70, ""en"", ""zh"")"),"安全规则要求：")</f>
        <v>安全规则要求：</v>
      </c>
      <c r="I70" s="4" t="str">
        <f>IFERROR(__xludf.DUMMYFUNCTION("GOOGLETRANSLATE(C70, ""en"", ""zh"")"),"A) 所有划桨者都必须穿救生衣 B) 必须佩戴头盔 C) 只穿鞋子 D) 必须佩戴手套")</f>
        <v>A) 所有划桨者都必须穿救生衣 B) 必须佩戴头盔 C) 只穿鞋子 D) 必须佩戴手套</v>
      </c>
      <c r="J70" s="4" t="str">
        <f>IFERROR(__xludf.DUMMYFUNCTION("GOOGLETRANSLATE(D70, ""en"", ""zh"")"),"A) 所有划桨者都需穿着救生衣")</f>
        <v>A) 所有划桨者都需穿着救生衣</v>
      </c>
      <c r="K70" s="4" t="str">
        <f>IFERROR(__xludf.DUMMYFUNCTION("GOOGLETRANSLATE(E70, ""en"", ""zh"")"),"#VALUE!")</f>
        <v>#VALUE!</v>
      </c>
      <c r="L70" s="2"/>
      <c r="M70" s="2"/>
      <c r="N70" s="2"/>
      <c r="O70" s="2"/>
      <c r="P70" s="2"/>
      <c r="Q70" s="23"/>
      <c r="R70" s="23"/>
      <c r="S70" s="23"/>
      <c r="T70" s="23"/>
      <c r="U70" s="23"/>
      <c r="V70" s="23"/>
      <c r="W70" s="23"/>
      <c r="X70" s="23"/>
      <c r="Y70" s="23"/>
      <c r="Z70" s="23"/>
    </row>
    <row r="71">
      <c r="A71" s="16">
        <v>70.0</v>
      </c>
      <c r="B71" s="17" t="s">
        <v>723</v>
      </c>
      <c r="C71" s="17" t="s">
        <v>724</v>
      </c>
      <c r="D71" s="17" t="s">
        <v>725</v>
      </c>
      <c r="E71" s="20"/>
      <c r="F71" s="2"/>
      <c r="G71" s="2"/>
      <c r="H71" s="4" t="str">
        <f>IFERROR(__xludf.DUMMYFUNCTION("GOOGLETRANSLATE(B71, ""en"", ""zh"")"),"船首桨手的职责包括：")</f>
        <v>船首桨手的职责包括：</v>
      </c>
      <c r="I71" s="4" t="str">
        <f>IFERROR(__xludf.DUMMYFUNCTION("GOOGLETRANSLATE(C71, ""en"", ""zh"")"),"A) 跟随鼓手的节奏 B) 掌舵 C) 打鼓 D) 教练助理")</f>
        <v>A) 跟随鼓手的节奏 B) 掌舵 C) 打鼓 D) 教练助理</v>
      </c>
      <c r="J71" s="4" t="str">
        <f>IFERROR(__xludf.DUMMYFUNCTION("GOOGLETRANSLATE(D71, ""en"", ""zh"")"),"A) 跟随鼓手的节奏")</f>
        <v>A) 跟随鼓手的节奏</v>
      </c>
      <c r="K71" s="4" t="str">
        <f>IFERROR(__xludf.DUMMYFUNCTION("GOOGLETRANSLATE(E71, ""en"", ""zh"")"),"#VALUE!")</f>
        <v>#VALUE!</v>
      </c>
      <c r="L71" s="2"/>
      <c r="M71" s="2"/>
      <c r="N71" s="2"/>
      <c r="O71" s="2"/>
      <c r="P71" s="2"/>
      <c r="Q71" s="23"/>
      <c r="R71" s="23"/>
      <c r="S71" s="23"/>
      <c r="T71" s="23"/>
      <c r="U71" s="23"/>
      <c r="V71" s="23"/>
      <c r="W71" s="23"/>
      <c r="X71" s="23"/>
      <c r="Y71" s="23"/>
      <c r="Z71" s="23"/>
    </row>
    <row r="72">
      <c r="A72" s="16">
        <v>71.0</v>
      </c>
      <c r="B72" s="17" t="s">
        <v>726</v>
      </c>
      <c r="C72" s="17" t="s">
        <v>727</v>
      </c>
      <c r="D72" s="17" t="s">
        <v>728</v>
      </c>
      <c r="E72" s="20"/>
      <c r="F72" s="2"/>
      <c r="G72" s="2"/>
      <c r="H72" s="4" t="str">
        <f>IFERROR(__xludf.DUMMYFUNCTION("GOOGLETRANSLATE(B72, ""en"", ""zh"")"),"龙舟比赛可能包括：")</f>
        <v>龙舟比赛可能包括：</v>
      </c>
      <c r="I72" s="4" t="str">
        <f>IFERROR(__xludf.DUMMYFUNCTION("GOOGLETRANSLATE(C72, ""en"", ""zh"")"),"A) 预赛和决赛 B) 只有一场比赛 C) 计时赛 D) 仅练习赛")</f>
        <v>A) 预赛和决赛 B) 只有一场比赛 C) 计时赛 D) 仅练习赛</v>
      </c>
      <c r="J72" s="4" t="str">
        <f>IFERROR(__xludf.DUMMYFUNCTION("GOOGLETRANSLATE(D72, ""en"", ""zh"")"),"A) 预赛和决赛")</f>
        <v>A) 预赛和决赛</v>
      </c>
      <c r="K72" s="4" t="str">
        <f>IFERROR(__xludf.DUMMYFUNCTION("GOOGLETRANSLATE(E72, ""en"", ""zh"")"),"#VALUE!")</f>
        <v>#VALUE!</v>
      </c>
      <c r="L72" s="2"/>
      <c r="M72" s="2"/>
      <c r="N72" s="2"/>
      <c r="O72" s="2"/>
      <c r="P72" s="2"/>
      <c r="Q72" s="23"/>
      <c r="R72" s="23"/>
      <c r="S72" s="23"/>
      <c r="T72" s="23"/>
      <c r="U72" s="23"/>
      <c r="V72" s="23"/>
      <c r="W72" s="23"/>
      <c r="X72" s="23"/>
      <c r="Y72" s="23"/>
      <c r="Z72" s="23"/>
    </row>
    <row r="73">
      <c r="A73" s="16">
        <v>72.0</v>
      </c>
      <c r="B73" s="17" t="s">
        <v>729</v>
      </c>
      <c r="C73" s="17" t="s">
        <v>730</v>
      </c>
      <c r="D73" s="17" t="s">
        <v>731</v>
      </c>
      <c r="E73" s="20"/>
      <c r="F73" s="2"/>
      <c r="G73" s="2"/>
      <c r="H73" s="4" t="str">
        <f>IFERROR(__xludf.DUMMYFUNCTION("GOOGLETRANSLATE(B73, ""en"", ""zh"")"),"因以下原因可能被取消参赛资格：")</f>
        <v>因以下原因可能被取消参赛资格：</v>
      </c>
      <c r="I73" s="4" t="str">
        <f>IFERROR(__xludf.DUMMYFUNCTION("GOOGLETRANSLATE(C73, ""en"", ""zh"")"),"A) 干扰其他船只 B) 划桨缓慢 C) 敲鼓 D) 穿着错误的颜色")</f>
        <v>A) 干扰其他船只 B) 划桨缓慢 C) 敲鼓 D) 穿着错误的颜色</v>
      </c>
      <c r="J73" s="4" t="str">
        <f>IFERROR(__xludf.DUMMYFUNCTION("GOOGLETRANSLATE(D73, ""en"", ""zh"")"),"A) 干扰其他船只")</f>
        <v>A) 干扰其他船只</v>
      </c>
      <c r="K73" s="4" t="str">
        <f>IFERROR(__xludf.DUMMYFUNCTION("GOOGLETRANSLATE(E73, ""en"", ""zh"")"),"#VALUE!")</f>
        <v>#VALUE!</v>
      </c>
      <c r="L73" s="2"/>
      <c r="M73" s="2"/>
      <c r="N73" s="2"/>
      <c r="O73" s="2"/>
      <c r="P73" s="2"/>
      <c r="Q73" s="23"/>
      <c r="R73" s="23"/>
      <c r="S73" s="23"/>
      <c r="T73" s="23"/>
      <c r="U73" s="23"/>
      <c r="V73" s="23"/>
      <c r="W73" s="23"/>
      <c r="X73" s="23"/>
      <c r="Y73" s="23"/>
      <c r="Z73" s="23"/>
    </row>
    <row r="74">
      <c r="A74" s="19">
        <v>73.0</v>
      </c>
      <c r="B74" s="17" t="s">
        <v>732</v>
      </c>
      <c r="C74" s="17" t="s">
        <v>733</v>
      </c>
      <c r="D74" s="17" t="s">
        <v>734</v>
      </c>
      <c r="E74" s="20"/>
      <c r="F74" s="2"/>
      <c r="G74" s="2"/>
      <c r="H74" s="4" t="str">
        <f>IFERROR(__xludf.DUMMYFUNCTION("GOOGLETRANSLATE(B74, ""en"", ""zh"")"),"龙舟比赛中的“十强”是什么？")</f>
        <v>龙舟比赛中的“十强”是什么？</v>
      </c>
      <c r="I74" s="4" t="str">
        <f>IFERROR(__xludf.DUMMYFUNCTION("GOOGLETRANSLATE(C74, ""en"", ""zh"")"),"A) 十次强劲、协调的划桨动作 B) 桨手人数 C) 十秒休息 D) 十个船身长度")</f>
        <v>A) 十次强劲、协调的划桨动作 B) 桨手人数 C) 十秒休息 D) 十个船身长度</v>
      </c>
      <c r="J74" s="4" t="str">
        <f>IFERROR(__xludf.DUMMYFUNCTION("GOOGLETRANSLATE(D74, ""en"", ""zh"")"),"A) 十次强劲、协调的击球")</f>
        <v>A) 十次强劲、协调的击球</v>
      </c>
      <c r="K74" s="4" t="str">
        <f>IFERROR(__xludf.DUMMYFUNCTION("GOOGLETRANSLATE(E74, ""en"", ""zh"")"),"#VALUE!")</f>
        <v>#VALUE!</v>
      </c>
      <c r="L74" s="2"/>
      <c r="M74" s="2"/>
      <c r="N74" s="2"/>
      <c r="O74" s="2"/>
      <c r="P74" s="2"/>
      <c r="Q74" s="23"/>
      <c r="R74" s="23"/>
      <c r="S74" s="23"/>
      <c r="T74" s="23"/>
      <c r="U74" s="23"/>
      <c r="V74" s="23"/>
      <c r="W74" s="23"/>
      <c r="X74" s="23"/>
      <c r="Y74" s="23"/>
      <c r="Z74" s="23"/>
    </row>
    <row r="75">
      <c r="A75" s="19">
        <v>74.0</v>
      </c>
      <c r="B75" s="17" t="s">
        <v>735</v>
      </c>
      <c r="C75" s="17" t="s">
        <v>736</v>
      </c>
      <c r="D75" s="17" t="s">
        <v>737</v>
      </c>
      <c r="E75" s="20"/>
      <c r="F75" s="2"/>
      <c r="G75" s="2"/>
      <c r="H75" s="4" t="str">
        <f>IFERROR(__xludf.DUMMYFUNCTION("GOOGLETRANSLATE(B75, ""en"", ""zh"")"),"舵手的职责包括：")</f>
        <v>舵手的职责包括：</v>
      </c>
      <c r="I75" s="4" t="str">
        <f>IFERROR(__xludf.DUMMYFUNCTION("GOOGLETRANSLATE(C75, ""en"", ""zh"")"),"A) 保持船身直线行驶 B) 击鼓 C) 喊划桨声 D) 仅划桨")</f>
        <v>A) 保持船身直线行驶 B) 击鼓 C) 喊划桨声 D) 仅划桨</v>
      </c>
      <c r="J75" s="4" t="str">
        <f>IFERROR(__xludf.DUMMYFUNCTION("GOOGLETRANSLATE(D75, ""en"", ""zh"")"),"A) 保持船身直线行驶")</f>
        <v>A) 保持船身直线行驶</v>
      </c>
      <c r="K75" s="4" t="str">
        <f>IFERROR(__xludf.DUMMYFUNCTION("GOOGLETRANSLATE(E75, ""en"", ""zh"")"),"#VALUE!")</f>
        <v>#VALUE!</v>
      </c>
      <c r="L75" s="2"/>
      <c r="M75" s="2"/>
      <c r="N75" s="2"/>
      <c r="O75" s="2"/>
      <c r="P75" s="2"/>
      <c r="Q75" s="23"/>
      <c r="R75" s="23"/>
      <c r="S75" s="23"/>
      <c r="T75" s="23"/>
      <c r="U75" s="23"/>
      <c r="V75" s="23"/>
      <c r="W75" s="23"/>
      <c r="X75" s="23"/>
      <c r="Y75" s="23"/>
      <c r="Z75" s="23"/>
    </row>
    <row r="76">
      <c r="A76" s="21">
        <v>75.0</v>
      </c>
      <c r="B76" s="17" t="s">
        <v>738</v>
      </c>
      <c r="C76" s="17" t="s">
        <v>739</v>
      </c>
      <c r="D76" s="17" t="s">
        <v>740</v>
      </c>
      <c r="E76" s="20"/>
      <c r="F76" s="2"/>
      <c r="G76" s="2"/>
      <c r="H76" s="4" t="str">
        <f>IFERROR(__xludf.DUMMYFUNCTION("GOOGLETRANSLATE(B76, ""en"", ""zh"")"),"划桨者采用哪种坐姿？")</f>
        <v>划桨者采用哪种坐姿？</v>
      </c>
      <c r="I76" s="4" t="str">
        <f>IFERROR(__xludf.DUMMYFUNCTION("GOOGLETRANSLATE(C76, ""en"", ""zh"")"),"A) 左右交替 B) 全部在左侧 C) 全部在右侧 D) 随机")</f>
        <v>A) 左右交替 B) 全部在左侧 C) 全部在右侧 D) 随机</v>
      </c>
      <c r="J76" s="4" t="str">
        <f>IFERROR(__xludf.DUMMYFUNCTION("GOOGLETRANSLATE(D76, ""en"", ""zh"")"),"A) 交替边")</f>
        <v>A) 交替边</v>
      </c>
      <c r="K76" s="4" t="str">
        <f>IFERROR(__xludf.DUMMYFUNCTION("GOOGLETRANSLATE(E76, ""en"", ""zh"")"),"#VALUE!")</f>
        <v>#VALUE!</v>
      </c>
      <c r="L76" s="2"/>
      <c r="M76" s="2"/>
      <c r="N76" s="2"/>
      <c r="O76" s="2"/>
      <c r="P76" s="2"/>
      <c r="Q76" s="23"/>
      <c r="R76" s="23"/>
      <c r="S76" s="23"/>
      <c r="T76" s="23"/>
      <c r="U76" s="23"/>
      <c r="V76" s="23"/>
      <c r="W76" s="23"/>
      <c r="X76" s="23"/>
      <c r="Y76" s="23"/>
      <c r="Z76" s="23"/>
    </row>
    <row r="77">
      <c r="A77" s="21">
        <v>76.0</v>
      </c>
      <c r="B77" s="17" t="s">
        <v>741</v>
      </c>
      <c r="C77" s="17" t="s">
        <v>742</v>
      </c>
      <c r="D77" s="17" t="s">
        <v>743</v>
      </c>
      <c r="E77" s="20"/>
      <c r="F77" s="2"/>
      <c r="G77" s="2"/>
      <c r="H77" s="4" t="str">
        <f>IFERROR(__xludf.DUMMYFUNCTION("GOOGLETRANSLATE(B77, ""en"", ""zh"")"),"终点线通常会标有：")</f>
        <v>终点线通常会标有：</v>
      </c>
      <c r="I77" s="4" t="str">
        <f>IFERROR(__xludf.DUMMYFUNCTION("GOOGLETRANSLATE(C77, ""en"", ""zh"")"),"A) 浮标或旗帜 B) 绳索 C) 海岸线 D) 鼓手")</f>
        <v>A) 浮标或旗帜 B) 绳索 C) 海岸线 D) 鼓手</v>
      </c>
      <c r="J77" s="4" t="str">
        <f>IFERROR(__xludf.DUMMYFUNCTION("GOOGLETRANSLATE(D77, ""en"", ""zh"")"),"A) 浮标或旗帜")</f>
        <v>A) 浮标或旗帜</v>
      </c>
      <c r="K77" s="4" t="str">
        <f>IFERROR(__xludf.DUMMYFUNCTION("GOOGLETRANSLATE(E77, ""en"", ""zh"")"),"#VALUE!")</f>
        <v>#VALUE!</v>
      </c>
      <c r="L77" s="2"/>
      <c r="M77" s="2"/>
      <c r="N77" s="2"/>
      <c r="O77" s="2"/>
      <c r="P77" s="2"/>
      <c r="Q77" s="23"/>
      <c r="R77" s="23"/>
      <c r="S77" s="23"/>
      <c r="T77" s="23"/>
      <c r="U77" s="23"/>
      <c r="V77" s="23"/>
      <c r="W77" s="23"/>
      <c r="X77" s="23"/>
      <c r="Y77" s="23"/>
      <c r="Z77" s="23"/>
    </row>
    <row r="78">
      <c r="A78" s="21">
        <v>77.0</v>
      </c>
      <c r="B78" s="17" t="s">
        <v>744</v>
      </c>
      <c r="C78" s="17" t="s">
        <v>745</v>
      </c>
      <c r="D78" s="17" t="s">
        <v>746</v>
      </c>
      <c r="E78" s="20"/>
      <c r="F78" s="2"/>
      <c r="G78" s="2"/>
      <c r="H78" s="4" t="str">
        <f>IFERROR(__xludf.DUMMYFUNCTION("GOOGLETRANSLATE(B78, ""en"", ""zh"")"),"当出现以下情况时，将处以“车道违规”处罚：")</f>
        <v>当出现以下情况时，将处以“车道违规”处罚：</v>
      </c>
      <c r="I78" s="4" t="str">
        <f>IFERROR(__xludf.DUMMYFUNCTION("GOOGLETRANSLATE(C78, ""en"", ""zh"")"),"A) 船驶离指定航道 B) 桨落水 C) 鼓手停止击球 D) 船倾斜")</f>
        <v>A) 船驶离指定航道 B) 桨落水 C) 鼓手停止击球 D) 船倾斜</v>
      </c>
      <c r="J78" s="4" t="str">
        <f>IFERROR(__xludf.DUMMYFUNCTION("GOOGLETRANSLATE(D78, ""en"", ""zh"")"),"A) 船只驶离指定航道")</f>
        <v>A) 船只驶离指定航道</v>
      </c>
      <c r="K78" s="4" t="str">
        <f>IFERROR(__xludf.DUMMYFUNCTION("GOOGLETRANSLATE(E78, ""en"", ""zh"")"),"#VALUE!")</f>
        <v>#VALUE!</v>
      </c>
      <c r="L78" s="2"/>
      <c r="M78" s="2"/>
      <c r="N78" s="2"/>
      <c r="O78" s="2"/>
      <c r="P78" s="2"/>
      <c r="Q78" s="23"/>
      <c r="R78" s="23"/>
      <c r="S78" s="23"/>
      <c r="T78" s="23"/>
      <c r="U78" s="23"/>
      <c r="V78" s="23"/>
      <c r="W78" s="23"/>
      <c r="X78" s="23"/>
      <c r="Y78" s="23"/>
      <c r="Z78" s="23"/>
    </row>
    <row r="79">
      <c r="A79" s="21">
        <v>78.0</v>
      </c>
      <c r="B79" s="17" t="s">
        <v>747</v>
      </c>
      <c r="C79" s="17" t="s">
        <v>748</v>
      </c>
      <c r="D79" s="17" t="s">
        <v>749</v>
      </c>
      <c r="E79" s="20"/>
      <c r="F79" s="2"/>
      <c r="G79" s="2"/>
      <c r="H79" s="4" t="str">
        <f>IFERROR(__xludf.DUMMYFUNCTION("GOOGLETRANSLATE(B79, ""en"", ""zh"")"),"鼓手的主要职责是：")</f>
        <v>鼓手的主要职责是：</v>
      </c>
      <c r="I79" s="4" t="str">
        <f>IFERROR(__xludf.DUMMYFUNCTION("GOOGLETRANSLATE(C79, ""en"", ""zh"")"),"A) 划桨时机 B) 转向 C) 划桨 D) 指导")</f>
        <v>A) 划桨时机 B) 转向 C) 划桨 D) 指导</v>
      </c>
      <c r="J79" s="4" t="str">
        <f>IFERROR(__xludf.DUMMYFUNCTION("GOOGLETRANSLATE(D79, ""en"", ""zh"")"),"A) 计时冲程")</f>
        <v>A) 计时冲程</v>
      </c>
      <c r="K79" s="4" t="str">
        <f>IFERROR(__xludf.DUMMYFUNCTION("GOOGLETRANSLATE(E79, ""en"", ""zh"")"),"#VALUE!")</f>
        <v>#VALUE!</v>
      </c>
      <c r="L79" s="2"/>
      <c r="M79" s="2"/>
      <c r="N79" s="2"/>
      <c r="O79" s="2"/>
      <c r="P79" s="2"/>
      <c r="Q79" s="23"/>
      <c r="R79" s="23"/>
      <c r="S79" s="23"/>
      <c r="T79" s="23"/>
      <c r="U79" s="23"/>
      <c r="V79" s="23"/>
      <c r="W79" s="23"/>
      <c r="X79" s="23"/>
      <c r="Y79" s="23"/>
      <c r="Z79" s="23"/>
    </row>
    <row r="80">
      <c r="A80" s="21">
        <v>79.0</v>
      </c>
      <c r="B80" s="17" t="s">
        <v>750</v>
      </c>
      <c r="C80" s="17" t="s">
        <v>751</v>
      </c>
      <c r="D80" s="17" t="s">
        <v>752</v>
      </c>
      <c r="E80" s="20"/>
      <c r="F80" s="2"/>
      <c r="G80" s="2"/>
      <c r="H80" s="4" t="str">
        <f>IFERROR(__xludf.DUMMYFUNCTION("GOOGLETRANSLATE(B80, ""en"", ""zh"")"),"龙舟比赛可以是：")</f>
        <v>龙舟比赛可以是：</v>
      </c>
      <c r="I80" s="4" t="str">
        <f>IFERROR(__xludf.DUMMYFUNCTION("GOOGLETRANSLATE(C80, ""en"", ""zh"")"),"A) 短距离或长距离 B) 仅短距离 C) 仅长距离 D) 单人划桨")</f>
        <v>A) 短距离或长距离 B) 仅短距离 C) 仅长距离 D) 单人划桨</v>
      </c>
      <c r="J80" s="4" t="str">
        <f>IFERROR(__xludf.DUMMYFUNCTION("GOOGLETRANSLATE(D80, ""en"", ""zh"")"),"A) 短跑或长跑")</f>
        <v>A) 短跑或长跑</v>
      </c>
      <c r="K80" s="4" t="str">
        <f>IFERROR(__xludf.DUMMYFUNCTION("GOOGLETRANSLATE(E80, ""en"", ""zh"")"),"#VALUE!")</f>
        <v>#VALUE!</v>
      </c>
      <c r="L80" s="2"/>
      <c r="M80" s="2"/>
      <c r="N80" s="2"/>
      <c r="O80" s="2"/>
      <c r="P80" s="2"/>
      <c r="Q80" s="23"/>
      <c r="R80" s="23"/>
      <c r="S80" s="23"/>
      <c r="T80" s="23"/>
      <c r="U80" s="23"/>
      <c r="V80" s="23"/>
      <c r="W80" s="23"/>
      <c r="X80" s="23"/>
      <c r="Y80" s="23"/>
      <c r="Z80" s="23"/>
    </row>
    <row r="81">
      <c r="A81" s="21">
        <v>80.0</v>
      </c>
      <c r="B81" s="17" t="s">
        <v>753</v>
      </c>
      <c r="C81" s="17" t="s">
        <v>754</v>
      </c>
      <c r="D81" s="17" t="s">
        <v>62</v>
      </c>
      <c r="E81" s="20"/>
      <c r="F81" s="2"/>
      <c r="G81" s="2"/>
      <c r="H81" s="4" t="str">
        <f>IFERROR(__xludf.DUMMYFUNCTION("GOOGLETRANSLATE(B81, ""en"", ""zh"")"),"机组同步会影响：")</f>
        <v>机组同步会影响：</v>
      </c>
      <c r="I81" s="4" t="str">
        <f>IFERROR(__xludf.DUMMYFUNCTION("GOOGLETRANSLATE(C81, ""en"", ""zh"")"),"A) 船速 B) 稳定性 C) 效率 D) 以上所有")</f>
        <v>A) 船速 B) 稳定性 C) 效率 D) 以上所有</v>
      </c>
      <c r="J81" s="4" t="str">
        <f>IFERROR(__xludf.DUMMYFUNCTION("GOOGLETRANSLATE(D81, ""en"", ""zh"")"),"D) 以上所有选项")</f>
        <v>D) 以上所有选项</v>
      </c>
      <c r="K81" s="4" t="str">
        <f>IFERROR(__xludf.DUMMYFUNCTION("GOOGLETRANSLATE(E81, ""en"", ""zh"")"),"#VALUE!")</f>
        <v>#VALUE!</v>
      </c>
      <c r="L81" s="2"/>
      <c r="M81" s="2"/>
      <c r="N81" s="2"/>
      <c r="O81" s="2"/>
      <c r="P81" s="2"/>
      <c r="Q81" s="23"/>
      <c r="R81" s="23"/>
      <c r="S81" s="23"/>
      <c r="T81" s="23"/>
      <c r="U81" s="23"/>
      <c r="V81" s="23"/>
      <c r="W81" s="23"/>
      <c r="X81" s="23"/>
      <c r="Y81" s="23"/>
      <c r="Z81" s="23"/>
    </row>
    <row r="82">
      <c r="A82" s="21">
        <v>81.0</v>
      </c>
      <c r="B82" s="17" t="s">
        <v>755</v>
      </c>
      <c r="C82" s="17" t="s">
        <v>756</v>
      </c>
      <c r="D82" s="17" t="s">
        <v>757</v>
      </c>
      <c r="E82" s="20"/>
      <c r="F82" s="2"/>
      <c r="G82" s="2"/>
      <c r="H82" s="4" t="str">
        <f>IFERROR(__xludf.DUMMYFUNCTION("GOOGLETRANSLATE(B82, ""en"", ""zh"")"),"船尾叫做：")</f>
        <v>船尾叫做：</v>
      </c>
      <c r="I82" s="4" t="str">
        <f>IFERROR(__xludf.DUMMYFUNCTION("GOOGLETRANSLATE(C82, ""en"", ""zh"")"),"A) 船尾 B) 船首 C) 船中部 D) 鼓手位置")</f>
        <v>A) 船尾 B) 船首 C) 船中部 D) 鼓手位置</v>
      </c>
      <c r="J82" s="4" t="str">
        <f>IFERROR(__xludf.DUMMYFUNCTION("GOOGLETRANSLATE(D82, ""en"", ""zh"")"),"A) 斯特恩")</f>
        <v>A) 斯特恩</v>
      </c>
      <c r="K82" s="4" t="str">
        <f>IFERROR(__xludf.DUMMYFUNCTION("GOOGLETRANSLATE(E82, ""en"", ""zh"")"),"#VALUE!")</f>
        <v>#VALUE!</v>
      </c>
      <c r="L82" s="2"/>
      <c r="M82" s="2"/>
      <c r="N82" s="2"/>
      <c r="O82" s="2"/>
      <c r="P82" s="2"/>
      <c r="Q82" s="23"/>
      <c r="R82" s="23"/>
      <c r="S82" s="23"/>
      <c r="T82" s="23"/>
      <c r="U82" s="23"/>
      <c r="V82" s="23"/>
      <c r="W82" s="23"/>
      <c r="X82" s="23"/>
      <c r="Y82" s="23"/>
      <c r="Z82" s="23"/>
    </row>
    <row r="83">
      <c r="A83" s="21">
        <v>82.0</v>
      </c>
      <c r="B83" s="17" t="s">
        <v>758</v>
      </c>
      <c r="C83" s="17" t="s">
        <v>759</v>
      </c>
      <c r="D83" s="17" t="s">
        <v>62</v>
      </c>
      <c r="E83" s="20"/>
      <c r="F83" s="2"/>
      <c r="G83" s="2"/>
      <c r="H83" s="4" t="str">
        <f>IFERROR(__xludf.DUMMYFUNCTION("GOOGLETRANSLATE(B83, ""en"", ""zh"")"),"龙舟可以由以下材料制成：")</f>
        <v>龙舟可以由以下材料制成：</v>
      </c>
      <c r="I83" s="4" t="str">
        <f>IFERROR(__xludf.DUMMYFUNCTION("GOOGLETRANSLATE(C83, ""en"", ""zh"")"),"A) 木材 B) 玻璃纤维 C) 碳纤维 D) 以上全部")</f>
        <v>A) 木材 B) 玻璃纤维 C) 碳纤维 D) 以上全部</v>
      </c>
      <c r="J83" s="4" t="str">
        <f>IFERROR(__xludf.DUMMYFUNCTION("GOOGLETRANSLATE(D83, ""en"", ""zh"")"),"D) 以上所有选项")</f>
        <v>D) 以上所有选项</v>
      </c>
      <c r="K83" s="4" t="str">
        <f>IFERROR(__xludf.DUMMYFUNCTION("GOOGLETRANSLATE(E83, ""en"", ""zh"")"),"#VALUE!")</f>
        <v>#VALUE!</v>
      </c>
      <c r="L83" s="2"/>
      <c r="M83" s="2"/>
      <c r="N83" s="2"/>
      <c r="O83" s="2"/>
      <c r="P83" s="2"/>
      <c r="Q83" s="23"/>
      <c r="R83" s="23"/>
      <c r="S83" s="23"/>
      <c r="T83" s="23"/>
      <c r="U83" s="23"/>
      <c r="V83" s="23"/>
      <c r="W83" s="23"/>
      <c r="X83" s="23"/>
      <c r="Y83" s="23"/>
      <c r="Z83" s="23"/>
    </row>
    <row r="84">
      <c r="A84" s="21">
        <v>83.0</v>
      </c>
      <c r="B84" s="17" t="s">
        <v>760</v>
      </c>
      <c r="C84" s="17" t="s">
        <v>761</v>
      </c>
      <c r="D84" s="17" t="s">
        <v>762</v>
      </c>
      <c r="E84" s="20"/>
      <c r="F84" s="2"/>
      <c r="G84" s="2"/>
      <c r="H84" s="4" t="str">
        <f>IFERROR(__xludf.DUMMYFUNCTION("GOOGLETRANSLATE(B84, ""en"", ""zh"")"),"比赛顺序是如何确定的？")</f>
        <v>比赛顺序是如何确定的？</v>
      </c>
      <c r="I84" s="4" t="str">
        <f>IFERROR(__xludf.DUMMYFUNCTION("GOOGLETRANSLATE(C84, ""en"", ""zh"")"),"A) 随机抽签或种子选手 B) 船长决定 C) 鼓手 D) 船体颜色")</f>
        <v>A) 随机抽签或种子选手 B) 船长决定 C) 鼓手 D) 船体颜色</v>
      </c>
      <c r="J84" s="4" t="str">
        <f>IFERROR(__xludf.DUMMYFUNCTION("GOOGLETRANSLATE(D84, ""en"", ""zh"")"),"A) 随机抽签或播种")</f>
        <v>A) 随机抽签或播种</v>
      </c>
      <c r="K84" s="4" t="str">
        <f>IFERROR(__xludf.DUMMYFUNCTION("GOOGLETRANSLATE(E84, ""en"", ""zh"")"),"#VALUE!")</f>
        <v>#VALUE!</v>
      </c>
      <c r="L84" s="2"/>
      <c r="M84" s="2"/>
      <c r="N84" s="2"/>
      <c r="O84" s="2"/>
      <c r="P84" s="2"/>
      <c r="Q84" s="23"/>
      <c r="R84" s="23"/>
      <c r="S84" s="23"/>
      <c r="T84" s="23"/>
      <c r="U84" s="23"/>
      <c r="V84" s="23"/>
      <c r="W84" s="23"/>
      <c r="X84" s="23"/>
      <c r="Y84" s="23"/>
      <c r="Z84" s="23"/>
    </row>
    <row r="85">
      <c r="A85" s="21">
        <v>84.0</v>
      </c>
      <c r="B85" s="17" t="s">
        <v>763</v>
      </c>
      <c r="C85" s="17" t="s">
        <v>764</v>
      </c>
      <c r="D85" s="17" t="s">
        <v>719</v>
      </c>
      <c r="E85" s="20"/>
      <c r="F85" s="2"/>
      <c r="G85" s="2"/>
      <c r="H85" s="4" t="str">
        <f>IFERROR(__xludf.DUMMYFUNCTION("GOOGLETRANSLATE(B85, ""en"", ""zh"")"),"桨手的划桨节奏受以下因素指导：")</f>
        <v>桨手的划桨节奏受以下因素指导：</v>
      </c>
      <c r="I85" s="4" t="str">
        <f>IFERROR(__xludf.DUMMYFUNCTION("GOOGLETRANSLATE(C85, ""en"", ""zh"")"),"A) 鼓手 B) 舵手 C) 船长 D) 首席桨手")</f>
        <v>A) 鼓手 B) 舵手 C) 船长 D) 首席桨手</v>
      </c>
      <c r="J85" s="4" t="str">
        <f>IFERROR(__xludf.DUMMYFUNCTION("GOOGLETRANSLATE(D85, ""en"", ""zh"")"),"A）鼓手")</f>
        <v>A）鼓手</v>
      </c>
      <c r="K85" s="4" t="str">
        <f>IFERROR(__xludf.DUMMYFUNCTION("GOOGLETRANSLATE(E85, ""en"", ""zh"")"),"#VALUE!")</f>
        <v>#VALUE!</v>
      </c>
      <c r="L85" s="2"/>
      <c r="M85" s="2"/>
      <c r="N85" s="2"/>
      <c r="O85" s="2"/>
      <c r="P85" s="2"/>
      <c r="Q85" s="23"/>
      <c r="R85" s="23"/>
      <c r="S85" s="23"/>
      <c r="T85" s="23"/>
      <c r="U85" s="23"/>
      <c r="V85" s="23"/>
      <c r="W85" s="23"/>
      <c r="X85" s="23"/>
      <c r="Y85" s="23"/>
      <c r="Z85" s="23"/>
    </row>
    <row r="86">
      <c r="A86" s="21">
        <v>85.0</v>
      </c>
      <c r="B86" s="17" t="s">
        <v>765</v>
      </c>
      <c r="C86" s="17" t="s">
        <v>766</v>
      </c>
      <c r="D86" s="17" t="s">
        <v>767</v>
      </c>
      <c r="E86" s="20"/>
      <c r="F86" s="2"/>
      <c r="G86" s="2"/>
      <c r="H86" s="4" t="str">
        <f>IFERROR(__xludf.DUMMYFUNCTION("GOOGLETRANSLATE(B86, ""en"", ""zh"")"),"桨叶长度由以下因素决定：")</f>
        <v>桨叶长度由以下因素决定：</v>
      </c>
      <c r="I86" s="4" t="str">
        <f>IFERROR(__xludf.DUMMYFUNCTION("GOOGLETRANSLATE(C86, ""en"", ""zh"")"),"A) 桨手身高和船只尺寸 B) 传统 C) 比赛类型 D) 船只颜色")</f>
        <v>A) 桨手身高和船只尺寸 B) 传统 C) 比赛类型 D) 船只颜色</v>
      </c>
      <c r="J86" s="4" t="str">
        <f>IFERROR(__xludf.DUMMYFUNCTION("GOOGLETRANSLATE(D86, ""en"", ""zh"")"),"A) 划桨者身高和船只尺寸")</f>
        <v>A) 划桨者身高和船只尺寸</v>
      </c>
      <c r="K86" s="4" t="str">
        <f>IFERROR(__xludf.DUMMYFUNCTION("GOOGLETRANSLATE(E86, ""en"", ""zh"")"),"#VALUE!")</f>
        <v>#VALUE!</v>
      </c>
      <c r="L86" s="2"/>
      <c r="M86" s="2"/>
      <c r="N86" s="2"/>
      <c r="O86" s="2"/>
      <c r="P86" s="2"/>
      <c r="Q86" s="23"/>
      <c r="R86" s="23"/>
      <c r="S86" s="23"/>
      <c r="T86" s="23"/>
      <c r="U86" s="23"/>
      <c r="V86" s="23"/>
      <c r="W86" s="23"/>
      <c r="X86" s="23"/>
      <c r="Y86" s="23"/>
      <c r="Z86" s="23"/>
    </row>
    <row r="87">
      <c r="A87" s="21">
        <v>86.0</v>
      </c>
      <c r="B87" s="17" t="s">
        <v>768</v>
      </c>
      <c r="C87" s="17" t="s">
        <v>769</v>
      </c>
      <c r="D87" s="17" t="s">
        <v>770</v>
      </c>
      <c r="E87" s="20"/>
      <c r="F87" s="2"/>
      <c r="G87" s="2"/>
      <c r="H87" s="4" t="str">
        <f>IFERROR(__xludf.DUMMYFUNCTION("GOOGLETRANSLATE(B87, ""en"", ""zh"")"),"以下哪项是不允许的？")</f>
        <v>以下哪项是不允许的？</v>
      </c>
      <c r="I87" s="4" t="str">
        <f>IFERROR(__xludf.DUMMYFUNCTION("GOOGLETRANSLATE(C87, ""en"", ""zh"")"),"A) 站立划桨 B) 坐姿划桨 C) 桨同步 D) 鼓手呼喊")</f>
        <v>A) 站立划桨 B) 坐姿划桨 C) 桨同步 D) 鼓手呼喊</v>
      </c>
      <c r="J87" s="4" t="str">
        <f>IFERROR(__xludf.DUMMYFUNCTION("GOOGLETRANSLATE(D87, ""en"", ""zh"")"),"A) 站立划桨")</f>
        <v>A) 站立划桨</v>
      </c>
      <c r="K87" s="4" t="str">
        <f>IFERROR(__xludf.DUMMYFUNCTION("GOOGLETRANSLATE(E87, ""en"", ""zh"")"),"#VALUE!")</f>
        <v>#VALUE!</v>
      </c>
      <c r="L87" s="2"/>
      <c r="M87" s="2"/>
      <c r="N87" s="2"/>
      <c r="O87" s="2"/>
      <c r="P87" s="2"/>
      <c r="Q87" s="23"/>
      <c r="R87" s="23"/>
      <c r="S87" s="23"/>
      <c r="T87" s="23"/>
      <c r="U87" s="23"/>
      <c r="V87" s="23"/>
      <c r="W87" s="23"/>
      <c r="X87" s="23"/>
      <c r="Y87" s="23"/>
      <c r="Z87" s="23"/>
    </row>
    <row r="88">
      <c r="A88" s="21">
        <v>87.0</v>
      </c>
      <c r="B88" s="17" t="s">
        <v>771</v>
      </c>
      <c r="C88" s="17" t="s">
        <v>772</v>
      </c>
      <c r="D88" s="17" t="s">
        <v>773</v>
      </c>
      <c r="E88" s="20"/>
      <c r="F88" s="2"/>
      <c r="G88" s="2"/>
      <c r="H88" s="4" t="str">
        <f>IFERROR(__xludf.DUMMYFUNCTION("GOOGLETRANSLATE(B88, ""en"", ""zh"")"),"赛事官员负责执行以下规则：")</f>
        <v>赛事官员负责执行以下规则：</v>
      </c>
      <c r="I88" s="4" t="str">
        <f>IFERROR(__xludf.DUMMYFUNCTION("GOOGLETRANSLATE(C88, ""en"", ""zh"")"),"A) 赛道、起点、终点、安全 B) 仅限划桨方式 C) 船只装饰 D) 鼓手位置")</f>
        <v>A) 赛道、起点、终点、安全 B) 仅限划桨方式 C) 船只装饰 D) 鼓手位置</v>
      </c>
      <c r="J88" s="4" t="str">
        <f>IFERROR(__xludf.DUMMYFUNCTION("GOOGLETRANSLATE(D88, ""en"", ""zh"")"),"A) 车道、起点、终点、安全")</f>
        <v>A) 车道、起点、终点、安全</v>
      </c>
      <c r="K88" s="4" t="str">
        <f>IFERROR(__xludf.DUMMYFUNCTION("GOOGLETRANSLATE(E88, ""en"", ""zh"")"),"#VALUE!")</f>
        <v>#VALUE!</v>
      </c>
      <c r="L88" s="2"/>
      <c r="M88" s="2"/>
      <c r="N88" s="2"/>
      <c r="O88" s="2"/>
      <c r="P88" s="2"/>
      <c r="Q88" s="23"/>
      <c r="R88" s="23"/>
      <c r="S88" s="23"/>
      <c r="T88" s="23"/>
      <c r="U88" s="23"/>
      <c r="V88" s="23"/>
      <c r="W88" s="23"/>
      <c r="X88" s="23"/>
      <c r="Y88" s="23"/>
      <c r="Z88" s="23"/>
    </row>
    <row r="89">
      <c r="A89" s="21">
        <v>88.0</v>
      </c>
      <c r="B89" s="17" t="s">
        <v>774</v>
      </c>
      <c r="C89" s="17" t="s">
        <v>775</v>
      </c>
      <c r="D89" s="17" t="s">
        <v>776</v>
      </c>
      <c r="E89" s="20"/>
      <c r="F89" s="2"/>
      <c r="G89" s="2"/>
      <c r="H89" s="4" t="str">
        <f>IFERROR(__xludf.DUMMYFUNCTION("GOOGLETRANSLATE(B89, ""en"", ""zh"")"),"龙舟比赛通常以以下方式开始：")</f>
        <v>龙舟比赛通常以以下方式开始：</v>
      </c>
      <c r="I89" s="4" t="str">
        <f>IFERROR(__xludf.DUMMYFUNCTION("GOOGLETRANSLATE(C89, ""en"", ""zh"")"),"A) 哨声或喇叭声 B) 划桨手信号 C) 鼓手开始 D) 船长喊叫")</f>
        <v>A) 哨声或喇叭声 B) 划桨手信号 C) 鼓手开始 D) 船长喊叫</v>
      </c>
      <c r="J89" s="4" t="str">
        <f>IFERROR(__xludf.DUMMYFUNCTION("GOOGLETRANSLATE(D89, ""en"", ""zh"")"),"A) 哨子或喇叭")</f>
        <v>A) 哨子或喇叭</v>
      </c>
      <c r="K89" s="4" t="str">
        <f>IFERROR(__xludf.DUMMYFUNCTION("GOOGLETRANSLATE(E89, ""en"", ""zh"")"),"#VALUE!")</f>
        <v>#VALUE!</v>
      </c>
      <c r="L89" s="2"/>
      <c r="M89" s="2"/>
      <c r="N89" s="2"/>
      <c r="O89" s="2"/>
      <c r="P89" s="2"/>
      <c r="Q89" s="23"/>
      <c r="R89" s="23"/>
      <c r="S89" s="23"/>
      <c r="T89" s="23"/>
      <c r="U89" s="23"/>
      <c r="V89" s="23"/>
      <c r="W89" s="23"/>
      <c r="X89" s="23"/>
      <c r="Y89" s="23"/>
      <c r="Z89" s="23"/>
    </row>
    <row r="90">
      <c r="A90" s="21">
        <v>89.0</v>
      </c>
      <c r="B90" s="17" t="s">
        <v>777</v>
      </c>
      <c r="C90" s="17" t="s">
        <v>778</v>
      </c>
      <c r="D90" s="17" t="s">
        <v>779</v>
      </c>
      <c r="E90" s="20"/>
      <c r="F90" s="2"/>
      <c r="G90" s="2"/>
      <c r="H90" s="4" t="str">
        <f>IFERROR(__xludf.DUMMYFUNCTION("GOOGLETRANSLATE(B90, ""en"", ""zh"")"),"影响船速最大的因素是什么？")</f>
        <v>影响船速最大的因素是什么？</v>
      </c>
      <c r="I90" s="4" t="str">
        <f>IFERROR(__xludf.DUMMYFUNCTION("GOOGLETRANSLATE(C90, ""en"", ""zh"")"),"A) 桨同步性 B) 船重 C) 水温 D) 鼓手位置")</f>
        <v>A) 桨同步性 B) 船重 C) 水温 D) 鼓手位置</v>
      </c>
      <c r="J90" s="4" t="str">
        <f>IFERROR(__xludf.DUMMYFUNCTION("GOOGLETRANSLATE(D90, ""en"", ""zh"")"),"A) 桨同步")</f>
        <v>A) 桨同步</v>
      </c>
      <c r="K90" s="4" t="str">
        <f>IFERROR(__xludf.DUMMYFUNCTION("GOOGLETRANSLATE(E90, ""en"", ""zh"")"),"#VALUE!")</f>
        <v>#VALUE!</v>
      </c>
      <c r="L90" s="2"/>
      <c r="M90" s="2"/>
      <c r="N90" s="2"/>
      <c r="O90" s="2"/>
      <c r="P90" s="2"/>
      <c r="Q90" s="23"/>
      <c r="R90" s="23"/>
      <c r="S90" s="23"/>
      <c r="T90" s="23"/>
      <c r="U90" s="23"/>
      <c r="V90" s="23"/>
      <c r="W90" s="23"/>
      <c r="X90" s="23"/>
      <c r="Y90" s="23"/>
      <c r="Z90" s="23"/>
    </row>
    <row r="91">
      <c r="A91" s="21">
        <v>90.0</v>
      </c>
      <c r="B91" s="17" t="s">
        <v>780</v>
      </c>
      <c r="C91" s="17" t="s">
        <v>781</v>
      </c>
      <c r="D91" s="17" t="s">
        <v>782</v>
      </c>
      <c r="E91" s="20"/>
      <c r="F91" s="2"/>
      <c r="G91" s="2"/>
      <c r="H91" s="4" t="str">
        <f>IFERROR(__xludf.DUMMYFUNCTION("GOOGLETRANSLATE(B91, ""en"", ""zh"")"),"如何解决平局？")</f>
        <v>如何解决平局？</v>
      </c>
      <c r="I91" s="4" t="str">
        <f>IFERROR(__xludf.DUMMYFUNCTION("GOOGLETRANSLATE(C91, ""en"", ""zh"")"),"A) 照片判定、回放或计时 B) 抛硬币 C) 额外鼓点 D) 观众投票")</f>
        <v>A) 照片判定、回放或计时 B) 抛硬币 C) 额外鼓点 D) 观众投票</v>
      </c>
      <c r="J91" s="4" t="str">
        <f>IFERROR(__xludf.DUMMYFUNCTION("GOOGLETRANSLATE(D91, ""en"", ""zh"")"),"A) 照片终点线、回放或计时")</f>
        <v>A) 照片终点线、回放或计时</v>
      </c>
      <c r="K91" s="4" t="str">
        <f>IFERROR(__xludf.DUMMYFUNCTION("GOOGLETRANSLATE(E91, ""en"", ""zh"")"),"#VALUE!")</f>
        <v>#VALUE!</v>
      </c>
      <c r="L91" s="2"/>
      <c r="M91" s="2"/>
      <c r="N91" s="2"/>
      <c r="O91" s="2"/>
      <c r="P91" s="2"/>
      <c r="Q91" s="23"/>
      <c r="R91" s="23"/>
      <c r="S91" s="23"/>
      <c r="T91" s="23"/>
      <c r="U91" s="23"/>
      <c r="V91" s="23"/>
      <c r="W91" s="23"/>
      <c r="X91" s="23"/>
      <c r="Y91" s="23"/>
      <c r="Z91" s="23"/>
    </row>
    <row r="92">
      <c r="A92" s="21">
        <v>91.0</v>
      </c>
      <c r="B92" s="17" t="s">
        <v>783</v>
      </c>
      <c r="C92" s="17" t="s">
        <v>784</v>
      </c>
      <c r="D92" s="17" t="s">
        <v>785</v>
      </c>
      <c r="E92" s="20"/>
      <c r="F92" s="2"/>
      <c r="G92" s="2"/>
      <c r="H92" s="4" t="str">
        <f>IFERROR(__xludf.DUMMYFUNCTION("GOOGLETRANSLATE(B92, ""en"", ""zh"")"),"安全设备包括：")</f>
        <v>安全设备包括：</v>
      </c>
      <c r="I92" s="4" t="str">
        <f>IFERROR(__xludf.DUMMYFUNCTION("GOOGLETRANSLATE(C92, ""en"", ""zh"")"),"A) 救生衣 B) 头盔 C) 护膝 D) 手套")</f>
        <v>A) 救生衣 B) 头盔 C) 护膝 D) 手套</v>
      </c>
      <c r="J92" s="4" t="str">
        <f>IFERROR(__xludf.DUMMYFUNCTION("GOOGLETRANSLATE(D92, ""en"", ""zh"")"),"A) 救生衣")</f>
        <v>A) 救生衣</v>
      </c>
      <c r="K92" s="4" t="str">
        <f>IFERROR(__xludf.DUMMYFUNCTION("GOOGLETRANSLATE(E92, ""en"", ""zh"")"),"#VALUE!")</f>
        <v>#VALUE!</v>
      </c>
      <c r="L92" s="2"/>
      <c r="M92" s="2"/>
      <c r="N92" s="2"/>
      <c r="O92" s="2"/>
      <c r="P92" s="2"/>
      <c r="Q92" s="23"/>
      <c r="R92" s="23"/>
      <c r="S92" s="23"/>
      <c r="T92" s="23"/>
      <c r="U92" s="23"/>
      <c r="V92" s="23"/>
      <c r="W92" s="23"/>
      <c r="X92" s="23"/>
      <c r="Y92" s="23"/>
      <c r="Z92" s="23"/>
    </row>
    <row r="93">
      <c r="A93" s="21">
        <v>92.0</v>
      </c>
      <c r="B93" s="17" t="s">
        <v>786</v>
      </c>
      <c r="C93" s="17" t="s">
        <v>787</v>
      </c>
      <c r="D93" s="17" t="s">
        <v>788</v>
      </c>
      <c r="E93" s="20"/>
      <c r="F93" s="2"/>
      <c r="G93" s="2"/>
      <c r="H93" s="4" t="str">
        <f>IFERROR(__xludf.DUMMYFUNCTION("GOOGLETRANSLATE(B93, ""en"", ""zh"")"),"船只必须停放在：")</f>
        <v>船只必须停放在：</v>
      </c>
      <c r="I93" s="4" t="str">
        <f>IFERROR(__xludf.DUMMYFUNCTION("GOOGLETRANSLATE(C93, ""en"", ""zh"")"),"A) 指定车道 B) 任意车道 C) 外侧车道 D) 海岸线")</f>
        <v>A) 指定车道 B) 任意车道 C) 外侧车道 D) 海岸线</v>
      </c>
      <c r="J93" s="4" t="str">
        <f>IFERROR(__xludf.DUMMYFUNCTION("GOOGLETRANSLATE(D93, ""en"", ""zh"")"),"A) 指定车道")</f>
        <v>A) 指定车道</v>
      </c>
      <c r="K93" s="4" t="str">
        <f>IFERROR(__xludf.DUMMYFUNCTION("GOOGLETRANSLATE(E93, ""en"", ""zh"")"),"#VALUE!")</f>
        <v>#VALUE!</v>
      </c>
      <c r="L93" s="2"/>
      <c r="M93" s="2"/>
      <c r="N93" s="2"/>
      <c r="O93" s="2"/>
      <c r="P93" s="2"/>
      <c r="Q93" s="23"/>
      <c r="R93" s="23"/>
      <c r="S93" s="23"/>
      <c r="T93" s="23"/>
      <c r="U93" s="23"/>
      <c r="V93" s="23"/>
      <c r="W93" s="23"/>
      <c r="X93" s="23"/>
      <c r="Y93" s="23"/>
      <c r="Z93" s="23"/>
    </row>
    <row r="94">
      <c r="A94" s="21">
        <v>93.0</v>
      </c>
      <c r="B94" s="17" t="s">
        <v>789</v>
      </c>
      <c r="C94" s="17" t="s">
        <v>790</v>
      </c>
      <c r="D94" s="17" t="s">
        <v>791</v>
      </c>
      <c r="E94" s="20"/>
      <c r="F94" s="2"/>
      <c r="G94" s="2"/>
      <c r="H94" s="4" t="str">
        <f>IFERROR(__xludf.DUMMYFUNCTION("GOOGLETRANSLATE(B94, ""en"", ""zh"")"),"鼓手使用什么工具来控制节奏？")</f>
        <v>鼓手使用什么工具来控制节奏？</v>
      </c>
      <c r="I94" s="4" t="str">
        <f>IFERROR(__xludf.DUMMYFUNCTION("GOOGLETRANSLATE(C94, ""en"", ""zh"")"),"A) 鼓 B) 旗帜 C) 桨 D) 哨子")</f>
        <v>A) 鼓 B) 旗帜 C) 桨 D) 哨子</v>
      </c>
      <c r="J94" s="4" t="str">
        <f>IFERROR(__xludf.DUMMYFUNCTION("GOOGLETRANSLATE(D94, ""en"", ""zh"")"),"A) 鼓")</f>
        <v>A) 鼓</v>
      </c>
      <c r="K94" s="4" t="str">
        <f>IFERROR(__xludf.DUMMYFUNCTION("GOOGLETRANSLATE(E94, ""en"", ""zh"")"),"#VALUE!")</f>
        <v>#VALUE!</v>
      </c>
      <c r="L94" s="2"/>
      <c r="M94" s="2"/>
      <c r="N94" s="2"/>
      <c r="O94" s="2"/>
      <c r="P94" s="2"/>
      <c r="Q94" s="23"/>
      <c r="R94" s="23"/>
      <c r="S94" s="23"/>
      <c r="T94" s="23"/>
      <c r="U94" s="23"/>
      <c r="V94" s="23"/>
      <c r="W94" s="23"/>
      <c r="X94" s="23"/>
      <c r="Y94" s="23"/>
      <c r="Z94" s="23"/>
    </row>
    <row r="95">
      <c r="A95" s="21">
        <v>94.0</v>
      </c>
      <c r="B95" s="17" t="s">
        <v>792</v>
      </c>
      <c r="C95" s="17" t="s">
        <v>793</v>
      </c>
      <c r="D95" s="17" t="s">
        <v>62</v>
      </c>
      <c r="E95" s="20"/>
      <c r="F95" s="2"/>
      <c r="G95" s="2"/>
      <c r="H95" s="4" t="str">
        <f>IFERROR(__xludf.DUMMYFUNCTION("GOOGLETRANSLATE(B95, ""en"", ""zh"")"),"船长与以下人员协调：")</f>
        <v>船长与以下人员协调：</v>
      </c>
      <c r="I95" s="4" t="str">
        <f>IFERROR(__xludf.DUMMYFUNCTION("GOOGLETRANSLATE(C95, ""en"", ""zh"")"),"A) 鼓手 B) 划桨手 C) 舵手 D) 以上全部")</f>
        <v>A) 鼓手 B) 划桨手 C) 舵手 D) 以上全部</v>
      </c>
      <c r="J95" s="4" t="str">
        <f>IFERROR(__xludf.DUMMYFUNCTION("GOOGLETRANSLATE(D95, ""en"", ""zh"")"),"D) 以上所有选项")</f>
        <v>D) 以上所有选项</v>
      </c>
      <c r="K95" s="4" t="str">
        <f>IFERROR(__xludf.DUMMYFUNCTION("GOOGLETRANSLATE(E95, ""en"", ""zh"")"),"#VALUE!")</f>
        <v>#VALUE!</v>
      </c>
      <c r="L95" s="2"/>
      <c r="M95" s="2"/>
      <c r="N95" s="2"/>
      <c r="O95" s="2"/>
      <c r="P95" s="2"/>
      <c r="Q95" s="23"/>
      <c r="R95" s="23"/>
      <c r="S95" s="23"/>
      <c r="T95" s="23"/>
      <c r="U95" s="23"/>
      <c r="V95" s="23"/>
      <c r="W95" s="23"/>
      <c r="X95" s="23"/>
      <c r="Y95" s="23"/>
      <c r="Z95" s="23"/>
    </row>
    <row r="96">
      <c r="A96" s="21">
        <v>95.0</v>
      </c>
      <c r="B96" s="17" t="s">
        <v>794</v>
      </c>
      <c r="C96" s="17" t="s">
        <v>795</v>
      </c>
      <c r="D96" s="17" t="s">
        <v>62</v>
      </c>
      <c r="E96" s="20"/>
      <c r="F96" s="2"/>
      <c r="G96" s="2"/>
      <c r="H96" s="4" t="str">
        <f>IFERROR(__xludf.DUMMYFUNCTION("GOOGLETRANSLATE(B96, ""en"", ""zh"")"),"龙舟桨手应该：")</f>
        <v>龙舟桨手应该：</v>
      </c>
      <c r="I96" s="4" t="str">
        <f>IFERROR(__xludf.DUMMYFUNCTION("GOOGLETRANSLATE(C96, ""en"", ""zh"")"),"A) 坐姿正确 B) 划桨动作要同步 C) 跟随鼓手 D) 以上全部")</f>
        <v>A) 坐姿正确 B) 划桨动作要同步 C) 跟随鼓手 D) 以上全部</v>
      </c>
      <c r="J96" s="4" t="str">
        <f>IFERROR(__xludf.DUMMYFUNCTION("GOOGLETRANSLATE(D96, ""en"", ""zh"")"),"D) 以上所有选项")</f>
        <v>D) 以上所有选项</v>
      </c>
      <c r="K96" s="4" t="str">
        <f>IFERROR(__xludf.DUMMYFUNCTION("GOOGLETRANSLATE(E96, ""en"", ""zh"")"),"#VALUE!")</f>
        <v>#VALUE!</v>
      </c>
      <c r="L96" s="2"/>
      <c r="M96" s="2"/>
      <c r="N96" s="2"/>
      <c r="O96" s="2"/>
      <c r="P96" s="2"/>
      <c r="Q96" s="23"/>
      <c r="R96" s="23"/>
      <c r="S96" s="23"/>
      <c r="T96" s="23"/>
      <c r="U96" s="23"/>
      <c r="V96" s="23"/>
      <c r="W96" s="23"/>
      <c r="X96" s="23"/>
      <c r="Y96" s="23"/>
      <c r="Z96" s="23"/>
    </row>
    <row r="97">
      <c r="A97" s="21">
        <v>96.0</v>
      </c>
      <c r="B97" s="17" t="s">
        <v>796</v>
      </c>
      <c r="C97" s="17" t="s">
        <v>797</v>
      </c>
      <c r="D97" s="17" t="s">
        <v>798</v>
      </c>
      <c r="E97" s="20"/>
      <c r="F97" s="2"/>
      <c r="G97" s="2"/>
      <c r="H97" s="4" t="str">
        <f>IFERROR(__xludf.DUMMYFUNCTION("GOOGLETRANSLATE(B97, ""en"", ""zh"")"),"比赛可能包含多少支队伍？")</f>
        <v>比赛可能包含多少支队伍？</v>
      </c>
      <c r="I97" s="4" t="str">
        <f>IFERROR(__xludf.DUMMYFUNCTION("GOOGLETRANSLATE(C97, ""en"", ""zh"")"),"A) 多支队伍，视赛事而定 B) 仅两支队伍 C) 仅四支队伍 D) 一支队伍")</f>
        <v>A) 多支队伍，视赛事而定 B) 仅两支队伍 C) 仅四支队伍 D) 一支队伍</v>
      </c>
      <c r="J97" s="4" t="str">
        <f>IFERROR(__xludf.DUMMYFUNCTION("GOOGLETRANSLATE(D97, ""en"", ""zh"")"),"A) 多支队伍，视赛事而定")</f>
        <v>A) 多支队伍，视赛事而定</v>
      </c>
      <c r="K97" s="4" t="str">
        <f>IFERROR(__xludf.DUMMYFUNCTION("GOOGLETRANSLATE(E97, ""en"", ""zh"")"),"#VALUE!")</f>
        <v>#VALUE!</v>
      </c>
      <c r="L97" s="2"/>
      <c r="M97" s="2"/>
      <c r="N97" s="2"/>
      <c r="O97" s="2"/>
      <c r="P97" s="2"/>
      <c r="Q97" s="23"/>
      <c r="R97" s="23"/>
      <c r="S97" s="23"/>
      <c r="T97" s="23"/>
      <c r="U97" s="23"/>
      <c r="V97" s="23"/>
      <c r="W97" s="23"/>
      <c r="X97" s="23"/>
      <c r="Y97" s="23"/>
      <c r="Z97" s="23"/>
    </row>
    <row r="98">
      <c r="A98" s="21">
        <v>97.0</v>
      </c>
      <c r="B98" s="17" t="s">
        <v>799</v>
      </c>
      <c r="C98" s="17" t="s">
        <v>800</v>
      </c>
      <c r="D98" s="17" t="s">
        <v>801</v>
      </c>
      <c r="E98" s="20"/>
      <c r="F98" s="2"/>
      <c r="G98" s="2"/>
      <c r="H98" s="4" t="str">
        <f>IFERROR(__xludf.DUMMYFUNCTION("GOOGLETRANSLATE(B98, ""en"", ""zh"")"),"鼓手发出信号：")</f>
        <v>鼓手发出信号：</v>
      </c>
      <c r="I98" s="4" t="str">
        <f>IFERROR(__xludf.DUMMYFUNCTION("GOOGLETRANSLATE(C98, ""en"", ""zh"")"),"A) 起跑、配速、终点 B) 舵控 C) 船体颜色 D) 团队重量")</f>
        <v>A) 起跑、配速、终点 B) 舵控 C) 船体颜色 D) 团队重量</v>
      </c>
      <c r="J98" s="4" t="str">
        <f>IFERROR(__xludf.DUMMYFUNCTION("GOOGLETRANSLATE(D98, ""en"", ""zh"")"),"A) 开始、节奏、结束")</f>
        <v>A) 开始、节奏、结束</v>
      </c>
      <c r="K98" s="4" t="str">
        <f>IFERROR(__xludf.DUMMYFUNCTION("GOOGLETRANSLATE(E98, ""en"", ""zh"")"),"#VALUE!")</f>
        <v>#VALUE!</v>
      </c>
      <c r="L98" s="2"/>
      <c r="M98" s="2"/>
      <c r="N98" s="2"/>
      <c r="O98" s="2"/>
      <c r="P98" s="2"/>
      <c r="Q98" s="23"/>
      <c r="R98" s="23"/>
      <c r="S98" s="23"/>
      <c r="T98" s="23"/>
      <c r="U98" s="23"/>
      <c r="V98" s="23"/>
      <c r="W98" s="23"/>
      <c r="X98" s="23"/>
      <c r="Y98" s="23"/>
      <c r="Z98" s="23"/>
    </row>
    <row r="99">
      <c r="A99" s="21">
        <v>98.0</v>
      </c>
      <c r="B99" s="17" t="s">
        <v>802</v>
      </c>
      <c r="C99" s="17" t="s">
        <v>803</v>
      </c>
      <c r="D99" s="17" t="s">
        <v>804</v>
      </c>
      <c r="E99" s="20"/>
      <c r="F99" s="2"/>
      <c r="G99" s="2"/>
      <c r="H99" s="4" t="str">
        <f>IFERROR(__xludf.DUMMYFUNCTION("GOOGLETRANSLATE(B99, ""en"", ""zh"")"),"长距离比赛中轮换桨手有助于：")</f>
        <v>长距离比赛中轮换桨手有助于：</v>
      </c>
      <c r="I99" s="4" t="str">
        <f>IFERROR(__xludf.DUMMYFUNCTION("GOOGLETRANSLATE(C99, ""en"", ""zh"")"),"A) 减少疲劳 B) 速度 C) 转向 D) 鼓点")</f>
        <v>A) 减少疲劳 B) 速度 C) 转向 D) 鼓点</v>
      </c>
      <c r="J99" s="4" t="str">
        <f>IFERROR(__xludf.DUMMYFUNCTION("GOOGLETRANSLATE(D99, ""en"", ""zh"")"),"A) 减轻疲劳")</f>
        <v>A) 减轻疲劳</v>
      </c>
      <c r="K99" s="4" t="str">
        <f>IFERROR(__xludf.DUMMYFUNCTION("GOOGLETRANSLATE(E99, ""en"", ""zh"")"),"#VALUE!")</f>
        <v>#VALUE!</v>
      </c>
      <c r="L99" s="2"/>
      <c r="M99" s="2"/>
      <c r="N99" s="2"/>
      <c r="O99" s="2"/>
      <c r="P99" s="2"/>
      <c r="Q99" s="23"/>
      <c r="R99" s="23"/>
      <c r="S99" s="23"/>
      <c r="T99" s="23"/>
      <c r="U99" s="23"/>
      <c r="V99" s="23"/>
      <c r="W99" s="23"/>
      <c r="X99" s="23"/>
      <c r="Y99" s="23"/>
      <c r="Z99" s="23"/>
    </row>
    <row r="100">
      <c r="A100" s="21">
        <v>99.0</v>
      </c>
      <c r="B100" s="17" t="s">
        <v>805</v>
      </c>
      <c r="C100" s="17" t="s">
        <v>806</v>
      </c>
      <c r="D100" s="17" t="s">
        <v>807</v>
      </c>
      <c r="E100" s="20"/>
      <c r="F100" s="2"/>
      <c r="G100" s="2"/>
      <c r="H100" s="4" t="str">
        <f>IFERROR(__xludf.DUMMYFUNCTION("GOOGLETRANSLATE(B100, ""en"", ""zh"")"),"违反船道规定可能导致：")</f>
        <v>违反船道规定可能导致：</v>
      </c>
      <c r="I100" s="4" t="str">
        <f>IFERROR(__xludf.DUMMYFUNCTION("GOOGLETRANSLATE(C100, ""en"", ""zh"")"),"A) 处罚或取消资格 B) 无影响 C) 额外杆数 D) 奖励")</f>
        <v>A) 处罚或取消资格 B) 无影响 C) 额外杆数 D) 奖励</v>
      </c>
      <c r="J100" s="4" t="str">
        <f>IFERROR(__xludf.DUMMYFUNCTION("GOOGLETRANSLATE(D100, ""en"", ""zh"")"),"A) 处罚或取消资格")</f>
        <v>A) 处罚或取消资格</v>
      </c>
      <c r="K100" s="4" t="str">
        <f>IFERROR(__xludf.DUMMYFUNCTION("GOOGLETRANSLATE(E100, ""en"", ""zh"")"),"#VALUE!")</f>
        <v>#VALUE!</v>
      </c>
      <c r="L100" s="2"/>
      <c r="M100" s="2"/>
      <c r="N100" s="2"/>
      <c r="O100" s="2"/>
      <c r="P100" s="2"/>
      <c r="Q100" s="23"/>
      <c r="R100" s="23"/>
      <c r="S100" s="23"/>
      <c r="T100" s="23"/>
      <c r="U100" s="23"/>
      <c r="V100" s="23"/>
      <c r="W100" s="23"/>
      <c r="X100" s="23"/>
      <c r="Y100" s="23"/>
      <c r="Z100" s="23"/>
    </row>
    <row r="101">
      <c r="A101" s="21">
        <v>100.0</v>
      </c>
      <c r="B101" s="17" t="s">
        <v>808</v>
      </c>
      <c r="C101" s="17" t="s">
        <v>809</v>
      </c>
      <c r="D101" s="17" t="s">
        <v>62</v>
      </c>
      <c r="E101" s="20"/>
      <c r="F101" s="2"/>
      <c r="G101" s="2"/>
      <c r="H101" s="4" t="str">
        <f>IFERROR(__xludf.DUMMYFUNCTION("GOOGLETRANSLATE(B101, ""en"", ""zh"")"),"龙舟比赛强调：")</f>
        <v>龙舟比赛强调：</v>
      </c>
      <c r="I101" s="4" t="str">
        <f>IFERROR(__xludf.DUMMYFUNCTION("GOOGLETRANSLATE(C101, ""en"", ""zh"")"),"A) 团队协作 B) 力量 C) 耐力 D) 以上全部")</f>
        <v>A) 团队协作 B) 力量 C) 耐力 D) 以上全部</v>
      </c>
      <c r="J101" s="4" t="str">
        <f>IFERROR(__xludf.DUMMYFUNCTION("GOOGLETRANSLATE(D101, ""en"", ""zh"")"),"D) 以上所有选项")</f>
        <v>D) 以上所有选项</v>
      </c>
      <c r="K101" s="4" t="str">
        <f>IFERROR(__xludf.DUMMYFUNCTION("GOOGLETRANSLATE(E101, ""en"", ""zh"")"),"#VALUE!")</f>
        <v>#VALUE!</v>
      </c>
      <c r="L101" s="2"/>
      <c r="M101" s="2"/>
      <c r="N101" s="2"/>
      <c r="O101" s="2"/>
      <c r="P101" s="2"/>
      <c r="Q101" s="23"/>
      <c r="R101" s="23"/>
      <c r="S101" s="23"/>
      <c r="T101" s="23"/>
      <c r="U101" s="23"/>
      <c r="V101" s="23"/>
      <c r="W101" s="23"/>
      <c r="X101" s="23"/>
      <c r="Y101" s="23"/>
      <c r="Z101" s="23"/>
    </row>
    <row r="102">
      <c r="A102" s="21">
        <v>101.0</v>
      </c>
      <c r="B102" s="17" t="s">
        <v>810</v>
      </c>
      <c r="C102" s="17" t="s">
        <v>811</v>
      </c>
      <c r="D102" s="17" t="s">
        <v>812</v>
      </c>
      <c r="E102" s="20"/>
      <c r="F102" s="2"/>
      <c r="G102" s="2"/>
      <c r="H102" s="4" t="str">
        <f>IFERROR(__xludf.DUMMYFUNCTION("GOOGLETRANSLATE(B102, ""en"", ""zh"")"),"桨叶应在以下位置入水：")</f>
        <v>桨叶应在以下位置入水：</v>
      </c>
      <c r="I102" s="4" t="str">
        <f>IFERROR(__xludf.DUMMYFUNCTION("GOOGLETRANSLATE(C102, ""en"", ""zh"")"),"A) 合适的角度 B) 仅垂直方向 C) 仅水平方向 D) 随机")</f>
        <v>A) 合适的角度 B) 仅垂直方向 C) 仅水平方向 D) 随机</v>
      </c>
      <c r="J102" s="4" t="str">
        <f>IFERROR(__xludf.DUMMYFUNCTION("GOOGLETRANSLATE(D102, ""en"", ""zh"")"),"A) 正确角度")</f>
        <v>A) 正确角度</v>
      </c>
      <c r="K102" s="4" t="str">
        <f>IFERROR(__xludf.DUMMYFUNCTION("GOOGLETRANSLATE(E102, ""en"", ""zh"")"),"#VALUE!")</f>
        <v>#VALUE!</v>
      </c>
      <c r="L102" s="2"/>
      <c r="M102" s="2"/>
      <c r="N102" s="2"/>
      <c r="O102" s="2"/>
      <c r="P102" s="2"/>
      <c r="Q102" s="23"/>
      <c r="R102" s="23"/>
      <c r="S102" s="23"/>
      <c r="T102" s="23"/>
      <c r="U102" s="23"/>
      <c r="V102" s="23"/>
      <c r="W102" s="23"/>
      <c r="X102" s="23"/>
      <c r="Y102" s="23"/>
      <c r="Z102" s="23"/>
    </row>
    <row r="103">
      <c r="A103" s="21">
        <v>102.0</v>
      </c>
      <c r="B103" s="17" t="s">
        <v>813</v>
      </c>
      <c r="C103" s="17" t="s">
        <v>814</v>
      </c>
      <c r="D103" s="17" t="s">
        <v>815</v>
      </c>
      <c r="E103" s="20"/>
      <c r="F103" s="2"/>
      <c r="G103" s="2"/>
      <c r="H103" s="4" t="str">
        <f>IFERROR(__xludf.DUMMYFUNCTION("GOOGLETRANSLATE(B103, ""en"", ""zh"")"),"船舶操控可能受到以下因素影响：")</f>
        <v>船舶操控可能受到以下因素影响：</v>
      </c>
      <c r="I103" s="4" t="str">
        <f>IFERROR(__xludf.DUMMYFUNCTION("GOOGLETRANSLATE(C103, ""en"", ""zh"")"),"A) 风向、水流、划桨频率 B) 船的颜色 C) 鼓手的鞋子 D) 团队加油")</f>
        <v>A) 风向、水流、划桨频率 B) 船的颜色 C) 鼓手的鞋子 D) 团队加油</v>
      </c>
      <c r="J103" s="4" t="str">
        <f>IFERROR(__xludf.DUMMYFUNCTION("GOOGLETRANSLATE(D103, ""en"", ""zh"")"),"A) 风、水流、划桨频率")</f>
        <v>A) 风、水流、划桨频率</v>
      </c>
      <c r="K103" s="4" t="str">
        <f>IFERROR(__xludf.DUMMYFUNCTION("GOOGLETRANSLATE(E103, ""en"", ""zh"")"),"#VALUE!")</f>
        <v>#VALUE!</v>
      </c>
      <c r="L103" s="2"/>
      <c r="M103" s="2"/>
      <c r="N103" s="2"/>
      <c r="O103" s="2"/>
      <c r="P103" s="2"/>
      <c r="Q103" s="23"/>
      <c r="R103" s="23"/>
      <c r="S103" s="23"/>
      <c r="T103" s="23"/>
      <c r="U103" s="23"/>
      <c r="V103" s="23"/>
      <c r="W103" s="23"/>
      <c r="X103" s="23"/>
      <c r="Y103" s="23"/>
      <c r="Z103" s="23"/>
    </row>
    <row r="104">
      <c r="A104" s="21">
        <v>103.0</v>
      </c>
      <c r="B104" s="17" t="s">
        <v>816</v>
      </c>
      <c r="C104" s="17" t="s">
        <v>817</v>
      </c>
      <c r="D104" s="17" t="s">
        <v>818</v>
      </c>
      <c r="E104" s="20"/>
      <c r="F104" s="2"/>
      <c r="G104" s="2"/>
      <c r="H104" s="4" t="str">
        <f>IFERROR(__xludf.DUMMYFUNCTION("GOOGLETRANSLATE(B104, ""en"", ""zh"")"),"比赛通常采用以下方式计时：")</f>
        <v>比赛通常采用以下方式计时：</v>
      </c>
      <c r="I104" s="4" t="str">
        <f>IFERROR(__xludf.DUMMYFUNCTION("GOOGLETRANSLATE(C104, ""en"", ""zh"")"),"A) 秒表或电子计时 B) 鼓手计数 C) 船长手表 D) 手动旗")</f>
        <v>A) 秒表或电子计时 B) 鼓手计数 C) 船长手表 D) 手动旗</v>
      </c>
      <c r="J104" s="4" t="str">
        <f>IFERROR(__xludf.DUMMYFUNCTION("GOOGLETRANSLATE(D104, ""en"", ""zh"")"),"A) 秒表或电子计时器")</f>
        <v>A) 秒表或电子计时器</v>
      </c>
      <c r="K104" s="4" t="str">
        <f>IFERROR(__xludf.DUMMYFUNCTION("GOOGLETRANSLATE(E104, ""en"", ""zh"")"),"#VALUE!")</f>
        <v>#VALUE!</v>
      </c>
      <c r="L104" s="2"/>
      <c r="M104" s="2"/>
      <c r="N104" s="2"/>
      <c r="O104" s="2"/>
      <c r="P104" s="2"/>
      <c r="Q104" s="23"/>
      <c r="R104" s="23"/>
      <c r="S104" s="23"/>
      <c r="T104" s="23"/>
      <c r="U104" s="23"/>
      <c r="V104" s="23"/>
      <c r="W104" s="23"/>
      <c r="X104" s="23"/>
      <c r="Y104" s="23"/>
      <c r="Z104" s="23"/>
    </row>
    <row r="105">
      <c r="A105" s="21">
        <v>104.0</v>
      </c>
      <c r="B105" s="17" t="s">
        <v>819</v>
      </c>
      <c r="C105" s="17" t="s">
        <v>820</v>
      </c>
      <c r="D105" s="17" t="s">
        <v>821</v>
      </c>
      <c r="E105" s="20"/>
      <c r="F105" s="2"/>
      <c r="G105" s="2"/>
      <c r="H105" s="4" t="str">
        <f>IFERROR(__xludf.DUMMYFUNCTION("GOOGLETRANSLATE(B105, ""en"", ""zh"")"),"哪种击球方式效率最高？")</f>
        <v>哪种击球方式效率最高？</v>
      </c>
      <c r="I105" s="4" t="str">
        <f>IFERROR(__xludf.DUMMYFUNCTION("GOOGLETRANSLATE(C105, ""en"", ""zh"")"),"A) 同步、完整的划水动作 B) 随机的划水动作 C) 短促的抽动式划水动作 D) 只有弓桨手")</f>
        <v>A) 同步、完整的划水动作 B) 随机的划水动作 C) 短促的抽动式划水动作 D) 只有弓桨手</v>
      </c>
      <c r="J105" s="4" t="str">
        <f>IFERROR(__xludf.DUMMYFUNCTION("GOOGLETRANSLATE(D105, ""en"", ""zh"")"),"A) 同步、完整的击打动作")</f>
        <v>A) 同步、完整的击打动作</v>
      </c>
      <c r="K105" s="4" t="str">
        <f>IFERROR(__xludf.DUMMYFUNCTION("GOOGLETRANSLATE(E105, ""en"", ""zh"")"),"#VALUE!")</f>
        <v>#VALUE!</v>
      </c>
      <c r="L105" s="2"/>
      <c r="M105" s="2"/>
      <c r="N105" s="2"/>
      <c r="O105" s="2"/>
      <c r="P105" s="2"/>
      <c r="Q105" s="23"/>
      <c r="R105" s="23"/>
      <c r="S105" s="23"/>
      <c r="T105" s="23"/>
      <c r="U105" s="23"/>
      <c r="V105" s="23"/>
      <c r="W105" s="23"/>
      <c r="X105" s="23"/>
      <c r="Y105" s="23"/>
      <c r="Z105" s="23"/>
    </row>
    <row r="106">
      <c r="A106" s="21">
        <v>105.0</v>
      </c>
      <c r="B106" s="17" t="s">
        <v>822</v>
      </c>
      <c r="C106" s="17" t="s">
        <v>823</v>
      </c>
      <c r="D106" s="17" t="s">
        <v>824</v>
      </c>
      <c r="E106" s="20"/>
      <c r="F106" s="2"/>
      <c r="G106" s="2"/>
      <c r="H106" s="4" t="str">
        <f>IFERROR(__xludf.DUMMYFUNCTION("GOOGLETRANSLATE(B106, ""en"", ""zh"")"),"船员协调由以下人员监控：")</f>
        <v>船员协调由以下人员监控：</v>
      </c>
      <c r="I106" s="4" t="str">
        <f>IFERROR(__xludf.DUMMYFUNCTION("GOOGLETRANSLATE(C106, ""en"", ""zh"")"),"A) 官员 B) 鼓手 C) 舵手 D) 船长")</f>
        <v>A) 官员 B) 鼓手 C) 舵手 D) 船长</v>
      </c>
      <c r="J106" s="4" t="str">
        <f>IFERROR(__xludf.DUMMYFUNCTION("GOOGLETRANSLATE(D106, ""en"", ""zh"")"),"A) 官员")</f>
        <v>A) 官员</v>
      </c>
      <c r="K106" s="4" t="str">
        <f>IFERROR(__xludf.DUMMYFUNCTION("GOOGLETRANSLATE(E106, ""en"", ""zh"")"),"#VALUE!")</f>
        <v>#VALUE!</v>
      </c>
      <c r="L106" s="2"/>
      <c r="M106" s="2"/>
      <c r="N106" s="2"/>
      <c r="O106" s="2"/>
      <c r="P106" s="2"/>
      <c r="Q106" s="23"/>
      <c r="R106" s="23"/>
      <c r="S106" s="23"/>
      <c r="T106" s="23"/>
      <c r="U106" s="23"/>
      <c r="V106" s="23"/>
      <c r="W106" s="23"/>
      <c r="X106" s="23"/>
      <c r="Y106" s="23"/>
      <c r="Z106" s="23"/>
    </row>
    <row r="107">
      <c r="A107" s="21">
        <v>106.0</v>
      </c>
      <c r="B107" s="17" t="s">
        <v>825</v>
      </c>
      <c r="C107" s="17" t="s">
        <v>826</v>
      </c>
      <c r="D107" s="17" t="s">
        <v>827</v>
      </c>
      <c r="E107" s="20"/>
      <c r="F107" s="2"/>
      <c r="G107" s="2"/>
      <c r="H107" s="4" t="str">
        <f>IFERROR(__xludf.DUMMYFUNCTION("GOOGLETRANSLATE(B107, ""en"", ""zh"")"),"龙舟比赛是以下活动的一部分：")</f>
        <v>龙舟比赛是以下活动的一部分：</v>
      </c>
      <c r="I107" s="4" t="str">
        <f>IFERROR(__xludf.DUMMYFUNCTION("GOOGLETRANSLATE(C107, ""en"", ""zh"")"),"A) 节日和比赛 B) 仅限个人训练 C) 武术 D) 游泳比赛")</f>
        <v>A) 节日和比赛 B) 仅限个人训练 C) 武术 D) 游泳比赛</v>
      </c>
      <c r="J107" s="4" t="str">
        <f>IFERROR(__xludf.DUMMYFUNCTION("GOOGLETRANSLATE(D107, ""en"", ""zh"")"),"A) 节庆活动和比赛")</f>
        <v>A) 节庆活动和比赛</v>
      </c>
      <c r="K107" s="4" t="str">
        <f>IFERROR(__xludf.DUMMYFUNCTION("GOOGLETRANSLATE(E107, ""en"", ""zh"")"),"#VALUE!")</f>
        <v>#VALUE!</v>
      </c>
      <c r="L107" s="2"/>
      <c r="M107" s="2"/>
      <c r="N107" s="2"/>
      <c r="O107" s="2"/>
      <c r="P107" s="2"/>
      <c r="Q107" s="23"/>
      <c r="R107" s="23"/>
      <c r="S107" s="23"/>
      <c r="T107" s="23"/>
      <c r="U107" s="23"/>
      <c r="V107" s="23"/>
      <c r="W107" s="23"/>
      <c r="X107" s="23"/>
      <c r="Y107" s="23"/>
      <c r="Z107" s="23"/>
    </row>
    <row r="108">
      <c r="A108" s="21">
        <v>107.0</v>
      </c>
      <c r="B108" s="17" t="s">
        <v>828</v>
      </c>
      <c r="C108" s="17" t="s">
        <v>829</v>
      </c>
      <c r="D108" s="17" t="s">
        <v>830</v>
      </c>
      <c r="E108" s="20"/>
      <c r="F108" s="2"/>
      <c r="G108" s="2"/>
      <c r="H108" s="4" t="str">
        <f>IFERROR(__xludf.DUMMYFUNCTION("GOOGLETRANSLATE(B108, ""en"", ""zh"")"),"龙舟比赛中，船头桨手的角色是什么？")</f>
        <v>龙舟比赛中，船头桨手的角色是什么？</v>
      </c>
      <c r="I108" s="4" t="str">
        <f>IFERROR(__xludf.DUMMYFUNCTION("GOOGLETRANSLATE(C108, ""en"", ""zh"")"),"A) 与鼓手一起设定节奏 B) 掌舵 C) 指导桨手 D) 保持船只平衡")</f>
        <v>A) 与鼓手一起设定节奏 B) 掌舵 C) 指导桨手 D) 保持船只平衡</v>
      </c>
      <c r="J108" s="4" t="str">
        <f>IFERROR(__xludf.DUMMYFUNCTION("GOOGLETRANSLATE(D108, ""en"", ""zh"")"),"A) 与鼓手一起设定节奏")</f>
        <v>A) 与鼓手一起设定节奏</v>
      </c>
      <c r="K108" s="4" t="str">
        <f>IFERROR(__xludf.DUMMYFUNCTION("GOOGLETRANSLATE(E108, ""en"", ""zh"")"),"#VALUE!")</f>
        <v>#VALUE!</v>
      </c>
      <c r="L108" s="2"/>
      <c r="M108" s="2"/>
      <c r="N108" s="2"/>
      <c r="O108" s="2"/>
      <c r="P108" s="2"/>
      <c r="Q108" s="23"/>
      <c r="R108" s="23"/>
      <c r="S108" s="23"/>
      <c r="T108" s="23"/>
      <c r="U108" s="23"/>
      <c r="V108" s="23"/>
      <c r="W108" s="23"/>
      <c r="X108" s="23"/>
      <c r="Y108" s="23"/>
      <c r="Z108" s="23"/>
    </row>
    <row r="109">
      <c r="A109" s="21">
        <v>108.0</v>
      </c>
      <c r="B109" s="17" t="s">
        <v>831</v>
      </c>
      <c r="C109" s="17" t="s">
        <v>832</v>
      </c>
      <c r="D109" s="17" t="s">
        <v>833</v>
      </c>
      <c r="E109" s="20"/>
      <c r="F109" s="2"/>
      <c r="G109" s="2"/>
      <c r="H109" s="4" t="str">
        <f>IFERROR(__xludf.DUMMYFUNCTION("GOOGLETRANSLATE(B109, ""en"", ""zh"")"),"舵手使用什么工具来控制船只？")</f>
        <v>舵手使用什么工具来控制船只？</v>
      </c>
      <c r="I109" s="4" t="str">
        <f>IFERROR(__xludf.DUMMYFUNCTION("GOOGLETRANSLATE(C109, ""en"", ""zh"")"),"A) 扫桨 B) 桨 C) 鼓 D) 绳索")</f>
        <v>A) 扫桨 B) 桨 C) 鼓 D) 绳索</v>
      </c>
      <c r="J109" s="4" t="str">
        <f>IFERROR(__xludf.DUMMYFUNCTION("GOOGLETRANSLATE(D109, ""en"", ""zh"")"),"A) 扫桨")</f>
        <v>A) 扫桨</v>
      </c>
      <c r="K109" s="4" t="str">
        <f>IFERROR(__xludf.DUMMYFUNCTION("GOOGLETRANSLATE(E109, ""en"", ""zh"")"),"#VALUE!")</f>
        <v>#VALUE!</v>
      </c>
      <c r="L109" s="2"/>
      <c r="M109" s="2"/>
      <c r="N109" s="2"/>
      <c r="O109" s="2"/>
      <c r="P109" s="2"/>
      <c r="Q109" s="23"/>
      <c r="R109" s="23"/>
      <c r="S109" s="23"/>
      <c r="T109" s="23"/>
      <c r="U109" s="23"/>
      <c r="V109" s="23"/>
      <c r="W109" s="23"/>
      <c r="X109" s="23"/>
      <c r="Y109" s="23"/>
      <c r="Z109" s="23"/>
    </row>
    <row r="110">
      <c r="A110" s="21">
        <v>109.0</v>
      </c>
      <c r="B110" s="17" t="s">
        <v>834</v>
      </c>
      <c r="C110" s="17" t="s">
        <v>835</v>
      </c>
      <c r="D110" s="17" t="s">
        <v>836</v>
      </c>
      <c r="E110" s="20"/>
      <c r="F110" s="2"/>
      <c r="G110" s="2"/>
      <c r="H110" s="4" t="str">
        <f>IFERROR(__xludf.DUMMYFUNCTION("GOOGLETRANSLATE(B110, ""en"", ""zh"")"),"赛前热身的主要目的是什么？")</f>
        <v>赛前热身的主要目的是什么？</v>
      </c>
      <c r="I110" s="4" t="str">
        <f>IFERROR(__xludf.DUMMYFUNCTION("GOOGLETRANSLATE(C110, ""en"", ""zh"")"),"A) 防止受伤 B) 装饰船只 C) 划得更快 D) 发出出发信号")</f>
        <v>A) 防止受伤 B) 装饰船只 C) 划得更快 D) 发出出发信号</v>
      </c>
      <c r="J110" s="4" t="str">
        <f>IFERROR(__xludf.DUMMYFUNCTION("GOOGLETRANSLATE(D110, ""en"", ""zh"")"),"A) 预防伤害")</f>
        <v>A) 预防伤害</v>
      </c>
      <c r="K110" s="4" t="str">
        <f>IFERROR(__xludf.DUMMYFUNCTION("GOOGLETRANSLATE(E110, ""en"", ""zh"")"),"#VALUE!")</f>
        <v>#VALUE!</v>
      </c>
      <c r="L110" s="2"/>
      <c r="M110" s="2"/>
      <c r="N110" s="2"/>
      <c r="O110" s="2"/>
      <c r="P110" s="2"/>
      <c r="Q110" s="23"/>
      <c r="R110" s="23"/>
      <c r="S110" s="23"/>
      <c r="T110" s="23"/>
      <c r="U110" s="23"/>
      <c r="V110" s="23"/>
      <c r="W110" s="23"/>
      <c r="X110" s="23"/>
      <c r="Y110" s="23"/>
      <c r="Z110" s="23"/>
    </row>
    <row r="111">
      <c r="A111" s="21">
        <v>110.0</v>
      </c>
      <c r="B111" s="17" t="s">
        <v>837</v>
      </c>
      <c r="C111" s="17" t="s">
        <v>838</v>
      </c>
      <c r="D111" s="17" t="s">
        <v>776</v>
      </c>
      <c r="E111" s="20"/>
      <c r="F111" s="2"/>
      <c r="G111" s="2"/>
      <c r="H111" s="4" t="str">
        <f>IFERROR(__xludf.DUMMYFUNCTION("GOOGLETRANSLATE(B111, ""en"", ""zh"")"),"正式比赛中如何发出起跑信号？")</f>
        <v>正式比赛中如何发出起跑信号？</v>
      </c>
      <c r="I111" s="4" t="str">
        <f>IFERROR(__xludf.DUMMYFUNCTION("GOOGLETRANSLATE(C111, ""en"", ""zh"")"),"A) 哨声或喇叭声 B) 鼓声 C) 旗帜声 D) 船长喊叫")</f>
        <v>A) 哨声或喇叭声 B) 鼓声 C) 旗帜声 D) 船长喊叫</v>
      </c>
      <c r="J111" s="4" t="str">
        <f>IFERROR(__xludf.DUMMYFUNCTION("GOOGLETRANSLATE(D111, ""en"", ""zh"")"),"A) 哨子或喇叭")</f>
        <v>A) 哨子或喇叭</v>
      </c>
      <c r="K111" s="4" t="str">
        <f>IFERROR(__xludf.DUMMYFUNCTION("GOOGLETRANSLATE(E111, ""en"", ""zh"")"),"#VALUE!")</f>
        <v>#VALUE!</v>
      </c>
      <c r="L111" s="2"/>
      <c r="M111" s="2"/>
      <c r="N111" s="2"/>
      <c r="O111" s="2"/>
      <c r="P111" s="2"/>
      <c r="Q111" s="23"/>
      <c r="R111" s="23"/>
      <c r="S111" s="23"/>
      <c r="T111" s="23"/>
      <c r="U111" s="23"/>
      <c r="V111" s="23"/>
      <c r="W111" s="23"/>
      <c r="X111" s="23"/>
      <c r="Y111" s="23"/>
      <c r="Z111" s="23"/>
    </row>
    <row r="112">
      <c r="A112" s="21">
        <v>111.0</v>
      </c>
      <c r="B112" s="17" t="s">
        <v>839</v>
      </c>
      <c r="C112" s="17" t="s">
        <v>840</v>
      </c>
      <c r="D112" s="17" t="s">
        <v>841</v>
      </c>
      <c r="E112" s="20"/>
      <c r="F112" s="2"/>
      <c r="G112" s="2"/>
      <c r="H112" s="4" t="str">
        <f>IFERROR(__xludf.DUMMYFUNCTION("GOOGLETRANSLATE(B112, ""en"", ""zh"")"),"在龙舟比赛中，“追水”指的是：")</f>
        <v>在龙舟比赛中，“追水”指的是：</v>
      </c>
      <c r="I112" s="4" t="str">
        <f>IFERROR(__xludf.DUMMYFUNCTION("GOOGLETRANSLATE(C112, ""en"", ""zh"")"),"A) 桨正确入水 B) 溅水 C) 转向 D) 击水")</f>
        <v>A) 桨正确入水 B) 溅水 C) 转向 D) 击水</v>
      </c>
      <c r="J112" s="4" t="str">
        <f>IFERROR(__xludf.DUMMYFUNCTION("GOOGLETRANSLATE(D112, ""en"", ""zh"")"),"A) 桨正确入水")</f>
        <v>A) 桨正确入水</v>
      </c>
      <c r="K112" s="4" t="str">
        <f>IFERROR(__xludf.DUMMYFUNCTION("GOOGLETRANSLATE(E112, ""en"", ""zh"")"),"#VALUE!")</f>
        <v>#VALUE!</v>
      </c>
      <c r="L112" s="2"/>
      <c r="M112" s="2"/>
      <c r="N112" s="2"/>
      <c r="O112" s="2"/>
      <c r="P112" s="2"/>
      <c r="Q112" s="23"/>
      <c r="R112" s="23"/>
      <c r="S112" s="23"/>
      <c r="T112" s="23"/>
      <c r="U112" s="23"/>
      <c r="V112" s="23"/>
      <c r="W112" s="23"/>
      <c r="X112" s="23"/>
      <c r="Y112" s="23"/>
      <c r="Z112" s="23"/>
    </row>
    <row r="113">
      <c r="A113" s="21">
        <v>112.0</v>
      </c>
      <c r="B113" s="17" t="s">
        <v>842</v>
      </c>
      <c r="C113" s="17" t="s">
        <v>843</v>
      </c>
      <c r="D113" s="17" t="s">
        <v>844</v>
      </c>
      <c r="E113" s="20"/>
      <c r="F113" s="2"/>
      <c r="G113" s="2"/>
      <c r="H113" s="4" t="str">
        <f>IFERROR(__xludf.DUMMYFUNCTION("GOOGLETRANSLATE(B113, ""en"", ""zh"")"),"什么是“释放”击球？")</f>
        <v>什么是“释放”击球？</v>
      </c>
      <c r="I113" s="4" t="str">
        <f>IFERROR(__xludf.DUMMYFUNCTION("GOOGLETRANSLATE(C113, ""en"", ""zh"")"),"A) 将桨从水中拉出 B) 踢水 C) 控制方向 D) 跳跃")</f>
        <v>A) 将桨从水中拉出 B) 踢水 C) 控制方向 D) 跳跃</v>
      </c>
      <c r="J113" s="4" t="str">
        <f>IFERROR(__xludf.DUMMYFUNCTION("GOOGLETRANSLATE(D113, ""en"", ""zh"")"),"A) 将桨从水中抽出")</f>
        <v>A) 将桨从水中抽出</v>
      </c>
      <c r="K113" s="4" t="str">
        <f>IFERROR(__xludf.DUMMYFUNCTION("GOOGLETRANSLATE(E113, ""en"", ""zh"")"),"#VALUE!")</f>
        <v>#VALUE!</v>
      </c>
      <c r="L113" s="2"/>
      <c r="M113" s="2"/>
      <c r="N113" s="2"/>
      <c r="O113" s="2"/>
      <c r="P113" s="2"/>
      <c r="Q113" s="23"/>
      <c r="R113" s="23"/>
      <c r="S113" s="23"/>
      <c r="T113" s="23"/>
      <c r="U113" s="23"/>
      <c r="V113" s="23"/>
      <c r="W113" s="23"/>
      <c r="X113" s="23"/>
      <c r="Y113" s="23"/>
      <c r="Z113" s="23"/>
    </row>
    <row r="114">
      <c r="A114" s="21">
        <v>113.0</v>
      </c>
      <c r="B114" s="17" t="s">
        <v>845</v>
      </c>
      <c r="C114" s="17" t="s">
        <v>846</v>
      </c>
      <c r="D114" s="17" t="s">
        <v>740</v>
      </c>
      <c r="E114" s="20"/>
      <c r="F114" s="2"/>
      <c r="G114" s="2"/>
      <c r="H114" s="4" t="str">
        <f>IFERROR(__xludf.DUMMYFUNCTION("GOOGLETRANSLATE(B114, ""en"", ""zh"")"),"划桨者均已就座：")</f>
        <v>划桨者均已就座：</v>
      </c>
      <c r="I114" s="4" t="str">
        <f>IFERROR(__xludf.DUMMYFUNCTION("GOOGLETRANSLATE(C114, ""en"", ""zh"")"),"A) 左右交替 B) 全部向左 C) 全部向右 D) 随机")</f>
        <v>A) 左右交替 B) 全部向左 C) 全部向右 D) 随机</v>
      </c>
      <c r="J114" s="4" t="str">
        <f>IFERROR(__xludf.DUMMYFUNCTION("GOOGLETRANSLATE(D114, ""en"", ""zh"")"),"A) 交替边")</f>
        <v>A) 交替边</v>
      </c>
      <c r="K114" s="4" t="str">
        <f>IFERROR(__xludf.DUMMYFUNCTION("GOOGLETRANSLATE(E114, ""en"", ""zh"")"),"#VALUE!")</f>
        <v>#VALUE!</v>
      </c>
      <c r="L114" s="2"/>
      <c r="M114" s="2"/>
      <c r="N114" s="2"/>
      <c r="O114" s="2"/>
      <c r="P114" s="2"/>
      <c r="Q114" s="23"/>
      <c r="R114" s="23"/>
      <c r="S114" s="23"/>
      <c r="T114" s="23"/>
      <c r="U114" s="23"/>
      <c r="V114" s="23"/>
      <c r="W114" s="23"/>
      <c r="X114" s="23"/>
      <c r="Y114" s="23"/>
      <c r="Z114" s="23"/>
    </row>
    <row r="115">
      <c r="A115" s="21">
        <v>114.0</v>
      </c>
      <c r="B115" s="17" t="s">
        <v>847</v>
      </c>
      <c r="C115" s="17" t="s">
        <v>848</v>
      </c>
      <c r="D115" s="17" t="s">
        <v>849</v>
      </c>
      <c r="E115" s="20"/>
      <c r="F115" s="2"/>
      <c r="G115" s="2"/>
      <c r="H115" s="4" t="str">
        <f>IFERROR(__xludf.DUMMYFUNCTION("GOOGLETRANSLATE(B115, ""en"", ""zh"")"),"如果一艘船与另一艘船相撞会发生什么？")</f>
        <v>如果一艘船与另一艘船相撞会发生什么？</v>
      </c>
      <c r="I115" s="4" t="str">
        <f>IFERROR(__xludf.DUMMYFUNCTION("GOOGLETRANSLATE(C115, ""en"", ""zh"")"),"A) 处罚或取消资格 B) 重新开始 C) 无影响 D) 奖励积分")</f>
        <v>A) 处罚或取消资格 B) 重新开始 C) 无影响 D) 奖励积分</v>
      </c>
      <c r="J115" s="4" t="str">
        <f>IFERROR(__xludf.DUMMYFUNCTION("GOOGLETRANSLATE(D115, ""en"", ""zh"")"),"A) 处罚或取消资格")</f>
        <v>A) 处罚或取消资格</v>
      </c>
      <c r="K115" s="4" t="str">
        <f>IFERROR(__xludf.DUMMYFUNCTION("GOOGLETRANSLATE(E115, ""en"", ""zh"")"),"#VALUE!")</f>
        <v>#VALUE!</v>
      </c>
      <c r="L115" s="2"/>
      <c r="M115" s="2"/>
      <c r="N115" s="2"/>
      <c r="O115" s="2"/>
      <c r="P115" s="2"/>
      <c r="Q115" s="23"/>
      <c r="R115" s="23"/>
      <c r="S115" s="23"/>
      <c r="T115" s="23"/>
      <c r="U115" s="23"/>
      <c r="V115" s="23"/>
      <c r="W115" s="23"/>
      <c r="X115" s="23"/>
      <c r="Y115" s="23"/>
      <c r="Z115" s="23"/>
    </row>
    <row r="116">
      <c r="A116" s="21">
        <v>115.0</v>
      </c>
      <c r="B116" s="17" t="s">
        <v>850</v>
      </c>
      <c r="C116" s="17" t="s">
        <v>851</v>
      </c>
      <c r="D116" s="17" t="s">
        <v>785</v>
      </c>
      <c r="E116" s="20"/>
      <c r="F116" s="2"/>
      <c r="G116" s="2"/>
      <c r="H116" s="4" t="str">
        <f>IFERROR(__xludf.DUMMYFUNCTION("GOOGLETRANSLATE(B116, ""en"", ""zh"")"),"船员必须穿着：")</f>
        <v>船员必须穿着：</v>
      </c>
      <c r="I116" s="4" t="str">
        <f>IFERROR(__xludf.DUMMYFUNCTION("GOOGLETRANSLATE(C116, ""en"", ""zh"")"),"A) 救生衣 B) 头盔 C) 手套 D) 鞋子")</f>
        <v>A) 救生衣 B) 头盔 C) 手套 D) 鞋子</v>
      </c>
      <c r="J116" s="4" t="str">
        <f>IFERROR(__xludf.DUMMYFUNCTION("GOOGLETRANSLATE(D116, ""en"", ""zh"")"),"A) 救生衣")</f>
        <v>A) 救生衣</v>
      </c>
      <c r="K116" s="4" t="str">
        <f>IFERROR(__xludf.DUMMYFUNCTION("GOOGLETRANSLATE(E116, ""en"", ""zh"")"),"#VALUE!")</f>
        <v>#VALUE!</v>
      </c>
      <c r="L116" s="2"/>
      <c r="M116" s="2"/>
      <c r="N116" s="2"/>
      <c r="O116" s="2"/>
      <c r="P116" s="2"/>
      <c r="Q116" s="23"/>
      <c r="R116" s="23"/>
      <c r="S116" s="23"/>
      <c r="T116" s="23"/>
      <c r="U116" s="23"/>
      <c r="V116" s="23"/>
      <c r="W116" s="23"/>
      <c r="X116" s="23"/>
      <c r="Y116" s="23"/>
      <c r="Z116" s="23"/>
    </row>
    <row r="117">
      <c r="A117" s="21">
        <v>116.0</v>
      </c>
      <c r="B117" s="17" t="s">
        <v>852</v>
      </c>
      <c r="C117" s="17" t="s">
        <v>853</v>
      </c>
      <c r="D117" s="17" t="s">
        <v>762</v>
      </c>
      <c r="E117" s="20"/>
      <c r="F117" s="2"/>
      <c r="G117" s="2"/>
      <c r="H117" s="4" t="str">
        <f>IFERROR(__xludf.DUMMYFUNCTION("GOOGLETRANSLATE(B117, ""en"", ""zh"")"),"车道分配由什么决定？")</f>
        <v>车道分配由什么决定？</v>
      </c>
      <c r="I117" s="4" t="str">
        <f>IFERROR(__xludf.DUMMYFUNCTION("GOOGLETRANSLATE(C117, ""en"", ""zh"")"),"A) 随机抽签或种子选手 B) 队长选择 C) 鼓手 D) 桨手身高")</f>
        <v>A) 随机抽签或种子选手 B) 队长选择 C) 鼓手 D) 桨手身高</v>
      </c>
      <c r="J117" s="4" t="str">
        <f>IFERROR(__xludf.DUMMYFUNCTION("GOOGLETRANSLATE(D117, ""en"", ""zh"")"),"A) 随机抽签或播种")</f>
        <v>A) 随机抽签或播种</v>
      </c>
      <c r="K117" s="4" t="str">
        <f>IFERROR(__xludf.DUMMYFUNCTION("GOOGLETRANSLATE(E117, ""en"", ""zh"")"),"#VALUE!")</f>
        <v>#VALUE!</v>
      </c>
      <c r="L117" s="2"/>
      <c r="M117" s="2"/>
      <c r="N117" s="2"/>
      <c r="O117" s="2"/>
      <c r="P117" s="2"/>
      <c r="Q117" s="23"/>
      <c r="R117" s="23"/>
      <c r="S117" s="23"/>
      <c r="T117" s="23"/>
      <c r="U117" s="23"/>
      <c r="V117" s="23"/>
      <c r="W117" s="23"/>
      <c r="X117" s="23"/>
      <c r="Y117" s="23"/>
      <c r="Z117" s="23"/>
    </row>
    <row r="118">
      <c r="A118" s="21">
        <v>117.0</v>
      </c>
      <c r="B118" s="17" t="s">
        <v>854</v>
      </c>
      <c r="C118" s="17" t="s">
        <v>855</v>
      </c>
      <c r="D118" s="17" t="s">
        <v>856</v>
      </c>
      <c r="E118" s="20"/>
      <c r="F118" s="2"/>
      <c r="G118" s="2"/>
      <c r="H118" s="4" t="str">
        <f>IFERROR(__xludf.DUMMYFUNCTION("GOOGLETRANSLATE(B118, ""en"", ""zh"")"),"“十大强队”指的是：")</f>
        <v>“十大强队”指的是：</v>
      </c>
      <c r="I118" s="4" t="str">
        <f>IFERROR(__xludf.DUMMYFUNCTION("GOOGLETRANSLATE(C118, ""en"", ""zh"")"),"A) 十次强劲而协调的划桨动作 B) 十名桨手 C) 十分钟 D) 十艘船")</f>
        <v>A) 十次强劲而协调的划桨动作 B) 十名桨手 C) 十分钟 D) 十艘船</v>
      </c>
      <c r="J118" s="4" t="str">
        <f>IFERROR(__xludf.DUMMYFUNCTION("GOOGLETRANSLATE(D118, ""en"", ""zh"")"),"A) 十次强劲而同步的击打")</f>
        <v>A) 十次强劲而同步的击打</v>
      </c>
      <c r="K118" s="4" t="str">
        <f>IFERROR(__xludf.DUMMYFUNCTION("GOOGLETRANSLATE(E118, ""en"", ""zh"")"),"#VALUE!")</f>
        <v>#VALUE!</v>
      </c>
      <c r="L118" s="2"/>
      <c r="M118" s="2"/>
      <c r="N118" s="2"/>
      <c r="O118" s="2"/>
      <c r="P118" s="2"/>
      <c r="Q118" s="23"/>
      <c r="R118" s="23"/>
      <c r="S118" s="23"/>
      <c r="T118" s="23"/>
      <c r="U118" s="23"/>
      <c r="V118" s="23"/>
      <c r="W118" s="23"/>
      <c r="X118" s="23"/>
      <c r="Y118" s="23"/>
      <c r="Z118" s="23"/>
    </row>
    <row r="119">
      <c r="A119" s="21">
        <v>118.0</v>
      </c>
      <c r="B119" s="17" t="s">
        <v>857</v>
      </c>
      <c r="C119" s="17" t="s">
        <v>858</v>
      </c>
      <c r="D119" s="17" t="s">
        <v>770</v>
      </c>
      <c r="E119" s="20"/>
      <c r="F119" s="2"/>
      <c r="G119" s="2"/>
      <c r="H119" s="4" t="str">
        <f>IFERROR(__xludf.DUMMYFUNCTION("GOOGLETRANSLATE(B119, ""en"", ""zh"")"),"比赛期间哪些行为属于违规行为？")</f>
        <v>比赛期间哪些行为属于违规行为？</v>
      </c>
      <c r="I119" s="4" t="str">
        <f>IFERROR(__xludf.DUMMYFUNCTION("GOOGLETRANSLATE(C119, ""en"", ""zh"")"),"A) 站立划桨 B) 坐姿划桨 C) 跟随鼓手 D) 掌舵")</f>
        <v>A) 站立划桨 B) 坐姿划桨 C) 跟随鼓手 D) 掌舵</v>
      </c>
      <c r="J119" s="4" t="str">
        <f>IFERROR(__xludf.DUMMYFUNCTION("GOOGLETRANSLATE(D119, ""en"", ""zh"")"),"A) 站立划桨")</f>
        <v>A) 站立划桨</v>
      </c>
      <c r="K119" s="4" t="str">
        <f>IFERROR(__xludf.DUMMYFUNCTION("GOOGLETRANSLATE(E119, ""en"", ""zh"")"),"#VALUE!")</f>
        <v>#VALUE!</v>
      </c>
      <c r="L119" s="2"/>
      <c r="M119" s="2"/>
      <c r="N119" s="2"/>
      <c r="O119" s="2"/>
      <c r="P119" s="2"/>
      <c r="Q119" s="23"/>
      <c r="R119" s="23"/>
      <c r="S119" s="23"/>
      <c r="T119" s="23"/>
      <c r="U119" s="23"/>
      <c r="V119" s="23"/>
      <c r="W119" s="23"/>
      <c r="X119" s="23"/>
      <c r="Y119" s="23"/>
      <c r="Z119" s="23"/>
    </row>
    <row r="120">
      <c r="A120" s="21">
        <v>119.0</v>
      </c>
      <c r="B120" s="17" t="s">
        <v>859</v>
      </c>
      <c r="C120" s="17" t="s">
        <v>860</v>
      </c>
      <c r="D120" s="17" t="s">
        <v>861</v>
      </c>
      <c r="E120" s="20"/>
      <c r="F120" s="2"/>
      <c r="G120" s="2"/>
      <c r="H120" s="4" t="str">
        <f>IFERROR(__xludf.DUMMYFUNCTION("GOOGLETRANSLATE(B120, ""en"", ""zh"")"),"鼓手的节奏：")</f>
        <v>鼓手的节奏：</v>
      </c>
      <c r="I120" s="4" t="str">
        <f>IFERROR(__xludf.DUMMYFUNCTION("GOOGLETRANSLATE(C120, ""en"", ""zh"")"),"A) 划桨节奏 B) 转向角度 C) 船向 D) 航道选择")</f>
        <v>A) 划桨节奏 B) 转向角度 C) 船向 D) 航道选择</v>
      </c>
      <c r="J120" s="4" t="str">
        <f>IFERROR(__xludf.DUMMYFUNCTION("GOOGLETRANSLATE(D120, ""en"", ""zh"")"),"A) 划桨节奏")</f>
        <v>A) 划桨节奏</v>
      </c>
      <c r="K120" s="4" t="str">
        <f>IFERROR(__xludf.DUMMYFUNCTION("GOOGLETRANSLATE(E120, ""en"", ""zh"")"),"#VALUE!")</f>
        <v>#VALUE!</v>
      </c>
      <c r="L120" s="2"/>
      <c r="M120" s="2"/>
      <c r="N120" s="2"/>
      <c r="O120" s="2"/>
      <c r="P120" s="2"/>
      <c r="Q120" s="23"/>
      <c r="R120" s="23"/>
      <c r="S120" s="23"/>
      <c r="T120" s="23"/>
      <c r="U120" s="23"/>
      <c r="V120" s="23"/>
      <c r="W120" s="23"/>
      <c r="X120" s="23"/>
      <c r="Y120" s="23"/>
      <c r="Z120" s="23"/>
    </row>
    <row r="121">
      <c r="A121" s="21">
        <v>120.0</v>
      </c>
      <c r="B121" s="17" t="s">
        <v>862</v>
      </c>
      <c r="C121" s="17" t="s">
        <v>863</v>
      </c>
      <c r="D121" s="17" t="s">
        <v>864</v>
      </c>
      <c r="E121" s="20"/>
      <c r="F121" s="2"/>
      <c r="G121" s="2"/>
      <c r="H121" s="4" t="str">
        <f>IFERROR(__xludf.DUMMYFUNCTION("GOOGLETRANSLATE(B121, ""en"", ""zh"")"),"牛犊站的位置是：")</f>
        <v>牛犊站的位置是：</v>
      </c>
      <c r="I121" s="4" t="str">
        <f>IFERROR(__xludf.DUMMYFUNCTION("GOOGLETRANSLATE(C121, ""en"", ""zh"")"),"A) 船尾 B) 船首 C) 船中部 D) 鼓手位置")</f>
        <v>A) 船尾 B) 船首 C) 船中部 D) 鼓手位置</v>
      </c>
      <c r="J121" s="4" t="str">
        <f>IFERROR(__xludf.DUMMYFUNCTION("GOOGLETRANSLATE(D121, ""en"", ""zh"")"),"A) 后部（船尾）")</f>
        <v>A) 后部（船尾）</v>
      </c>
      <c r="K121" s="4" t="str">
        <f>IFERROR(__xludf.DUMMYFUNCTION("GOOGLETRANSLATE(E121, ""en"", ""zh"")"),"#VALUE!")</f>
        <v>#VALUE!</v>
      </c>
      <c r="L121" s="2"/>
      <c r="M121" s="2"/>
      <c r="N121" s="2"/>
      <c r="O121" s="2"/>
      <c r="P121" s="2"/>
      <c r="Q121" s="23"/>
      <c r="R121" s="23"/>
      <c r="S121" s="23"/>
      <c r="T121" s="23"/>
      <c r="U121" s="23"/>
      <c r="V121" s="23"/>
      <c r="W121" s="23"/>
      <c r="X121" s="23"/>
      <c r="Y121" s="23"/>
      <c r="Z121" s="23"/>
    </row>
    <row r="122">
      <c r="A122" s="21">
        <v>121.0</v>
      </c>
      <c r="B122" s="17" t="s">
        <v>865</v>
      </c>
      <c r="C122" s="17" t="s">
        <v>866</v>
      </c>
      <c r="D122" s="17" t="s">
        <v>867</v>
      </c>
      <c r="E122" s="20"/>
      <c r="F122" s="2"/>
      <c r="G122" s="2"/>
      <c r="H122" s="4" t="str">
        <f>IFERROR(__xludf.DUMMYFUNCTION("GOOGLETRANSLATE(B122, ""en"", ""zh"")"),"船通常由以下材料制成：")</f>
        <v>船通常由以下材料制成：</v>
      </c>
      <c r="I122" s="4" t="str">
        <f>IFERROR(__xludf.DUMMYFUNCTION("GOOGLETRANSLATE(C122, ""en"", ""zh"")"),"A) 木材、玻璃纤维、碳纤维 B) 石材 C) 仅金属 D) 布料")</f>
        <v>A) 木材、玻璃纤维、碳纤维 B) 石材 C) 仅金属 D) 布料</v>
      </c>
      <c r="J122" s="4" t="str">
        <f>IFERROR(__xludf.DUMMYFUNCTION("GOOGLETRANSLATE(D122, ""en"", ""zh"")"),"A) 木材、玻璃纤维、碳纤维")</f>
        <v>A) 木材、玻璃纤维、碳纤维</v>
      </c>
      <c r="K122" s="4" t="str">
        <f>IFERROR(__xludf.DUMMYFUNCTION("GOOGLETRANSLATE(E122, ""en"", ""zh"")"),"#VALUE!")</f>
        <v>#VALUE!</v>
      </c>
      <c r="L122" s="2"/>
      <c r="M122" s="2"/>
      <c r="N122" s="2"/>
      <c r="O122" s="2"/>
      <c r="P122" s="2"/>
      <c r="Q122" s="23"/>
      <c r="R122" s="23"/>
      <c r="S122" s="23"/>
      <c r="T122" s="23"/>
      <c r="U122" s="23"/>
      <c r="V122" s="23"/>
      <c r="W122" s="23"/>
      <c r="X122" s="23"/>
      <c r="Y122" s="23"/>
      <c r="Z122" s="23"/>
    </row>
    <row r="123">
      <c r="A123" s="21">
        <v>122.0</v>
      </c>
      <c r="B123" s="17" t="s">
        <v>868</v>
      </c>
      <c r="C123" s="17" t="s">
        <v>869</v>
      </c>
      <c r="D123" s="17" t="s">
        <v>870</v>
      </c>
      <c r="E123" s="20"/>
      <c r="F123" s="2"/>
      <c r="G123" s="2"/>
      <c r="H123" s="4" t="str">
        <f>IFERROR(__xludf.DUMMYFUNCTION("GOOGLETRANSLATE(B123, ""en"", ""zh"")"),"桨手如何协调划桨动作？")</f>
        <v>桨手如何协调划桨动作？</v>
      </c>
      <c r="I123" s="4" t="str">
        <f>IFERROR(__xludf.DUMMYFUNCTION("GOOGLETRANSLATE(C123, ""en"", ""zh"")"),"A) 跟随鼓手 B) 随机 C) 仅限船长 D) 中段划桨手")</f>
        <v>A) 跟随鼓手 B) 随机 C) 仅限船长 D) 中段划桨手</v>
      </c>
      <c r="J123" s="4" t="str">
        <f>IFERROR(__xludf.DUMMYFUNCTION("GOOGLETRANSLATE(D123, ""en"", ""zh"")"),"A) 跟随鼓手")</f>
        <v>A) 跟随鼓手</v>
      </c>
      <c r="K123" s="4" t="str">
        <f>IFERROR(__xludf.DUMMYFUNCTION("GOOGLETRANSLATE(E123, ""en"", ""zh"")"),"#VALUE!")</f>
        <v>#VALUE!</v>
      </c>
      <c r="L123" s="2"/>
      <c r="M123" s="2"/>
      <c r="N123" s="2"/>
      <c r="O123" s="2"/>
      <c r="P123" s="2"/>
      <c r="Q123" s="23"/>
      <c r="R123" s="23"/>
      <c r="S123" s="23"/>
      <c r="T123" s="23"/>
      <c r="U123" s="23"/>
      <c r="V123" s="23"/>
      <c r="W123" s="23"/>
      <c r="X123" s="23"/>
      <c r="Y123" s="23"/>
      <c r="Z123" s="23"/>
    </row>
    <row r="124">
      <c r="A124" s="21">
        <v>123.0</v>
      </c>
      <c r="B124" s="17" t="s">
        <v>871</v>
      </c>
      <c r="C124" s="17" t="s">
        <v>872</v>
      </c>
      <c r="D124" s="17" t="s">
        <v>873</v>
      </c>
      <c r="E124" s="20"/>
      <c r="F124" s="2"/>
      <c r="G124" s="2"/>
      <c r="H124" s="4" t="str">
        <f>IFERROR(__xludf.DUMMYFUNCTION("GOOGLETRANSLATE(B124, ""en"", ""zh"")"),"正确的划桨技巧是什么？")</f>
        <v>正确的划桨技巧是什么？</v>
      </c>
      <c r="I124" s="4" t="str">
        <f>IFERROR(__xludf.DUMMYFUNCTION("GOOGLETRANSLATE(C124, ""en"", ""zh"")"),"A) 全程划水，动作连贯 B) 短促的抽动式划水 C) 仅提拉 D) 旋转桨")</f>
        <v>A) 全程划水，动作连贯 B) 短促的抽动式划水 C) 仅提拉 D) 旋转桨</v>
      </c>
      <c r="J124" s="4" t="str">
        <f>IFERROR(__xludf.DUMMYFUNCTION("GOOGLETRANSLATE(D124, ""en"", ""zh"")"),"A) 充分伸展，击球动作连贯")</f>
        <v>A) 充分伸展，击球动作连贯</v>
      </c>
      <c r="K124" s="4" t="str">
        <f>IFERROR(__xludf.DUMMYFUNCTION("GOOGLETRANSLATE(E124, ""en"", ""zh"")"),"#VALUE!")</f>
        <v>#VALUE!</v>
      </c>
      <c r="L124" s="2"/>
      <c r="M124" s="2"/>
      <c r="N124" s="2"/>
      <c r="O124" s="2"/>
      <c r="P124" s="2"/>
      <c r="Q124" s="23"/>
      <c r="R124" s="23"/>
      <c r="S124" s="23"/>
      <c r="T124" s="23"/>
      <c r="U124" s="23"/>
      <c r="V124" s="23"/>
      <c r="W124" s="23"/>
      <c r="X124" s="23"/>
      <c r="Y124" s="23"/>
      <c r="Z124" s="23"/>
    </row>
    <row r="125">
      <c r="A125" s="21">
        <v>124.0</v>
      </c>
      <c r="B125" s="17" t="s">
        <v>874</v>
      </c>
      <c r="C125" s="17" t="s">
        <v>875</v>
      </c>
      <c r="D125" s="17" t="s">
        <v>680</v>
      </c>
      <c r="E125" s="20"/>
      <c r="F125" s="2"/>
      <c r="G125" s="2"/>
      <c r="H125" s="4" t="str">
        <f>IFERROR(__xludf.DUMMYFUNCTION("GOOGLETRANSLATE(B125, ""en"", ""zh"")"),"抢跑之后会发生什么？")</f>
        <v>抢跑之后会发生什么？</v>
      </c>
      <c r="I125" s="4" t="str">
        <f>IFERROR(__xludf.DUMMYFUNCTION("GOOGLETRANSLATE(C125, ""en"", ""zh"")"),"A) 警告或重新开始 B) 立即取消资格 C) 自由划桨 D) 额外划桨")</f>
        <v>A) 警告或重新开始 B) 立即取消资格 C) 自由划桨 D) 额外划桨</v>
      </c>
      <c r="J125" s="4" t="str">
        <f>IFERROR(__xludf.DUMMYFUNCTION("GOOGLETRANSLATE(D125, ""en"", ""zh"")"),"A) 警告或重启")</f>
        <v>A) 警告或重启</v>
      </c>
      <c r="K125" s="4" t="str">
        <f>IFERROR(__xludf.DUMMYFUNCTION("GOOGLETRANSLATE(E125, ""en"", ""zh"")"),"#VALUE!")</f>
        <v>#VALUE!</v>
      </c>
      <c r="L125" s="2"/>
      <c r="M125" s="2"/>
      <c r="N125" s="2"/>
      <c r="O125" s="2"/>
      <c r="P125" s="2"/>
      <c r="Q125" s="23"/>
      <c r="R125" s="23"/>
      <c r="S125" s="23"/>
      <c r="T125" s="23"/>
      <c r="U125" s="23"/>
      <c r="V125" s="23"/>
      <c r="W125" s="23"/>
      <c r="X125" s="23"/>
      <c r="Y125" s="23"/>
      <c r="Z125" s="23"/>
    </row>
    <row r="126">
      <c r="A126" s="21">
        <v>125.0</v>
      </c>
      <c r="B126" s="17" t="s">
        <v>876</v>
      </c>
      <c r="C126" s="17" t="s">
        <v>877</v>
      </c>
      <c r="D126" s="17" t="s">
        <v>878</v>
      </c>
      <c r="E126" s="20"/>
      <c r="F126" s="2"/>
      <c r="G126" s="2"/>
      <c r="H126" s="4" t="str">
        <f>IFERROR(__xludf.DUMMYFUNCTION("GOOGLETRANSLATE(B126, ""en"", ""zh"")"),"如何决出胜负？")</f>
        <v>如何决出胜负？</v>
      </c>
      <c r="I126" s="4" t="str">
        <f>IFERROR(__xludf.DUMMYFUNCTION("GOOGLETRANSLATE(C126, ""en"", ""zh"")"),"A) 第一个冲过终点线的人 B) 桨最多的人 C) 最重的船 D) 鼓手的叫喊")</f>
        <v>A) 第一个冲过终点线的人 B) 桨最多的人 C) 最重的船 D) 鼓手的叫喊</v>
      </c>
      <c r="J126" s="4" t="str">
        <f>IFERROR(__xludf.DUMMYFUNCTION("GOOGLETRANSLATE(D126, ""en"", ""zh"")"),"A) 第一个冲过终点线的人")</f>
        <v>A) 第一个冲过终点线的人</v>
      </c>
      <c r="K126" s="4" t="str">
        <f>IFERROR(__xludf.DUMMYFUNCTION("GOOGLETRANSLATE(E126, ""en"", ""zh"")"),"#VALUE!")</f>
        <v>#VALUE!</v>
      </c>
      <c r="L126" s="2"/>
      <c r="M126" s="2"/>
      <c r="N126" s="2"/>
      <c r="O126" s="2"/>
      <c r="P126" s="2"/>
      <c r="Q126" s="23"/>
      <c r="R126" s="23"/>
      <c r="S126" s="23"/>
      <c r="T126" s="23"/>
      <c r="U126" s="23"/>
      <c r="V126" s="23"/>
      <c r="W126" s="23"/>
      <c r="X126" s="23"/>
      <c r="Y126" s="23"/>
      <c r="Z126" s="23"/>
    </row>
    <row r="127">
      <c r="A127" s="21">
        <v>126.0</v>
      </c>
      <c r="B127" s="17" t="s">
        <v>879</v>
      </c>
      <c r="C127" s="17" t="s">
        <v>880</v>
      </c>
      <c r="D127" s="17" t="s">
        <v>660</v>
      </c>
      <c r="E127" s="20"/>
      <c r="F127" s="2"/>
      <c r="G127" s="2"/>
      <c r="H127" s="4" t="str">
        <f>IFERROR(__xludf.DUMMYFUNCTION("GOOGLETRANSLATE(B127, ""en"", ""zh"")"),"违反车道规定会导致：")</f>
        <v>违反车道规定会导致：</v>
      </c>
      <c r="I127" s="4" t="str">
        <f>IFERROR(__xludf.DUMMYFUNCTION("GOOGLETRANSLATE(C127, ""en"", ""zh"")"),"A) 罚杆 B) 额外击球 C) 奖励积分 D) 无影响")</f>
        <v>A) 罚杆 B) 额外击球 C) 奖励积分 D) 无影响</v>
      </c>
      <c r="J127" s="4" t="str">
        <f>IFERROR(__xludf.DUMMYFUNCTION("GOOGLETRANSLATE(D127, ""en"", ""zh"")"),"A) 处罚")</f>
        <v>A) 处罚</v>
      </c>
      <c r="K127" s="4" t="str">
        <f>IFERROR(__xludf.DUMMYFUNCTION("GOOGLETRANSLATE(E127, ""en"", ""zh"")"),"#VALUE!")</f>
        <v>#VALUE!</v>
      </c>
      <c r="L127" s="2"/>
      <c r="M127" s="2"/>
      <c r="N127" s="2"/>
      <c r="O127" s="2"/>
      <c r="P127" s="2"/>
      <c r="Q127" s="23"/>
      <c r="R127" s="23"/>
      <c r="S127" s="23"/>
      <c r="T127" s="23"/>
      <c r="U127" s="23"/>
      <c r="V127" s="23"/>
      <c r="W127" s="23"/>
      <c r="X127" s="23"/>
      <c r="Y127" s="23"/>
      <c r="Z127" s="23"/>
    </row>
    <row r="128">
      <c r="A128" s="21">
        <v>127.0</v>
      </c>
      <c r="B128" s="17" t="s">
        <v>881</v>
      </c>
      <c r="C128" s="17" t="s">
        <v>882</v>
      </c>
      <c r="D128" s="17" t="s">
        <v>648</v>
      </c>
      <c r="E128" s="20"/>
      <c r="F128" s="2"/>
      <c r="G128" s="2"/>
      <c r="H128" s="4" t="str">
        <f>IFERROR(__xludf.DUMMYFUNCTION("GOOGLETRANSLATE(B128, ""en"", ""zh"")"),"短程赛通常涵盖：")</f>
        <v>短程赛通常涵盖：</v>
      </c>
      <c r="I128" s="4" t="str">
        <f>IFERROR(__xludf.DUMMYFUNCTION("GOOGLETRANSLATE(C128, ""en"", ""zh"")"),"A) 200–500 米 B) 50 米 C) 1 公里 D) 2 公里")</f>
        <v>A) 200–500 米 B) 50 米 C) 1 公里 D) 2 公里</v>
      </c>
      <c r="J128" s="4" t="str">
        <f>IFERROR(__xludf.DUMMYFUNCTION("GOOGLETRANSLATE(D128, ""en"", ""zh"")"),"A) 200–500 米")</f>
        <v>A) 200–500 米</v>
      </c>
      <c r="K128" s="4" t="str">
        <f>IFERROR(__xludf.DUMMYFUNCTION("GOOGLETRANSLATE(E128, ""en"", ""zh"")"),"#VALUE!")</f>
        <v>#VALUE!</v>
      </c>
      <c r="L128" s="2"/>
      <c r="M128" s="2"/>
      <c r="N128" s="2"/>
      <c r="O128" s="2"/>
      <c r="P128" s="2"/>
      <c r="Q128" s="23"/>
      <c r="R128" s="23"/>
      <c r="S128" s="23"/>
      <c r="T128" s="23"/>
      <c r="U128" s="23"/>
      <c r="V128" s="23"/>
      <c r="W128" s="23"/>
      <c r="X128" s="23"/>
      <c r="Y128" s="23"/>
      <c r="Z128" s="23"/>
    </row>
    <row r="129">
      <c r="A129" s="21">
        <v>128.0</v>
      </c>
      <c r="B129" s="17" t="s">
        <v>883</v>
      </c>
      <c r="C129" s="17" t="s">
        <v>884</v>
      </c>
      <c r="D129" s="17" t="s">
        <v>885</v>
      </c>
      <c r="E129" s="20"/>
      <c r="F129" s="2"/>
      <c r="G129" s="2"/>
      <c r="H129" s="4" t="str">
        <f>IFERROR(__xludf.DUMMYFUNCTION("GOOGLETRANSLATE(B129, ""en"", ""zh"")"),"长距离比赛通常具有以下特点：")</f>
        <v>长距离比赛通常具有以下特点：</v>
      </c>
      <c r="I129" s="4" t="str">
        <f>IFERROR(__xludf.DUMMYFUNCTION("GOOGLETRANSLATE(C129, ""en"", ""zh"")"),"A) 2–5 km B) 200 m C) 500 m D) 50 m")</f>
        <v>A) 2–5 km B) 200 m C) 500 m D) 50 m</v>
      </c>
      <c r="J129" s="4" t="str">
        <f>IFERROR(__xludf.DUMMYFUNCTION("GOOGLETRANSLATE(D129, ""en"", ""zh"")"),"A) 2–5 公里")</f>
        <v>A) 2–5 公里</v>
      </c>
      <c r="K129" s="4" t="str">
        <f>IFERROR(__xludf.DUMMYFUNCTION("GOOGLETRANSLATE(E129, ""en"", ""zh"")"),"#VALUE!")</f>
        <v>#VALUE!</v>
      </c>
      <c r="L129" s="2"/>
      <c r="M129" s="2"/>
      <c r="N129" s="2"/>
      <c r="O129" s="2"/>
      <c r="P129" s="2"/>
      <c r="Q129" s="23"/>
      <c r="R129" s="23"/>
      <c r="S129" s="23"/>
      <c r="T129" s="23"/>
      <c r="U129" s="23"/>
      <c r="V129" s="23"/>
      <c r="W129" s="23"/>
      <c r="X129" s="23"/>
      <c r="Y129" s="23"/>
      <c r="Z129" s="23"/>
    </row>
    <row r="130">
      <c r="A130" s="21">
        <v>129.0</v>
      </c>
      <c r="B130" s="17" t="s">
        <v>886</v>
      </c>
      <c r="C130" s="17" t="s">
        <v>887</v>
      </c>
      <c r="D130" s="17" t="s">
        <v>804</v>
      </c>
      <c r="E130" s="20"/>
      <c r="F130" s="2"/>
      <c r="G130" s="2"/>
      <c r="H130" s="4" t="str">
        <f>IFERROR(__xludf.DUMMYFUNCTION("GOOGLETRANSLATE(B130, ""en"", ""zh"")"),"在长距离比赛中，桨手轮流上场：")</f>
        <v>在长距离比赛中，桨手轮流上场：</v>
      </c>
      <c r="I130" s="4" t="str">
        <f>IFERROR(__xludf.DUMMYFUNCTION("GOOGLETRANSLATE(C130, ""en"", ""zh"")"),"A) 减轻疲劳 B) 增加船重 C) 鼓手优势 D) 易于操控")</f>
        <v>A) 减轻疲劳 B) 增加船重 C) 鼓手优势 D) 易于操控</v>
      </c>
      <c r="J130" s="4" t="str">
        <f>IFERROR(__xludf.DUMMYFUNCTION("GOOGLETRANSLATE(D130, ""en"", ""zh"")"),"A) 减轻疲劳")</f>
        <v>A) 减轻疲劳</v>
      </c>
      <c r="K130" s="4" t="str">
        <f>IFERROR(__xludf.DUMMYFUNCTION("GOOGLETRANSLATE(E130, ""en"", ""zh"")"),"#VALUE!")</f>
        <v>#VALUE!</v>
      </c>
      <c r="L130" s="2"/>
      <c r="M130" s="2"/>
      <c r="N130" s="2"/>
      <c r="O130" s="2"/>
      <c r="P130" s="2"/>
      <c r="Q130" s="23"/>
      <c r="R130" s="23"/>
      <c r="S130" s="23"/>
      <c r="T130" s="23"/>
      <c r="U130" s="23"/>
      <c r="V130" s="23"/>
      <c r="W130" s="23"/>
      <c r="X130" s="23"/>
      <c r="Y130" s="23"/>
      <c r="Z130" s="23"/>
    </row>
    <row r="131">
      <c r="A131" s="21">
        <v>130.0</v>
      </c>
      <c r="B131" s="17" t="s">
        <v>888</v>
      </c>
      <c r="C131" s="17" t="s">
        <v>889</v>
      </c>
      <c r="D131" s="17" t="s">
        <v>824</v>
      </c>
      <c r="E131" s="20"/>
      <c r="F131" s="2"/>
      <c r="G131" s="2"/>
      <c r="H131" s="4" t="str">
        <f>IFERROR(__xludf.DUMMYFUNCTION("GOOGLETRANSLATE(B131, ""en"", ""zh"")"),"谁来执行安全规则？")</f>
        <v>谁来执行安全规则？</v>
      </c>
      <c r="I131" s="4" t="str">
        <f>IFERROR(__xludf.DUMMYFUNCTION("GOOGLETRANSLATE(C131, ""en"", ""zh"")"),"A) 官员 B) 队长 C) 鼓手 D) 观众")</f>
        <v>A) 官员 B) 队长 C) 鼓手 D) 观众</v>
      </c>
      <c r="J131" s="4" t="str">
        <f>IFERROR(__xludf.DUMMYFUNCTION("GOOGLETRANSLATE(D131, ""en"", ""zh"")"),"A) 官员")</f>
        <v>A) 官员</v>
      </c>
      <c r="K131" s="4" t="str">
        <f>IFERROR(__xludf.DUMMYFUNCTION("GOOGLETRANSLATE(E131, ""en"", ""zh"")"),"#VALUE!")</f>
        <v>#VALUE!</v>
      </c>
      <c r="L131" s="2"/>
      <c r="M131" s="2"/>
      <c r="N131" s="2"/>
      <c r="O131" s="2"/>
      <c r="P131" s="2"/>
      <c r="Q131" s="23"/>
      <c r="R131" s="23"/>
      <c r="S131" s="23"/>
      <c r="T131" s="23"/>
      <c r="U131" s="23"/>
      <c r="V131" s="23"/>
      <c r="W131" s="23"/>
      <c r="X131" s="23"/>
      <c r="Y131" s="23"/>
      <c r="Z131" s="23"/>
    </row>
    <row r="132">
      <c r="A132" s="21">
        <v>131.0</v>
      </c>
      <c r="B132" s="17" t="s">
        <v>890</v>
      </c>
      <c r="C132" s="17" t="s">
        <v>891</v>
      </c>
      <c r="D132" s="17" t="s">
        <v>892</v>
      </c>
      <c r="E132" s="20"/>
      <c r="F132" s="2"/>
      <c r="G132" s="2"/>
      <c r="H132" s="4" t="str">
        <f>IFERROR(__xludf.DUMMYFUNCTION("GOOGLETRANSLATE(B132, ""en"", ""zh"")"),"鼓手与以下人员沟通：")</f>
        <v>鼓手与以下人员沟通：</v>
      </c>
      <c r="I132" s="4" t="str">
        <f>IFERROR(__xludf.DUMMYFUNCTION("GOOGLETRANSLATE(C132, ""en"", ""zh"")"),"A) 所有桨手 B) 仅舵手 C) 仅船长 D) 观众")</f>
        <v>A) 所有桨手 B) 仅舵手 C) 仅船长 D) 观众</v>
      </c>
      <c r="J132" s="4" t="str">
        <f>IFERROR(__xludf.DUMMYFUNCTION("GOOGLETRANSLATE(D132, ""en"", ""zh"")"),"A) 所有划桨者")</f>
        <v>A) 所有划桨者</v>
      </c>
      <c r="K132" s="4" t="str">
        <f>IFERROR(__xludf.DUMMYFUNCTION("GOOGLETRANSLATE(E132, ""en"", ""zh"")"),"#VALUE!")</f>
        <v>#VALUE!</v>
      </c>
      <c r="L132" s="2"/>
      <c r="M132" s="2"/>
      <c r="N132" s="2"/>
      <c r="O132" s="2"/>
      <c r="P132" s="2"/>
      <c r="Q132" s="23"/>
      <c r="R132" s="23"/>
      <c r="S132" s="23"/>
      <c r="T132" s="23"/>
      <c r="U132" s="23"/>
      <c r="V132" s="23"/>
      <c r="W132" s="23"/>
      <c r="X132" s="23"/>
      <c r="Y132" s="23"/>
      <c r="Z132" s="23"/>
    </row>
    <row r="133">
      <c r="A133" s="21">
        <v>132.0</v>
      </c>
      <c r="B133" s="17" t="s">
        <v>893</v>
      </c>
      <c r="C133" s="17" t="s">
        <v>894</v>
      </c>
      <c r="D133" s="17" t="s">
        <v>895</v>
      </c>
      <c r="E133" s="20"/>
      <c r="F133" s="2"/>
      <c r="G133" s="2"/>
      <c r="H133" s="4" t="str">
        <f>IFERROR(__xludf.DUMMYFUNCTION("GOOGLETRANSLATE(B133, ""en"", ""zh"")"),"正确的划水角度可确保：")</f>
        <v>正确的划水角度可确保：</v>
      </c>
      <c r="I133" s="4" t="str">
        <f>IFERROR(__xludf.DUMMYFUNCTION("GOOGLETRANSLATE(C133, ""en"", ""zh"")"),"A) 最大推进力 B) 船体倾斜 C) 鼓手优势 D) 变道")</f>
        <v>A) 最大推进力 B) 船体倾斜 C) 鼓手优势 D) 变道</v>
      </c>
      <c r="J133" s="4" t="str">
        <f>IFERROR(__xludf.DUMMYFUNCTION("GOOGLETRANSLATE(D133, ""en"", ""zh"")"),"A) 最大推进力")</f>
        <v>A) 最大推进力</v>
      </c>
      <c r="K133" s="4" t="str">
        <f>IFERROR(__xludf.DUMMYFUNCTION("GOOGLETRANSLATE(E133, ""en"", ""zh"")"),"#VALUE!")</f>
        <v>#VALUE!</v>
      </c>
      <c r="L133" s="2"/>
      <c r="M133" s="2"/>
      <c r="N133" s="2"/>
      <c r="O133" s="2"/>
      <c r="P133" s="2"/>
      <c r="Q133" s="23"/>
      <c r="R133" s="23"/>
      <c r="S133" s="23"/>
      <c r="T133" s="23"/>
      <c r="U133" s="23"/>
      <c r="V133" s="23"/>
      <c r="W133" s="23"/>
      <c r="X133" s="23"/>
      <c r="Y133" s="23"/>
      <c r="Z133" s="23"/>
    </row>
    <row r="134">
      <c r="A134" s="21">
        <v>133.0</v>
      </c>
      <c r="B134" s="17" t="s">
        <v>896</v>
      </c>
      <c r="C134" s="17" t="s">
        <v>897</v>
      </c>
      <c r="D134" s="17" t="s">
        <v>788</v>
      </c>
      <c r="E134" s="20"/>
      <c r="F134" s="2"/>
      <c r="G134" s="2"/>
      <c r="H134" s="4" t="str">
        <f>IFERROR(__xludf.DUMMYFUNCTION("GOOGLETRANSLATE(B134, ""en"", ""zh"")"),"船只必须停放在：")</f>
        <v>船只必须停放在：</v>
      </c>
      <c r="I134" s="4" t="str">
        <f>IFERROR(__xludf.DUMMYFUNCTION("GOOGLETRANSLATE(C134, ""en"", ""zh"")"),"A) 指定车道 B) 任意车道 C) 外侧车道 D) 湖中央车道")</f>
        <v>A) 指定车道 B) 任意车道 C) 外侧车道 D) 湖中央车道</v>
      </c>
      <c r="J134" s="4" t="str">
        <f>IFERROR(__xludf.DUMMYFUNCTION("GOOGLETRANSLATE(D134, ""en"", ""zh"")"),"A) 指定车道")</f>
        <v>A) 指定车道</v>
      </c>
      <c r="K134" s="4" t="str">
        <f>IFERROR(__xludf.DUMMYFUNCTION("GOOGLETRANSLATE(E134, ""en"", ""zh"")"),"#VALUE!")</f>
        <v>#VALUE!</v>
      </c>
      <c r="L134" s="2"/>
      <c r="M134" s="2"/>
      <c r="N134" s="2"/>
      <c r="O134" s="2"/>
      <c r="P134" s="2"/>
      <c r="Q134" s="23"/>
      <c r="R134" s="23"/>
      <c r="S134" s="23"/>
      <c r="T134" s="23"/>
      <c r="U134" s="23"/>
      <c r="V134" s="23"/>
      <c r="W134" s="23"/>
      <c r="X134" s="23"/>
      <c r="Y134" s="23"/>
      <c r="Z134" s="23"/>
    </row>
    <row r="135">
      <c r="A135" s="21">
        <v>134.0</v>
      </c>
      <c r="B135" s="17" t="s">
        <v>693</v>
      </c>
      <c r="C135" s="17" t="s">
        <v>898</v>
      </c>
      <c r="D135" s="17" t="s">
        <v>695</v>
      </c>
      <c r="E135" s="20"/>
      <c r="F135" s="2"/>
      <c r="G135" s="2"/>
      <c r="H135" s="4" t="str">
        <f>IFERROR(__xludf.DUMMYFUNCTION("GOOGLETRANSLATE(B135, ""en"", ""zh"")"),"什么是“冲刺起跑”？")</f>
        <v>什么是“冲刺起跑”？</v>
      </c>
      <c r="I135" s="4" t="str">
        <f>IFERROR(__xludf.DUMMYFUNCTION("GOOGLETRANSLATE(C135, ""en"", ""zh"")"),"A) 起步全力 B) 慢速划桨 C) 仅鼓手 D) 仅舵手")</f>
        <v>A) 起步全力 B) 慢速划桨 C) 仅鼓手 D) 仅舵手</v>
      </c>
      <c r="J135" s="4" t="str">
        <f>IFERROR(__xludf.DUMMYFUNCTION("GOOGLETRANSLATE(D135, ""en"", ""zh"")"),"A) 开局时的最大努力")</f>
        <v>A) 开局时的最大努力</v>
      </c>
      <c r="K135" s="4" t="str">
        <f>IFERROR(__xludf.DUMMYFUNCTION("GOOGLETRANSLATE(E135, ""en"", ""zh"")"),"#VALUE!")</f>
        <v>#VALUE!</v>
      </c>
      <c r="L135" s="2"/>
      <c r="M135" s="2"/>
      <c r="N135" s="2"/>
      <c r="O135" s="2"/>
      <c r="P135" s="2"/>
      <c r="Q135" s="23"/>
      <c r="R135" s="23"/>
      <c r="S135" s="23"/>
      <c r="T135" s="23"/>
      <c r="U135" s="23"/>
      <c r="V135" s="23"/>
      <c r="W135" s="23"/>
      <c r="X135" s="23"/>
      <c r="Y135" s="23"/>
      <c r="Z135" s="23"/>
    </row>
    <row r="136">
      <c r="A136" s="21">
        <v>135.0</v>
      </c>
      <c r="B136" s="17" t="s">
        <v>899</v>
      </c>
      <c r="C136" s="17" t="s">
        <v>900</v>
      </c>
      <c r="D136" s="17" t="s">
        <v>901</v>
      </c>
      <c r="E136" s="20"/>
      <c r="F136" s="2"/>
      <c r="G136" s="2"/>
      <c r="H136" s="4" t="str">
        <f>IFERROR(__xludf.DUMMYFUNCTION("GOOGLETRANSLATE(B136, ""en"", ""zh"")"),"桨手的座位设计用途如下：")</f>
        <v>桨手的座位设计用途如下：</v>
      </c>
      <c r="I136" s="4" t="str">
        <f>IFERROR(__xludf.DUMMYFUNCTION("GOOGLETRANSLATE(C136, ""en"", ""zh"")"),"A) 平衡与协调 B) 仅舒适 C) 随机放置 D) 传统")</f>
        <v>A) 平衡与协调 B) 仅舒适 C) 随机放置 D) 传统</v>
      </c>
      <c r="J136" s="4" t="str">
        <f>IFERROR(__xludf.DUMMYFUNCTION("GOOGLETRANSLATE(D136, ""en"", ""zh"")"),"A) 平衡与协调")</f>
        <v>A) 平衡与协调</v>
      </c>
      <c r="K136" s="4" t="str">
        <f>IFERROR(__xludf.DUMMYFUNCTION("GOOGLETRANSLATE(E136, ""en"", ""zh"")"),"#VALUE!")</f>
        <v>#VALUE!</v>
      </c>
      <c r="L136" s="2"/>
      <c r="M136" s="2"/>
      <c r="N136" s="2"/>
      <c r="O136" s="2"/>
      <c r="P136" s="2"/>
      <c r="Q136" s="23"/>
      <c r="R136" s="23"/>
      <c r="S136" s="23"/>
      <c r="T136" s="23"/>
      <c r="U136" s="23"/>
      <c r="V136" s="23"/>
      <c r="W136" s="23"/>
      <c r="X136" s="23"/>
      <c r="Y136" s="23"/>
      <c r="Z136" s="23"/>
    </row>
    <row r="137">
      <c r="A137" s="22">
        <v>136.0</v>
      </c>
      <c r="B137" s="17" t="s">
        <v>902</v>
      </c>
      <c r="C137" s="17" t="s">
        <v>903</v>
      </c>
      <c r="D137" s="17" t="s">
        <v>833</v>
      </c>
      <c r="E137" s="20"/>
      <c r="F137" s="2"/>
      <c r="G137" s="2"/>
      <c r="H137" s="4" t="str">
        <f>IFERROR(__xludf.DUMMYFUNCTION("GOOGLETRANSLATE(B137, ""en"", ""zh"")"),"船只的航行方式是：")</f>
        <v>船只的航行方式是：</v>
      </c>
      <c r="I137" s="4" t="str">
        <f>IFERROR(__xludf.DUMMYFUNCTION("GOOGLETRANSLATE(C137, ""en"", ""zh"")"),"A) 扫桨 B) 仅用手 C) 桨 D) 绳索")</f>
        <v>A) 扫桨 B) 仅用手 C) 桨 D) 绳索</v>
      </c>
      <c r="J137" s="4" t="str">
        <f>IFERROR(__xludf.DUMMYFUNCTION("GOOGLETRANSLATE(D137, ""en"", ""zh"")"),"A) 扫桨")</f>
        <v>A) 扫桨</v>
      </c>
      <c r="K137" s="4" t="str">
        <f>IFERROR(__xludf.DUMMYFUNCTION("GOOGLETRANSLATE(E137, ""en"", ""zh"")"),"#VALUE!")</f>
        <v>#VALUE!</v>
      </c>
      <c r="L137" s="2"/>
      <c r="M137" s="2"/>
      <c r="N137" s="2"/>
      <c r="O137" s="2"/>
      <c r="P137" s="2"/>
      <c r="Q137" s="23"/>
      <c r="R137" s="23"/>
      <c r="S137" s="23"/>
      <c r="T137" s="23"/>
      <c r="U137" s="23"/>
      <c r="V137" s="23"/>
      <c r="W137" s="23"/>
      <c r="X137" s="23"/>
      <c r="Y137" s="23"/>
      <c r="Z137" s="23"/>
    </row>
    <row r="138">
      <c r="A138" s="22">
        <v>137.0</v>
      </c>
      <c r="B138" s="17" t="s">
        <v>904</v>
      </c>
      <c r="C138" s="17" t="s">
        <v>905</v>
      </c>
      <c r="D138" s="17" t="s">
        <v>801</v>
      </c>
      <c r="E138" s="20"/>
      <c r="F138" s="2"/>
      <c r="G138" s="2"/>
      <c r="H138" s="4" t="str">
        <f>IFERROR(__xludf.DUMMYFUNCTION("GOOGLETRANSLATE(B138, ""en"", ""zh"")"),"鼓手发出信号时：")</f>
        <v>鼓手发出信号时：</v>
      </c>
      <c r="I138" s="4" t="str">
        <f>IFERROR(__xludf.DUMMYFUNCTION("GOOGLETRANSLATE(C138, ""en"", ""zh"")"),"A) 起点、配速、终点 B) 船体颜色 C) 航道 D) 桨手交接")</f>
        <v>A) 起点、配速、终点 B) 船体颜色 C) 航道 D) 桨手交接</v>
      </c>
      <c r="J138" s="4" t="str">
        <f>IFERROR(__xludf.DUMMYFUNCTION("GOOGLETRANSLATE(D138, ""en"", ""zh"")"),"A) 开始、节奏、结束")</f>
        <v>A) 开始、节奏、结束</v>
      </c>
      <c r="K138" s="4" t="str">
        <f>IFERROR(__xludf.DUMMYFUNCTION("GOOGLETRANSLATE(E138, ""en"", ""zh"")"),"#VALUE!")</f>
        <v>#VALUE!</v>
      </c>
      <c r="L138" s="2"/>
      <c r="M138" s="2"/>
      <c r="N138" s="2"/>
      <c r="O138" s="2"/>
      <c r="P138" s="2"/>
      <c r="Q138" s="23"/>
      <c r="R138" s="23"/>
      <c r="S138" s="23"/>
      <c r="T138" s="23"/>
      <c r="U138" s="23"/>
      <c r="V138" s="23"/>
      <c r="W138" s="23"/>
      <c r="X138" s="23"/>
      <c r="Y138" s="23"/>
      <c r="Z138" s="23"/>
    </row>
    <row r="139">
      <c r="A139" s="22">
        <v>138.0</v>
      </c>
      <c r="B139" s="17" t="s">
        <v>906</v>
      </c>
      <c r="C139" s="17" t="s">
        <v>907</v>
      </c>
      <c r="D139" s="17" t="s">
        <v>698</v>
      </c>
      <c r="E139" s="20"/>
      <c r="F139" s="2"/>
      <c r="G139" s="2"/>
      <c r="H139" s="4" t="str">
        <f>IFERROR(__xludf.DUMMYFUNCTION("GOOGLETRANSLATE(B139, ""en"", ""zh"")"),"船员必须避免：")</f>
        <v>船员必须避免：</v>
      </c>
      <c r="I139" s="4" t="str">
        <f>IFERROR(__xludf.DUMMYFUNCTION("GOOGLETRANSLATE(C139, ""en"", ""zh"")"),"A) 身体探出船外 B) 坐姿划桨 C) 鼓手协调性 D) 划桨节奏")</f>
        <v>A) 身体探出船外 B) 坐姿划桨 C) 鼓手协调性 D) 划桨节奏</v>
      </c>
      <c r="J139" s="4" t="str">
        <f>IFERROR(__xludf.DUMMYFUNCTION("GOOGLETRANSLATE(D139, ""en"", ""zh"")"),"A）探出船外")</f>
        <v>A）探出船外</v>
      </c>
      <c r="K139" s="4" t="str">
        <f>IFERROR(__xludf.DUMMYFUNCTION("GOOGLETRANSLATE(E139, ""en"", ""zh"")"),"#VALUE!")</f>
        <v>#VALUE!</v>
      </c>
      <c r="L139" s="2"/>
      <c r="M139" s="2"/>
      <c r="N139" s="2"/>
      <c r="O139" s="2"/>
      <c r="P139" s="2"/>
      <c r="Q139" s="23"/>
      <c r="R139" s="23"/>
      <c r="S139" s="23"/>
      <c r="T139" s="23"/>
      <c r="U139" s="23"/>
      <c r="V139" s="23"/>
      <c r="W139" s="23"/>
      <c r="X139" s="23"/>
      <c r="Y139" s="23"/>
      <c r="Z139" s="23"/>
    </row>
    <row r="140">
      <c r="A140" s="22">
        <v>139.0</v>
      </c>
      <c r="B140" s="17" t="s">
        <v>908</v>
      </c>
      <c r="C140" s="17" t="s">
        <v>909</v>
      </c>
      <c r="D140" s="17" t="s">
        <v>773</v>
      </c>
      <c r="E140" s="20"/>
      <c r="F140" s="2"/>
      <c r="G140" s="2"/>
      <c r="H140" s="4" t="str">
        <f>IFERROR(__xludf.DUMMYFUNCTION("GOOGLETRANSLATE(B140, ""en"", ""zh"")"),"赛事官员检查以下内容：")</f>
        <v>赛事官员检查以下内容：</v>
      </c>
      <c r="I140" s="4" t="str">
        <f>IFERROR(__xludf.DUMMYFUNCTION("GOOGLETRANSLATE(C140, ""en"", ""zh"")"),"A) 赛道、起点、终点、安全 B) 仅限划桨 C) 船只装饰 D) 鼓点")</f>
        <v>A) 赛道、起点、终点、安全 B) 仅限划桨 C) 船只装饰 D) 鼓点</v>
      </c>
      <c r="J140" s="4" t="str">
        <f>IFERROR(__xludf.DUMMYFUNCTION("GOOGLETRANSLATE(D140, ""en"", ""zh"")"),"A) 车道、起点、终点、安全")</f>
        <v>A) 车道、起点、终点、安全</v>
      </c>
      <c r="K140" s="4" t="str">
        <f>IFERROR(__xludf.DUMMYFUNCTION("GOOGLETRANSLATE(E140, ""en"", ""zh"")"),"#VALUE!")</f>
        <v>#VALUE!</v>
      </c>
      <c r="L140" s="2"/>
      <c r="M140" s="2"/>
      <c r="N140" s="2"/>
      <c r="O140" s="2"/>
      <c r="P140" s="2"/>
      <c r="Q140" s="23"/>
      <c r="R140" s="23"/>
      <c r="S140" s="23"/>
      <c r="T140" s="23"/>
      <c r="U140" s="23"/>
      <c r="V140" s="23"/>
      <c r="W140" s="23"/>
      <c r="X140" s="23"/>
      <c r="Y140" s="23"/>
      <c r="Z140" s="23"/>
    </row>
    <row r="141">
      <c r="A141" s="22">
        <v>140.0</v>
      </c>
      <c r="B141" s="17" t="s">
        <v>910</v>
      </c>
      <c r="C141" s="17" t="s">
        <v>911</v>
      </c>
      <c r="D141" s="17" t="s">
        <v>912</v>
      </c>
      <c r="E141" s="20"/>
      <c r="F141" s="2"/>
      <c r="G141" s="2"/>
      <c r="H141" s="4" t="str">
        <f>IFERROR(__xludf.DUMMYFUNCTION("GOOGLETRANSLATE(B141, ""en"", ""zh"")"),"桨叶同步会影响：")</f>
        <v>桨叶同步会影响：</v>
      </c>
      <c r="I141" s="4" t="str">
        <f>IFERROR(__xludf.DUMMYFUNCTION("GOOGLETRANSLATE(C141, ""en"", ""zh"")"),"A) 速度、效率、稳定性 B) 鼓手位置 C) 船体颜色 D) 桨高")</f>
        <v>A) 速度、效率、稳定性 B) 鼓手位置 C) 船体颜色 D) 桨高</v>
      </c>
      <c r="J141" s="4" t="str">
        <f>IFERROR(__xludf.DUMMYFUNCTION("GOOGLETRANSLATE(D141, ""en"", ""zh"")"),"A) 速度、效率、稳定性")</f>
        <v>A) 速度、效率、稳定性</v>
      </c>
      <c r="K141" s="4" t="str">
        <f>IFERROR(__xludf.DUMMYFUNCTION("GOOGLETRANSLATE(E141, ""en"", ""zh"")"),"#VALUE!")</f>
        <v>#VALUE!</v>
      </c>
      <c r="L141" s="2"/>
      <c r="M141" s="2"/>
      <c r="N141" s="2"/>
      <c r="O141" s="2"/>
      <c r="P141" s="2"/>
      <c r="Q141" s="23"/>
      <c r="R141" s="23"/>
      <c r="S141" s="23"/>
      <c r="T141" s="23"/>
      <c r="U141" s="23"/>
      <c r="V141" s="23"/>
      <c r="W141" s="23"/>
      <c r="X141" s="23"/>
      <c r="Y141" s="23"/>
      <c r="Z141" s="23"/>
    </row>
    <row r="142">
      <c r="A142" s="22">
        <v>141.0</v>
      </c>
      <c r="B142" s="17" t="s">
        <v>913</v>
      </c>
      <c r="C142" s="17" t="s">
        <v>914</v>
      </c>
      <c r="D142" s="17" t="s">
        <v>915</v>
      </c>
      <c r="E142" s="20"/>
      <c r="F142" s="2"/>
      <c r="G142" s="2"/>
      <c r="H142" s="4" t="str">
        <f>IFERROR(__xludf.DUMMYFUNCTION("GOOGLETRANSLATE(B142, ""en"", ""zh"")"),"救生衣是强制穿着的，因为：")</f>
        <v>救生衣是强制穿着的，因为：</v>
      </c>
      <c r="I142" s="4" t="str">
        <f>IFERROR(__xludf.DUMMYFUNCTION("GOOGLETRANSLATE(C142, ""en"", ""zh"")"),"A) 安全性 B) 传统性 C) 重量 D) 风格")</f>
        <v>A) 安全性 B) 传统性 C) 重量 D) 风格</v>
      </c>
      <c r="J142" s="4" t="str">
        <f>IFERROR(__xludf.DUMMYFUNCTION("GOOGLETRANSLATE(D142, ""en"", ""zh"")"),"A) 安全")</f>
        <v>A) 安全</v>
      </c>
      <c r="K142" s="4" t="str">
        <f>IFERROR(__xludf.DUMMYFUNCTION("GOOGLETRANSLATE(E142, ""en"", ""zh"")"),"#VALUE!")</f>
        <v>#VALUE!</v>
      </c>
      <c r="L142" s="2"/>
      <c r="M142" s="2"/>
      <c r="N142" s="2"/>
      <c r="O142" s="2"/>
      <c r="P142" s="2"/>
      <c r="Q142" s="23"/>
      <c r="R142" s="23"/>
      <c r="S142" s="23"/>
      <c r="T142" s="23"/>
      <c r="U142" s="23"/>
      <c r="V142" s="23"/>
      <c r="W142" s="23"/>
      <c r="X142" s="23"/>
      <c r="Y142" s="23"/>
      <c r="Z142" s="23"/>
    </row>
    <row r="143">
      <c r="A143" s="22">
        <v>142.0</v>
      </c>
      <c r="B143" s="17" t="s">
        <v>916</v>
      </c>
      <c r="C143" s="17" t="s">
        <v>917</v>
      </c>
      <c r="D143" s="17" t="s">
        <v>743</v>
      </c>
      <c r="E143" s="20"/>
      <c r="F143" s="2"/>
      <c r="G143" s="2"/>
      <c r="H143" s="4" t="str">
        <f>IFERROR(__xludf.DUMMYFUNCTION("GOOGLETRANSLATE(B143, ""en"", ""zh"")"),"船只的最终成品包括：")</f>
        <v>船只的最终成品包括：</v>
      </c>
      <c r="I143" s="4" t="str">
        <f>IFERROR(__xludf.DUMMYFUNCTION("GOOGLETRANSLATE(C143, ""en"", ""zh"")"),"A) 浮标或旗帜 B) 绳索 C) 鼓手 D) 船长")</f>
        <v>A) 浮标或旗帜 B) 绳索 C) 鼓手 D) 船长</v>
      </c>
      <c r="J143" s="4" t="str">
        <f>IFERROR(__xludf.DUMMYFUNCTION("GOOGLETRANSLATE(D143, ""en"", ""zh"")"),"A) 浮标或旗帜")</f>
        <v>A) 浮标或旗帜</v>
      </c>
      <c r="K143" s="4" t="str">
        <f>IFERROR(__xludf.DUMMYFUNCTION("GOOGLETRANSLATE(E143, ""en"", ""zh"")"),"#VALUE!")</f>
        <v>#VALUE!</v>
      </c>
      <c r="L143" s="2"/>
      <c r="M143" s="2"/>
      <c r="N143" s="2"/>
      <c r="O143" s="2"/>
      <c r="P143" s="2"/>
      <c r="Q143" s="23"/>
      <c r="R143" s="23"/>
      <c r="S143" s="23"/>
      <c r="T143" s="23"/>
      <c r="U143" s="23"/>
      <c r="V143" s="23"/>
      <c r="W143" s="23"/>
      <c r="X143" s="23"/>
      <c r="Y143" s="23"/>
      <c r="Z143" s="23"/>
    </row>
    <row r="144">
      <c r="A144" s="24"/>
      <c r="B144" s="2"/>
      <c r="C144" s="2"/>
      <c r="D144" s="2"/>
      <c r="E144" s="2"/>
      <c r="F144" s="2"/>
      <c r="G144" s="2"/>
      <c r="H144" s="2"/>
      <c r="I144" s="2"/>
      <c r="J144" s="2"/>
      <c r="K144" s="2"/>
      <c r="L144" s="2"/>
      <c r="M144" s="2"/>
      <c r="N144" s="2"/>
      <c r="O144" s="2"/>
      <c r="P144" s="2"/>
      <c r="Q144" s="23"/>
      <c r="R144" s="23"/>
      <c r="S144" s="23"/>
      <c r="T144" s="23"/>
      <c r="U144" s="23"/>
      <c r="V144" s="23"/>
      <c r="W144" s="23"/>
      <c r="X144" s="23"/>
      <c r="Y144" s="23"/>
      <c r="Z144" s="23"/>
    </row>
    <row r="145">
      <c r="A145" s="2"/>
      <c r="B145" s="2"/>
      <c r="C145" s="2"/>
      <c r="D145" s="2"/>
      <c r="E145" s="2"/>
      <c r="F145" s="2"/>
      <c r="G145" s="2"/>
      <c r="H145" s="2"/>
      <c r="I145" s="2"/>
      <c r="J145" s="2"/>
      <c r="K145" s="2"/>
      <c r="L145" s="2"/>
      <c r="M145" s="2"/>
      <c r="N145" s="2"/>
      <c r="O145" s="2"/>
      <c r="P145" s="2"/>
      <c r="Q145" s="23"/>
      <c r="R145" s="23"/>
      <c r="S145" s="23"/>
      <c r="T145" s="23"/>
      <c r="U145" s="23"/>
      <c r="V145" s="23"/>
      <c r="W145" s="23"/>
      <c r="X145" s="23"/>
      <c r="Y145" s="23"/>
      <c r="Z145" s="23"/>
    </row>
    <row r="146">
      <c r="A146" s="2"/>
      <c r="B146" s="2"/>
      <c r="C146" s="2"/>
      <c r="D146" s="2"/>
      <c r="E146" s="2"/>
      <c r="F146" s="2"/>
      <c r="G146" s="2"/>
      <c r="H146" s="2"/>
      <c r="I146" s="2"/>
      <c r="J146" s="2"/>
      <c r="K146" s="2"/>
      <c r="L146" s="2"/>
      <c r="M146" s="2"/>
      <c r="N146" s="2"/>
      <c r="O146" s="2"/>
      <c r="P146" s="2"/>
      <c r="Q146" s="23"/>
      <c r="R146" s="23"/>
      <c r="S146" s="23"/>
      <c r="T146" s="23"/>
      <c r="U146" s="23"/>
      <c r="V146" s="23"/>
      <c r="W146" s="23"/>
      <c r="X146" s="23"/>
      <c r="Y146" s="23"/>
      <c r="Z146" s="23"/>
    </row>
    <row r="147">
      <c r="A147" s="2"/>
      <c r="B147" s="2"/>
      <c r="C147" s="2"/>
      <c r="D147" s="2"/>
      <c r="E147" s="2"/>
      <c r="F147" s="2"/>
      <c r="G147" s="2"/>
      <c r="H147" s="2"/>
      <c r="I147" s="2"/>
      <c r="J147" s="2"/>
      <c r="K147" s="2"/>
      <c r="L147" s="2"/>
      <c r="M147" s="2"/>
      <c r="N147" s="2"/>
      <c r="O147" s="2"/>
      <c r="P147" s="2"/>
      <c r="Q147" s="23"/>
      <c r="R147" s="23"/>
      <c r="S147" s="23"/>
      <c r="T147" s="23"/>
      <c r="U147" s="23"/>
      <c r="V147" s="23"/>
      <c r="W147" s="23"/>
      <c r="X147" s="23"/>
      <c r="Y147" s="23"/>
      <c r="Z147" s="23"/>
    </row>
    <row r="148">
      <c r="A148" s="2"/>
      <c r="B148" s="2"/>
      <c r="C148" s="2"/>
      <c r="D148" s="2"/>
      <c r="E148" s="2"/>
      <c r="F148" s="2"/>
      <c r="G148" s="2"/>
      <c r="H148" s="2"/>
      <c r="I148" s="2"/>
      <c r="J148" s="2"/>
      <c r="K148" s="2"/>
      <c r="L148" s="2"/>
      <c r="M148" s="2"/>
      <c r="N148" s="2"/>
      <c r="O148" s="2"/>
      <c r="P148" s="2"/>
      <c r="Q148" s="23"/>
      <c r="R148" s="23"/>
      <c r="S148" s="23"/>
      <c r="T148" s="23"/>
      <c r="U148" s="23"/>
      <c r="V148" s="23"/>
      <c r="W148" s="23"/>
      <c r="X148" s="23"/>
      <c r="Y148" s="23"/>
      <c r="Z148" s="23"/>
    </row>
    <row r="149">
      <c r="A149" s="2"/>
      <c r="B149" s="2"/>
      <c r="C149" s="2"/>
      <c r="D149" s="2"/>
      <c r="E149" s="2"/>
      <c r="F149" s="2"/>
      <c r="G149" s="2"/>
      <c r="H149" s="2"/>
      <c r="I149" s="2"/>
      <c r="J149" s="2"/>
      <c r="K149" s="2"/>
      <c r="L149" s="2"/>
      <c r="M149" s="2"/>
      <c r="N149" s="2"/>
      <c r="O149" s="2"/>
      <c r="P149" s="2"/>
      <c r="Q149" s="23"/>
      <c r="R149" s="23"/>
      <c r="S149" s="23"/>
      <c r="T149" s="23"/>
      <c r="U149" s="23"/>
      <c r="V149" s="23"/>
      <c r="W149" s="23"/>
      <c r="X149" s="23"/>
      <c r="Y149" s="23"/>
      <c r="Z149" s="23"/>
    </row>
    <row r="150">
      <c r="A150" s="2"/>
      <c r="B150" s="2"/>
      <c r="C150" s="2"/>
      <c r="D150" s="2"/>
      <c r="E150" s="2"/>
      <c r="F150" s="2"/>
      <c r="G150" s="2"/>
      <c r="H150" s="2"/>
      <c r="I150" s="2"/>
      <c r="J150" s="2"/>
      <c r="K150" s="2"/>
      <c r="L150" s="2"/>
      <c r="M150" s="2"/>
      <c r="N150" s="2"/>
      <c r="O150" s="2"/>
      <c r="P150" s="2"/>
      <c r="Q150" s="23"/>
      <c r="R150" s="23"/>
      <c r="S150" s="23"/>
      <c r="T150" s="23"/>
      <c r="U150" s="23"/>
      <c r="V150" s="23"/>
      <c r="W150" s="23"/>
      <c r="X150" s="23"/>
      <c r="Y150" s="23"/>
      <c r="Z150" s="23"/>
    </row>
    <row r="151">
      <c r="A151" s="2"/>
      <c r="B151" s="2"/>
      <c r="C151" s="2"/>
      <c r="D151" s="2"/>
      <c r="E151" s="2"/>
      <c r="F151" s="2"/>
      <c r="G151" s="2"/>
      <c r="H151" s="2"/>
      <c r="I151" s="2"/>
      <c r="J151" s="2"/>
      <c r="K151" s="2"/>
      <c r="L151" s="2"/>
      <c r="M151" s="2"/>
      <c r="N151" s="2"/>
      <c r="O151" s="2"/>
      <c r="P151" s="2"/>
      <c r="Q151" s="23"/>
      <c r="R151" s="23"/>
      <c r="S151" s="23"/>
      <c r="T151" s="23"/>
      <c r="U151" s="23"/>
      <c r="V151" s="23"/>
      <c r="W151" s="23"/>
      <c r="X151" s="23"/>
      <c r="Y151" s="23"/>
      <c r="Z151" s="23"/>
    </row>
    <row r="152">
      <c r="A152" s="2"/>
      <c r="B152" s="2"/>
      <c r="C152" s="2"/>
      <c r="D152" s="2"/>
      <c r="E152" s="2"/>
      <c r="F152" s="2"/>
      <c r="G152" s="2"/>
      <c r="H152" s="2"/>
      <c r="I152" s="2"/>
      <c r="J152" s="2"/>
      <c r="K152" s="2"/>
      <c r="L152" s="2"/>
      <c r="M152" s="2"/>
      <c r="N152" s="2"/>
      <c r="O152" s="2"/>
      <c r="P152" s="2"/>
      <c r="Q152" s="23"/>
      <c r="R152" s="23"/>
      <c r="S152" s="23"/>
      <c r="T152" s="23"/>
      <c r="U152" s="23"/>
      <c r="V152" s="23"/>
      <c r="W152" s="23"/>
      <c r="X152" s="23"/>
      <c r="Y152" s="23"/>
      <c r="Z152" s="23"/>
    </row>
    <row r="153">
      <c r="A153" s="2"/>
      <c r="B153" s="2"/>
      <c r="C153" s="2"/>
      <c r="D153" s="2"/>
      <c r="E153" s="2"/>
      <c r="F153" s="2"/>
      <c r="G153" s="2"/>
      <c r="H153" s="2"/>
      <c r="I153" s="2"/>
      <c r="J153" s="2"/>
      <c r="K153" s="2"/>
      <c r="L153" s="2"/>
      <c r="M153" s="2"/>
      <c r="N153" s="2"/>
      <c r="O153" s="2"/>
      <c r="P153" s="2"/>
      <c r="Q153" s="23"/>
      <c r="R153" s="23"/>
      <c r="S153" s="23"/>
      <c r="T153" s="23"/>
      <c r="U153" s="23"/>
      <c r="V153" s="23"/>
      <c r="W153" s="23"/>
      <c r="X153" s="23"/>
      <c r="Y153" s="23"/>
      <c r="Z153" s="23"/>
    </row>
    <row r="154">
      <c r="A154" s="2"/>
      <c r="B154" s="2"/>
      <c r="C154" s="2"/>
      <c r="D154" s="2"/>
      <c r="E154" s="2"/>
      <c r="F154" s="2"/>
      <c r="G154" s="2"/>
      <c r="H154" s="2"/>
      <c r="I154" s="2"/>
      <c r="J154" s="2"/>
      <c r="K154" s="2"/>
      <c r="L154" s="2"/>
      <c r="M154" s="2"/>
      <c r="N154" s="2"/>
      <c r="O154" s="2"/>
      <c r="P154" s="2"/>
      <c r="Q154" s="23"/>
      <c r="R154" s="23"/>
      <c r="S154" s="23"/>
      <c r="T154" s="23"/>
      <c r="U154" s="23"/>
      <c r="V154" s="23"/>
      <c r="W154" s="23"/>
      <c r="X154" s="23"/>
      <c r="Y154" s="23"/>
      <c r="Z154" s="23"/>
    </row>
    <row r="155">
      <c r="A155" s="2"/>
      <c r="B155" s="2"/>
      <c r="C155" s="2"/>
      <c r="D155" s="2"/>
      <c r="E155" s="2"/>
      <c r="F155" s="2"/>
      <c r="G155" s="2"/>
      <c r="H155" s="2"/>
      <c r="I155" s="2"/>
      <c r="J155" s="2"/>
      <c r="K155" s="2"/>
      <c r="L155" s="2"/>
      <c r="M155" s="2"/>
      <c r="N155" s="2"/>
      <c r="O155" s="2"/>
      <c r="P155" s="2"/>
      <c r="Q155" s="23"/>
      <c r="R155" s="23"/>
      <c r="S155" s="23"/>
      <c r="T155" s="23"/>
      <c r="U155" s="23"/>
      <c r="V155" s="23"/>
      <c r="W155" s="23"/>
      <c r="X155" s="23"/>
      <c r="Y155" s="23"/>
      <c r="Z155" s="23"/>
    </row>
    <row r="156">
      <c r="A156" s="2"/>
      <c r="B156" s="2"/>
      <c r="C156" s="2"/>
      <c r="D156" s="2"/>
      <c r="E156" s="2"/>
      <c r="F156" s="2"/>
      <c r="G156" s="2"/>
      <c r="H156" s="2"/>
      <c r="I156" s="2"/>
      <c r="J156" s="2"/>
      <c r="K156" s="2"/>
      <c r="L156" s="2"/>
      <c r="M156" s="2"/>
      <c r="N156" s="2"/>
      <c r="O156" s="2"/>
      <c r="P156" s="2"/>
      <c r="Q156" s="23"/>
      <c r="R156" s="23"/>
      <c r="S156" s="23"/>
      <c r="T156" s="23"/>
      <c r="U156" s="23"/>
      <c r="V156" s="23"/>
      <c r="W156" s="23"/>
      <c r="X156" s="23"/>
      <c r="Y156" s="23"/>
      <c r="Z156" s="23"/>
    </row>
    <row r="157">
      <c r="A157" s="2"/>
      <c r="B157" s="2"/>
      <c r="C157" s="2"/>
      <c r="D157" s="2"/>
      <c r="E157" s="2"/>
      <c r="F157" s="2"/>
      <c r="G157" s="2"/>
      <c r="H157" s="2"/>
      <c r="I157" s="2"/>
      <c r="J157" s="2"/>
      <c r="K157" s="2"/>
      <c r="L157" s="2"/>
      <c r="M157" s="2"/>
      <c r="N157" s="2"/>
      <c r="O157" s="2"/>
      <c r="P157" s="2"/>
      <c r="Q157" s="23"/>
      <c r="R157" s="23"/>
      <c r="S157" s="23"/>
      <c r="T157" s="23"/>
      <c r="U157" s="23"/>
      <c r="V157" s="23"/>
      <c r="W157" s="23"/>
      <c r="X157" s="23"/>
      <c r="Y157" s="23"/>
      <c r="Z157" s="23"/>
    </row>
    <row r="158">
      <c r="A158" s="2"/>
      <c r="B158" s="2"/>
      <c r="C158" s="2"/>
      <c r="D158" s="2"/>
      <c r="E158" s="2"/>
      <c r="F158" s="2"/>
      <c r="G158" s="2"/>
      <c r="H158" s="2"/>
      <c r="I158" s="2"/>
      <c r="J158" s="2"/>
      <c r="K158" s="2"/>
      <c r="L158" s="2"/>
      <c r="M158" s="2"/>
      <c r="N158" s="2"/>
      <c r="O158" s="2"/>
      <c r="P158" s="2"/>
      <c r="Q158" s="23"/>
      <c r="R158" s="23"/>
      <c r="S158" s="23"/>
      <c r="T158" s="23"/>
      <c r="U158" s="23"/>
      <c r="V158" s="23"/>
      <c r="W158" s="23"/>
      <c r="X158" s="23"/>
      <c r="Y158" s="23"/>
      <c r="Z158" s="23"/>
    </row>
    <row r="159">
      <c r="A159" s="2"/>
      <c r="B159" s="2"/>
      <c r="C159" s="2"/>
      <c r="D159" s="2"/>
      <c r="E159" s="2"/>
      <c r="F159" s="2"/>
      <c r="G159" s="2"/>
      <c r="H159" s="2"/>
      <c r="I159" s="2"/>
      <c r="J159" s="2"/>
      <c r="K159" s="2"/>
      <c r="L159" s="2"/>
      <c r="M159" s="2"/>
      <c r="N159" s="2"/>
      <c r="O159" s="2"/>
      <c r="P159" s="2"/>
      <c r="Q159" s="23"/>
      <c r="R159" s="23"/>
      <c r="S159" s="23"/>
      <c r="T159" s="23"/>
      <c r="U159" s="23"/>
      <c r="V159" s="23"/>
      <c r="W159" s="23"/>
      <c r="X159" s="23"/>
      <c r="Y159" s="23"/>
      <c r="Z159" s="23"/>
    </row>
    <row r="160">
      <c r="A160" s="2"/>
      <c r="B160" s="2"/>
      <c r="C160" s="2"/>
      <c r="D160" s="2"/>
      <c r="E160" s="2"/>
      <c r="F160" s="2"/>
      <c r="G160" s="2"/>
      <c r="H160" s="2"/>
      <c r="I160" s="2"/>
      <c r="J160" s="2"/>
      <c r="K160" s="2"/>
      <c r="L160" s="2"/>
      <c r="M160" s="2"/>
      <c r="N160" s="2"/>
      <c r="O160" s="2"/>
      <c r="P160" s="2"/>
      <c r="Q160" s="23"/>
      <c r="R160" s="23"/>
      <c r="S160" s="23"/>
      <c r="T160" s="23"/>
      <c r="U160" s="23"/>
      <c r="V160" s="23"/>
      <c r="W160" s="23"/>
      <c r="X160" s="23"/>
      <c r="Y160" s="23"/>
      <c r="Z160" s="23"/>
    </row>
    <row r="161">
      <c r="A161" s="2"/>
      <c r="B161" s="2"/>
      <c r="C161" s="2"/>
      <c r="D161" s="2"/>
      <c r="E161" s="2"/>
      <c r="F161" s="2"/>
      <c r="G161" s="2"/>
      <c r="H161" s="2"/>
      <c r="I161" s="2"/>
      <c r="J161" s="2"/>
      <c r="K161" s="2"/>
      <c r="L161" s="2"/>
      <c r="M161" s="2"/>
      <c r="N161" s="2"/>
      <c r="O161" s="2"/>
      <c r="P161" s="2"/>
      <c r="Q161" s="23"/>
      <c r="R161" s="23"/>
      <c r="S161" s="23"/>
      <c r="T161" s="23"/>
      <c r="U161" s="23"/>
      <c r="V161" s="23"/>
      <c r="W161" s="23"/>
      <c r="X161" s="23"/>
      <c r="Y161" s="23"/>
      <c r="Z161" s="23"/>
    </row>
    <row r="162">
      <c r="A162" s="2"/>
      <c r="B162" s="2"/>
      <c r="C162" s="2"/>
      <c r="D162" s="2"/>
      <c r="E162" s="2"/>
      <c r="F162" s="2"/>
      <c r="G162" s="2"/>
      <c r="H162" s="2"/>
      <c r="I162" s="2"/>
      <c r="J162" s="2"/>
      <c r="K162" s="2"/>
      <c r="L162" s="2"/>
      <c r="M162" s="2"/>
      <c r="N162" s="2"/>
      <c r="O162" s="2"/>
      <c r="P162" s="2"/>
      <c r="Q162" s="23"/>
      <c r="R162" s="23"/>
      <c r="S162" s="23"/>
      <c r="T162" s="23"/>
      <c r="U162" s="23"/>
      <c r="V162" s="23"/>
      <c r="W162" s="23"/>
      <c r="X162" s="23"/>
      <c r="Y162" s="23"/>
      <c r="Z162" s="23"/>
    </row>
    <row r="163">
      <c r="A163" s="2"/>
      <c r="B163" s="2"/>
      <c r="C163" s="2"/>
      <c r="D163" s="2"/>
      <c r="E163" s="2"/>
      <c r="F163" s="2"/>
      <c r="G163" s="2"/>
      <c r="H163" s="2"/>
      <c r="I163" s="2"/>
      <c r="J163" s="2"/>
      <c r="K163" s="2"/>
      <c r="L163" s="2"/>
      <c r="M163" s="2"/>
      <c r="N163" s="2"/>
      <c r="O163" s="2"/>
      <c r="P163" s="2"/>
      <c r="Q163" s="23"/>
      <c r="R163" s="23"/>
      <c r="S163" s="23"/>
      <c r="T163" s="23"/>
      <c r="U163" s="23"/>
      <c r="V163" s="23"/>
      <c r="W163" s="23"/>
      <c r="X163" s="23"/>
      <c r="Y163" s="23"/>
      <c r="Z163" s="23"/>
    </row>
    <row r="164">
      <c r="A164" s="2"/>
      <c r="B164" s="2"/>
      <c r="C164" s="2"/>
      <c r="D164" s="2"/>
      <c r="E164" s="2"/>
      <c r="F164" s="2"/>
      <c r="G164" s="2"/>
      <c r="H164" s="2"/>
      <c r="I164" s="2"/>
      <c r="J164" s="2"/>
      <c r="K164" s="2"/>
      <c r="L164" s="2"/>
      <c r="M164" s="2"/>
      <c r="N164" s="2"/>
      <c r="O164" s="2"/>
      <c r="P164" s="2"/>
      <c r="Q164" s="23"/>
      <c r="R164" s="23"/>
      <c r="S164" s="23"/>
      <c r="T164" s="23"/>
      <c r="U164" s="23"/>
      <c r="V164" s="23"/>
      <c r="W164" s="23"/>
      <c r="X164" s="23"/>
      <c r="Y164" s="23"/>
      <c r="Z164" s="23"/>
    </row>
    <row r="165">
      <c r="A165" s="2"/>
      <c r="B165" s="2"/>
      <c r="C165" s="2"/>
      <c r="D165" s="2"/>
      <c r="E165" s="2"/>
      <c r="F165" s="2"/>
      <c r="G165" s="2"/>
      <c r="H165" s="2"/>
      <c r="I165" s="2"/>
      <c r="J165" s="2"/>
      <c r="K165" s="2"/>
      <c r="L165" s="2"/>
      <c r="M165" s="2"/>
      <c r="N165" s="2"/>
      <c r="O165" s="2"/>
      <c r="P165" s="2"/>
      <c r="Q165" s="23"/>
      <c r="R165" s="23"/>
      <c r="S165" s="23"/>
      <c r="T165" s="23"/>
      <c r="U165" s="23"/>
      <c r="V165" s="23"/>
      <c r="W165" s="23"/>
      <c r="X165" s="23"/>
      <c r="Y165" s="23"/>
      <c r="Z165" s="23"/>
    </row>
    <row r="166">
      <c r="A166" s="2"/>
      <c r="B166" s="2"/>
      <c r="C166" s="2"/>
      <c r="D166" s="2"/>
      <c r="E166" s="2"/>
      <c r="F166" s="2"/>
      <c r="G166" s="2"/>
      <c r="H166" s="2"/>
      <c r="I166" s="2"/>
      <c r="J166" s="2"/>
      <c r="K166" s="2"/>
      <c r="L166" s="2"/>
      <c r="M166" s="2"/>
      <c r="N166" s="2"/>
      <c r="O166" s="2"/>
      <c r="P166" s="2"/>
      <c r="Q166" s="23"/>
      <c r="R166" s="23"/>
      <c r="S166" s="23"/>
      <c r="T166" s="23"/>
      <c r="U166" s="23"/>
      <c r="V166" s="23"/>
      <c r="W166" s="23"/>
      <c r="X166" s="23"/>
      <c r="Y166" s="23"/>
      <c r="Z166" s="23"/>
    </row>
    <row r="167">
      <c r="A167" s="2"/>
      <c r="B167" s="2"/>
      <c r="C167" s="2"/>
      <c r="D167" s="2"/>
      <c r="E167" s="2"/>
      <c r="F167" s="2"/>
      <c r="G167" s="2"/>
      <c r="H167" s="2"/>
      <c r="I167" s="2"/>
      <c r="J167" s="2"/>
      <c r="K167" s="2"/>
      <c r="L167" s="2"/>
      <c r="M167" s="2"/>
      <c r="N167" s="2"/>
      <c r="O167" s="2"/>
      <c r="P167" s="2"/>
      <c r="Q167" s="23"/>
      <c r="R167" s="23"/>
      <c r="S167" s="23"/>
      <c r="T167" s="23"/>
      <c r="U167" s="23"/>
      <c r="V167" s="23"/>
      <c r="W167" s="23"/>
      <c r="X167" s="23"/>
      <c r="Y167" s="23"/>
      <c r="Z167" s="23"/>
    </row>
    <row r="168">
      <c r="A168" s="2"/>
      <c r="B168" s="2"/>
      <c r="C168" s="2"/>
      <c r="D168" s="2"/>
      <c r="E168" s="2"/>
      <c r="F168" s="2"/>
      <c r="G168" s="2"/>
      <c r="H168" s="2"/>
      <c r="I168" s="2"/>
      <c r="J168" s="2"/>
      <c r="K168" s="2"/>
      <c r="L168" s="2"/>
      <c r="M168" s="2"/>
      <c r="N168" s="2"/>
      <c r="O168" s="2"/>
      <c r="P168" s="2"/>
      <c r="Q168" s="23"/>
      <c r="R168" s="23"/>
      <c r="S168" s="23"/>
      <c r="T168" s="23"/>
      <c r="U168" s="23"/>
      <c r="V168" s="23"/>
      <c r="W168" s="23"/>
      <c r="X168" s="23"/>
      <c r="Y168" s="23"/>
      <c r="Z168" s="23"/>
    </row>
    <row r="169">
      <c r="A169" s="2"/>
      <c r="B169" s="2"/>
      <c r="C169" s="2"/>
      <c r="D169" s="2"/>
      <c r="E169" s="2"/>
      <c r="F169" s="2"/>
      <c r="G169" s="2"/>
      <c r="H169" s="2"/>
      <c r="I169" s="2"/>
      <c r="J169" s="2"/>
      <c r="K169" s="2"/>
      <c r="L169" s="2"/>
      <c r="M169" s="2"/>
      <c r="N169" s="2"/>
      <c r="O169" s="2"/>
      <c r="P169" s="2"/>
      <c r="Q169" s="23"/>
      <c r="R169" s="23"/>
      <c r="S169" s="23"/>
      <c r="T169" s="23"/>
      <c r="U169" s="23"/>
      <c r="V169" s="23"/>
      <c r="W169" s="23"/>
      <c r="X169" s="23"/>
      <c r="Y169" s="23"/>
      <c r="Z169" s="23"/>
    </row>
    <row r="170">
      <c r="A170" s="2"/>
      <c r="B170" s="2"/>
      <c r="C170" s="2"/>
      <c r="D170" s="2"/>
      <c r="E170" s="2"/>
      <c r="F170" s="2"/>
      <c r="G170" s="2"/>
      <c r="H170" s="2"/>
      <c r="I170" s="2"/>
      <c r="J170" s="2"/>
      <c r="K170" s="2"/>
      <c r="L170" s="2"/>
      <c r="M170" s="2"/>
      <c r="N170" s="2"/>
      <c r="O170" s="2"/>
      <c r="P170" s="2"/>
      <c r="Q170" s="23"/>
      <c r="R170" s="23"/>
      <c r="S170" s="23"/>
      <c r="T170" s="23"/>
      <c r="U170" s="23"/>
      <c r="V170" s="23"/>
      <c r="W170" s="23"/>
      <c r="X170" s="23"/>
      <c r="Y170" s="23"/>
      <c r="Z170" s="23"/>
    </row>
    <row r="171">
      <c r="A171" s="2"/>
      <c r="B171" s="2"/>
      <c r="C171" s="2"/>
      <c r="D171" s="2"/>
      <c r="E171" s="2"/>
      <c r="F171" s="2"/>
      <c r="G171" s="2"/>
      <c r="H171" s="2"/>
      <c r="I171" s="2"/>
      <c r="J171" s="2"/>
      <c r="K171" s="2"/>
      <c r="L171" s="2"/>
      <c r="M171" s="2"/>
      <c r="N171" s="2"/>
      <c r="O171" s="2"/>
      <c r="P171" s="2"/>
      <c r="Q171" s="23"/>
      <c r="R171" s="23"/>
      <c r="S171" s="23"/>
      <c r="T171" s="23"/>
      <c r="U171" s="23"/>
      <c r="V171" s="23"/>
      <c r="W171" s="23"/>
      <c r="X171" s="23"/>
      <c r="Y171" s="23"/>
      <c r="Z171" s="23"/>
    </row>
    <row r="172">
      <c r="A172" s="2"/>
      <c r="B172" s="2"/>
      <c r="C172" s="2"/>
      <c r="D172" s="2"/>
      <c r="E172" s="2"/>
      <c r="F172" s="2"/>
      <c r="G172" s="2"/>
      <c r="H172" s="2"/>
      <c r="I172" s="2"/>
      <c r="J172" s="2"/>
      <c r="K172" s="2"/>
      <c r="L172" s="2"/>
      <c r="M172" s="2"/>
      <c r="N172" s="2"/>
      <c r="O172" s="2"/>
      <c r="P172" s="2"/>
      <c r="Q172" s="23"/>
      <c r="R172" s="23"/>
      <c r="S172" s="23"/>
      <c r="T172" s="23"/>
      <c r="U172" s="23"/>
      <c r="V172" s="23"/>
      <c r="W172" s="23"/>
      <c r="X172" s="23"/>
      <c r="Y172" s="23"/>
      <c r="Z172" s="23"/>
    </row>
    <row r="173">
      <c r="A173" s="2"/>
      <c r="B173" s="2"/>
      <c r="C173" s="2"/>
      <c r="D173" s="2"/>
      <c r="E173" s="2"/>
      <c r="F173" s="2"/>
      <c r="G173" s="2"/>
      <c r="H173" s="2"/>
      <c r="I173" s="2"/>
      <c r="J173" s="2"/>
      <c r="K173" s="2"/>
      <c r="L173" s="2"/>
      <c r="M173" s="2"/>
      <c r="N173" s="2"/>
      <c r="O173" s="2"/>
      <c r="P173" s="2"/>
      <c r="Q173" s="23"/>
      <c r="R173" s="23"/>
      <c r="S173" s="23"/>
      <c r="T173" s="23"/>
      <c r="U173" s="23"/>
      <c r="V173" s="23"/>
      <c r="W173" s="23"/>
      <c r="X173" s="23"/>
      <c r="Y173" s="23"/>
      <c r="Z173" s="23"/>
    </row>
    <row r="174">
      <c r="A174" s="2"/>
      <c r="B174" s="2"/>
      <c r="C174" s="2"/>
      <c r="D174" s="2"/>
      <c r="E174" s="2"/>
      <c r="F174" s="2"/>
      <c r="G174" s="2"/>
      <c r="H174" s="2"/>
      <c r="I174" s="2"/>
      <c r="J174" s="2"/>
      <c r="K174" s="2"/>
      <c r="L174" s="2"/>
      <c r="M174" s="2"/>
      <c r="N174" s="2"/>
      <c r="O174" s="2"/>
      <c r="P174" s="2"/>
      <c r="Q174" s="23"/>
      <c r="R174" s="23"/>
      <c r="S174" s="23"/>
      <c r="T174" s="23"/>
      <c r="U174" s="23"/>
      <c r="V174" s="23"/>
      <c r="W174" s="23"/>
      <c r="X174" s="23"/>
      <c r="Y174" s="23"/>
      <c r="Z174" s="23"/>
    </row>
    <row r="175">
      <c r="A175" s="2"/>
      <c r="B175" s="2"/>
      <c r="C175" s="2"/>
      <c r="D175" s="2"/>
      <c r="E175" s="2"/>
      <c r="F175" s="2"/>
      <c r="G175" s="2"/>
      <c r="H175" s="2"/>
      <c r="I175" s="2"/>
      <c r="J175" s="2"/>
      <c r="K175" s="2"/>
      <c r="L175" s="2"/>
      <c r="M175" s="2"/>
      <c r="N175" s="2"/>
      <c r="O175" s="2"/>
      <c r="P175" s="2"/>
      <c r="Q175" s="23"/>
      <c r="R175" s="23"/>
      <c r="S175" s="23"/>
      <c r="T175" s="23"/>
      <c r="U175" s="23"/>
      <c r="V175" s="23"/>
      <c r="W175" s="23"/>
      <c r="X175" s="23"/>
      <c r="Y175" s="23"/>
      <c r="Z175" s="23"/>
    </row>
    <row r="176">
      <c r="A176" s="2"/>
      <c r="B176" s="2"/>
      <c r="C176" s="2"/>
      <c r="D176" s="2"/>
      <c r="E176" s="2"/>
      <c r="F176" s="2"/>
      <c r="G176" s="2"/>
      <c r="H176" s="2"/>
      <c r="I176" s="2"/>
      <c r="J176" s="2"/>
      <c r="K176" s="2"/>
      <c r="L176" s="2"/>
      <c r="M176" s="2"/>
      <c r="N176" s="2"/>
      <c r="O176" s="2"/>
      <c r="P176" s="2"/>
      <c r="Q176" s="23"/>
      <c r="R176" s="23"/>
      <c r="S176" s="23"/>
      <c r="T176" s="23"/>
      <c r="U176" s="23"/>
      <c r="V176" s="23"/>
      <c r="W176" s="23"/>
      <c r="X176" s="23"/>
      <c r="Y176" s="23"/>
      <c r="Z176" s="23"/>
    </row>
    <row r="177">
      <c r="A177" s="2"/>
      <c r="B177" s="2"/>
      <c r="C177" s="2"/>
      <c r="D177" s="2"/>
      <c r="E177" s="2"/>
      <c r="F177" s="2"/>
      <c r="G177" s="2"/>
      <c r="H177" s="2"/>
      <c r="I177" s="2"/>
      <c r="J177" s="2"/>
      <c r="K177" s="2"/>
      <c r="L177" s="2"/>
      <c r="M177" s="2"/>
      <c r="N177" s="2"/>
      <c r="O177" s="2"/>
      <c r="P177" s="2"/>
      <c r="Q177" s="23"/>
      <c r="R177" s="23"/>
      <c r="S177" s="23"/>
      <c r="T177" s="23"/>
      <c r="U177" s="23"/>
      <c r="V177" s="23"/>
      <c r="W177" s="23"/>
      <c r="X177" s="23"/>
      <c r="Y177" s="23"/>
      <c r="Z177" s="23"/>
    </row>
    <row r="178">
      <c r="A178" s="2"/>
      <c r="B178" s="2"/>
      <c r="C178" s="2"/>
      <c r="D178" s="2"/>
      <c r="E178" s="2"/>
      <c r="F178" s="2"/>
      <c r="G178" s="2"/>
      <c r="H178" s="2"/>
      <c r="I178" s="2"/>
      <c r="J178" s="2"/>
      <c r="K178" s="2"/>
      <c r="L178" s="2"/>
      <c r="M178" s="2"/>
      <c r="N178" s="2"/>
      <c r="O178" s="2"/>
      <c r="P178" s="2"/>
      <c r="Q178" s="23"/>
      <c r="R178" s="23"/>
      <c r="S178" s="23"/>
      <c r="T178" s="23"/>
      <c r="U178" s="23"/>
      <c r="V178" s="23"/>
      <c r="W178" s="23"/>
      <c r="X178" s="23"/>
      <c r="Y178" s="23"/>
      <c r="Z178" s="23"/>
    </row>
    <row r="179">
      <c r="A179" s="2"/>
      <c r="B179" s="2"/>
      <c r="C179" s="2"/>
      <c r="D179" s="2"/>
      <c r="E179" s="2"/>
      <c r="F179" s="2"/>
      <c r="G179" s="2"/>
      <c r="H179" s="2"/>
      <c r="I179" s="2"/>
      <c r="J179" s="2"/>
      <c r="K179" s="2"/>
      <c r="L179" s="2"/>
      <c r="M179" s="2"/>
      <c r="N179" s="2"/>
      <c r="O179" s="2"/>
      <c r="P179" s="2"/>
      <c r="Q179" s="23"/>
      <c r="R179" s="23"/>
      <c r="S179" s="23"/>
      <c r="T179" s="23"/>
      <c r="U179" s="23"/>
      <c r="V179" s="23"/>
      <c r="W179" s="23"/>
      <c r="X179" s="23"/>
      <c r="Y179" s="23"/>
      <c r="Z179" s="23"/>
    </row>
    <row r="180">
      <c r="A180" s="2"/>
      <c r="B180" s="2"/>
      <c r="C180" s="2"/>
      <c r="D180" s="2"/>
      <c r="E180" s="2"/>
      <c r="F180" s="2"/>
      <c r="G180" s="2"/>
      <c r="H180" s="2"/>
      <c r="I180" s="2"/>
      <c r="J180" s="2"/>
      <c r="K180" s="2"/>
      <c r="L180" s="2"/>
      <c r="M180" s="2"/>
      <c r="N180" s="2"/>
      <c r="O180" s="2"/>
      <c r="P180" s="2"/>
      <c r="Q180" s="23"/>
      <c r="R180" s="23"/>
      <c r="S180" s="23"/>
      <c r="T180" s="23"/>
      <c r="U180" s="23"/>
      <c r="V180" s="23"/>
      <c r="W180" s="23"/>
      <c r="X180" s="23"/>
      <c r="Y180" s="23"/>
      <c r="Z180" s="23"/>
    </row>
    <row r="181">
      <c r="A181" s="2"/>
      <c r="B181" s="2"/>
      <c r="C181" s="2"/>
      <c r="D181" s="2"/>
      <c r="E181" s="2"/>
      <c r="F181" s="2"/>
      <c r="G181" s="2"/>
      <c r="H181" s="2"/>
      <c r="I181" s="2"/>
      <c r="J181" s="2"/>
      <c r="K181" s="2"/>
      <c r="L181" s="2"/>
      <c r="M181" s="2"/>
      <c r="N181" s="2"/>
      <c r="O181" s="2"/>
      <c r="P181" s="2"/>
      <c r="Q181" s="23"/>
      <c r="R181" s="23"/>
      <c r="S181" s="23"/>
      <c r="T181" s="23"/>
      <c r="U181" s="23"/>
      <c r="V181" s="23"/>
      <c r="W181" s="23"/>
      <c r="X181" s="23"/>
      <c r="Y181" s="23"/>
      <c r="Z181" s="23"/>
    </row>
    <row r="182">
      <c r="A182" s="2"/>
      <c r="B182" s="2"/>
      <c r="C182" s="2"/>
      <c r="D182" s="2"/>
      <c r="E182" s="2"/>
      <c r="F182" s="2"/>
      <c r="G182" s="2"/>
      <c r="H182" s="2"/>
      <c r="I182" s="2"/>
      <c r="J182" s="2"/>
      <c r="K182" s="2"/>
      <c r="L182" s="2"/>
      <c r="M182" s="2"/>
      <c r="N182" s="2"/>
      <c r="O182" s="2"/>
      <c r="P182" s="2"/>
      <c r="Q182" s="23"/>
      <c r="R182" s="23"/>
      <c r="S182" s="23"/>
      <c r="T182" s="23"/>
      <c r="U182" s="23"/>
      <c r="V182" s="23"/>
      <c r="W182" s="23"/>
      <c r="X182" s="23"/>
      <c r="Y182" s="23"/>
      <c r="Z182" s="23"/>
    </row>
    <row r="183">
      <c r="A183" s="2"/>
      <c r="B183" s="2"/>
      <c r="C183" s="2"/>
      <c r="D183" s="2"/>
      <c r="E183" s="2"/>
      <c r="F183" s="2"/>
      <c r="G183" s="2"/>
      <c r="H183" s="2"/>
      <c r="I183" s="2"/>
      <c r="J183" s="2"/>
      <c r="K183" s="2"/>
      <c r="L183" s="2"/>
      <c r="M183" s="2"/>
      <c r="N183" s="2"/>
      <c r="O183" s="2"/>
      <c r="P183" s="2"/>
      <c r="Q183" s="23"/>
      <c r="R183" s="23"/>
      <c r="S183" s="23"/>
      <c r="T183" s="23"/>
      <c r="U183" s="23"/>
      <c r="V183" s="23"/>
      <c r="W183" s="23"/>
      <c r="X183" s="23"/>
      <c r="Y183" s="23"/>
      <c r="Z183" s="23"/>
    </row>
    <row r="184">
      <c r="A184" s="2"/>
      <c r="B184" s="2"/>
      <c r="C184" s="2"/>
      <c r="D184" s="2"/>
      <c r="E184" s="2"/>
      <c r="F184" s="2"/>
      <c r="G184" s="2"/>
      <c r="H184" s="2"/>
      <c r="I184" s="2"/>
      <c r="J184" s="2"/>
      <c r="K184" s="2"/>
      <c r="L184" s="2"/>
      <c r="M184" s="2"/>
      <c r="N184" s="2"/>
      <c r="O184" s="2"/>
      <c r="P184" s="2"/>
      <c r="Q184" s="23"/>
      <c r="R184" s="23"/>
      <c r="S184" s="23"/>
      <c r="T184" s="23"/>
      <c r="U184" s="23"/>
      <c r="V184" s="23"/>
      <c r="W184" s="23"/>
      <c r="X184" s="23"/>
      <c r="Y184" s="23"/>
      <c r="Z184" s="23"/>
    </row>
    <row r="185">
      <c r="A185" s="2"/>
      <c r="B185" s="2"/>
      <c r="C185" s="2"/>
      <c r="D185" s="2"/>
      <c r="E185" s="2"/>
      <c r="F185" s="2"/>
      <c r="G185" s="2"/>
      <c r="H185" s="2"/>
      <c r="I185" s="2"/>
      <c r="J185" s="2"/>
      <c r="K185" s="2"/>
      <c r="L185" s="2"/>
      <c r="M185" s="2"/>
      <c r="N185" s="2"/>
      <c r="O185" s="2"/>
      <c r="P185" s="2"/>
      <c r="Q185" s="23"/>
      <c r="R185" s="23"/>
      <c r="S185" s="23"/>
      <c r="T185" s="23"/>
      <c r="U185" s="23"/>
      <c r="V185" s="23"/>
      <c r="W185" s="23"/>
      <c r="X185" s="23"/>
      <c r="Y185" s="23"/>
      <c r="Z185" s="23"/>
    </row>
    <row r="186">
      <c r="A186" s="2"/>
      <c r="B186" s="2"/>
      <c r="C186" s="2"/>
      <c r="D186" s="2"/>
      <c r="E186" s="2"/>
      <c r="F186" s="2"/>
      <c r="G186" s="2"/>
      <c r="H186" s="2"/>
      <c r="I186" s="2"/>
      <c r="J186" s="2"/>
      <c r="K186" s="2"/>
      <c r="L186" s="2"/>
      <c r="M186" s="2"/>
      <c r="N186" s="2"/>
      <c r="O186" s="2"/>
      <c r="P186" s="2"/>
      <c r="Q186" s="23"/>
      <c r="R186" s="23"/>
      <c r="S186" s="23"/>
      <c r="T186" s="23"/>
      <c r="U186" s="23"/>
      <c r="V186" s="23"/>
      <c r="W186" s="23"/>
      <c r="X186" s="23"/>
      <c r="Y186" s="23"/>
      <c r="Z186" s="23"/>
    </row>
    <row r="187">
      <c r="A187" s="2"/>
      <c r="B187" s="2"/>
      <c r="C187" s="2"/>
      <c r="D187" s="2"/>
      <c r="E187" s="2"/>
      <c r="F187" s="2"/>
      <c r="G187" s="2"/>
      <c r="H187" s="2"/>
      <c r="I187" s="2"/>
      <c r="J187" s="2"/>
      <c r="K187" s="2"/>
      <c r="L187" s="2"/>
      <c r="M187" s="2"/>
      <c r="N187" s="2"/>
      <c r="O187" s="2"/>
      <c r="P187" s="2"/>
      <c r="Q187" s="23"/>
      <c r="R187" s="23"/>
      <c r="S187" s="23"/>
      <c r="T187" s="23"/>
      <c r="U187" s="23"/>
      <c r="V187" s="23"/>
      <c r="W187" s="23"/>
      <c r="X187" s="23"/>
      <c r="Y187" s="23"/>
      <c r="Z187" s="23"/>
    </row>
    <row r="188">
      <c r="A188" s="2"/>
      <c r="B188" s="2"/>
      <c r="C188" s="2"/>
      <c r="D188" s="2"/>
      <c r="E188" s="2"/>
      <c r="F188" s="2"/>
      <c r="G188" s="2"/>
      <c r="H188" s="2"/>
      <c r="I188" s="2"/>
      <c r="J188" s="2"/>
      <c r="K188" s="2"/>
      <c r="L188" s="2"/>
      <c r="M188" s="2"/>
      <c r="N188" s="2"/>
      <c r="O188" s="2"/>
      <c r="P188" s="2"/>
      <c r="Q188" s="23"/>
      <c r="R188" s="23"/>
      <c r="S188" s="23"/>
      <c r="T188" s="23"/>
      <c r="U188" s="23"/>
      <c r="V188" s="23"/>
      <c r="W188" s="23"/>
      <c r="X188" s="23"/>
      <c r="Y188" s="23"/>
      <c r="Z188" s="23"/>
    </row>
    <row r="189">
      <c r="A189" s="2"/>
      <c r="B189" s="2"/>
      <c r="C189" s="2"/>
      <c r="D189" s="2"/>
      <c r="E189" s="2"/>
      <c r="F189" s="2"/>
      <c r="G189" s="2"/>
      <c r="H189" s="2"/>
      <c r="I189" s="2"/>
      <c r="J189" s="2"/>
      <c r="K189" s="2"/>
      <c r="L189" s="2"/>
      <c r="M189" s="2"/>
      <c r="N189" s="2"/>
      <c r="O189" s="2"/>
      <c r="P189" s="2"/>
      <c r="Q189" s="23"/>
      <c r="R189" s="23"/>
      <c r="S189" s="23"/>
      <c r="T189" s="23"/>
      <c r="U189" s="23"/>
      <c r="V189" s="23"/>
      <c r="W189" s="23"/>
      <c r="X189" s="23"/>
      <c r="Y189" s="23"/>
      <c r="Z189" s="23"/>
    </row>
    <row r="190">
      <c r="A190" s="2"/>
      <c r="B190" s="2"/>
      <c r="C190" s="2"/>
      <c r="D190" s="2"/>
      <c r="E190" s="2"/>
      <c r="F190" s="2"/>
      <c r="G190" s="2"/>
      <c r="H190" s="2"/>
      <c r="I190" s="2"/>
      <c r="J190" s="2"/>
      <c r="K190" s="2"/>
      <c r="L190" s="2"/>
      <c r="M190" s="2"/>
      <c r="N190" s="2"/>
      <c r="O190" s="2"/>
      <c r="P190" s="2"/>
      <c r="Q190" s="23"/>
      <c r="R190" s="23"/>
      <c r="S190" s="23"/>
      <c r="T190" s="23"/>
      <c r="U190" s="23"/>
      <c r="V190" s="23"/>
      <c r="W190" s="23"/>
      <c r="X190" s="23"/>
      <c r="Y190" s="23"/>
      <c r="Z190" s="23"/>
    </row>
    <row r="191">
      <c r="A191" s="2"/>
      <c r="B191" s="2"/>
      <c r="C191" s="2"/>
      <c r="D191" s="2"/>
      <c r="E191" s="2"/>
      <c r="F191" s="2"/>
      <c r="G191" s="2"/>
      <c r="H191" s="2"/>
      <c r="I191" s="2"/>
      <c r="J191" s="2"/>
      <c r="K191" s="2"/>
      <c r="L191" s="2"/>
      <c r="M191" s="2"/>
      <c r="N191" s="2"/>
      <c r="O191" s="2"/>
      <c r="P191" s="2"/>
      <c r="Q191" s="23"/>
      <c r="R191" s="23"/>
      <c r="S191" s="23"/>
      <c r="T191" s="23"/>
      <c r="U191" s="23"/>
      <c r="V191" s="23"/>
      <c r="W191" s="23"/>
      <c r="X191" s="23"/>
      <c r="Y191" s="23"/>
      <c r="Z191" s="23"/>
    </row>
    <row r="192">
      <c r="A192" s="2"/>
      <c r="B192" s="2"/>
      <c r="C192" s="2"/>
      <c r="D192" s="2"/>
      <c r="E192" s="2"/>
      <c r="F192" s="2"/>
      <c r="G192" s="2"/>
      <c r="H192" s="2"/>
      <c r="I192" s="2"/>
      <c r="J192" s="2"/>
      <c r="K192" s="2"/>
      <c r="L192" s="2"/>
      <c r="M192" s="2"/>
      <c r="N192" s="2"/>
      <c r="O192" s="2"/>
      <c r="P192" s="2"/>
      <c r="Q192" s="23"/>
      <c r="R192" s="23"/>
      <c r="S192" s="23"/>
      <c r="T192" s="23"/>
      <c r="U192" s="23"/>
      <c r="V192" s="23"/>
      <c r="W192" s="23"/>
      <c r="X192" s="23"/>
      <c r="Y192" s="23"/>
      <c r="Z192" s="23"/>
    </row>
    <row r="193">
      <c r="A193" s="2"/>
      <c r="B193" s="2"/>
      <c r="C193" s="2"/>
      <c r="D193" s="2"/>
      <c r="E193" s="2"/>
      <c r="F193" s="2"/>
      <c r="G193" s="2"/>
      <c r="H193" s="2"/>
      <c r="I193" s="2"/>
      <c r="J193" s="2"/>
      <c r="K193" s="2"/>
      <c r="L193" s="2"/>
      <c r="M193" s="2"/>
      <c r="N193" s="2"/>
      <c r="O193" s="2"/>
      <c r="P193" s="2"/>
      <c r="Q193" s="23"/>
      <c r="R193" s="23"/>
      <c r="S193" s="23"/>
      <c r="T193" s="23"/>
      <c r="U193" s="23"/>
      <c r="V193" s="23"/>
      <c r="W193" s="23"/>
      <c r="X193" s="23"/>
      <c r="Y193" s="23"/>
      <c r="Z193" s="23"/>
    </row>
    <row r="194">
      <c r="A194" s="2"/>
      <c r="B194" s="2"/>
      <c r="C194" s="2"/>
      <c r="D194" s="2"/>
      <c r="E194" s="2"/>
      <c r="F194" s="2"/>
      <c r="G194" s="2"/>
      <c r="H194" s="2"/>
      <c r="I194" s="2"/>
      <c r="J194" s="2"/>
      <c r="K194" s="2"/>
      <c r="L194" s="2"/>
      <c r="M194" s="2"/>
      <c r="N194" s="2"/>
      <c r="O194" s="2"/>
      <c r="P194" s="2"/>
      <c r="Q194" s="23"/>
      <c r="R194" s="23"/>
      <c r="S194" s="23"/>
      <c r="T194" s="23"/>
      <c r="U194" s="23"/>
      <c r="V194" s="23"/>
      <c r="W194" s="23"/>
      <c r="X194" s="23"/>
      <c r="Y194" s="23"/>
      <c r="Z194" s="23"/>
    </row>
    <row r="195">
      <c r="A195" s="2"/>
      <c r="B195" s="2"/>
      <c r="C195" s="2"/>
      <c r="D195" s="2"/>
      <c r="E195" s="2"/>
      <c r="F195" s="2"/>
      <c r="G195" s="2"/>
      <c r="H195" s="2"/>
      <c r="I195" s="2"/>
      <c r="J195" s="2"/>
      <c r="K195" s="2"/>
      <c r="L195" s="2"/>
      <c r="M195" s="2"/>
      <c r="N195" s="2"/>
      <c r="O195" s="2"/>
      <c r="P195" s="2"/>
      <c r="Q195" s="23"/>
      <c r="R195" s="23"/>
      <c r="S195" s="23"/>
      <c r="T195" s="23"/>
      <c r="U195" s="23"/>
      <c r="V195" s="23"/>
      <c r="W195" s="23"/>
      <c r="X195" s="23"/>
      <c r="Y195" s="23"/>
      <c r="Z195" s="23"/>
    </row>
    <row r="196">
      <c r="A196" s="2"/>
      <c r="B196" s="2"/>
      <c r="C196" s="2"/>
      <c r="D196" s="2"/>
      <c r="E196" s="2"/>
      <c r="F196" s="2"/>
      <c r="G196" s="2"/>
      <c r="H196" s="2"/>
      <c r="I196" s="2"/>
      <c r="J196" s="2"/>
      <c r="K196" s="2"/>
      <c r="L196" s="2"/>
      <c r="M196" s="2"/>
      <c r="N196" s="2"/>
      <c r="O196" s="2"/>
      <c r="P196" s="2"/>
      <c r="Q196" s="23"/>
      <c r="R196" s="23"/>
      <c r="S196" s="23"/>
      <c r="T196" s="23"/>
      <c r="U196" s="23"/>
      <c r="V196" s="23"/>
      <c r="W196" s="23"/>
      <c r="X196" s="23"/>
      <c r="Y196" s="23"/>
      <c r="Z196" s="23"/>
    </row>
    <row r="197">
      <c r="A197" s="2"/>
      <c r="B197" s="2"/>
      <c r="C197" s="2"/>
      <c r="D197" s="2"/>
      <c r="E197" s="2"/>
      <c r="F197" s="2"/>
      <c r="G197" s="2"/>
      <c r="H197" s="2"/>
      <c r="I197" s="2"/>
      <c r="J197" s="2"/>
      <c r="K197" s="2"/>
      <c r="L197" s="2"/>
      <c r="M197" s="2"/>
      <c r="N197" s="2"/>
      <c r="O197" s="2"/>
      <c r="P197" s="2"/>
      <c r="Q197" s="23"/>
      <c r="R197" s="23"/>
      <c r="S197" s="23"/>
      <c r="T197" s="23"/>
      <c r="U197" s="23"/>
      <c r="V197" s="23"/>
      <c r="W197" s="23"/>
      <c r="X197" s="23"/>
      <c r="Y197" s="23"/>
      <c r="Z197" s="23"/>
    </row>
    <row r="198">
      <c r="A198" s="2"/>
      <c r="B198" s="2"/>
      <c r="C198" s="2"/>
      <c r="D198" s="2"/>
      <c r="E198" s="2"/>
      <c r="F198" s="2"/>
      <c r="G198" s="2"/>
      <c r="H198" s="2"/>
      <c r="I198" s="2"/>
      <c r="J198" s="2"/>
      <c r="K198" s="2"/>
      <c r="L198" s="2"/>
      <c r="M198" s="2"/>
      <c r="N198" s="2"/>
      <c r="O198" s="2"/>
      <c r="P198" s="2"/>
      <c r="Q198" s="23"/>
      <c r="R198" s="23"/>
      <c r="S198" s="23"/>
      <c r="T198" s="23"/>
      <c r="U198" s="23"/>
      <c r="V198" s="23"/>
      <c r="W198" s="23"/>
      <c r="X198" s="23"/>
      <c r="Y198" s="23"/>
      <c r="Z198" s="23"/>
    </row>
    <row r="199">
      <c r="A199" s="2"/>
      <c r="B199" s="2"/>
      <c r="C199" s="2"/>
      <c r="D199" s="2"/>
      <c r="E199" s="2"/>
      <c r="F199" s="2"/>
      <c r="G199" s="2"/>
      <c r="H199" s="2"/>
      <c r="I199" s="2"/>
      <c r="J199" s="2"/>
      <c r="K199" s="2"/>
      <c r="L199" s="2"/>
      <c r="M199" s="2"/>
      <c r="N199" s="2"/>
      <c r="O199" s="2"/>
      <c r="P199" s="2"/>
      <c r="Q199" s="23"/>
      <c r="R199" s="23"/>
      <c r="S199" s="23"/>
      <c r="T199" s="23"/>
      <c r="U199" s="23"/>
      <c r="V199" s="23"/>
      <c r="W199" s="23"/>
      <c r="X199" s="23"/>
      <c r="Y199" s="23"/>
      <c r="Z199" s="23"/>
    </row>
    <row r="200">
      <c r="A200" s="2"/>
      <c r="B200" s="2"/>
      <c r="C200" s="2"/>
      <c r="D200" s="2"/>
      <c r="E200" s="2"/>
      <c r="F200" s="2"/>
      <c r="G200" s="2"/>
      <c r="H200" s="2"/>
      <c r="I200" s="2"/>
      <c r="J200" s="2"/>
      <c r="K200" s="2"/>
      <c r="L200" s="2"/>
      <c r="M200" s="2"/>
      <c r="N200" s="2"/>
      <c r="O200" s="2"/>
      <c r="P200" s="2"/>
      <c r="Q200" s="23"/>
      <c r="R200" s="23"/>
      <c r="S200" s="23"/>
      <c r="T200" s="23"/>
      <c r="U200" s="23"/>
      <c r="V200" s="23"/>
      <c r="W200" s="23"/>
      <c r="X200" s="23"/>
      <c r="Y200" s="23"/>
      <c r="Z200" s="23"/>
    </row>
    <row r="201">
      <c r="A201" s="2"/>
      <c r="B201" s="2"/>
      <c r="C201" s="2"/>
      <c r="D201" s="2"/>
      <c r="E201" s="2"/>
      <c r="F201" s="2"/>
      <c r="G201" s="2"/>
      <c r="H201" s="2"/>
      <c r="I201" s="2"/>
      <c r="J201" s="2"/>
      <c r="K201" s="2"/>
      <c r="L201" s="2"/>
      <c r="M201" s="2"/>
      <c r="N201" s="2"/>
      <c r="O201" s="2"/>
      <c r="P201" s="2"/>
      <c r="Q201" s="23"/>
      <c r="R201" s="23"/>
      <c r="S201" s="23"/>
      <c r="T201" s="23"/>
      <c r="U201" s="23"/>
      <c r="V201" s="23"/>
      <c r="W201" s="23"/>
      <c r="X201" s="23"/>
      <c r="Y201" s="23"/>
      <c r="Z201" s="23"/>
    </row>
    <row r="202">
      <c r="A202" s="2"/>
      <c r="B202" s="2"/>
      <c r="C202" s="2"/>
      <c r="D202" s="2"/>
      <c r="E202" s="2"/>
      <c r="F202" s="2"/>
      <c r="G202" s="2"/>
      <c r="H202" s="2"/>
      <c r="I202" s="2"/>
      <c r="J202" s="2"/>
      <c r="K202" s="2"/>
      <c r="L202" s="2"/>
      <c r="M202" s="2"/>
      <c r="N202" s="2"/>
      <c r="O202" s="2"/>
      <c r="P202" s="2"/>
      <c r="Q202" s="23"/>
      <c r="R202" s="23"/>
      <c r="S202" s="23"/>
      <c r="T202" s="23"/>
      <c r="U202" s="23"/>
      <c r="V202" s="23"/>
      <c r="W202" s="23"/>
      <c r="X202" s="23"/>
      <c r="Y202" s="23"/>
      <c r="Z202" s="23"/>
    </row>
    <row r="203">
      <c r="A203" s="2"/>
      <c r="B203" s="2"/>
      <c r="C203" s="2"/>
      <c r="D203" s="2"/>
      <c r="E203" s="2"/>
      <c r="F203" s="2"/>
      <c r="G203" s="2"/>
      <c r="H203" s="2"/>
      <c r="I203" s="2"/>
      <c r="J203" s="2"/>
      <c r="K203" s="2"/>
      <c r="L203" s="2"/>
      <c r="M203" s="2"/>
      <c r="N203" s="2"/>
      <c r="O203" s="2"/>
      <c r="P203" s="2"/>
      <c r="Q203" s="23"/>
      <c r="R203" s="23"/>
      <c r="S203" s="23"/>
      <c r="T203" s="23"/>
      <c r="U203" s="23"/>
      <c r="V203" s="23"/>
      <c r="W203" s="23"/>
      <c r="X203" s="23"/>
      <c r="Y203" s="23"/>
      <c r="Z203" s="23"/>
    </row>
    <row r="204">
      <c r="A204" s="2"/>
      <c r="B204" s="2"/>
      <c r="C204" s="2"/>
      <c r="D204" s="2"/>
      <c r="E204" s="2"/>
      <c r="F204" s="2"/>
      <c r="G204" s="2"/>
      <c r="H204" s="2"/>
      <c r="I204" s="2"/>
      <c r="J204" s="2"/>
      <c r="K204" s="2"/>
      <c r="L204" s="2"/>
      <c r="M204" s="2"/>
      <c r="N204" s="2"/>
      <c r="O204" s="2"/>
      <c r="P204" s="2"/>
      <c r="Q204" s="23"/>
      <c r="R204" s="23"/>
      <c r="S204" s="23"/>
      <c r="T204" s="23"/>
      <c r="U204" s="23"/>
      <c r="V204" s="23"/>
      <c r="W204" s="23"/>
      <c r="X204" s="23"/>
      <c r="Y204" s="23"/>
      <c r="Z204" s="23"/>
    </row>
    <row r="205">
      <c r="A205" s="2"/>
      <c r="B205" s="2"/>
      <c r="C205" s="2"/>
      <c r="D205" s="2"/>
      <c r="E205" s="2"/>
      <c r="F205" s="2"/>
      <c r="G205" s="2"/>
      <c r="H205" s="2"/>
      <c r="I205" s="2"/>
      <c r="J205" s="2"/>
      <c r="K205" s="2"/>
      <c r="L205" s="2"/>
      <c r="M205" s="2"/>
      <c r="N205" s="2"/>
      <c r="O205" s="2"/>
      <c r="P205" s="2"/>
      <c r="Q205" s="23"/>
      <c r="R205" s="23"/>
      <c r="S205" s="23"/>
      <c r="T205" s="23"/>
      <c r="U205" s="23"/>
      <c r="V205" s="23"/>
      <c r="W205" s="23"/>
      <c r="X205" s="23"/>
      <c r="Y205" s="23"/>
      <c r="Z205" s="23"/>
    </row>
    <row r="206">
      <c r="A206" s="2"/>
      <c r="B206" s="2"/>
      <c r="C206" s="2"/>
      <c r="D206" s="2"/>
      <c r="E206" s="2"/>
      <c r="F206" s="2"/>
      <c r="G206" s="2"/>
      <c r="H206" s="2"/>
      <c r="I206" s="2"/>
      <c r="J206" s="2"/>
      <c r="K206" s="2"/>
      <c r="L206" s="2"/>
      <c r="M206" s="2"/>
      <c r="N206" s="2"/>
      <c r="O206" s="2"/>
      <c r="P206" s="2"/>
      <c r="Q206" s="23"/>
      <c r="R206" s="23"/>
      <c r="S206" s="23"/>
      <c r="T206" s="23"/>
      <c r="U206" s="23"/>
      <c r="V206" s="23"/>
      <c r="W206" s="23"/>
      <c r="X206" s="23"/>
      <c r="Y206" s="23"/>
      <c r="Z206" s="23"/>
    </row>
    <row r="207">
      <c r="A207" s="2"/>
      <c r="B207" s="2"/>
      <c r="C207" s="2"/>
      <c r="D207" s="2"/>
      <c r="E207" s="2"/>
      <c r="F207" s="2"/>
      <c r="G207" s="2"/>
      <c r="H207" s="2"/>
      <c r="I207" s="2"/>
      <c r="J207" s="2"/>
      <c r="K207" s="2"/>
      <c r="L207" s="2"/>
      <c r="M207" s="2"/>
      <c r="N207" s="2"/>
      <c r="O207" s="2"/>
      <c r="P207" s="2"/>
      <c r="Q207" s="23"/>
      <c r="R207" s="23"/>
      <c r="S207" s="23"/>
      <c r="T207" s="23"/>
      <c r="U207" s="23"/>
      <c r="V207" s="23"/>
      <c r="W207" s="23"/>
      <c r="X207" s="23"/>
      <c r="Y207" s="23"/>
      <c r="Z207" s="23"/>
    </row>
    <row r="208">
      <c r="A208" s="2"/>
      <c r="B208" s="2"/>
      <c r="C208" s="2"/>
      <c r="D208" s="2"/>
      <c r="E208" s="2"/>
      <c r="F208" s="2"/>
      <c r="G208" s="2"/>
      <c r="H208" s="2"/>
      <c r="I208" s="2"/>
      <c r="J208" s="2"/>
      <c r="K208" s="2"/>
      <c r="L208" s="2"/>
      <c r="M208" s="2"/>
      <c r="N208" s="2"/>
      <c r="O208" s="2"/>
      <c r="P208" s="2"/>
      <c r="Q208" s="23"/>
      <c r="R208" s="23"/>
      <c r="S208" s="23"/>
      <c r="T208" s="23"/>
      <c r="U208" s="23"/>
      <c r="V208" s="23"/>
      <c r="W208" s="23"/>
      <c r="X208" s="23"/>
      <c r="Y208" s="23"/>
      <c r="Z208" s="23"/>
    </row>
    <row r="209">
      <c r="A209" s="2"/>
      <c r="B209" s="2"/>
      <c r="C209" s="2"/>
      <c r="D209" s="2"/>
      <c r="E209" s="2"/>
      <c r="F209" s="2"/>
      <c r="G209" s="2"/>
      <c r="H209" s="2"/>
      <c r="I209" s="2"/>
      <c r="J209" s="2"/>
      <c r="K209" s="2"/>
      <c r="L209" s="2"/>
      <c r="M209" s="2"/>
      <c r="N209" s="2"/>
      <c r="O209" s="2"/>
      <c r="P209" s="2"/>
      <c r="Q209" s="23"/>
      <c r="R209" s="23"/>
      <c r="S209" s="23"/>
      <c r="T209" s="23"/>
      <c r="U209" s="23"/>
      <c r="V209" s="23"/>
      <c r="W209" s="23"/>
      <c r="X209" s="23"/>
      <c r="Y209" s="23"/>
      <c r="Z209" s="23"/>
    </row>
    <row r="210">
      <c r="A210" s="2"/>
      <c r="B210" s="2"/>
      <c r="C210" s="2"/>
      <c r="D210" s="2"/>
      <c r="E210" s="2"/>
      <c r="F210" s="2"/>
      <c r="G210" s="2"/>
      <c r="H210" s="2"/>
      <c r="I210" s="2"/>
      <c r="J210" s="2"/>
      <c r="K210" s="2"/>
      <c r="L210" s="2"/>
      <c r="M210" s="2"/>
      <c r="N210" s="2"/>
      <c r="O210" s="2"/>
      <c r="P210" s="2"/>
      <c r="Q210" s="23"/>
      <c r="R210" s="23"/>
      <c r="S210" s="23"/>
      <c r="T210" s="23"/>
      <c r="U210" s="23"/>
      <c r="V210" s="23"/>
      <c r="W210" s="23"/>
      <c r="X210" s="23"/>
      <c r="Y210" s="23"/>
      <c r="Z210" s="23"/>
    </row>
    <row r="211">
      <c r="A211" s="2"/>
      <c r="B211" s="2"/>
      <c r="C211" s="2"/>
      <c r="D211" s="2"/>
      <c r="E211" s="2"/>
      <c r="F211" s="2"/>
      <c r="G211" s="2"/>
      <c r="H211" s="2"/>
      <c r="I211" s="2"/>
      <c r="J211" s="2"/>
      <c r="K211" s="2"/>
      <c r="L211" s="2"/>
      <c r="M211" s="2"/>
      <c r="N211" s="2"/>
      <c r="O211" s="2"/>
      <c r="P211" s="2"/>
      <c r="Q211" s="23"/>
      <c r="R211" s="23"/>
      <c r="S211" s="23"/>
      <c r="T211" s="23"/>
      <c r="U211" s="23"/>
      <c r="V211" s="23"/>
      <c r="W211" s="23"/>
      <c r="X211" s="23"/>
      <c r="Y211" s="23"/>
      <c r="Z211" s="23"/>
    </row>
    <row r="212">
      <c r="A212" s="2"/>
      <c r="B212" s="2"/>
      <c r="C212" s="2"/>
      <c r="D212" s="2"/>
      <c r="E212" s="2"/>
      <c r="F212" s="2"/>
      <c r="G212" s="2"/>
      <c r="H212" s="2"/>
      <c r="I212" s="2"/>
      <c r="J212" s="2"/>
      <c r="K212" s="2"/>
      <c r="L212" s="2"/>
      <c r="M212" s="2"/>
      <c r="N212" s="2"/>
      <c r="O212" s="2"/>
      <c r="P212" s="2"/>
      <c r="Q212" s="23"/>
      <c r="R212" s="23"/>
      <c r="S212" s="23"/>
      <c r="T212" s="23"/>
      <c r="U212" s="23"/>
      <c r="V212" s="23"/>
      <c r="W212" s="23"/>
      <c r="X212" s="23"/>
      <c r="Y212" s="23"/>
      <c r="Z212" s="23"/>
    </row>
    <row r="213">
      <c r="A213" s="2"/>
      <c r="B213" s="2"/>
      <c r="C213" s="2"/>
      <c r="D213" s="2"/>
      <c r="E213" s="2"/>
      <c r="F213" s="2"/>
      <c r="G213" s="2"/>
      <c r="H213" s="2"/>
      <c r="I213" s="2"/>
      <c r="J213" s="2"/>
      <c r="K213" s="2"/>
      <c r="L213" s="2"/>
      <c r="M213" s="2"/>
      <c r="N213" s="2"/>
      <c r="O213" s="2"/>
      <c r="P213" s="2"/>
      <c r="Q213" s="23"/>
      <c r="R213" s="23"/>
      <c r="S213" s="23"/>
      <c r="T213" s="23"/>
      <c r="U213" s="23"/>
      <c r="V213" s="23"/>
      <c r="W213" s="23"/>
      <c r="X213" s="23"/>
      <c r="Y213" s="23"/>
      <c r="Z213" s="23"/>
    </row>
    <row r="214">
      <c r="A214" s="2"/>
      <c r="B214" s="2"/>
      <c r="C214" s="2"/>
      <c r="D214" s="2"/>
      <c r="E214" s="2"/>
      <c r="F214" s="2"/>
      <c r="G214" s="2"/>
      <c r="H214" s="2"/>
      <c r="I214" s="2"/>
      <c r="J214" s="2"/>
      <c r="K214" s="2"/>
      <c r="L214" s="2"/>
      <c r="M214" s="2"/>
      <c r="N214" s="2"/>
      <c r="O214" s="2"/>
      <c r="P214" s="2"/>
      <c r="Q214" s="23"/>
      <c r="R214" s="23"/>
      <c r="S214" s="23"/>
      <c r="T214" s="23"/>
      <c r="U214" s="23"/>
      <c r="V214" s="23"/>
      <c r="W214" s="23"/>
      <c r="X214" s="23"/>
      <c r="Y214" s="23"/>
      <c r="Z214" s="23"/>
    </row>
    <row r="215">
      <c r="A215" s="2"/>
      <c r="B215" s="2"/>
      <c r="C215" s="2"/>
      <c r="D215" s="2"/>
      <c r="E215" s="2"/>
      <c r="F215" s="2"/>
      <c r="G215" s="2"/>
      <c r="H215" s="2"/>
      <c r="I215" s="2"/>
      <c r="J215" s="2"/>
      <c r="K215" s="2"/>
      <c r="L215" s="2"/>
      <c r="M215" s="2"/>
      <c r="N215" s="2"/>
      <c r="O215" s="2"/>
      <c r="P215" s="2"/>
      <c r="Q215" s="23"/>
      <c r="R215" s="23"/>
      <c r="S215" s="23"/>
      <c r="T215" s="23"/>
      <c r="U215" s="23"/>
      <c r="V215" s="23"/>
      <c r="W215" s="23"/>
      <c r="X215" s="23"/>
      <c r="Y215" s="23"/>
      <c r="Z215" s="23"/>
    </row>
    <row r="216">
      <c r="A216" s="2"/>
      <c r="B216" s="2"/>
      <c r="C216" s="2"/>
      <c r="D216" s="2"/>
      <c r="E216" s="2"/>
      <c r="F216" s="2"/>
      <c r="G216" s="2"/>
      <c r="H216" s="2"/>
      <c r="I216" s="2"/>
      <c r="J216" s="2"/>
      <c r="K216" s="2"/>
      <c r="L216" s="2"/>
      <c r="M216" s="2"/>
      <c r="N216" s="2"/>
      <c r="O216" s="2"/>
      <c r="P216" s="2"/>
      <c r="Q216" s="23"/>
      <c r="R216" s="23"/>
      <c r="S216" s="23"/>
      <c r="T216" s="23"/>
      <c r="U216" s="23"/>
      <c r="V216" s="23"/>
      <c r="W216" s="23"/>
      <c r="X216" s="23"/>
      <c r="Y216" s="23"/>
      <c r="Z216" s="23"/>
    </row>
    <row r="217">
      <c r="A217" s="2"/>
      <c r="B217" s="2"/>
      <c r="C217" s="2"/>
      <c r="D217" s="2"/>
      <c r="E217" s="2"/>
      <c r="F217" s="2"/>
      <c r="G217" s="2"/>
      <c r="H217" s="2"/>
      <c r="I217" s="2"/>
      <c r="J217" s="2"/>
      <c r="K217" s="2"/>
      <c r="L217" s="2"/>
      <c r="M217" s="2"/>
      <c r="N217" s="2"/>
      <c r="O217" s="2"/>
      <c r="P217" s="2"/>
      <c r="Q217" s="23"/>
      <c r="R217" s="23"/>
      <c r="S217" s="23"/>
      <c r="T217" s="23"/>
      <c r="U217" s="23"/>
      <c r="V217" s="23"/>
      <c r="W217" s="23"/>
      <c r="X217" s="23"/>
      <c r="Y217" s="23"/>
      <c r="Z217" s="23"/>
    </row>
    <row r="218">
      <c r="A218" s="2"/>
      <c r="B218" s="2"/>
      <c r="C218" s="2"/>
      <c r="D218" s="2"/>
      <c r="E218" s="2"/>
      <c r="F218" s="2"/>
      <c r="G218" s="2"/>
      <c r="H218" s="2"/>
      <c r="I218" s="2"/>
      <c r="J218" s="2"/>
      <c r="K218" s="2"/>
      <c r="L218" s="2"/>
      <c r="M218" s="2"/>
      <c r="N218" s="2"/>
      <c r="O218" s="2"/>
      <c r="P218" s="2"/>
      <c r="Q218" s="23"/>
      <c r="R218" s="23"/>
      <c r="S218" s="23"/>
      <c r="T218" s="23"/>
      <c r="U218" s="23"/>
      <c r="V218" s="23"/>
      <c r="W218" s="23"/>
      <c r="X218" s="23"/>
      <c r="Y218" s="23"/>
      <c r="Z218" s="23"/>
    </row>
    <row r="219">
      <c r="A219" s="2"/>
      <c r="B219" s="2"/>
      <c r="C219" s="2"/>
      <c r="D219" s="2"/>
      <c r="E219" s="2"/>
      <c r="F219" s="2"/>
      <c r="G219" s="2"/>
      <c r="H219" s="2"/>
      <c r="I219" s="2"/>
      <c r="J219" s="2"/>
      <c r="K219" s="2"/>
      <c r="L219" s="2"/>
      <c r="M219" s="2"/>
      <c r="N219" s="2"/>
      <c r="O219" s="2"/>
      <c r="P219" s="2"/>
      <c r="Q219" s="23"/>
      <c r="R219" s="23"/>
      <c r="S219" s="23"/>
      <c r="T219" s="23"/>
      <c r="U219" s="23"/>
      <c r="V219" s="23"/>
      <c r="W219" s="23"/>
      <c r="X219" s="23"/>
      <c r="Y219" s="23"/>
      <c r="Z219" s="23"/>
    </row>
    <row r="220">
      <c r="A220" s="2"/>
      <c r="B220" s="2"/>
      <c r="C220" s="2"/>
      <c r="D220" s="2"/>
      <c r="E220" s="2"/>
      <c r="F220" s="2"/>
      <c r="G220" s="2"/>
      <c r="H220" s="2"/>
      <c r="I220" s="2"/>
      <c r="J220" s="2"/>
      <c r="K220" s="2"/>
      <c r="L220" s="2"/>
      <c r="M220" s="2"/>
      <c r="N220" s="2"/>
      <c r="O220" s="2"/>
      <c r="P220" s="2"/>
      <c r="Q220" s="23"/>
      <c r="R220" s="23"/>
      <c r="S220" s="23"/>
      <c r="T220" s="23"/>
      <c r="U220" s="23"/>
      <c r="V220" s="23"/>
      <c r="W220" s="23"/>
      <c r="X220" s="23"/>
      <c r="Y220" s="23"/>
      <c r="Z220" s="23"/>
    </row>
    <row r="221">
      <c r="A221" s="2"/>
      <c r="B221" s="2"/>
      <c r="C221" s="2"/>
      <c r="D221" s="2"/>
      <c r="E221" s="2"/>
      <c r="F221" s="2"/>
      <c r="G221" s="2"/>
      <c r="H221" s="2"/>
      <c r="I221" s="2"/>
      <c r="J221" s="2"/>
      <c r="K221" s="2"/>
      <c r="L221" s="2"/>
      <c r="M221" s="2"/>
      <c r="N221" s="2"/>
      <c r="O221" s="2"/>
      <c r="P221" s="2"/>
      <c r="Q221" s="23"/>
      <c r="R221" s="23"/>
      <c r="S221" s="23"/>
      <c r="T221" s="23"/>
      <c r="U221" s="23"/>
      <c r="V221" s="23"/>
      <c r="W221" s="23"/>
      <c r="X221" s="23"/>
      <c r="Y221" s="23"/>
      <c r="Z221" s="23"/>
    </row>
    <row r="222">
      <c r="A222" s="2"/>
      <c r="B222" s="2"/>
      <c r="C222" s="2"/>
      <c r="D222" s="2"/>
      <c r="E222" s="2"/>
      <c r="F222" s="2"/>
      <c r="G222" s="2"/>
      <c r="H222" s="2"/>
      <c r="I222" s="2"/>
      <c r="J222" s="2"/>
      <c r="K222" s="2"/>
      <c r="L222" s="2"/>
      <c r="M222" s="2"/>
      <c r="N222" s="2"/>
      <c r="O222" s="2"/>
      <c r="P222" s="2"/>
      <c r="Q222" s="23"/>
      <c r="R222" s="23"/>
      <c r="S222" s="23"/>
      <c r="T222" s="23"/>
      <c r="U222" s="23"/>
      <c r="V222" s="23"/>
      <c r="W222" s="23"/>
      <c r="X222" s="23"/>
      <c r="Y222" s="23"/>
      <c r="Z222" s="23"/>
    </row>
    <row r="223">
      <c r="A223" s="2"/>
      <c r="B223" s="2"/>
      <c r="C223" s="2"/>
      <c r="D223" s="2"/>
      <c r="E223" s="2"/>
      <c r="F223" s="2"/>
      <c r="G223" s="2"/>
      <c r="H223" s="2"/>
      <c r="I223" s="2"/>
      <c r="J223" s="2"/>
      <c r="K223" s="2"/>
      <c r="L223" s="2"/>
      <c r="M223" s="2"/>
      <c r="N223" s="2"/>
      <c r="O223" s="2"/>
      <c r="P223" s="2"/>
      <c r="Q223" s="23"/>
      <c r="R223" s="23"/>
      <c r="S223" s="23"/>
      <c r="T223" s="23"/>
      <c r="U223" s="23"/>
      <c r="V223" s="23"/>
      <c r="W223" s="23"/>
      <c r="X223" s="23"/>
      <c r="Y223" s="23"/>
      <c r="Z223" s="23"/>
    </row>
    <row r="224">
      <c r="A224" s="2"/>
      <c r="B224" s="2"/>
      <c r="C224" s="2"/>
      <c r="D224" s="2"/>
      <c r="E224" s="2"/>
      <c r="F224" s="2"/>
      <c r="G224" s="2"/>
      <c r="H224" s="2"/>
      <c r="I224" s="2"/>
      <c r="J224" s="2"/>
      <c r="K224" s="2"/>
      <c r="L224" s="2"/>
      <c r="M224" s="2"/>
      <c r="N224" s="2"/>
      <c r="O224" s="2"/>
      <c r="P224" s="2"/>
      <c r="Q224" s="23"/>
      <c r="R224" s="23"/>
      <c r="S224" s="23"/>
      <c r="T224" s="23"/>
      <c r="U224" s="23"/>
      <c r="V224" s="23"/>
      <c r="W224" s="23"/>
      <c r="X224" s="23"/>
      <c r="Y224" s="23"/>
      <c r="Z224" s="23"/>
    </row>
    <row r="225">
      <c r="A225" s="2"/>
      <c r="B225" s="2"/>
      <c r="C225" s="2"/>
      <c r="D225" s="2"/>
      <c r="E225" s="2"/>
      <c r="F225" s="2"/>
      <c r="G225" s="2"/>
      <c r="H225" s="2"/>
      <c r="I225" s="2"/>
      <c r="J225" s="2"/>
      <c r="K225" s="2"/>
      <c r="L225" s="2"/>
      <c r="M225" s="2"/>
      <c r="N225" s="2"/>
      <c r="O225" s="2"/>
      <c r="P225" s="2"/>
      <c r="Q225" s="23"/>
      <c r="R225" s="23"/>
      <c r="S225" s="23"/>
      <c r="T225" s="23"/>
      <c r="U225" s="23"/>
      <c r="V225" s="23"/>
      <c r="W225" s="23"/>
      <c r="X225" s="23"/>
      <c r="Y225" s="23"/>
      <c r="Z225" s="23"/>
    </row>
    <row r="226">
      <c r="A226" s="2"/>
      <c r="B226" s="2"/>
      <c r="C226" s="2"/>
      <c r="D226" s="2"/>
      <c r="E226" s="2"/>
      <c r="F226" s="2"/>
      <c r="G226" s="2"/>
      <c r="H226" s="2"/>
      <c r="I226" s="2"/>
      <c r="J226" s="2"/>
      <c r="K226" s="2"/>
      <c r="L226" s="2"/>
      <c r="M226" s="2"/>
      <c r="N226" s="2"/>
      <c r="O226" s="2"/>
      <c r="P226" s="2"/>
      <c r="Q226" s="23"/>
      <c r="R226" s="23"/>
      <c r="S226" s="23"/>
      <c r="T226" s="23"/>
      <c r="U226" s="23"/>
      <c r="V226" s="23"/>
      <c r="W226" s="23"/>
      <c r="X226" s="23"/>
      <c r="Y226" s="23"/>
      <c r="Z226" s="23"/>
    </row>
    <row r="227">
      <c r="A227" s="2"/>
      <c r="B227" s="2"/>
      <c r="C227" s="2"/>
      <c r="D227" s="2"/>
      <c r="E227" s="2"/>
      <c r="F227" s="2"/>
      <c r="G227" s="2"/>
      <c r="H227" s="2"/>
      <c r="I227" s="2"/>
      <c r="J227" s="2"/>
      <c r="K227" s="2"/>
      <c r="L227" s="2"/>
      <c r="M227" s="2"/>
      <c r="N227" s="2"/>
      <c r="O227" s="2"/>
      <c r="P227" s="2"/>
      <c r="Q227" s="23"/>
      <c r="R227" s="23"/>
      <c r="S227" s="23"/>
      <c r="T227" s="23"/>
      <c r="U227" s="23"/>
      <c r="V227" s="23"/>
      <c r="W227" s="23"/>
      <c r="X227" s="23"/>
      <c r="Y227" s="23"/>
      <c r="Z227" s="23"/>
    </row>
    <row r="228">
      <c r="A228" s="2"/>
      <c r="B228" s="2"/>
      <c r="C228" s="2"/>
      <c r="D228" s="2"/>
      <c r="E228" s="2"/>
      <c r="F228" s="2"/>
      <c r="G228" s="2"/>
      <c r="H228" s="2"/>
      <c r="I228" s="2"/>
      <c r="J228" s="2"/>
      <c r="K228" s="2"/>
      <c r="L228" s="2"/>
      <c r="M228" s="2"/>
      <c r="N228" s="2"/>
      <c r="O228" s="2"/>
      <c r="P228" s="2"/>
      <c r="Q228" s="23"/>
      <c r="R228" s="23"/>
      <c r="S228" s="23"/>
      <c r="T228" s="23"/>
      <c r="U228" s="23"/>
      <c r="V228" s="23"/>
      <c r="W228" s="23"/>
      <c r="X228" s="23"/>
      <c r="Y228" s="23"/>
      <c r="Z228" s="23"/>
    </row>
    <row r="229">
      <c r="A229" s="2"/>
      <c r="B229" s="2"/>
      <c r="C229" s="2"/>
      <c r="D229" s="2"/>
      <c r="E229" s="2"/>
      <c r="F229" s="2"/>
      <c r="G229" s="2"/>
      <c r="H229" s="2"/>
      <c r="I229" s="2"/>
      <c r="J229" s="2"/>
      <c r="K229" s="2"/>
      <c r="L229" s="2"/>
      <c r="M229" s="2"/>
      <c r="N229" s="2"/>
      <c r="O229" s="2"/>
      <c r="P229" s="2"/>
      <c r="Q229" s="23"/>
      <c r="R229" s="23"/>
      <c r="S229" s="23"/>
      <c r="T229" s="23"/>
      <c r="U229" s="23"/>
      <c r="V229" s="23"/>
      <c r="W229" s="23"/>
      <c r="X229" s="23"/>
      <c r="Y229" s="23"/>
      <c r="Z229" s="23"/>
    </row>
    <row r="230">
      <c r="A230" s="2"/>
      <c r="B230" s="2"/>
      <c r="C230" s="2"/>
      <c r="D230" s="2"/>
      <c r="E230" s="2"/>
      <c r="F230" s="2"/>
      <c r="G230" s="2"/>
      <c r="H230" s="2"/>
      <c r="I230" s="2"/>
      <c r="J230" s="2"/>
      <c r="K230" s="2"/>
      <c r="L230" s="2"/>
      <c r="M230" s="2"/>
      <c r="N230" s="2"/>
      <c r="O230" s="2"/>
      <c r="P230" s="2"/>
      <c r="Q230" s="23"/>
      <c r="R230" s="23"/>
      <c r="S230" s="23"/>
      <c r="T230" s="23"/>
      <c r="U230" s="23"/>
      <c r="V230" s="23"/>
      <c r="W230" s="23"/>
      <c r="X230" s="23"/>
      <c r="Y230" s="23"/>
      <c r="Z230" s="23"/>
    </row>
    <row r="231">
      <c r="A231" s="2"/>
      <c r="B231" s="2"/>
      <c r="C231" s="2"/>
      <c r="D231" s="2"/>
      <c r="E231" s="2"/>
      <c r="F231" s="2"/>
      <c r="G231" s="2"/>
      <c r="H231" s="2"/>
      <c r="I231" s="2"/>
      <c r="J231" s="2"/>
      <c r="K231" s="2"/>
      <c r="L231" s="2"/>
      <c r="M231" s="2"/>
      <c r="N231" s="2"/>
      <c r="O231" s="2"/>
      <c r="P231" s="2"/>
      <c r="Q231" s="23"/>
      <c r="R231" s="23"/>
      <c r="S231" s="23"/>
      <c r="T231" s="23"/>
      <c r="U231" s="23"/>
      <c r="V231" s="23"/>
      <c r="W231" s="23"/>
      <c r="X231" s="23"/>
      <c r="Y231" s="23"/>
      <c r="Z231" s="23"/>
    </row>
    <row r="232">
      <c r="A232" s="2"/>
      <c r="B232" s="2"/>
      <c r="C232" s="2"/>
      <c r="D232" s="2"/>
      <c r="E232" s="2"/>
      <c r="F232" s="2"/>
      <c r="G232" s="2"/>
      <c r="H232" s="2"/>
      <c r="I232" s="2"/>
      <c r="J232" s="2"/>
      <c r="K232" s="2"/>
      <c r="L232" s="2"/>
      <c r="M232" s="2"/>
      <c r="N232" s="2"/>
      <c r="O232" s="2"/>
      <c r="P232" s="2"/>
      <c r="Q232" s="23"/>
      <c r="R232" s="23"/>
      <c r="S232" s="23"/>
      <c r="T232" s="23"/>
      <c r="U232" s="23"/>
      <c r="V232" s="23"/>
      <c r="W232" s="23"/>
      <c r="X232" s="23"/>
      <c r="Y232" s="23"/>
      <c r="Z232" s="23"/>
    </row>
    <row r="233">
      <c r="A233" s="2"/>
      <c r="B233" s="2"/>
      <c r="C233" s="2"/>
      <c r="D233" s="2"/>
      <c r="E233" s="2"/>
      <c r="F233" s="2"/>
      <c r="G233" s="2"/>
      <c r="H233" s="2"/>
      <c r="I233" s="2"/>
      <c r="J233" s="2"/>
      <c r="K233" s="2"/>
      <c r="L233" s="2"/>
      <c r="M233" s="2"/>
      <c r="N233" s="2"/>
      <c r="O233" s="2"/>
      <c r="P233" s="2"/>
      <c r="Q233" s="23"/>
      <c r="R233" s="23"/>
      <c r="S233" s="23"/>
      <c r="T233" s="23"/>
      <c r="U233" s="23"/>
      <c r="V233" s="23"/>
      <c r="W233" s="23"/>
      <c r="X233" s="23"/>
      <c r="Y233" s="23"/>
      <c r="Z233" s="23"/>
    </row>
    <row r="234">
      <c r="A234" s="2"/>
      <c r="B234" s="2"/>
      <c r="C234" s="2"/>
      <c r="D234" s="2"/>
      <c r="E234" s="2"/>
      <c r="F234" s="2"/>
      <c r="G234" s="2"/>
      <c r="H234" s="2"/>
      <c r="I234" s="2"/>
      <c r="J234" s="2"/>
      <c r="K234" s="2"/>
      <c r="L234" s="2"/>
      <c r="M234" s="2"/>
      <c r="N234" s="2"/>
      <c r="O234" s="2"/>
      <c r="P234" s="2"/>
      <c r="Q234" s="23"/>
      <c r="R234" s="23"/>
      <c r="S234" s="23"/>
      <c r="T234" s="23"/>
      <c r="U234" s="23"/>
      <c r="V234" s="23"/>
      <c r="W234" s="23"/>
      <c r="X234" s="23"/>
      <c r="Y234" s="23"/>
      <c r="Z234" s="23"/>
    </row>
    <row r="235">
      <c r="A235" s="2"/>
      <c r="B235" s="2"/>
      <c r="C235" s="2"/>
      <c r="D235" s="2"/>
      <c r="E235" s="2"/>
      <c r="F235" s="2"/>
      <c r="G235" s="2"/>
      <c r="H235" s="2"/>
      <c r="I235" s="2"/>
      <c r="J235" s="2"/>
      <c r="K235" s="2"/>
      <c r="L235" s="2"/>
      <c r="M235" s="2"/>
      <c r="N235" s="2"/>
      <c r="O235" s="2"/>
      <c r="P235" s="2"/>
      <c r="Q235" s="23"/>
      <c r="R235" s="23"/>
      <c r="S235" s="23"/>
      <c r="T235" s="23"/>
      <c r="U235" s="23"/>
      <c r="V235" s="23"/>
      <c r="W235" s="23"/>
      <c r="X235" s="23"/>
      <c r="Y235" s="23"/>
      <c r="Z235" s="23"/>
    </row>
    <row r="236">
      <c r="A236" s="2"/>
      <c r="B236" s="2"/>
      <c r="C236" s="2"/>
      <c r="D236" s="2"/>
      <c r="E236" s="2"/>
      <c r="F236" s="2"/>
      <c r="G236" s="2"/>
      <c r="H236" s="2"/>
      <c r="I236" s="2"/>
      <c r="J236" s="2"/>
      <c r="K236" s="2"/>
      <c r="L236" s="2"/>
      <c r="M236" s="2"/>
      <c r="N236" s="2"/>
      <c r="O236" s="2"/>
      <c r="P236" s="2"/>
      <c r="Q236" s="23"/>
      <c r="R236" s="23"/>
      <c r="S236" s="23"/>
      <c r="T236" s="23"/>
      <c r="U236" s="23"/>
      <c r="V236" s="23"/>
      <c r="W236" s="23"/>
      <c r="X236" s="23"/>
      <c r="Y236" s="23"/>
      <c r="Z236" s="23"/>
    </row>
    <row r="237">
      <c r="A237" s="2"/>
      <c r="B237" s="2"/>
      <c r="C237" s="2"/>
      <c r="D237" s="2"/>
      <c r="E237" s="2"/>
      <c r="F237" s="2"/>
      <c r="G237" s="2"/>
      <c r="H237" s="2"/>
      <c r="I237" s="2"/>
      <c r="J237" s="2"/>
      <c r="K237" s="2"/>
      <c r="L237" s="2"/>
      <c r="M237" s="2"/>
      <c r="N237" s="2"/>
      <c r="O237" s="2"/>
      <c r="P237" s="2"/>
      <c r="Q237" s="23"/>
      <c r="R237" s="23"/>
      <c r="S237" s="23"/>
      <c r="T237" s="23"/>
      <c r="U237" s="23"/>
      <c r="V237" s="23"/>
      <c r="W237" s="23"/>
      <c r="X237" s="23"/>
      <c r="Y237" s="23"/>
      <c r="Z237" s="23"/>
    </row>
    <row r="238">
      <c r="A238" s="2"/>
      <c r="B238" s="2"/>
      <c r="C238" s="2"/>
      <c r="D238" s="2"/>
      <c r="E238" s="2"/>
      <c r="F238" s="2"/>
      <c r="G238" s="2"/>
      <c r="H238" s="2"/>
      <c r="I238" s="2"/>
      <c r="J238" s="2"/>
      <c r="K238" s="2"/>
      <c r="L238" s="2"/>
      <c r="M238" s="2"/>
      <c r="N238" s="2"/>
      <c r="O238" s="2"/>
      <c r="P238" s="2"/>
      <c r="Q238" s="23"/>
      <c r="R238" s="23"/>
      <c r="S238" s="23"/>
      <c r="T238" s="23"/>
      <c r="U238" s="23"/>
      <c r="V238" s="23"/>
      <c r="W238" s="23"/>
      <c r="X238" s="23"/>
      <c r="Y238" s="23"/>
      <c r="Z238" s="23"/>
    </row>
    <row r="239">
      <c r="A239" s="2"/>
      <c r="B239" s="2"/>
      <c r="C239" s="2"/>
      <c r="D239" s="2"/>
      <c r="E239" s="2"/>
      <c r="F239" s="2"/>
      <c r="G239" s="2"/>
      <c r="H239" s="2"/>
      <c r="I239" s="2"/>
      <c r="J239" s="2"/>
      <c r="K239" s="2"/>
      <c r="L239" s="2"/>
      <c r="M239" s="2"/>
      <c r="N239" s="2"/>
      <c r="O239" s="2"/>
      <c r="P239" s="2"/>
      <c r="Q239" s="23"/>
      <c r="R239" s="23"/>
      <c r="S239" s="23"/>
      <c r="T239" s="23"/>
      <c r="U239" s="23"/>
      <c r="V239" s="23"/>
      <c r="W239" s="23"/>
      <c r="X239" s="23"/>
      <c r="Y239" s="23"/>
      <c r="Z239" s="23"/>
    </row>
    <row r="240">
      <c r="A240" s="2"/>
      <c r="B240" s="2"/>
      <c r="C240" s="2"/>
      <c r="D240" s="2"/>
      <c r="E240" s="2"/>
      <c r="F240" s="2"/>
      <c r="G240" s="2"/>
      <c r="H240" s="2"/>
      <c r="I240" s="2"/>
      <c r="J240" s="2"/>
      <c r="K240" s="2"/>
      <c r="L240" s="2"/>
      <c r="M240" s="2"/>
      <c r="N240" s="2"/>
      <c r="O240" s="2"/>
      <c r="P240" s="2"/>
      <c r="Q240" s="23"/>
      <c r="R240" s="23"/>
      <c r="S240" s="23"/>
      <c r="T240" s="23"/>
      <c r="U240" s="23"/>
      <c r="V240" s="23"/>
      <c r="W240" s="23"/>
      <c r="X240" s="23"/>
      <c r="Y240" s="23"/>
      <c r="Z240" s="23"/>
    </row>
    <row r="241">
      <c r="A241" s="2"/>
      <c r="B241" s="2"/>
      <c r="C241" s="2"/>
      <c r="D241" s="2"/>
      <c r="E241" s="2"/>
      <c r="F241" s="2"/>
      <c r="G241" s="2"/>
      <c r="H241" s="2"/>
      <c r="I241" s="2"/>
      <c r="J241" s="2"/>
      <c r="K241" s="2"/>
      <c r="L241" s="2"/>
      <c r="M241" s="2"/>
      <c r="N241" s="2"/>
      <c r="O241" s="2"/>
      <c r="P241" s="2"/>
      <c r="Q241" s="23"/>
      <c r="R241" s="23"/>
      <c r="S241" s="23"/>
      <c r="T241" s="23"/>
      <c r="U241" s="23"/>
      <c r="V241" s="23"/>
      <c r="W241" s="23"/>
      <c r="X241" s="23"/>
      <c r="Y241" s="23"/>
      <c r="Z241" s="23"/>
    </row>
    <row r="242">
      <c r="A242" s="2"/>
      <c r="B242" s="2"/>
      <c r="C242" s="2"/>
      <c r="D242" s="2"/>
      <c r="E242" s="2"/>
      <c r="F242" s="2"/>
      <c r="G242" s="2"/>
      <c r="H242" s="2"/>
      <c r="I242" s="2"/>
      <c r="J242" s="2"/>
      <c r="K242" s="2"/>
      <c r="L242" s="2"/>
      <c r="M242" s="2"/>
      <c r="N242" s="2"/>
      <c r="O242" s="2"/>
      <c r="P242" s="2"/>
      <c r="Q242" s="23"/>
      <c r="R242" s="23"/>
      <c r="S242" s="23"/>
      <c r="T242" s="23"/>
      <c r="U242" s="23"/>
      <c r="V242" s="23"/>
      <c r="W242" s="23"/>
      <c r="X242" s="23"/>
      <c r="Y242" s="23"/>
      <c r="Z242" s="23"/>
    </row>
    <row r="243">
      <c r="A243" s="2"/>
      <c r="B243" s="2"/>
      <c r="C243" s="2"/>
      <c r="D243" s="2"/>
      <c r="E243" s="2"/>
      <c r="F243" s="2"/>
      <c r="G243" s="2"/>
      <c r="H243" s="2"/>
      <c r="I243" s="2"/>
      <c r="J243" s="2"/>
      <c r="K243" s="2"/>
      <c r="L243" s="2"/>
      <c r="M243" s="2"/>
      <c r="N243" s="2"/>
      <c r="O243" s="2"/>
      <c r="P243" s="2"/>
      <c r="Q243" s="23"/>
      <c r="R243" s="23"/>
      <c r="S243" s="23"/>
      <c r="T243" s="23"/>
      <c r="U243" s="23"/>
      <c r="V243" s="23"/>
      <c r="W243" s="23"/>
      <c r="X243" s="23"/>
      <c r="Y243" s="23"/>
      <c r="Z243" s="23"/>
    </row>
    <row r="244">
      <c r="A244" s="2"/>
      <c r="B244" s="2"/>
      <c r="C244" s="2"/>
      <c r="D244" s="2"/>
      <c r="E244" s="2"/>
      <c r="F244" s="2"/>
      <c r="G244" s="2"/>
      <c r="H244" s="2"/>
      <c r="I244" s="2"/>
      <c r="J244" s="2"/>
      <c r="K244" s="2"/>
      <c r="L244" s="2"/>
      <c r="M244" s="2"/>
      <c r="N244" s="2"/>
      <c r="O244" s="2"/>
      <c r="P244" s="2"/>
      <c r="Q244" s="23"/>
      <c r="R244" s="23"/>
      <c r="S244" s="23"/>
      <c r="T244" s="23"/>
      <c r="U244" s="23"/>
      <c r="V244" s="23"/>
      <c r="W244" s="23"/>
      <c r="X244" s="23"/>
      <c r="Y244" s="23"/>
      <c r="Z244" s="23"/>
    </row>
    <row r="245">
      <c r="A245" s="2"/>
      <c r="B245" s="2"/>
      <c r="C245" s="2"/>
      <c r="D245" s="2"/>
      <c r="E245" s="2"/>
      <c r="F245" s="2"/>
      <c r="G245" s="2"/>
      <c r="H245" s="2"/>
      <c r="I245" s="2"/>
      <c r="J245" s="2"/>
      <c r="K245" s="2"/>
      <c r="L245" s="2"/>
      <c r="M245" s="2"/>
      <c r="N245" s="2"/>
      <c r="O245" s="2"/>
      <c r="P245" s="2"/>
      <c r="Q245" s="23"/>
      <c r="R245" s="23"/>
      <c r="S245" s="23"/>
      <c r="T245" s="23"/>
      <c r="U245" s="23"/>
      <c r="V245" s="23"/>
      <c r="W245" s="23"/>
      <c r="X245" s="23"/>
      <c r="Y245" s="23"/>
      <c r="Z245" s="23"/>
    </row>
    <row r="246">
      <c r="A246" s="2"/>
      <c r="B246" s="2"/>
      <c r="C246" s="2"/>
      <c r="D246" s="2"/>
      <c r="E246" s="2"/>
      <c r="F246" s="2"/>
      <c r="G246" s="2"/>
      <c r="H246" s="2"/>
      <c r="I246" s="2"/>
      <c r="J246" s="2"/>
      <c r="K246" s="2"/>
      <c r="L246" s="2"/>
      <c r="M246" s="2"/>
      <c r="N246" s="2"/>
      <c r="O246" s="2"/>
      <c r="P246" s="2"/>
      <c r="Q246" s="23"/>
      <c r="R246" s="23"/>
      <c r="S246" s="23"/>
      <c r="T246" s="23"/>
      <c r="U246" s="23"/>
      <c r="V246" s="23"/>
      <c r="W246" s="23"/>
      <c r="X246" s="23"/>
      <c r="Y246" s="23"/>
      <c r="Z246" s="23"/>
    </row>
    <row r="247">
      <c r="A247" s="2"/>
      <c r="B247" s="2"/>
      <c r="C247" s="2"/>
      <c r="D247" s="2"/>
      <c r="E247" s="2"/>
      <c r="F247" s="2"/>
      <c r="G247" s="2"/>
      <c r="H247" s="2"/>
      <c r="I247" s="2"/>
      <c r="J247" s="2"/>
      <c r="K247" s="2"/>
      <c r="L247" s="2"/>
      <c r="M247" s="2"/>
      <c r="N247" s="2"/>
      <c r="O247" s="2"/>
      <c r="P247" s="2"/>
      <c r="Q247" s="23"/>
      <c r="R247" s="23"/>
      <c r="S247" s="23"/>
      <c r="T247" s="23"/>
      <c r="U247" s="23"/>
      <c r="V247" s="23"/>
      <c r="W247" s="23"/>
      <c r="X247" s="23"/>
      <c r="Y247" s="23"/>
      <c r="Z247" s="23"/>
    </row>
    <row r="248">
      <c r="A248" s="2"/>
      <c r="B248" s="2"/>
      <c r="C248" s="2"/>
      <c r="D248" s="2"/>
      <c r="E248" s="2"/>
      <c r="F248" s="2"/>
      <c r="G248" s="2"/>
      <c r="H248" s="2"/>
      <c r="I248" s="2"/>
      <c r="J248" s="2"/>
      <c r="K248" s="2"/>
      <c r="L248" s="2"/>
      <c r="M248" s="2"/>
      <c r="N248" s="2"/>
      <c r="O248" s="2"/>
      <c r="P248" s="2"/>
      <c r="Q248" s="23"/>
      <c r="R248" s="23"/>
      <c r="S248" s="23"/>
      <c r="T248" s="23"/>
      <c r="U248" s="23"/>
      <c r="V248" s="23"/>
      <c r="W248" s="23"/>
      <c r="X248" s="23"/>
      <c r="Y248" s="23"/>
      <c r="Z248" s="23"/>
    </row>
    <row r="249">
      <c r="A249" s="2"/>
      <c r="B249" s="2"/>
      <c r="C249" s="2"/>
      <c r="D249" s="2"/>
      <c r="E249" s="2"/>
      <c r="F249" s="2"/>
      <c r="G249" s="2"/>
      <c r="H249" s="2"/>
      <c r="I249" s="2"/>
      <c r="J249" s="2"/>
      <c r="K249" s="2"/>
      <c r="L249" s="2"/>
      <c r="M249" s="2"/>
      <c r="N249" s="2"/>
      <c r="O249" s="2"/>
      <c r="P249" s="2"/>
      <c r="Q249" s="23"/>
      <c r="R249" s="23"/>
      <c r="S249" s="23"/>
      <c r="T249" s="23"/>
      <c r="U249" s="23"/>
      <c r="V249" s="23"/>
      <c r="W249" s="23"/>
      <c r="X249" s="23"/>
      <c r="Y249" s="23"/>
      <c r="Z249" s="23"/>
    </row>
    <row r="250">
      <c r="A250" s="2"/>
      <c r="B250" s="2"/>
      <c r="C250" s="2"/>
      <c r="D250" s="2"/>
      <c r="E250" s="2"/>
      <c r="F250" s="2"/>
      <c r="G250" s="2"/>
      <c r="H250" s="2"/>
      <c r="I250" s="2"/>
      <c r="J250" s="2"/>
      <c r="K250" s="2"/>
      <c r="L250" s="2"/>
      <c r="M250" s="2"/>
      <c r="N250" s="2"/>
      <c r="O250" s="2"/>
      <c r="P250" s="2"/>
      <c r="Q250" s="23"/>
      <c r="R250" s="23"/>
      <c r="S250" s="23"/>
      <c r="T250" s="23"/>
      <c r="U250" s="23"/>
      <c r="V250" s="23"/>
      <c r="W250" s="23"/>
      <c r="X250" s="23"/>
      <c r="Y250" s="23"/>
      <c r="Z250" s="23"/>
    </row>
    <row r="251">
      <c r="A251" s="2"/>
      <c r="B251" s="2"/>
      <c r="C251" s="2"/>
      <c r="D251" s="2"/>
      <c r="E251" s="2"/>
      <c r="F251" s="2"/>
      <c r="G251" s="2"/>
      <c r="H251" s="2"/>
      <c r="I251" s="2"/>
      <c r="J251" s="2"/>
      <c r="K251" s="2"/>
      <c r="L251" s="2"/>
      <c r="M251" s="2"/>
      <c r="N251" s="2"/>
      <c r="O251" s="2"/>
      <c r="P251" s="2"/>
      <c r="Q251" s="23"/>
      <c r="R251" s="23"/>
      <c r="S251" s="23"/>
      <c r="T251" s="23"/>
      <c r="U251" s="23"/>
      <c r="V251" s="23"/>
      <c r="W251" s="23"/>
      <c r="X251" s="23"/>
      <c r="Y251" s="23"/>
      <c r="Z251" s="23"/>
    </row>
    <row r="252">
      <c r="A252" s="2"/>
      <c r="B252" s="2"/>
      <c r="C252" s="2"/>
      <c r="D252" s="2"/>
      <c r="E252" s="2"/>
      <c r="F252" s="2"/>
      <c r="G252" s="2"/>
      <c r="H252" s="2"/>
      <c r="I252" s="2"/>
      <c r="J252" s="2"/>
      <c r="K252" s="2"/>
      <c r="L252" s="2"/>
      <c r="M252" s="2"/>
      <c r="N252" s="2"/>
      <c r="O252" s="2"/>
      <c r="P252" s="2"/>
      <c r="Q252" s="23"/>
      <c r="R252" s="23"/>
      <c r="S252" s="23"/>
      <c r="T252" s="23"/>
      <c r="U252" s="23"/>
      <c r="V252" s="23"/>
      <c r="W252" s="23"/>
      <c r="X252" s="23"/>
      <c r="Y252" s="23"/>
      <c r="Z252" s="23"/>
    </row>
    <row r="253">
      <c r="A253" s="2"/>
      <c r="B253" s="2"/>
      <c r="C253" s="2"/>
      <c r="D253" s="2"/>
      <c r="E253" s="2"/>
      <c r="F253" s="2"/>
      <c r="G253" s="2"/>
      <c r="H253" s="2"/>
      <c r="I253" s="2"/>
      <c r="J253" s="2"/>
      <c r="K253" s="2"/>
      <c r="L253" s="2"/>
      <c r="M253" s="2"/>
      <c r="N253" s="2"/>
      <c r="O253" s="2"/>
      <c r="P253" s="2"/>
      <c r="Q253" s="23"/>
      <c r="R253" s="23"/>
      <c r="S253" s="23"/>
      <c r="T253" s="23"/>
      <c r="U253" s="23"/>
      <c r="V253" s="23"/>
      <c r="W253" s="23"/>
      <c r="X253" s="23"/>
      <c r="Y253" s="23"/>
      <c r="Z253" s="23"/>
    </row>
    <row r="254">
      <c r="A254" s="2"/>
      <c r="B254" s="2"/>
      <c r="C254" s="2"/>
      <c r="D254" s="2"/>
      <c r="E254" s="2"/>
      <c r="F254" s="2"/>
      <c r="G254" s="2"/>
      <c r="H254" s="2"/>
      <c r="I254" s="2"/>
      <c r="J254" s="2"/>
      <c r="K254" s="2"/>
      <c r="L254" s="2"/>
      <c r="M254" s="2"/>
      <c r="N254" s="2"/>
      <c r="O254" s="2"/>
      <c r="P254" s="2"/>
      <c r="Q254" s="23"/>
      <c r="R254" s="23"/>
      <c r="S254" s="23"/>
      <c r="T254" s="23"/>
      <c r="U254" s="23"/>
      <c r="V254" s="23"/>
      <c r="W254" s="23"/>
      <c r="X254" s="23"/>
      <c r="Y254" s="23"/>
      <c r="Z254" s="23"/>
    </row>
    <row r="255">
      <c r="A255" s="2"/>
      <c r="B255" s="2"/>
      <c r="C255" s="2"/>
      <c r="D255" s="2"/>
      <c r="E255" s="2"/>
      <c r="F255" s="2"/>
      <c r="G255" s="2"/>
      <c r="H255" s="2"/>
      <c r="I255" s="2"/>
      <c r="J255" s="2"/>
      <c r="K255" s="2"/>
      <c r="L255" s="2"/>
      <c r="M255" s="2"/>
      <c r="N255" s="2"/>
      <c r="O255" s="2"/>
      <c r="P255" s="2"/>
      <c r="Q255" s="23"/>
      <c r="R255" s="23"/>
      <c r="S255" s="23"/>
      <c r="T255" s="23"/>
      <c r="U255" s="23"/>
      <c r="V255" s="23"/>
      <c r="W255" s="23"/>
      <c r="X255" s="23"/>
      <c r="Y255" s="23"/>
      <c r="Z255" s="23"/>
    </row>
    <row r="256">
      <c r="A256" s="2"/>
      <c r="B256" s="2"/>
      <c r="C256" s="2"/>
      <c r="D256" s="2"/>
      <c r="E256" s="2"/>
      <c r="F256" s="2"/>
      <c r="G256" s="2"/>
      <c r="H256" s="2"/>
      <c r="I256" s="2"/>
      <c r="J256" s="2"/>
      <c r="K256" s="2"/>
      <c r="L256" s="2"/>
      <c r="M256" s="2"/>
      <c r="N256" s="2"/>
      <c r="O256" s="2"/>
      <c r="P256" s="2"/>
      <c r="Q256" s="23"/>
      <c r="R256" s="23"/>
      <c r="S256" s="23"/>
      <c r="T256" s="23"/>
      <c r="U256" s="23"/>
      <c r="V256" s="23"/>
      <c r="W256" s="23"/>
      <c r="X256" s="23"/>
      <c r="Y256" s="23"/>
      <c r="Z256" s="23"/>
    </row>
    <row r="257">
      <c r="A257" s="2"/>
      <c r="B257" s="2"/>
      <c r="C257" s="2"/>
      <c r="D257" s="2"/>
      <c r="E257" s="2"/>
      <c r="F257" s="2"/>
      <c r="G257" s="2"/>
      <c r="H257" s="2"/>
      <c r="I257" s="2"/>
      <c r="J257" s="2"/>
      <c r="K257" s="2"/>
      <c r="L257" s="2"/>
      <c r="M257" s="2"/>
      <c r="N257" s="2"/>
      <c r="O257" s="2"/>
      <c r="P257" s="2"/>
      <c r="Q257" s="23"/>
      <c r="R257" s="23"/>
      <c r="S257" s="23"/>
      <c r="T257" s="23"/>
      <c r="U257" s="23"/>
      <c r="V257" s="23"/>
      <c r="W257" s="23"/>
      <c r="X257" s="23"/>
      <c r="Y257" s="23"/>
      <c r="Z257" s="23"/>
    </row>
    <row r="258">
      <c r="A258" s="2"/>
      <c r="B258" s="2"/>
      <c r="C258" s="2"/>
      <c r="D258" s="2"/>
      <c r="E258" s="2"/>
      <c r="F258" s="2"/>
      <c r="G258" s="2"/>
      <c r="H258" s="2"/>
      <c r="I258" s="2"/>
      <c r="J258" s="2"/>
      <c r="K258" s="2"/>
      <c r="L258" s="2"/>
      <c r="M258" s="2"/>
      <c r="N258" s="2"/>
      <c r="O258" s="2"/>
      <c r="P258" s="2"/>
      <c r="Q258" s="23"/>
      <c r="R258" s="23"/>
      <c r="S258" s="23"/>
      <c r="T258" s="23"/>
      <c r="U258" s="23"/>
      <c r="V258" s="23"/>
      <c r="W258" s="23"/>
      <c r="X258" s="23"/>
      <c r="Y258" s="23"/>
      <c r="Z258" s="23"/>
    </row>
    <row r="259">
      <c r="A259" s="2"/>
      <c r="B259" s="2"/>
      <c r="C259" s="2"/>
      <c r="D259" s="2"/>
      <c r="E259" s="2"/>
      <c r="F259" s="2"/>
      <c r="G259" s="2"/>
      <c r="H259" s="2"/>
      <c r="I259" s="2"/>
      <c r="J259" s="2"/>
      <c r="K259" s="2"/>
      <c r="L259" s="2"/>
      <c r="M259" s="2"/>
      <c r="N259" s="2"/>
      <c r="O259" s="2"/>
      <c r="P259" s="2"/>
      <c r="Q259" s="23"/>
      <c r="R259" s="23"/>
      <c r="S259" s="23"/>
      <c r="T259" s="23"/>
      <c r="U259" s="23"/>
      <c r="V259" s="23"/>
      <c r="W259" s="23"/>
      <c r="X259" s="23"/>
      <c r="Y259" s="23"/>
      <c r="Z259" s="23"/>
    </row>
    <row r="260">
      <c r="A260" s="2"/>
      <c r="B260" s="2"/>
      <c r="C260" s="2"/>
      <c r="D260" s="2"/>
      <c r="E260" s="2"/>
      <c r="F260" s="2"/>
      <c r="G260" s="2"/>
      <c r="H260" s="2"/>
      <c r="I260" s="2"/>
      <c r="J260" s="2"/>
      <c r="K260" s="2"/>
      <c r="L260" s="2"/>
      <c r="M260" s="2"/>
      <c r="N260" s="2"/>
      <c r="O260" s="2"/>
      <c r="P260" s="2"/>
      <c r="Q260" s="23"/>
      <c r="R260" s="23"/>
      <c r="S260" s="23"/>
      <c r="T260" s="23"/>
      <c r="U260" s="23"/>
      <c r="V260" s="23"/>
      <c r="W260" s="23"/>
      <c r="X260" s="23"/>
      <c r="Y260" s="23"/>
      <c r="Z260" s="23"/>
    </row>
    <row r="261">
      <c r="A261" s="2"/>
      <c r="B261" s="2"/>
      <c r="C261" s="2"/>
      <c r="D261" s="2"/>
      <c r="E261" s="2"/>
      <c r="F261" s="2"/>
      <c r="G261" s="2"/>
      <c r="H261" s="2"/>
      <c r="I261" s="2"/>
      <c r="J261" s="2"/>
      <c r="K261" s="2"/>
      <c r="L261" s="2"/>
      <c r="M261" s="2"/>
      <c r="N261" s="2"/>
      <c r="O261" s="2"/>
      <c r="P261" s="2"/>
      <c r="Q261" s="23"/>
      <c r="R261" s="23"/>
      <c r="S261" s="23"/>
      <c r="T261" s="23"/>
      <c r="U261" s="23"/>
      <c r="V261" s="23"/>
      <c r="W261" s="23"/>
      <c r="X261" s="23"/>
      <c r="Y261" s="23"/>
      <c r="Z261" s="23"/>
    </row>
    <row r="262">
      <c r="A262" s="2"/>
      <c r="B262" s="2"/>
      <c r="C262" s="2"/>
      <c r="D262" s="2"/>
      <c r="E262" s="2"/>
      <c r="F262" s="2"/>
      <c r="G262" s="2"/>
      <c r="H262" s="2"/>
      <c r="I262" s="2"/>
      <c r="J262" s="2"/>
      <c r="K262" s="2"/>
      <c r="L262" s="2"/>
      <c r="M262" s="2"/>
      <c r="N262" s="2"/>
      <c r="O262" s="2"/>
      <c r="P262" s="2"/>
      <c r="Q262" s="23"/>
      <c r="R262" s="23"/>
      <c r="S262" s="23"/>
      <c r="T262" s="23"/>
      <c r="U262" s="23"/>
      <c r="V262" s="23"/>
      <c r="W262" s="23"/>
      <c r="X262" s="23"/>
      <c r="Y262" s="23"/>
      <c r="Z262" s="23"/>
    </row>
    <row r="263">
      <c r="A263" s="2"/>
      <c r="B263" s="2"/>
      <c r="C263" s="2"/>
      <c r="D263" s="2"/>
      <c r="E263" s="2"/>
      <c r="F263" s="2"/>
      <c r="G263" s="2"/>
      <c r="H263" s="2"/>
      <c r="I263" s="2"/>
      <c r="J263" s="2"/>
      <c r="K263" s="2"/>
      <c r="L263" s="2"/>
      <c r="M263" s="2"/>
      <c r="N263" s="2"/>
      <c r="O263" s="2"/>
      <c r="P263" s="2"/>
      <c r="Q263" s="23"/>
      <c r="R263" s="23"/>
      <c r="S263" s="23"/>
      <c r="T263" s="23"/>
      <c r="U263" s="23"/>
      <c r="V263" s="23"/>
      <c r="W263" s="23"/>
      <c r="X263" s="23"/>
      <c r="Y263" s="23"/>
      <c r="Z263" s="23"/>
    </row>
    <row r="264">
      <c r="A264" s="2"/>
      <c r="B264" s="2"/>
      <c r="C264" s="2"/>
      <c r="D264" s="2"/>
      <c r="E264" s="2"/>
      <c r="F264" s="2"/>
      <c r="G264" s="2"/>
      <c r="H264" s="2"/>
      <c r="I264" s="2"/>
      <c r="J264" s="2"/>
      <c r="K264" s="2"/>
      <c r="L264" s="2"/>
      <c r="M264" s="2"/>
      <c r="N264" s="2"/>
      <c r="O264" s="2"/>
      <c r="P264" s="2"/>
      <c r="Q264" s="23"/>
      <c r="R264" s="23"/>
      <c r="S264" s="23"/>
      <c r="T264" s="23"/>
      <c r="U264" s="23"/>
      <c r="V264" s="23"/>
      <c r="W264" s="23"/>
      <c r="X264" s="23"/>
      <c r="Y264" s="23"/>
      <c r="Z264" s="23"/>
    </row>
    <row r="265">
      <c r="A265" s="2"/>
      <c r="B265" s="2"/>
      <c r="C265" s="2"/>
      <c r="D265" s="2"/>
      <c r="E265" s="2"/>
      <c r="F265" s="2"/>
      <c r="G265" s="2"/>
      <c r="H265" s="2"/>
      <c r="I265" s="2"/>
      <c r="J265" s="2"/>
      <c r="K265" s="2"/>
      <c r="L265" s="2"/>
      <c r="M265" s="2"/>
      <c r="N265" s="2"/>
      <c r="O265" s="2"/>
      <c r="P265" s="2"/>
      <c r="Q265" s="23"/>
      <c r="R265" s="23"/>
      <c r="S265" s="23"/>
      <c r="T265" s="23"/>
      <c r="U265" s="23"/>
      <c r="V265" s="23"/>
      <c r="W265" s="23"/>
      <c r="X265" s="23"/>
      <c r="Y265" s="23"/>
      <c r="Z265" s="23"/>
    </row>
    <row r="266">
      <c r="A266" s="2"/>
      <c r="B266" s="2"/>
      <c r="C266" s="2"/>
      <c r="D266" s="2"/>
      <c r="E266" s="2"/>
      <c r="F266" s="2"/>
      <c r="G266" s="2"/>
      <c r="H266" s="2"/>
      <c r="I266" s="2"/>
      <c r="J266" s="2"/>
      <c r="K266" s="2"/>
      <c r="L266" s="2"/>
      <c r="M266" s="2"/>
      <c r="N266" s="2"/>
      <c r="O266" s="2"/>
      <c r="P266" s="2"/>
      <c r="Q266" s="23"/>
      <c r="R266" s="23"/>
      <c r="S266" s="23"/>
      <c r="T266" s="23"/>
      <c r="U266" s="23"/>
      <c r="V266" s="23"/>
      <c r="W266" s="23"/>
      <c r="X266" s="23"/>
      <c r="Y266" s="23"/>
      <c r="Z266" s="23"/>
    </row>
    <row r="267">
      <c r="A267" s="2"/>
      <c r="B267" s="2"/>
      <c r="C267" s="2"/>
      <c r="D267" s="2"/>
      <c r="E267" s="2"/>
      <c r="F267" s="2"/>
      <c r="G267" s="2"/>
      <c r="H267" s="2"/>
      <c r="I267" s="2"/>
      <c r="J267" s="2"/>
      <c r="K267" s="2"/>
      <c r="L267" s="2"/>
      <c r="M267" s="2"/>
      <c r="N267" s="2"/>
      <c r="O267" s="2"/>
      <c r="P267" s="2"/>
      <c r="Q267" s="23"/>
      <c r="R267" s="23"/>
      <c r="S267" s="23"/>
      <c r="T267" s="23"/>
      <c r="U267" s="23"/>
      <c r="V267" s="23"/>
      <c r="W267" s="23"/>
      <c r="X267" s="23"/>
      <c r="Y267" s="23"/>
      <c r="Z267" s="23"/>
    </row>
    <row r="268">
      <c r="A268" s="2"/>
      <c r="B268" s="2"/>
      <c r="C268" s="2"/>
      <c r="D268" s="2"/>
      <c r="E268" s="2"/>
      <c r="F268" s="2"/>
      <c r="G268" s="2"/>
      <c r="H268" s="2"/>
      <c r="I268" s="2"/>
      <c r="J268" s="2"/>
      <c r="K268" s="2"/>
      <c r="L268" s="2"/>
      <c r="M268" s="2"/>
      <c r="N268" s="2"/>
      <c r="O268" s="2"/>
      <c r="P268" s="2"/>
      <c r="Q268" s="23"/>
      <c r="R268" s="23"/>
      <c r="S268" s="23"/>
      <c r="T268" s="23"/>
      <c r="U268" s="23"/>
      <c r="V268" s="23"/>
      <c r="W268" s="23"/>
      <c r="X268" s="23"/>
      <c r="Y268" s="23"/>
      <c r="Z268" s="23"/>
    </row>
    <row r="269">
      <c r="A269" s="2"/>
      <c r="B269" s="2"/>
      <c r="C269" s="2"/>
      <c r="D269" s="2"/>
      <c r="E269" s="2"/>
      <c r="F269" s="2"/>
      <c r="G269" s="2"/>
      <c r="H269" s="2"/>
      <c r="I269" s="2"/>
      <c r="J269" s="2"/>
      <c r="K269" s="2"/>
      <c r="L269" s="2"/>
      <c r="M269" s="2"/>
      <c r="N269" s="2"/>
      <c r="O269" s="2"/>
      <c r="P269" s="2"/>
      <c r="Q269" s="23"/>
      <c r="R269" s="23"/>
      <c r="S269" s="23"/>
      <c r="T269" s="23"/>
      <c r="U269" s="23"/>
      <c r="V269" s="23"/>
      <c r="W269" s="23"/>
      <c r="X269" s="23"/>
      <c r="Y269" s="23"/>
      <c r="Z269" s="23"/>
    </row>
    <row r="270">
      <c r="A270" s="2"/>
      <c r="B270" s="2"/>
      <c r="C270" s="2"/>
      <c r="D270" s="2"/>
      <c r="E270" s="2"/>
      <c r="F270" s="2"/>
      <c r="G270" s="2"/>
      <c r="H270" s="2"/>
      <c r="I270" s="2"/>
      <c r="J270" s="2"/>
      <c r="K270" s="2"/>
      <c r="L270" s="2"/>
      <c r="M270" s="2"/>
      <c r="N270" s="2"/>
      <c r="O270" s="2"/>
      <c r="P270" s="2"/>
      <c r="Q270" s="23"/>
      <c r="R270" s="23"/>
      <c r="S270" s="23"/>
      <c r="T270" s="23"/>
      <c r="U270" s="23"/>
      <c r="V270" s="23"/>
      <c r="W270" s="23"/>
      <c r="X270" s="23"/>
      <c r="Y270" s="23"/>
      <c r="Z270" s="23"/>
    </row>
    <row r="271">
      <c r="A271" s="2"/>
      <c r="B271" s="2"/>
      <c r="C271" s="2"/>
      <c r="D271" s="2"/>
      <c r="E271" s="2"/>
      <c r="F271" s="2"/>
      <c r="G271" s="2"/>
      <c r="H271" s="2"/>
      <c r="I271" s="2"/>
      <c r="J271" s="2"/>
      <c r="K271" s="2"/>
      <c r="L271" s="2"/>
      <c r="M271" s="2"/>
      <c r="N271" s="2"/>
      <c r="O271" s="2"/>
      <c r="P271" s="2"/>
      <c r="Q271" s="23"/>
      <c r="R271" s="23"/>
      <c r="S271" s="23"/>
      <c r="T271" s="23"/>
      <c r="U271" s="23"/>
      <c r="V271" s="23"/>
      <c r="W271" s="23"/>
      <c r="X271" s="23"/>
      <c r="Y271" s="23"/>
      <c r="Z271" s="23"/>
    </row>
    <row r="272">
      <c r="A272" s="2"/>
      <c r="B272" s="2"/>
      <c r="C272" s="2"/>
      <c r="D272" s="2"/>
      <c r="E272" s="2"/>
      <c r="F272" s="2"/>
      <c r="G272" s="2"/>
      <c r="H272" s="2"/>
      <c r="I272" s="2"/>
      <c r="J272" s="2"/>
      <c r="K272" s="2"/>
      <c r="L272" s="2"/>
      <c r="M272" s="2"/>
      <c r="N272" s="2"/>
      <c r="O272" s="2"/>
      <c r="P272" s="2"/>
      <c r="Q272" s="23"/>
      <c r="R272" s="23"/>
      <c r="S272" s="23"/>
      <c r="T272" s="23"/>
      <c r="U272" s="23"/>
      <c r="V272" s="23"/>
      <c r="W272" s="23"/>
      <c r="X272" s="23"/>
      <c r="Y272" s="23"/>
      <c r="Z272" s="23"/>
    </row>
    <row r="273">
      <c r="A273" s="2"/>
      <c r="B273" s="2"/>
      <c r="C273" s="2"/>
      <c r="D273" s="2"/>
      <c r="E273" s="2"/>
      <c r="F273" s="2"/>
      <c r="G273" s="2"/>
      <c r="H273" s="2"/>
      <c r="I273" s="2"/>
      <c r="J273" s="2"/>
      <c r="K273" s="2"/>
      <c r="L273" s="2"/>
      <c r="M273" s="2"/>
      <c r="N273" s="2"/>
      <c r="O273" s="2"/>
      <c r="P273" s="2"/>
      <c r="Q273" s="23"/>
      <c r="R273" s="23"/>
      <c r="S273" s="23"/>
      <c r="T273" s="23"/>
      <c r="U273" s="23"/>
      <c r="V273" s="23"/>
      <c r="W273" s="23"/>
      <c r="X273" s="23"/>
      <c r="Y273" s="23"/>
      <c r="Z273" s="23"/>
    </row>
    <row r="274">
      <c r="A274" s="2"/>
      <c r="B274" s="2"/>
      <c r="C274" s="2"/>
      <c r="D274" s="2"/>
      <c r="E274" s="2"/>
      <c r="F274" s="2"/>
      <c r="G274" s="2"/>
      <c r="H274" s="2"/>
      <c r="I274" s="2"/>
      <c r="J274" s="2"/>
      <c r="K274" s="2"/>
      <c r="L274" s="2"/>
      <c r="M274" s="2"/>
      <c r="N274" s="2"/>
      <c r="O274" s="2"/>
      <c r="P274" s="2"/>
      <c r="Q274" s="23"/>
      <c r="R274" s="23"/>
      <c r="S274" s="23"/>
      <c r="T274" s="23"/>
      <c r="U274" s="23"/>
      <c r="V274" s="23"/>
      <c r="W274" s="23"/>
      <c r="X274" s="23"/>
      <c r="Y274" s="23"/>
      <c r="Z274" s="23"/>
    </row>
    <row r="275">
      <c r="A275" s="2"/>
      <c r="B275" s="2"/>
      <c r="C275" s="2"/>
      <c r="D275" s="2"/>
      <c r="E275" s="2"/>
      <c r="F275" s="2"/>
      <c r="G275" s="2"/>
      <c r="H275" s="2"/>
      <c r="I275" s="2"/>
      <c r="J275" s="2"/>
      <c r="K275" s="2"/>
      <c r="L275" s="2"/>
      <c r="M275" s="2"/>
      <c r="N275" s="2"/>
      <c r="O275" s="2"/>
      <c r="P275" s="2"/>
      <c r="Q275" s="23"/>
      <c r="R275" s="23"/>
      <c r="S275" s="23"/>
      <c r="T275" s="23"/>
      <c r="U275" s="23"/>
      <c r="V275" s="23"/>
      <c r="W275" s="23"/>
      <c r="X275" s="23"/>
      <c r="Y275" s="23"/>
      <c r="Z275" s="23"/>
    </row>
    <row r="276">
      <c r="A276" s="2"/>
      <c r="B276" s="2"/>
      <c r="C276" s="2"/>
      <c r="D276" s="2"/>
      <c r="E276" s="2"/>
      <c r="F276" s="2"/>
      <c r="G276" s="2"/>
      <c r="H276" s="2"/>
      <c r="I276" s="2"/>
      <c r="J276" s="2"/>
      <c r="K276" s="2"/>
      <c r="L276" s="2"/>
      <c r="M276" s="2"/>
      <c r="N276" s="2"/>
      <c r="O276" s="2"/>
      <c r="P276" s="2"/>
      <c r="Q276" s="23"/>
      <c r="R276" s="23"/>
      <c r="S276" s="23"/>
      <c r="T276" s="23"/>
      <c r="U276" s="23"/>
      <c r="V276" s="23"/>
      <c r="W276" s="23"/>
      <c r="X276" s="23"/>
      <c r="Y276" s="23"/>
      <c r="Z276" s="23"/>
    </row>
    <row r="277">
      <c r="A277" s="2"/>
      <c r="B277" s="2"/>
      <c r="C277" s="2"/>
      <c r="D277" s="2"/>
      <c r="E277" s="2"/>
      <c r="F277" s="2"/>
      <c r="G277" s="2"/>
      <c r="H277" s="2"/>
      <c r="I277" s="2"/>
      <c r="J277" s="2"/>
      <c r="K277" s="2"/>
      <c r="L277" s="2"/>
      <c r="M277" s="2"/>
      <c r="N277" s="2"/>
      <c r="O277" s="2"/>
      <c r="P277" s="2"/>
      <c r="Q277" s="23"/>
      <c r="R277" s="23"/>
      <c r="S277" s="23"/>
      <c r="T277" s="23"/>
      <c r="U277" s="23"/>
      <c r="V277" s="23"/>
      <c r="W277" s="23"/>
      <c r="X277" s="23"/>
      <c r="Y277" s="23"/>
      <c r="Z277" s="23"/>
    </row>
    <row r="278">
      <c r="A278" s="2"/>
      <c r="B278" s="2"/>
      <c r="C278" s="2"/>
      <c r="D278" s="2"/>
      <c r="E278" s="2"/>
      <c r="F278" s="2"/>
      <c r="G278" s="2"/>
      <c r="H278" s="2"/>
      <c r="I278" s="2"/>
      <c r="J278" s="2"/>
      <c r="K278" s="2"/>
      <c r="L278" s="2"/>
      <c r="M278" s="2"/>
      <c r="N278" s="2"/>
      <c r="O278" s="2"/>
      <c r="P278" s="2"/>
      <c r="Q278" s="23"/>
      <c r="R278" s="23"/>
      <c r="S278" s="23"/>
      <c r="T278" s="23"/>
      <c r="U278" s="23"/>
      <c r="V278" s="23"/>
      <c r="W278" s="23"/>
      <c r="X278" s="23"/>
      <c r="Y278" s="23"/>
      <c r="Z278" s="23"/>
    </row>
    <row r="279">
      <c r="A279" s="2"/>
      <c r="B279" s="2"/>
      <c r="C279" s="2"/>
      <c r="D279" s="2"/>
      <c r="E279" s="2"/>
      <c r="F279" s="2"/>
      <c r="G279" s="2"/>
      <c r="H279" s="2"/>
      <c r="I279" s="2"/>
      <c r="J279" s="2"/>
      <c r="K279" s="2"/>
      <c r="L279" s="2"/>
      <c r="M279" s="2"/>
      <c r="N279" s="2"/>
      <c r="O279" s="2"/>
      <c r="P279" s="2"/>
      <c r="Q279" s="23"/>
      <c r="R279" s="23"/>
      <c r="S279" s="23"/>
      <c r="T279" s="23"/>
      <c r="U279" s="23"/>
      <c r="V279" s="23"/>
      <c r="W279" s="23"/>
      <c r="X279" s="23"/>
      <c r="Y279" s="23"/>
      <c r="Z279" s="23"/>
    </row>
    <row r="280">
      <c r="A280" s="2"/>
      <c r="B280" s="2"/>
      <c r="C280" s="2"/>
      <c r="D280" s="2"/>
      <c r="E280" s="2"/>
      <c r="F280" s="2"/>
      <c r="G280" s="2"/>
      <c r="H280" s="2"/>
      <c r="I280" s="2"/>
      <c r="J280" s="2"/>
      <c r="K280" s="2"/>
      <c r="L280" s="2"/>
      <c r="M280" s="2"/>
      <c r="N280" s="2"/>
      <c r="O280" s="2"/>
      <c r="P280" s="2"/>
      <c r="Q280" s="23"/>
      <c r="R280" s="23"/>
      <c r="S280" s="23"/>
      <c r="T280" s="23"/>
      <c r="U280" s="23"/>
      <c r="V280" s="23"/>
      <c r="W280" s="23"/>
      <c r="X280" s="23"/>
      <c r="Y280" s="23"/>
      <c r="Z280" s="23"/>
    </row>
    <row r="281">
      <c r="A281" s="2"/>
      <c r="B281" s="2"/>
      <c r="C281" s="2"/>
      <c r="D281" s="2"/>
      <c r="E281" s="2"/>
      <c r="F281" s="2"/>
      <c r="G281" s="2"/>
      <c r="H281" s="2"/>
      <c r="I281" s="2"/>
      <c r="J281" s="2"/>
      <c r="K281" s="2"/>
      <c r="L281" s="2"/>
      <c r="M281" s="2"/>
      <c r="N281" s="2"/>
      <c r="O281" s="2"/>
      <c r="P281" s="2"/>
      <c r="Q281" s="23"/>
      <c r="R281" s="23"/>
      <c r="S281" s="23"/>
      <c r="T281" s="23"/>
      <c r="U281" s="23"/>
      <c r="V281" s="23"/>
      <c r="W281" s="23"/>
      <c r="X281" s="23"/>
      <c r="Y281" s="23"/>
      <c r="Z281" s="23"/>
    </row>
    <row r="282">
      <c r="A282" s="2"/>
      <c r="B282" s="2"/>
      <c r="C282" s="2"/>
      <c r="D282" s="2"/>
      <c r="E282" s="2"/>
      <c r="F282" s="2"/>
      <c r="G282" s="2"/>
      <c r="H282" s="2"/>
      <c r="I282" s="2"/>
      <c r="J282" s="2"/>
      <c r="K282" s="2"/>
      <c r="L282" s="2"/>
      <c r="M282" s="2"/>
      <c r="N282" s="2"/>
      <c r="O282" s="2"/>
      <c r="P282" s="2"/>
      <c r="Q282" s="23"/>
      <c r="R282" s="23"/>
      <c r="S282" s="23"/>
      <c r="T282" s="23"/>
      <c r="U282" s="23"/>
      <c r="V282" s="23"/>
      <c r="W282" s="23"/>
      <c r="X282" s="23"/>
      <c r="Y282" s="23"/>
      <c r="Z282" s="23"/>
    </row>
    <row r="283">
      <c r="A283" s="2"/>
      <c r="B283" s="2"/>
      <c r="C283" s="2"/>
      <c r="D283" s="2"/>
      <c r="E283" s="2"/>
      <c r="F283" s="2"/>
      <c r="G283" s="2"/>
      <c r="H283" s="2"/>
      <c r="I283" s="2"/>
      <c r="J283" s="2"/>
      <c r="K283" s="2"/>
      <c r="L283" s="2"/>
      <c r="M283" s="2"/>
      <c r="N283" s="2"/>
      <c r="O283" s="2"/>
      <c r="P283" s="2"/>
      <c r="Q283" s="23"/>
      <c r="R283" s="23"/>
      <c r="S283" s="23"/>
      <c r="T283" s="23"/>
      <c r="U283" s="23"/>
      <c r="V283" s="23"/>
      <c r="W283" s="23"/>
      <c r="X283" s="23"/>
      <c r="Y283" s="23"/>
      <c r="Z283" s="23"/>
    </row>
    <row r="284">
      <c r="A284" s="2"/>
      <c r="B284" s="2"/>
      <c r="C284" s="2"/>
      <c r="D284" s="2"/>
      <c r="E284" s="2"/>
      <c r="F284" s="2"/>
      <c r="G284" s="2"/>
      <c r="H284" s="2"/>
      <c r="I284" s="2"/>
      <c r="J284" s="2"/>
      <c r="K284" s="2"/>
      <c r="L284" s="2"/>
      <c r="M284" s="2"/>
      <c r="N284" s="2"/>
      <c r="O284" s="2"/>
      <c r="P284" s="2"/>
      <c r="Q284" s="23"/>
      <c r="R284" s="23"/>
      <c r="S284" s="23"/>
      <c r="T284" s="23"/>
      <c r="U284" s="23"/>
      <c r="V284" s="23"/>
      <c r="W284" s="23"/>
      <c r="X284" s="23"/>
      <c r="Y284" s="23"/>
      <c r="Z284" s="23"/>
    </row>
    <row r="285">
      <c r="A285" s="2"/>
      <c r="B285" s="2"/>
      <c r="C285" s="2"/>
      <c r="D285" s="2"/>
      <c r="E285" s="2"/>
      <c r="F285" s="2"/>
      <c r="G285" s="2"/>
      <c r="H285" s="2"/>
      <c r="I285" s="2"/>
      <c r="J285" s="2"/>
      <c r="K285" s="2"/>
      <c r="L285" s="2"/>
      <c r="M285" s="2"/>
      <c r="N285" s="2"/>
      <c r="O285" s="2"/>
      <c r="P285" s="2"/>
      <c r="Q285" s="23"/>
      <c r="R285" s="23"/>
      <c r="S285" s="23"/>
      <c r="T285" s="23"/>
      <c r="U285" s="23"/>
      <c r="V285" s="23"/>
      <c r="W285" s="23"/>
      <c r="X285" s="23"/>
      <c r="Y285" s="23"/>
      <c r="Z285" s="23"/>
    </row>
    <row r="286">
      <c r="A286" s="2"/>
      <c r="B286" s="2"/>
      <c r="C286" s="2"/>
      <c r="D286" s="2"/>
      <c r="E286" s="2"/>
      <c r="F286" s="2"/>
      <c r="G286" s="2"/>
      <c r="H286" s="2"/>
      <c r="I286" s="2"/>
      <c r="J286" s="2"/>
      <c r="K286" s="2"/>
      <c r="L286" s="2"/>
      <c r="M286" s="2"/>
      <c r="N286" s="2"/>
      <c r="O286" s="2"/>
      <c r="P286" s="2"/>
      <c r="Q286" s="23"/>
      <c r="R286" s="23"/>
      <c r="S286" s="23"/>
      <c r="T286" s="23"/>
      <c r="U286" s="23"/>
      <c r="V286" s="23"/>
      <c r="W286" s="23"/>
      <c r="X286" s="23"/>
      <c r="Y286" s="23"/>
      <c r="Z286" s="23"/>
    </row>
    <row r="287">
      <c r="A287" s="2"/>
      <c r="B287" s="2"/>
      <c r="C287" s="2"/>
      <c r="D287" s="2"/>
      <c r="E287" s="2"/>
      <c r="F287" s="2"/>
      <c r="G287" s="2"/>
      <c r="H287" s="2"/>
      <c r="I287" s="2"/>
      <c r="J287" s="2"/>
      <c r="K287" s="2"/>
      <c r="L287" s="2"/>
      <c r="M287" s="2"/>
      <c r="N287" s="2"/>
      <c r="O287" s="2"/>
      <c r="P287" s="2"/>
      <c r="Q287" s="23"/>
      <c r="R287" s="23"/>
      <c r="S287" s="23"/>
      <c r="T287" s="23"/>
      <c r="U287" s="23"/>
      <c r="V287" s="23"/>
      <c r="W287" s="23"/>
      <c r="X287" s="23"/>
      <c r="Y287" s="23"/>
      <c r="Z287" s="23"/>
    </row>
    <row r="288">
      <c r="A288" s="2"/>
      <c r="B288" s="2"/>
      <c r="C288" s="2"/>
      <c r="D288" s="2"/>
      <c r="E288" s="2"/>
      <c r="F288" s="2"/>
      <c r="G288" s="2"/>
      <c r="H288" s="2"/>
      <c r="I288" s="2"/>
      <c r="J288" s="2"/>
      <c r="K288" s="2"/>
      <c r="L288" s="2"/>
      <c r="M288" s="2"/>
      <c r="N288" s="2"/>
      <c r="O288" s="2"/>
      <c r="P288" s="2"/>
      <c r="Q288" s="23"/>
      <c r="R288" s="23"/>
      <c r="S288" s="23"/>
      <c r="T288" s="23"/>
      <c r="U288" s="23"/>
      <c r="V288" s="23"/>
      <c r="W288" s="23"/>
      <c r="X288" s="23"/>
      <c r="Y288" s="23"/>
      <c r="Z288" s="23"/>
    </row>
    <row r="289">
      <c r="A289" s="2"/>
      <c r="B289" s="2"/>
      <c r="C289" s="2"/>
      <c r="D289" s="2"/>
      <c r="E289" s="2"/>
      <c r="F289" s="2"/>
      <c r="G289" s="2"/>
      <c r="H289" s="2"/>
      <c r="I289" s="2"/>
      <c r="J289" s="2"/>
      <c r="K289" s="2"/>
      <c r="L289" s="2"/>
      <c r="M289" s="2"/>
      <c r="N289" s="2"/>
      <c r="O289" s="2"/>
      <c r="P289" s="2"/>
      <c r="Q289" s="23"/>
      <c r="R289" s="23"/>
      <c r="S289" s="23"/>
      <c r="T289" s="23"/>
      <c r="U289" s="23"/>
      <c r="V289" s="23"/>
      <c r="W289" s="23"/>
      <c r="X289" s="23"/>
      <c r="Y289" s="23"/>
      <c r="Z289" s="23"/>
    </row>
    <row r="290">
      <c r="A290" s="2"/>
      <c r="B290" s="2"/>
      <c r="C290" s="2"/>
      <c r="D290" s="2"/>
      <c r="E290" s="2"/>
      <c r="F290" s="2"/>
      <c r="G290" s="2"/>
      <c r="H290" s="2"/>
      <c r="I290" s="2"/>
      <c r="J290" s="2"/>
      <c r="K290" s="2"/>
      <c r="L290" s="2"/>
      <c r="M290" s="2"/>
      <c r="N290" s="2"/>
      <c r="O290" s="2"/>
      <c r="P290" s="2"/>
      <c r="Q290" s="23"/>
      <c r="R290" s="23"/>
      <c r="S290" s="23"/>
      <c r="T290" s="23"/>
      <c r="U290" s="23"/>
      <c r="V290" s="23"/>
      <c r="W290" s="23"/>
      <c r="X290" s="23"/>
      <c r="Y290" s="23"/>
      <c r="Z290" s="23"/>
    </row>
    <row r="291">
      <c r="A291" s="2"/>
      <c r="B291" s="2"/>
      <c r="C291" s="2"/>
      <c r="D291" s="2"/>
      <c r="E291" s="2"/>
      <c r="F291" s="2"/>
      <c r="G291" s="2"/>
      <c r="H291" s="2"/>
      <c r="I291" s="2"/>
      <c r="J291" s="2"/>
      <c r="K291" s="2"/>
      <c r="L291" s="2"/>
      <c r="M291" s="2"/>
      <c r="N291" s="2"/>
      <c r="O291" s="2"/>
      <c r="P291" s="2"/>
      <c r="Q291" s="23"/>
      <c r="R291" s="23"/>
      <c r="S291" s="23"/>
      <c r="T291" s="23"/>
      <c r="U291" s="23"/>
      <c r="V291" s="23"/>
      <c r="W291" s="23"/>
      <c r="X291" s="23"/>
      <c r="Y291" s="23"/>
      <c r="Z291" s="23"/>
    </row>
    <row r="292">
      <c r="A292" s="2"/>
      <c r="B292" s="2"/>
      <c r="C292" s="2"/>
      <c r="D292" s="2"/>
      <c r="E292" s="2"/>
      <c r="F292" s="2"/>
      <c r="G292" s="2"/>
      <c r="H292" s="2"/>
      <c r="I292" s="2"/>
      <c r="J292" s="2"/>
      <c r="K292" s="2"/>
      <c r="L292" s="2"/>
      <c r="M292" s="2"/>
      <c r="N292" s="2"/>
      <c r="O292" s="2"/>
      <c r="P292" s="2"/>
      <c r="Q292" s="23"/>
      <c r="R292" s="23"/>
      <c r="S292" s="23"/>
      <c r="T292" s="23"/>
      <c r="U292" s="23"/>
      <c r="V292" s="23"/>
      <c r="W292" s="23"/>
      <c r="X292" s="23"/>
      <c r="Y292" s="23"/>
      <c r="Z292" s="23"/>
    </row>
    <row r="293">
      <c r="A293" s="2"/>
      <c r="B293" s="2"/>
      <c r="C293" s="2"/>
      <c r="D293" s="2"/>
      <c r="E293" s="2"/>
      <c r="F293" s="2"/>
      <c r="G293" s="2"/>
      <c r="H293" s="2"/>
      <c r="I293" s="2"/>
      <c r="J293" s="2"/>
      <c r="K293" s="2"/>
      <c r="L293" s="2"/>
      <c r="M293" s="2"/>
      <c r="N293" s="2"/>
      <c r="O293" s="2"/>
      <c r="P293" s="2"/>
      <c r="Q293" s="23"/>
      <c r="R293" s="23"/>
      <c r="S293" s="23"/>
      <c r="T293" s="23"/>
      <c r="U293" s="23"/>
      <c r="V293" s="23"/>
      <c r="W293" s="23"/>
      <c r="X293" s="23"/>
      <c r="Y293" s="23"/>
      <c r="Z293" s="23"/>
    </row>
    <row r="294">
      <c r="A294" s="2"/>
      <c r="B294" s="2"/>
      <c r="C294" s="2"/>
      <c r="D294" s="2"/>
      <c r="E294" s="2"/>
      <c r="F294" s="2"/>
      <c r="G294" s="2"/>
      <c r="H294" s="2"/>
      <c r="I294" s="2"/>
      <c r="J294" s="2"/>
      <c r="K294" s="2"/>
      <c r="L294" s="2"/>
      <c r="M294" s="2"/>
      <c r="N294" s="2"/>
      <c r="O294" s="2"/>
      <c r="P294" s="2"/>
      <c r="Q294" s="23"/>
      <c r="R294" s="23"/>
      <c r="S294" s="23"/>
      <c r="T294" s="23"/>
      <c r="U294" s="23"/>
      <c r="V294" s="23"/>
      <c r="W294" s="23"/>
      <c r="X294" s="23"/>
      <c r="Y294" s="23"/>
      <c r="Z294" s="23"/>
    </row>
    <row r="295">
      <c r="A295" s="2"/>
      <c r="B295" s="2"/>
      <c r="C295" s="2"/>
      <c r="D295" s="2"/>
      <c r="E295" s="2"/>
      <c r="F295" s="2"/>
      <c r="G295" s="2"/>
      <c r="H295" s="2"/>
      <c r="I295" s="2"/>
      <c r="J295" s="2"/>
      <c r="K295" s="2"/>
      <c r="L295" s="2"/>
      <c r="M295" s="2"/>
      <c r="N295" s="2"/>
      <c r="O295" s="2"/>
      <c r="P295" s="2"/>
      <c r="Q295" s="23"/>
      <c r="R295" s="23"/>
      <c r="S295" s="23"/>
      <c r="T295" s="23"/>
      <c r="U295" s="23"/>
      <c r="V295" s="23"/>
      <c r="W295" s="23"/>
      <c r="X295" s="23"/>
      <c r="Y295" s="23"/>
      <c r="Z295" s="23"/>
    </row>
    <row r="296">
      <c r="A296" s="2"/>
      <c r="B296" s="2"/>
      <c r="C296" s="2"/>
      <c r="D296" s="2"/>
      <c r="E296" s="2"/>
      <c r="F296" s="2"/>
      <c r="G296" s="2"/>
      <c r="H296" s="2"/>
      <c r="I296" s="2"/>
      <c r="J296" s="2"/>
      <c r="K296" s="2"/>
      <c r="L296" s="2"/>
      <c r="M296" s="2"/>
      <c r="N296" s="2"/>
      <c r="O296" s="2"/>
      <c r="P296" s="2"/>
      <c r="Q296" s="23"/>
      <c r="R296" s="23"/>
      <c r="S296" s="23"/>
      <c r="T296" s="23"/>
      <c r="U296" s="23"/>
      <c r="V296" s="23"/>
      <c r="W296" s="23"/>
      <c r="X296" s="23"/>
      <c r="Y296" s="23"/>
      <c r="Z296" s="23"/>
    </row>
    <row r="297">
      <c r="A297" s="2"/>
      <c r="B297" s="2"/>
      <c r="C297" s="2"/>
      <c r="D297" s="2"/>
      <c r="E297" s="2"/>
      <c r="F297" s="2"/>
      <c r="G297" s="2"/>
      <c r="H297" s="2"/>
      <c r="I297" s="2"/>
      <c r="J297" s="2"/>
      <c r="K297" s="2"/>
      <c r="L297" s="2"/>
      <c r="M297" s="2"/>
      <c r="N297" s="2"/>
      <c r="O297" s="2"/>
      <c r="P297" s="2"/>
      <c r="Q297" s="23"/>
      <c r="R297" s="23"/>
      <c r="S297" s="23"/>
      <c r="T297" s="23"/>
      <c r="U297" s="23"/>
      <c r="V297" s="23"/>
      <c r="W297" s="23"/>
      <c r="X297" s="23"/>
      <c r="Y297" s="23"/>
      <c r="Z297" s="23"/>
    </row>
    <row r="298">
      <c r="A298" s="2"/>
      <c r="B298" s="2"/>
      <c r="C298" s="2"/>
      <c r="D298" s="2"/>
      <c r="E298" s="2"/>
      <c r="F298" s="2"/>
      <c r="G298" s="2"/>
      <c r="H298" s="2"/>
      <c r="I298" s="2"/>
      <c r="J298" s="2"/>
      <c r="K298" s="2"/>
      <c r="L298" s="2"/>
      <c r="M298" s="2"/>
      <c r="N298" s="2"/>
      <c r="O298" s="2"/>
      <c r="P298" s="2"/>
      <c r="Q298" s="23"/>
      <c r="R298" s="23"/>
      <c r="S298" s="23"/>
      <c r="T298" s="23"/>
      <c r="U298" s="23"/>
      <c r="V298" s="23"/>
      <c r="W298" s="23"/>
      <c r="X298" s="23"/>
      <c r="Y298" s="23"/>
      <c r="Z298" s="23"/>
    </row>
    <row r="299">
      <c r="A299" s="2"/>
      <c r="B299" s="2"/>
      <c r="C299" s="2"/>
      <c r="D299" s="2"/>
      <c r="E299" s="2"/>
      <c r="F299" s="2"/>
      <c r="G299" s="2"/>
      <c r="H299" s="2"/>
      <c r="I299" s="2"/>
      <c r="J299" s="2"/>
      <c r="K299" s="2"/>
      <c r="L299" s="2"/>
      <c r="M299" s="2"/>
      <c r="N299" s="2"/>
      <c r="O299" s="2"/>
      <c r="P299" s="2"/>
      <c r="Q299" s="23"/>
      <c r="R299" s="23"/>
      <c r="S299" s="23"/>
      <c r="T299" s="23"/>
      <c r="U299" s="23"/>
      <c r="V299" s="23"/>
      <c r="W299" s="23"/>
      <c r="X299" s="23"/>
      <c r="Y299" s="23"/>
      <c r="Z299" s="23"/>
    </row>
    <row r="300">
      <c r="A300" s="2"/>
      <c r="B300" s="2"/>
      <c r="C300" s="2"/>
      <c r="D300" s="2"/>
      <c r="E300" s="2"/>
      <c r="F300" s="2"/>
      <c r="G300" s="2"/>
      <c r="H300" s="2"/>
      <c r="I300" s="2"/>
      <c r="J300" s="2"/>
      <c r="K300" s="2"/>
      <c r="L300" s="2"/>
      <c r="M300" s="2"/>
      <c r="N300" s="2"/>
      <c r="O300" s="2"/>
      <c r="P300" s="2"/>
      <c r="Q300" s="23"/>
      <c r="R300" s="23"/>
      <c r="S300" s="23"/>
      <c r="T300" s="23"/>
      <c r="U300" s="23"/>
      <c r="V300" s="23"/>
      <c r="W300" s="23"/>
      <c r="X300" s="23"/>
      <c r="Y300" s="23"/>
      <c r="Z300" s="23"/>
    </row>
    <row r="301">
      <c r="A301" s="2"/>
      <c r="B301" s="2"/>
      <c r="C301" s="2"/>
      <c r="D301" s="2"/>
      <c r="E301" s="2"/>
      <c r="F301" s="2"/>
      <c r="G301" s="2"/>
      <c r="H301" s="2"/>
      <c r="I301" s="2"/>
      <c r="J301" s="2"/>
      <c r="K301" s="2"/>
      <c r="L301" s="2"/>
      <c r="M301" s="2"/>
      <c r="N301" s="2"/>
      <c r="O301" s="2"/>
      <c r="P301" s="2"/>
      <c r="Q301" s="23"/>
      <c r="R301" s="23"/>
      <c r="S301" s="23"/>
      <c r="T301" s="23"/>
      <c r="U301" s="23"/>
      <c r="V301" s="23"/>
      <c r="W301" s="23"/>
      <c r="X301" s="23"/>
      <c r="Y301" s="23"/>
      <c r="Z301" s="23"/>
    </row>
    <row r="302">
      <c r="A302" s="2"/>
      <c r="B302" s="2"/>
      <c r="C302" s="2"/>
      <c r="D302" s="2"/>
      <c r="E302" s="2"/>
      <c r="F302" s="2"/>
      <c r="G302" s="2"/>
      <c r="H302" s="2"/>
      <c r="I302" s="2"/>
      <c r="J302" s="2"/>
      <c r="K302" s="2"/>
      <c r="L302" s="2"/>
      <c r="M302" s="2"/>
      <c r="N302" s="2"/>
      <c r="O302" s="2"/>
      <c r="P302" s="2"/>
      <c r="Q302" s="23"/>
      <c r="R302" s="23"/>
      <c r="S302" s="23"/>
      <c r="T302" s="23"/>
      <c r="U302" s="23"/>
      <c r="V302" s="23"/>
      <c r="W302" s="23"/>
      <c r="X302" s="23"/>
      <c r="Y302" s="23"/>
      <c r="Z302" s="23"/>
    </row>
    <row r="303">
      <c r="A303" s="2"/>
      <c r="B303" s="2"/>
      <c r="C303" s="2"/>
      <c r="D303" s="2"/>
      <c r="E303" s="2"/>
      <c r="F303" s="2"/>
      <c r="G303" s="2"/>
      <c r="H303" s="2"/>
      <c r="I303" s="2"/>
      <c r="J303" s="2"/>
      <c r="K303" s="2"/>
      <c r="L303" s="2"/>
      <c r="M303" s="2"/>
      <c r="N303" s="2"/>
      <c r="O303" s="2"/>
      <c r="P303" s="2"/>
      <c r="Q303" s="23"/>
      <c r="R303" s="23"/>
      <c r="S303" s="23"/>
      <c r="T303" s="23"/>
      <c r="U303" s="23"/>
      <c r="V303" s="23"/>
      <c r="W303" s="23"/>
      <c r="X303" s="23"/>
      <c r="Y303" s="23"/>
      <c r="Z303" s="23"/>
    </row>
    <row r="304">
      <c r="A304" s="2"/>
      <c r="B304" s="2"/>
      <c r="C304" s="2"/>
      <c r="D304" s="2"/>
      <c r="E304" s="2"/>
      <c r="F304" s="2"/>
      <c r="G304" s="2"/>
      <c r="H304" s="2"/>
      <c r="I304" s="2"/>
      <c r="J304" s="2"/>
      <c r="K304" s="2"/>
      <c r="L304" s="2"/>
      <c r="M304" s="2"/>
      <c r="N304" s="2"/>
      <c r="O304" s="2"/>
      <c r="P304" s="2"/>
      <c r="Q304" s="23"/>
      <c r="R304" s="23"/>
      <c r="S304" s="23"/>
      <c r="T304" s="23"/>
      <c r="U304" s="23"/>
      <c r="V304" s="23"/>
      <c r="W304" s="23"/>
      <c r="X304" s="23"/>
      <c r="Y304" s="23"/>
      <c r="Z304" s="23"/>
    </row>
    <row r="305">
      <c r="A305" s="2"/>
      <c r="B305" s="2"/>
      <c r="C305" s="2"/>
      <c r="D305" s="2"/>
      <c r="E305" s="2"/>
      <c r="F305" s="2"/>
      <c r="G305" s="2"/>
      <c r="H305" s="2"/>
      <c r="I305" s="2"/>
      <c r="J305" s="2"/>
      <c r="K305" s="2"/>
      <c r="L305" s="2"/>
      <c r="M305" s="2"/>
      <c r="N305" s="2"/>
      <c r="O305" s="2"/>
      <c r="P305" s="2"/>
      <c r="Q305" s="23"/>
      <c r="R305" s="23"/>
      <c r="S305" s="23"/>
      <c r="T305" s="23"/>
      <c r="U305" s="23"/>
      <c r="V305" s="23"/>
      <c r="W305" s="23"/>
      <c r="X305" s="23"/>
      <c r="Y305" s="23"/>
      <c r="Z305" s="23"/>
    </row>
    <row r="306">
      <c r="A306" s="2"/>
      <c r="B306" s="2"/>
      <c r="C306" s="2"/>
      <c r="D306" s="2"/>
      <c r="E306" s="2"/>
      <c r="F306" s="2"/>
      <c r="G306" s="2"/>
      <c r="H306" s="2"/>
      <c r="I306" s="2"/>
      <c r="J306" s="2"/>
      <c r="K306" s="2"/>
      <c r="L306" s="2"/>
      <c r="M306" s="2"/>
      <c r="N306" s="2"/>
      <c r="O306" s="2"/>
      <c r="P306" s="2"/>
      <c r="Q306" s="23"/>
      <c r="R306" s="23"/>
      <c r="S306" s="23"/>
      <c r="T306" s="23"/>
      <c r="U306" s="23"/>
      <c r="V306" s="23"/>
      <c r="W306" s="23"/>
      <c r="X306" s="23"/>
      <c r="Y306" s="23"/>
      <c r="Z306" s="23"/>
    </row>
    <row r="307">
      <c r="A307" s="2"/>
      <c r="B307" s="2"/>
      <c r="C307" s="2"/>
      <c r="D307" s="2"/>
      <c r="E307" s="2"/>
      <c r="F307" s="2"/>
      <c r="G307" s="2"/>
      <c r="H307" s="2"/>
      <c r="I307" s="2"/>
      <c r="J307" s="2"/>
      <c r="K307" s="2"/>
      <c r="L307" s="2"/>
      <c r="M307" s="2"/>
      <c r="N307" s="2"/>
      <c r="O307" s="2"/>
      <c r="P307" s="2"/>
      <c r="Q307" s="23"/>
      <c r="R307" s="23"/>
      <c r="S307" s="23"/>
      <c r="T307" s="23"/>
      <c r="U307" s="23"/>
      <c r="V307" s="23"/>
      <c r="W307" s="23"/>
      <c r="X307" s="23"/>
      <c r="Y307" s="23"/>
      <c r="Z307" s="23"/>
    </row>
    <row r="308">
      <c r="A308" s="2"/>
      <c r="B308" s="2"/>
      <c r="C308" s="2"/>
      <c r="D308" s="2"/>
      <c r="E308" s="2"/>
      <c r="F308" s="2"/>
      <c r="G308" s="2"/>
      <c r="H308" s="2"/>
      <c r="I308" s="2"/>
      <c r="J308" s="2"/>
      <c r="K308" s="2"/>
      <c r="L308" s="2"/>
      <c r="M308" s="2"/>
      <c r="N308" s="2"/>
      <c r="O308" s="2"/>
      <c r="P308" s="2"/>
      <c r="Q308" s="23"/>
      <c r="R308" s="23"/>
      <c r="S308" s="23"/>
      <c r="T308" s="23"/>
      <c r="U308" s="23"/>
      <c r="V308" s="23"/>
      <c r="W308" s="23"/>
      <c r="X308" s="23"/>
      <c r="Y308" s="23"/>
      <c r="Z308" s="23"/>
    </row>
    <row r="309">
      <c r="A309" s="2"/>
      <c r="B309" s="2"/>
      <c r="C309" s="2"/>
      <c r="D309" s="2"/>
      <c r="E309" s="2"/>
      <c r="F309" s="2"/>
      <c r="G309" s="2"/>
      <c r="H309" s="2"/>
      <c r="I309" s="2"/>
      <c r="J309" s="2"/>
      <c r="K309" s="2"/>
      <c r="L309" s="2"/>
      <c r="M309" s="2"/>
      <c r="N309" s="2"/>
      <c r="O309" s="2"/>
      <c r="P309" s="2"/>
      <c r="Q309" s="23"/>
      <c r="R309" s="23"/>
      <c r="S309" s="23"/>
      <c r="T309" s="23"/>
      <c r="U309" s="23"/>
      <c r="V309" s="23"/>
      <c r="W309" s="23"/>
      <c r="X309" s="23"/>
      <c r="Y309" s="23"/>
      <c r="Z309" s="23"/>
    </row>
    <row r="310">
      <c r="A310" s="2"/>
      <c r="B310" s="2"/>
      <c r="C310" s="2"/>
      <c r="D310" s="2"/>
      <c r="E310" s="2"/>
      <c r="F310" s="2"/>
      <c r="G310" s="2"/>
      <c r="H310" s="2"/>
      <c r="I310" s="2"/>
      <c r="J310" s="2"/>
      <c r="K310" s="2"/>
      <c r="L310" s="2"/>
      <c r="M310" s="2"/>
      <c r="N310" s="2"/>
      <c r="O310" s="2"/>
      <c r="P310" s="2"/>
      <c r="Q310" s="23"/>
      <c r="R310" s="23"/>
      <c r="S310" s="23"/>
      <c r="T310" s="23"/>
      <c r="U310" s="23"/>
      <c r="V310" s="23"/>
      <c r="W310" s="23"/>
      <c r="X310" s="23"/>
      <c r="Y310" s="23"/>
      <c r="Z310" s="23"/>
    </row>
    <row r="311">
      <c r="A311" s="2"/>
      <c r="B311" s="2"/>
      <c r="C311" s="2"/>
      <c r="D311" s="2"/>
      <c r="E311" s="2"/>
      <c r="F311" s="2"/>
      <c r="G311" s="2"/>
      <c r="H311" s="2"/>
      <c r="I311" s="2"/>
      <c r="J311" s="2"/>
      <c r="K311" s="2"/>
      <c r="L311" s="2"/>
      <c r="M311" s="2"/>
      <c r="N311" s="2"/>
      <c r="O311" s="2"/>
      <c r="P311" s="2"/>
      <c r="Q311" s="23"/>
      <c r="R311" s="23"/>
      <c r="S311" s="23"/>
      <c r="T311" s="23"/>
      <c r="U311" s="23"/>
      <c r="V311" s="23"/>
      <c r="W311" s="23"/>
      <c r="X311" s="23"/>
      <c r="Y311" s="23"/>
      <c r="Z311" s="23"/>
    </row>
    <row r="312">
      <c r="A312" s="2"/>
      <c r="B312" s="2"/>
      <c r="C312" s="2"/>
      <c r="D312" s="2"/>
      <c r="E312" s="2"/>
      <c r="F312" s="2"/>
      <c r="G312" s="2"/>
      <c r="H312" s="2"/>
      <c r="I312" s="2"/>
      <c r="J312" s="2"/>
      <c r="K312" s="2"/>
      <c r="L312" s="2"/>
      <c r="M312" s="2"/>
      <c r="N312" s="2"/>
      <c r="O312" s="2"/>
      <c r="P312" s="2"/>
      <c r="Q312" s="23"/>
      <c r="R312" s="23"/>
      <c r="S312" s="23"/>
      <c r="T312" s="23"/>
      <c r="U312" s="23"/>
      <c r="V312" s="23"/>
      <c r="W312" s="23"/>
      <c r="X312" s="23"/>
      <c r="Y312" s="23"/>
      <c r="Z312" s="23"/>
    </row>
    <row r="313">
      <c r="A313" s="2"/>
      <c r="B313" s="2"/>
      <c r="C313" s="2"/>
      <c r="D313" s="2"/>
      <c r="E313" s="2"/>
      <c r="F313" s="2"/>
      <c r="G313" s="2"/>
      <c r="H313" s="2"/>
      <c r="I313" s="2"/>
      <c r="J313" s="2"/>
      <c r="K313" s="2"/>
      <c r="L313" s="2"/>
      <c r="M313" s="2"/>
      <c r="N313" s="2"/>
      <c r="O313" s="2"/>
      <c r="P313" s="2"/>
      <c r="Q313" s="23"/>
      <c r="R313" s="23"/>
      <c r="S313" s="23"/>
      <c r="T313" s="23"/>
      <c r="U313" s="23"/>
      <c r="V313" s="23"/>
      <c r="W313" s="23"/>
      <c r="X313" s="23"/>
      <c r="Y313" s="23"/>
      <c r="Z313" s="23"/>
    </row>
    <row r="314">
      <c r="A314" s="2"/>
      <c r="B314" s="2"/>
      <c r="C314" s="2"/>
      <c r="D314" s="2"/>
      <c r="E314" s="2"/>
      <c r="F314" s="2"/>
      <c r="G314" s="2"/>
      <c r="H314" s="2"/>
      <c r="I314" s="2"/>
      <c r="J314" s="2"/>
      <c r="K314" s="2"/>
      <c r="L314" s="2"/>
      <c r="M314" s="2"/>
      <c r="N314" s="2"/>
      <c r="O314" s="2"/>
      <c r="P314" s="2"/>
      <c r="Q314" s="23"/>
      <c r="R314" s="23"/>
      <c r="S314" s="23"/>
      <c r="T314" s="23"/>
      <c r="U314" s="23"/>
      <c r="V314" s="23"/>
      <c r="W314" s="23"/>
      <c r="X314" s="23"/>
      <c r="Y314" s="23"/>
      <c r="Z314" s="23"/>
    </row>
    <row r="315">
      <c r="A315" s="2"/>
      <c r="B315" s="2"/>
      <c r="C315" s="2"/>
      <c r="D315" s="2"/>
      <c r="E315" s="2"/>
      <c r="F315" s="2"/>
      <c r="G315" s="2"/>
      <c r="H315" s="2"/>
      <c r="I315" s="2"/>
      <c r="J315" s="2"/>
      <c r="K315" s="2"/>
      <c r="L315" s="2"/>
      <c r="M315" s="2"/>
      <c r="N315" s="2"/>
      <c r="O315" s="2"/>
      <c r="P315" s="2"/>
      <c r="Q315" s="23"/>
      <c r="R315" s="23"/>
      <c r="S315" s="23"/>
      <c r="T315" s="23"/>
      <c r="U315" s="23"/>
      <c r="V315" s="23"/>
      <c r="W315" s="23"/>
      <c r="X315" s="23"/>
      <c r="Y315" s="23"/>
      <c r="Z315" s="23"/>
    </row>
    <row r="316">
      <c r="A316" s="2"/>
      <c r="B316" s="2"/>
      <c r="C316" s="2"/>
      <c r="D316" s="2"/>
      <c r="E316" s="2"/>
      <c r="F316" s="2"/>
      <c r="G316" s="2"/>
      <c r="H316" s="2"/>
      <c r="I316" s="2"/>
      <c r="J316" s="2"/>
      <c r="K316" s="2"/>
      <c r="L316" s="2"/>
      <c r="M316" s="2"/>
      <c r="N316" s="2"/>
      <c r="O316" s="2"/>
      <c r="P316" s="2"/>
      <c r="Q316" s="23"/>
      <c r="R316" s="23"/>
      <c r="S316" s="23"/>
      <c r="T316" s="23"/>
      <c r="U316" s="23"/>
      <c r="V316" s="23"/>
      <c r="W316" s="23"/>
      <c r="X316" s="23"/>
      <c r="Y316" s="23"/>
      <c r="Z316" s="23"/>
    </row>
    <row r="317">
      <c r="A317" s="2"/>
      <c r="B317" s="2"/>
      <c r="C317" s="2"/>
      <c r="D317" s="2"/>
      <c r="E317" s="2"/>
      <c r="F317" s="2"/>
      <c r="G317" s="2"/>
      <c r="H317" s="2"/>
      <c r="I317" s="2"/>
      <c r="J317" s="2"/>
      <c r="K317" s="2"/>
      <c r="L317" s="2"/>
      <c r="M317" s="2"/>
      <c r="N317" s="2"/>
      <c r="O317" s="2"/>
      <c r="P317" s="2"/>
      <c r="Q317" s="23"/>
      <c r="R317" s="23"/>
      <c r="S317" s="23"/>
      <c r="T317" s="23"/>
      <c r="U317" s="23"/>
      <c r="V317" s="23"/>
      <c r="W317" s="23"/>
      <c r="X317" s="23"/>
      <c r="Y317" s="23"/>
      <c r="Z317" s="23"/>
    </row>
    <row r="318">
      <c r="A318" s="2"/>
      <c r="B318" s="2"/>
      <c r="C318" s="2"/>
      <c r="D318" s="2"/>
      <c r="E318" s="2"/>
      <c r="F318" s="2"/>
      <c r="G318" s="2"/>
      <c r="H318" s="2"/>
      <c r="I318" s="2"/>
      <c r="J318" s="2"/>
      <c r="K318" s="2"/>
      <c r="L318" s="2"/>
      <c r="M318" s="2"/>
      <c r="N318" s="2"/>
      <c r="O318" s="2"/>
      <c r="P318" s="2"/>
      <c r="Q318" s="23"/>
      <c r="R318" s="23"/>
      <c r="S318" s="23"/>
      <c r="T318" s="23"/>
      <c r="U318" s="23"/>
      <c r="V318" s="23"/>
      <c r="W318" s="23"/>
      <c r="X318" s="23"/>
      <c r="Y318" s="23"/>
      <c r="Z318" s="23"/>
    </row>
    <row r="319">
      <c r="A319" s="2"/>
      <c r="B319" s="2"/>
      <c r="C319" s="2"/>
      <c r="D319" s="2"/>
      <c r="E319" s="2"/>
      <c r="F319" s="2"/>
      <c r="G319" s="2"/>
      <c r="H319" s="2"/>
      <c r="I319" s="2"/>
      <c r="J319" s="2"/>
      <c r="K319" s="2"/>
      <c r="L319" s="2"/>
      <c r="M319" s="2"/>
      <c r="N319" s="2"/>
      <c r="O319" s="2"/>
      <c r="P319" s="2"/>
      <c r="Q319" s="23"/>
      <c r="R319" s="23"/>
      <c r="S319" s="23"/>
      <c r="T319" s="23"/>
      <c r="U319" s="23"/>
      <c r="V319" s="23"/>
      <c r="W319" s="23"/>
      <c r="X319" s="23"/>
      <c r="Y319" s="23"/>
      <c r="Z319" s="23"/>
    </row>
    <row r="320">
      <c r="A320" s="2"/>
      <c r="B320" s="2"/>
      <c r="C320" s="2"/>
      <c r="D320" s="2"/>
      <c r="E320" s="2"/>
      <c r="F320" s="2"/>
      <c r="G320" s="2"/>
      <c r="H320" s="2"/>
      <c r="I320" s="2"/>
      <c r="J320" s="2"/>
      <c r="K320" s="2"/>
      <c r="L320" s="2"/>
      <c r="M320" s="2"/>
      <c r="N320" s="2"/>
      <c r="O320" s="2"/>
      <c r="P320" s="2"/>
      <c r="Q320" s="23"/>
      <c r="R320" s="23"/>
      <c r="S320" s="23"/>
      <c r="T320" s="23"/>
      <c r="U320" s="23"/>
      <c r="V320" s="23"/>
      <c r="W320" s="23"/>
      <c r="X320" s="23"/>
      <c r="Y320" s="23"/>
      <c r="Z320" s="23"/>
    </row>
    <row r="321">
      <c r="A321" s="2"/>
      <c r="B321" s="2"/>
      <c r="C321" s="2"/>
      <c r="D321" s="2"/>
      <c r="E321" s="2"/>
      <c r="F321" s="2"/>
      <c r="G321" s="2"/>
      <c r="H321" s="2"/>
      <c r="I321" s="2"/>
      <c r="J321" s="2"/>
      <c r="K321" s="2"/>
      <c r="L321" s="2"/>
      <c r="M321" s="2"/>
      <c r="N321" s="2"/>
      <c r="O321" s="2"/>
      <c r="P321" s="2"/>
      <c r="Q321" s="23"/>
      <c r="R321" s="23"/>
      <c r="S321" s="23"/>
      <c r="T321" s="23"/>
      <c r="U321" s="23"/>
      <c r="V321" s="23"/>
      <c r="W321" s="23"/>
      <c r="X321" s="23"/>
      <c r="Y321" s="23"/>
      <c r="Z321" s="23"/>
    </row>
    <row r="322">
      <c r="A322" s="2"/>
      <c r="B322" s="2"/>
      <c r="C322" s="2"/>
      <c r="D322" s="2"/>
      <c r="E322" s="2"/>
      <c r="F322" s="2"/>
      <c r="G322" s="2"/>
      <c r="H322" s="2"/>
      <c r="I322" s="2"/>
      <c r="J322" s="2"/>
      <c r="K322" s="2"/>
      <c r="L322" s="2"/>
      <c r="M322" s="2"/>
      <c r="N322" s="2"/>
      <c r="O322" s="2"/>
      <c r="P322" s="2"/>
      <c r="Q322" s="23"/>
      <c r="R322" s="23"/>
      <c r="S322" s="23"/>
      <c r="T322" s="23"/>
      <c r="U322" s="23"/>
      <c r="V322" s="23"/>
      <c r="W322" s="23"/>
      <c r="X322" s="23"/>
      <c r="Y322" s="23"/>
      <c r="Z322" s="23"/>
    </row>
    <row r="323">
      <c r="A323" s="2"/>
      <c r="B323" s="2"/>
      <c r="C323" s="2"/>
      <c r="D323" s="2"/>
      <c r="E323" s="2"/>
      <c r="F323" s="2"/>
      <c r="G323" s="2"/>
      <c r="H323" s="2"/>
      <c r="I323" s="2"/>
      <c r="J323" s="2"/>
      <c r="K323" s="2"/>
      <c r="L323" s="2"/>
      <c r="M323" s="2"/>
      <c r="N323" s="2"/>
      <c r="O323" s="2"/>
      <c r="P323" s="2"/>
      <c r="Q323" s="23"/>
      <c r="R323" s="23"/>
      <c r="S323" s="23"/>
      <c r="T323" s="23"/>
      <c r="U323" s="23"/>
      <c r="V323" s="23"/>
      <c r="W323" s="23"/>
      <c r="X323" s="23"/>
      <c r="Y323" s="23"/>
      <c r="Z323" s="23"/>
    </row>
    <row r="324">
      <c r="A324" s="2"/>
      <c r="B324" s="2"/>
      <c r="C324" s="2"/>
      <c r="D324" s="2"/>
      <c r="E324" s="2"/>
      <c r="F324" s="2"/>
      <c r="G324" s="2"/>
      <c r="H324" s="2"/>
      <c r="I324" s="2"/>
      <c r="J324" s="2"/>
      <c r="K324" s="2"/>
      <c r="L324" s="2"/>
      <c r="M324" s="2"/>
      <c r="N324" s="2"/>
      <c r="O324" s="2"/>
      <c r="P324" s="2"/>
      <c r="Q324" s="23"/>
      <c r="R324" s="23"/>
      <c r="S324" s="23"/>
      <c r="T324" s="23"/>
      <c r="U324" s="23"/>
      <c r="V324" s="23"/>
      <c r="W324" s="23"/>
      <c r="X324" s="23"/>
      <c r="Y324" s="23"/>
      <c r="Z324" s="23"/>
    </row>
    <row r="325">
      <c r="A325" s="2"/>
      <c r="B325" s="2"/>
      <c r="C325" s="2"/>
      <c r="D325" s="2"/>
      <c r="E325" s="2"/>
      <c r="F325" s="2"/>
      <c r="G325" s="2"/>
      <c r="H325" s="2"/>
      <c r="I325" s="2"/>
      <c r="J325" s="2"/>
      <c r="K325" s="2"/>
      <c r="L325" s="2"/>
      <c r="M325" s="2"/>
      <c r="N325" s="2"/>
      <c r="O325" s="2"/>
      <c r="P325" s="2"/>
      <c r="Q325" s="23"/>
      <c r="R325" s="23"/>
      <c r="S325" s="23"/>
      <c r="T325" s="23"/>
      <c r="U325" s="23"/>
      <c r="V325" s="23"/>
      <c r="W325" s="23"/>
      <c r="X325" s="23"/>
      <c r="Y325" s="23"/>
      <c r="Z325" s="23"/>
    </row>
    <row r="326">
      <c r="A326" s="2"/>
      <c r="B326" s="2"/>
      <c r="C326" s="2"/>
      <c r="D326" s="2"/>
      <c r="E326" s="2"/>
      <c r="F326" s="2"/>
      <c r="G326" s="2"/>
      <c r="H326" s="2"/>
      <c r="I326" s="2"/>
      <c r="J326" s="2"/>
      <c r="K326" s="2"/>
      <c r="L326" s="2"/>
      <c r="M326" s="2"/>
      <c r="N326" s="2"/>
      <c r="O326" s="2"/>
      <c r="P326" s="2"/>
      <c r="Q326" s="23"/>
      <c r="R326" s="23"/>
      <c r="S326" s="23"/>
      <c r="T326" s="23"/>
      <c r="U326" s="23"/>
      <c r="V326" s="23"/>
      <c r="W326" s="23"/>
      <c r="X326" s="23"/>
      <c r="Y326" s="23"/>
      <c r="Z326" s="23"/>
    </row>
    <row r="327">
      <c r="A327" s="2"/>
      <c r="B327" s="2"/>
      <c r="C327" s="2"/>
      <c r="D327" s="2"/>
      <c r="E327" s="2"/>
      <c r="F327" s="2"/>
      <c r="G327" s="2"/>
      <c r="H327" s="2"/>
      <c r="I327" s="2"/>
      <c r="J327" s="2"/>
      <c r="K327" s="2"/>
      <c r="L327" s="2"/>
      <c r="M327" s="2"/>
      <c r="N327" s="2"/>
      <c r="O327" s="2"/>
      <c r="P327" s="2"/>
      <c r="Q327" s="23"/>
      <c r="R327" s="23"/>
      <c r="S327" s="23"/>
      <c r="T327" s="23"/>
      <c r="U327" s="23"/>
      <c r="V327" s="23"/>
      <c r="W327" s="23"/>
      <c r="X327" s="23"/>
      <c r="Y327" s="23"/>
      <c r="Z327" s="23"/>
    </row>
    <row r="328">
      <c r="A328" s="2"/>
      <c r="B328" s="2"/>
      <c r="C328" s="2"/>
      <c r="D328" s="2"/>
      <c r="E328" s="2"/>
      <c r="F328" s="2"/>
      <c r="G328" s="2"/>
      <c r="H328" s="2"/>
      <c r="I328" s="2"/>
      <c r="J328" s="2"/>
      <c r="K328" s="2"/>
      <c r="L328" s="2"/>
      <c r="M328" s="2"/>
      <c r="N328" s="2"/>
      <c r="O328" s="2"/>
      <c r="P328" s="2"/>
      <c r="Q328" s="23"/>
      <c r="R328" s="23"/>
      <c r="S328" s="23"/>
      <c r="T328" s="23"/>
      <c r="U328" s="23"/>
      <c r="V328" s="23"/>
      <c r="W328" s="23"/>
      <c r="X328" s="23"/>
      <c r="Y328" s="23"/>
      <c r="Z328" s="23"/>
    </row>
    <row r="329">
      <c r="A329" s="2"/>
      <c r="B329" s="2"/>
      <c r="C329" s="2"/>
      <c r="D329" s="2"/>
      <c r="E329" s="2"/>
      <c r="F329" s="2"/>
      <c r="G329" s="2"/>
      <c r="H329" s="2"/>
      <c r="I329" s="2"/>
      <c r="J329" s="2"/>
      <c r="K329" s="2"/>
      <c r="L329" s="2"/>
      <c r="M329" s="2"/>
      <c r="N329" s="2"/>
      <c r="O329" s="2"/>
      <c r="P329" s="2"/>
      <c r="Q329" s="23"/>
      <c r="R329" s="23"/>
      <c r="S329" s="23"/>
      <c r="T329" s="23"/>
      <c r="U329" s="23"/>
      <c r="V329" s="23"/>
      <c r="W329" s="23"/>
      <c r="X329" s="23"/>
      <c r="Y329" s="23"/>
      <c r="Z329" s="23"/>
    </row>
    <row r="330">
      <c r="A330" s="2"/>
      <c r="B330" s="2"/>
      <c r="C330" s="2"/>
      <c r="D330" s="2"/>
      <c r="E330" s="2"/>
      <c r="F330" s="2"/>
      <c r="G330" s="2"/>
      <c r="H330" s="2"/>
      <c r="I330" s="2"/>
      <c r="J330" s="2"/>
      <c r="K330" s="2"/>
      <c r="L330" s="2"/>
      <c r="M330" s="2"/>
      <c r="N330" s="2"/>
      <c r="O330" s="2"/>
      <c r="P330" s="2"/>
      <c r="Q330" s="23"/>
      <c r="R330" s="23"/>
      <c r="S330" s="23"/>
      <c r="T330" s="23"/>
      <c r="U330" s="23"/>
      <c r="V330" s="23"/>
      <c r="W330" s="23"/>
      <c r="X330" s="23"/>
      <c r="Y330" s="23"/>
      <c r="Z330" s="23"/>
    </row>
    <row r="331">
      <c r="A331" s="2"/>
      <c r="B331" s="2"/>
      <c r="C331" s="2"/>
      <c r="D331" s="2"/>
      <c r="E331" s="2"/>
      <c r="F331" s="2"/>
      <c r="G331" s="2"/>
      <c r="H331" s="2"/>
      <c r="I331" s="2"/>
      <c r="J331" s="2"/>
      <c r="K331" s="2"/>
      <c r="L331" s="2"/>
      <c r="M331" s="2"/>
      <c r="N331" s="2"/>
      <c r="O331" s="2"/>
      <c r="P331" s="2"/>
      <c r="Q331" s="23"/>
      <c r="R331" s="23"/>
      <c r="S331" s="23"/>
      <c r="T331" s="23"/>
      <c r="U331" s="23"/>
      <c r="V331" s="23"/>
      <c r="W331" s="23"/>
      <c r="X331" s="23"/>
      <c r="Y331" s="23"/>
      <c r="Z331" s="23"/>
    </row>
    <row r="332">
      <c r="A332" s="2"/>
      <c r="B332" s="2"/>
      <c r="C332" s="2"/>
      <c r="D332" s="2"/>
      <c r="E332" s="2"/>
      <c r="F332" s="2"/>
      <c r="G332" s="2"/>
      <c r="H332" s="2"/>
      <c r="I332" s="2"/>
      <c r="J332" s="2"/>
      <c r="K332" s="2"/>
      <c r="L332" s="2"/>
      <c r="M332" s="2"/>
      <c r="N332" s="2"/>
      <c r="O332" s="2"/>
      <c r="P332" s="2"/>
      <c r="Q332" s="23"/>
      <c r="R332" s="23"/>
      <c r="S332" s="23"/>
      <c r="T332" s="23"/>
      <c r="U332" s="23"/>
      <c r="V332" s="23"/>
      <c r="W332" s="23"/>
      <c r="X332" s="23"/>
      <c r="Y332" s="23"/>
      <c r="Z332" s="23"/>
    </row>
    <row r="333">
      <c r="A333" s="2"/>
      <c r="B333" s="2"/>
      <c r="C333" s="2"/>
      <c r="D333" s="2"/>
      <c r="E333" s="2"/>
      <c r="F333" s="2"/>
      <c r="G333" s="2"/>
      <c r="H333" s="2"/>
      <c r="I333" s="2"/>
      <c r="J333" s="2"/>
      <c r="K333" s="2"/>
      <c r="L333" s="2"/>
      <c r="M333" s="2"/>
      <c r="N333" s="2"/>
      <c r="O333" s="2"/>
      <c r="P333" s="2"/>
      <c r="Q333" s="23"/>
      <c r="R333" s="23"/>
      <c r="S333" s="23"/>
      <c r="T333" s="23"/>
      <c r="U333" s="23"/>
      <c r="V333" s="23"/>
      <c r="W333" s="23"/>
      <c r="X333" s="23"/>
      <c r="Y333" s="23"/>
      <c r="Z333" s="23"/>
    </row>
    <row r="334">
      <c r="A334" s="2"/>
      <c r="B334" s="2"/>
      <c r="C334" s="2"/>
      <c r="D334" s="2"/>
      <c r="E334" s="2"/>
      <c r="F334" s="2"/>
      <c r="G334" s="2"/>
      <c r="H334" s="2"/>
      <c r="I334" s="2"/>
      <c r="J334" s="2"/>
      <c r="K334" s="2"/>
      <c r="L334" s="2"/>
      <c r="M334" s="2"/>
      <c r="N334" s="2"/>
      <c r="O334" s="2"/>
      <c r="P334" s="2"/>
      <c r="Q334" s="23"/>
      <c r="R334" s="23"/>
      <c r="S334" s="23"/>
      <c r="T334" s="23"/>
      <c r="U334" s="23"/>
      <c r="V334" s="23"/>
      <c r="W334" s="23"/>
      <c r="X334" s="23"/>
      <c r="Y334" s="23"/>
      <c r="Z334" s="23"/>
    </row>
    <row r="335">
      <c r="A335" s="2"/>
      <c r="B335" s="2"/>
      <c r="C335" s="2"/>
      <c r="D335" s="2"/>
      <c r="E335" s="2"/>
      <c r="F335" s="2"/>
      <c r="G335" s="2"/>
      <c r="H335" s="2"/>
      <c r="I335" s="2"/>
      <c r="J335" s="2"/>
      <c r="K335" s="2"/>
      <c r="L335" s="2"/>
      <c r="M335" s="2"/>
      <c r="N335" s="2"/>
      <c r="O335" s="2"/>
      <c r="P335" s="2"/>
      <c r="Q335" s="23"/>
      <c r="R335" s="23"/>
      <c r="S335" s="23"/>
      <c r="T335" s="23"/>
      <c r="U335" s="23"/>
      <c r="V335" s="23"/>
      <c r="W335" s="23"/>
      <c r="X335" s="23"/>
      <c r="Y335" s="23"/>
      <c r="Z335" s="23"/>
    </row>
    <row r="336">
      <c r="A336" s="2"/>
      <c r="B336" s="2"/>
      <c r="C336" s="2"/>
      <c r="D336" s="2"/>
      <c r="E336" s="2"/>
      <c r="F336" s="2"/>
      <c r="G336" s="2"/>
      <c r="H336" s="2"/>
      <c r="I336" s="2"/>
      <c r="J336" s="2"/>
      <c r="K336" s="2"/>
      <c r="L336" s="2"/>
      <c r="M336" s="2"/>
      <c r="N336" s="2"/>
      <c r="O336" s="2"/>
      <c r="P336" s="2"/>
      <c r="Q336" s="23"/>
      <c r="R336" s="23"/>
      <c r="S336" s="23"/>
      <c r="T336" s="23"/>
      <c r="U336" s="23"/>
      <c r="V336" s="23"/>
      <c r="W336" s="23"/>
      <c r="X336" s="23"/>
      <c r="Y336" s="23"/>
      <c r="Z336" s="23"/>
    </row>
    <row r="337">
      <c r="A337" s="2"/>
      <c r="B337" s="2"/>
      <c r="C337" s="2"/>
      <c r="D337" s="2"/>
      <c r="E337" s="2"/>
      <c r="F337" s="2"/>
      <c r="G337" s="2"/>
      <c r="H337" s="2"/>
      <c r="I337" s="2"/>
      <c r="J337" s="2"/>
      <c r="K337" s="2"/>
      <c r="L337" s="2"/>
      <c r="M337" s="2"/>
      <c r="N337" s="2"/>
      <c r="O337" s="2"/>
      <c r="P337" s="2"/>
      <c r="Q337" s="23"/>
      <c r="R337" s="23"/>
      <c r="S337" s="23"/>
      <c r="T337" s="23"/>
      <c r="U337" s="23"/>
      <c r="V337" s="23"/>
      <c r="W337" s="23"/>
      <c r="X337" s="23"/>
      <c r="Y337" s="23"/>
      <c r="Z337" s="23"/>
    </row>
    <row r="338">
      <c r="A338" s="2"/>
      <c r="B338" s="2"/>
      <c r="C338" s="2"/>
      <c r="D338" s="2"/>
      <c r="E338" s="2"/>
      <c r="F338" s="2"/>
      <c r="G338" s="2"/>
      <c r="H338" s="2"/>
      <c r="I338" s="2"/>
      <c r="J338" s="2"/>
      <c r="K338" s="2"/>
      <c r="L338" s="2"/>
      <c r="M338" s="2"/>
      <c r="N338" s="2"/>
      <c r="O338" s="2"/>
      <c r="P338" s="2"/>
      <c r="Q338" s="23"/>
      <c r="R338" s="23"/>
      <c r="S338" s="23"/>
      <c r="T338" s="23"/>
      <c r="U338" s="23"/>
      <c r="V338" s="23"/>
      <c r="W338" s="23"/>
      <c r="X338" s="23"/>
      <c r="Y338" s="23"/>
      <c r="Z338" s="23"/>
    </row>
    <row r="339">
      <c r="A339" s="2"/>
      <c r="B339" s="2"/>
      <c r="C339" s="2"/>
      <c r="D339" s="2"/>
      <c r="E339" s="2"/>
      <c r="F339" s="2"/>
      <c r="G339" s="2"/>
      <c r="H339" s="2"/>
      <c r="I339" s="2"/>
      <c r="J339" s="2"/>
      <c r="K339" s="2"/>
      <c r="L339" s="2"/>
      <c r="M339" s="2"/>
      <c r="N339" s="2"/>
      <c r="O339" s="2"/>
      <c r="P339" s="2"/>
      <c r="Q339" s="23"/>
      <c r="R339" s="23"/>
      <c r="S339" s="23"/>
      <c r="T339" s="23"/>
      <c r="U339" s="23"/>
      <c r="V339" s="23"/>
      <c r="W339" s="23"/>
      <c r="X339" s="23"/>
      <c r="Y339" s="23"/>
      <c r="Z339" s="23"/>
    </row>
    <row r="340">
      <c r="A340" s="2"/>
      <c r="B340" s="2"/>
      <c r="C340" s="2"/>
      <c r="D340" s="2"/>
      <c r="E340" s="2"/>
      <c r="F340" s="2"/>
      <c r="G340" s="2"/>
      <c r="H340" s="2"/>
      <c r="I340" s="2"/>
      <c r="J340" s="2"/>
      <c r="K340" s="2"/>
      <c r="L340" s="2"/>
      <c r="M340" s="2"/>
      <c r="N340" s="2"/>
      <c r="O340" s="2"/>
      <c r="P340" s="2"/>
      <c r="Q340" s="23"/>
      <c r="R340" s="23"/>
      <c r="S340" s="23"/>
      <c r="T340" s="23"/>
      <c r="U340" s="23"/>
      <c r="V340" s="23"/>
      <c r="W340" s="23"/>
      <c r="X340" s="23"/>
      <c r="Y340" s="23"/>
      <c r="Z340" s="23"/>
    </row>
    <row r="341">
      <c r="A341" s="2"/>
      <c r="B341" s="2"/>
      <c r="C341" s="2"/>
      <c r="D341" s="2"/>
      <c r="E341" s="2"/>
      <c r="F341" s="2"/>
      <c r="G341" s="2"/>
      <c r="H341" s="2"/>
      <c r="I341" s="2"/>
      <c r="J341" s="2"/>
      <c r="K341" s="2"/>
      <c r="L341" s="2"/>
      <c r="M341" s="2"/>
      <c r="N341" s="2"/>
      <c r="O341" s="2"/>
      <c r="P341" s="2"/>
      <c r="Q341" s="23"/>
      <c r="R341" s="23"/>
      <c r="S341" s="23"/>
      <c r="T341" s="23"/>
      <c r="U341" s="23"/>
      <c r="V341" s="23"/>
      <c r="W341" s="23"/>
      <c r="X341" s="23"/>
      <c r="Y341" s="23"/>
      <c r="Z341" s="23"/>
    </row>
    <row r="342">
      <c r="A342" s="2"/>
      <c r="B342" s="2"/>
      <c r="C342" s="2"/>
      <c r="D342" s="2"/>
      <c r="E342" s="2"/>
      <c r="F342" s="2"/>
      <c r="G342" s="2"/>
      <c r="H342" s="2"/>
      <c r="I342" s="2"/>
      <c r="J342" s="2"/>
      <c r="K342" s="2"/>
      <c r="L342" s="2"/>
      <c r="M342" s="2"/>
      <c r="N342" s="2"/>
      <c r="O342" s="2"/>
      <c r="P342" s="2"/>
      <c r="Q342" s="23"/>
      <c r="R342" s="23"/>
      <c r="S342" s="23"/>
      <c r="T342" s="23"/>
      <c r="U342" s="23"/>
      <c r="V342" s="23"/>
      <c r="W342" s="23"/>
      <c r="X342" s="23"/>
      <c r="Y342" s="23"/>
      <c r="Z342" s="23"/>
    </row>
    <row r="343">
      <c r="A343" s="2"/>
      <c r="B343" s="2"/>
      <c r="C343" s="2"/>
      <c r="D343" s="2"/>
      <c r="E343" s="2"/>
      <c r="F343" s="2"/>
      <c r="G343" s="2"/>
      <c r="H343" s="2"/>
      <c r="I343" s="2"/>
      <c r="J343" s="2"/>
      <c r="K343" s="2"/>
      <c r="L343" s="2"/>
      <c r="M343" s="2"/>
      <c r="N343" s="2"/>
      <c r="O343" s="2"/>
      <c r="P343" s="2"/>
      <c r="Q343" s="23"/>
      <c r="R343" s="23"/>
      <c r="S343" s="23"/>
      <c r="T343" s="23"/>
      <c r="U343" s="23"/>
      <c r="V343" s="23"/>
      <c r="W343" s="23"/>
      <c r="X343" s="23"/>
      <c r="Y343" s="23"/>
      <c r="Z343" s="23"/>
    </row>
    <row r="344">
      <c r="A344" s="2"/>
      <c r="B344" s="2"/>
      <c r="C344" s="2"/>
      <c r="D344" s="2"/>
      <c r="E344" s="2"/>
      <c r="F344" s="2"/>
      <c r="G344" s="2"/>
      <c r="H344" s="2"/>
      <c r="I344" s="2"/>
      <c r="J344" s="2"/>
      <c r="K344" s="2"/>
      <c r="L344" s="2"/>
      <c r="M344" s="2"/>
      <c r="N344" s="2"/>
      <c r="O344" s="2"/>
      <c r="P344" s="2"/>
      <c r="Q344" s="23"/>
      <c r="R344" s="23"/>
      <c r="S344" s="23"/>
      <c r="T344" s="23"/>
      <c r="U344" s="23"/>
      <c r="V344" s="23"/>
      <c r="W344" s="23"/>
      <c r="X344" s="23"/>
      <c r="Y344" s="23"/>
      <c r="Z344" s="23"/>
    </row>
    <row r="345">
      <c r="A345" s="2"/>
      <c r="B345" s="2"/>
      <c r="C345" s="2"/>
      <c r="D345" s="2"/>
      <c r="E345" s="2"/>
      <c r="F345" s="2"/>
      <c r="G345" s="2"/>
      <c r="H345" s="2"/>
      <c r="I345" s="2"/>
      <c r="J345" s="2"/>
      <c r="K345" s="2"/>
      <c r="L345" s="2"/>
      <c r="M345" s="2"/>
      <c r="N345" s="2"/>
      <c r="O345" s="2"/>
      <c r="P345" s="2"/>
      <c r="Q345" s="23"/>
      <c r="R345" s="23"/>
      <c r="S345" s="23"/>
      <c r="T345" s="23"/>
      <c r="U345" s="23"/>
      <c r="V345" s="23"/>
      <c r="W345" s="23"/>
      <c r="X345" s="23"/>
      <c r="Y345" s="23"/>
      <c r="Z345" s="23"/>
    </row>
    <row r="346">
      <c r="A346" s="2"/>
      <c r="B346" s="2"/>
      <c r="C346" s="2"/>
      <c r="D346" s="2"/>
      <c r="E346" s="2"/>
      <c r="F346" s="2"/>
      <c r="G346" s="2"/>
      <c r="H346" s="2"/>
      <c r="I346" s="2"/>
      <c r="J346" s="2"/>
      <c r="K346" s="2"/>
      <c r="L346" s="2"/>
      <c r="M346" s="2"/>
      <c r="N346" s="2"/>
      <c r="O346" s="2"/>
      <c r="P346" s="2"/>
      <c r="Q346" s="23"/>
      <c r="R346" s="23"/>
      <c r="S346" s="23"/>
      <c r="T346" s="23"/>
      <c r="U346" s="23"/>
      <c r="V346" s="23"/>
      <c r="W346" s="23"/>
      <c r="X346" s="23"/>
      <c r="Y346" s="23"/>
      <c r="Z346" s="23"/>
    </row>
    <row r="347">
      <c r="A347" s="2"/>
      <c r="B347" s="2"/>
      <c r="C347" s="2"/>
      <c r="D347" s="2"/>
      <c r="E347" s="2"/>
      <c r="F347" s="2"/>
      <c r="G347" s="2"/>
      <c r="H347" s="2"/>
      <c r="I347" s="2"/>
      <c r="J347" s="2"/>
      <c r="K347" s="2"/>
      <c r="L347" s="2"/>
      <c r="M347" s="2"/>
      <c r="N347" s="2"/>
      <c r="O347" s="2"/>
      <c r="P347" s="2"/>
      <c r="Q347" s="23"/>
      <c r="R347" s="23"/>
      <c r="S347" s="23"/>
      <c r="T347" s="23"/>
      <c r="U347" s="23"/>
      <c r="V347" s="23"/>
      <c r="W347" s="23"/>
      <c r="X347" s="23"/>
      <c r="Y347" s="23"/>
      <c r="Z347" s="23"/>
    </row>
    <row r="348">
      <c r="A348" s="2"/>
      <c r="B348" s="2"/>
      <c r="C348" s="2"/>
      <c r="D348" s="2"/>
      <c r="E348" s="2"/>
      <c r="F348" s="2"/>
      <c r="G348" s="2"/>
      <c r="H348" s="2"/>
      <c r="I348" s="2"/>
      <c r="J348" s="2"/>
      <c r="K348" s="2"/>
      <c r="L348" s="2"/>
      <c r="M348" s="2"/>
      <c r="N348" s="2"/>
      <c r="O348" s="2"/>
      <c r="P348" s="2"/>
      <c r="Q348" s="23"/>
      <c r="R348" s="23"/>
      <c r="S348" s="23"/>
      <c r="T348" s="23"/>
      <c r="U348" s="23"/>
      <c r="V348" s="23"/>
      <c r="W348" s="23"/>
      <c r="X348" s="23"/>
      <c r="Y348" s="23"/>
      <c r="Z348" s="23"/>
    </row>
    <row r="349">
      <c r="A349" s="2"/>
      <c r="B349" s="2"/>
      <c r="C349" s="2"/>
      <c r="D349" s="2"/>
      <c r="E349" s="2"/>
      <c r="F349" s="2"/>
      <c r="G349" s="2"/>
      <c r="H349" s="2"/>
      <c r="I349" s="2"/>
      <c r="J349" s="2"/>
      <c r="K349" s="2"/>
      <c r="L349" s="2"/>
      <c r="M349" s="2"/>
      <c r="N349" s="2"/>
      <c r="O349" s="2"/>
      <c r="P349" s="2"/>
      <c r="Q349" s="23"/>
      <c r="R349" s="23"/>
      <c r="S349" s="23"/>
      <c r="T349" s="23"/>
      <c r="U349" s="23"/>
      <c r="V349" s="23"/>
      <c r="W349" s="23"/>
      <c r="X349" s="23"/>
      <c r="Y349" s="23"/>
      <c r="Z349" s="23"/>
    </row>
    <row r="350">
      <c r="A350" s="2"/>
      <c r="B350" s="2"/>
      <c r="C350" s="2"/>
      <c r="D350" s="2"/>
      <c r="E350" s="2"/>
      <c r="F350" s="2"/>
      <c r="G350" s="2"/>
      <c r="H350" s="2"/>
      <c r="I350" s="2"/>
      <c r="J350" s="2"/>
      <c r="K350" s="2"/>
      <c r="L350" s="2"/>
      <c r="M350" s="2"/>
      <c r="N350" s="2"/>
      <c r="O350" s="2"/>
      <c r="P350" s="2"/>
      <c r="Q350" s="23"/>
      <c r="R350" s="23"/>
      <c r="S350" s="23"/>
      <c r="T350" s="23"/>
      <c r="U350" s="23"/>
      <c r="V350" s="23"/>
      <c r="W350" s="23"/>
      <c r="X350" s="23"/>
      <c r="Y350" s="23"/>
      <c r="Z350" s="23"/>
    </row>
    <row r="351">
      <c r="A351" s="2"/>
      <c r="B351" s="2"/>
      <c r="C351" s="2"/>
      <c r="D351" s="2"/>
      <c r="E351" s="2"/>
      <c r="F351" s="2"/>
      <c r="G351" s="2"/>
      <c r="H351" s="2"/>
      <c r="I351" s="2"/>
      <c r="J351" s="2"/>
      <c r="K351" s="2"/>
      <c r="L351" s="2"/>
      <c r="M351" s="2"/>
      <c r="N351" s="2"/>
      <c r="O351" s="2"/>
      <c r="P351" s="2"/>
      <c r="Q351" s="23"/>
      <c r="R351" s="23"/>
      <c r="S351" s="23"/>
      <c r="T351" s="23"/>
      <c r="U351" s="23"/>
      <c r="V351" s="23"/>
      <c r="W351" s="23"/>
      <c r="X351" s="23"/>
      <c r="Y351" s="23"/>
      <c r="Z351" s="23"/>
    </row>
    <row r="352">
      <c r="A352" s="2"/>
      <c r="B352" s="2"/>
      <c r="C352" s="2"/>
      <c r="D352" s="2"/>
      <c r="E352" s="2"/>
      <c r="F352" s="2"/>
      <c r="G352" s="2"/>
      <c r="H352" s="2"/>
      <c r="I352" s="2"/>
      <c r="J352" s="2"/>
      <c r="K352" s="2"/>
      <c r="L352" s="2"/>
      <c r="M352" s="2"/>
      <c r="N352" s="2"/>
      <c r="O352" s="2"/>
      <c r="P352" s="2"/>
      <c r="Q352" s="23"/>
      <c r="R352" s="23"/>
      <c r="S352" s="23"/>
      <c r="T352" s="23"/>
      <c r="U352" s="23"/>
      <c r="V352" s="23"/>
      <c r="W352" s="23"/>
      <c r="X352" s="23"/>
      <c r="Y352" s="23"/>
      <c r="Z352" s="23"/>
    </row>
    <row r="353">
      <c r="A353" s="2"/>
      <c r="B353" s="2"/>
      <c r="C353" s="2"/>
      <c r="D353" s="2"/>
      <c r="E353" s="2"/>
      <c r="F353" s="2"/>
      <c r="G353" s="2"/>
      <c r="H353" s="2"/>
      <c r="I353" s="2"/>
      <c r="J353" s="2"/>
      <c r="K353" s="2"/>
      <c r="L353" s="2"/>
      <c r="M353" s="2"/>
      <c r="N353" s="2"/>
      <c r="O353" s="2"/>
      <c r="P353" s="2"/>
      <c r="Q353" s="23"/>
      <c r="R353" s="23"/>
      <c r="S353" s="23"/>
      <c r="T353" s="23"/>
      <c r="U353" s="23"/>
      <c r="V353" s="23"/>
      <c r="W353" s="23"/>
      <c r="X353" s="23"/>
      <c r="Y353" s="23"/>
      <c r="Z353" s="23"/>
    </row>
    <row r="354">
      <c r="A354" s="2"/>
      <c r="B354" s="2"/>
      <c r="C354" s="2"/>
      <c r="D354" s="2"/>
      <c r="E354" s="2"/>
      <c r="F354" s="2"/>
      <c r="G354" s="2"/>
      <c r="H354" s="2"/>
      <c r="I354" s="2"/>
      <c r="J354" s="2"/>
      <c r="K354" s="2"/>
      <c r="L354" s="2"/>
      <c r="M354" s="2"/>
      <c r="N354" s="2"/>
      <c r="O354" s="2"/>
      <c r="P354" s="2"/>
      <c r="Q354" s="23"/>
      <c r="R354" s="23"/>
      <c r="S354" s="23"/>
      <c r="T354" s="23"/>
      <c r="U354" s="23"/>
      <c r="V354" s="23"/>
      <c r="W354" s="23"/>
      <c r="X354" s="23"/>
      <c r="Y354" s="23"/>
      <c r="Z354" s="23"/>
    </row>
    <row r="355">
      <c r="A355" s="2"/>
      <c r="B355" s="2"/>
      <c r="C355" s="2"/>
      <c r="D355" s="2"/>
      <c r="E355" s="2"/>
      <c r="F355" s="2"/>
      <c r="G355" s="2"/>
      <c r="H355" s="2"/>
      <c r="I355" s="2"/>
      <c r="J355" s="2"/>
      <c r="K355" s="2"/>
      <c r="L355" s="2"/>
      <c r="M355" s="2"/>
      <c r="N355" s="2"/>
      <c r="O355" s="2"/>
      <c r="P355" s="2"/>
      <c r="Q355" s="23"/>
      <c r="R355" s="23"/>
      <c r="S355" s="23"/>
      <c r="T355" s="23"/>
      <c r="U355" s="23"/>
      <c r="V355" s="23"/>
      <c r="W355" s="23"/>
      <c r="X355" s="23"/>
      <c r="Y355" s="23"/>
      <c r="Z355" s="23"/>
    </row>
    <row r="356">
      <c r="A356" s="2"/>
      <c r="B356" s="2"/>
      <c r="C356" s="2"/>
      <c r="D356" s="2"/>
      <c r="E356" s="2"/>
      <c r="F356" s="2"/>
      <c r="G356" s="2"/>
      <c r="H356" s="2"/>
      <c r="I356" s="2"/>
      <c r="J356" s="2"/>
      <c r="K356" s="2"/>
      <c r="L356" s="2"/>
      <c r="M356" s="2"/>
      <c r="N356" s="2"/>
      <c r="O356" s="2"/>
      <c r="P356" s="2"/>
      <c r="Q356" s="23"/>
      <c r="R356" s="23"/>
      <c r="S356" s="23"/>
      <c r="T356" s="23"/>
      <c r="U356" s="23"/>
      <c r="V356" s="23"/>
      <c r="W356" s="23"/>
      <c r="X356" s="23"/>
      <c r="Y356" s="23"/>
      <c r="Z356" s="23"/>
    </row>
    <row r="357">
      <c r="A357" s="2"/>
      <c r="B357" s="2"/>
      <c r="C357" s="2"/>
      <c r="D357" s="2"/>
      <c r="E357" s="2"/>
      <c r="F357" s="2"/>
      <c r="G357" s="2"/>
      <c r="H357" s="2"/>
      <c r="I357" s="2"/>
      <c r="J357" s="2"/>
      <c r="K357" s="2"/>
      <c r="L357" s="2"/>
      <c r="M357" s="2"/>
      <c r="N357" s="2"/>
      <c r="O357" s="2"/>
      <c r="P357" s="2"/>
      <c r="Q357" s="23"/>
      <c r="R357" s="23"/>
      <c r="S357" s="23"/>
      <c r="T357" s="23"/>
      <c r="U357" s="23"/>
      <c r="V357" s="23"/>
      <c r="W357" s="23"/>
      <c r="X357" s="23"/>
      <c r="Y357" s="23"/>
      <c r="Z357" s="23"/>
    </row>
    <row r="358">
      <c r="A358" s="2"/>
      <c r="B358" s="2"/>
      <c r="C358" s="2"/>
      <c r="D358" s="2"/>
      <c r="E358" s="2"/>
      <c r="F358" s="2"/>
      <c r="G358" s="2"/>
      <c r="H358" s="2"/>
      <c r="I358" s="2"/>
      <c r="J358" s="2"/>
      <c r="K358" s="2"/>
      <c r="L358" s="2"/>
      <c r="M358" s="2"/>
      <c r="N358" s="2"/>
      <c r="O358" s="2"/>
      <c r="P358" s="2"/>
      <c r="Q358" s="23"/>
      <c r="R358" s="23"/>
      <c r="S358" s="23"/>
      <c r="T358" s="23"/>
      <c r="U358" s="23"/>
      <c r="V358" s="23"/>
      <c r="W358" s="23"/>
      <c r="X358" s="23"/>
      <c r="Y358" s="23"/>
      <c r="Z358" s="23"/>
    </row>
    <row r="359">
      <c r="A359" s="2"/>
      <c r="B359" s="2"/>
      <c r="C359" s="2"/>
      <c r="D359" s="2"/>
      <c r="E359" s="2"/>
      <c r="F359" s="2"/>
      <c r="G359" s="2"/>
      <c r="H359" s="2"/>
      <c r="I359" s="2"/>
      <c r="J359" s="2"/>
      <c r="K359" s="2"/>
      <c r="L359" s="2"/>
      <c r="M359" s="2"/>
      <c r="N359" s="2"/>
      <c r="O359" s="2"/>
      <c r="P359" s="2"/>
      <c r="Q359" s="23"/>
      <c r="R359" s="23"/>
      <c r="S359" s="23"/>
      <c r="T359" s="23"/>
      <c r="U359" s="23"/>
      <c r="V359" s="23"/>
      <c r="W359" s="23"/>
      <c r="X359" s="23"/>
      <c r="Y359" s="23"/>
      <c r="Z359" s="23"/>
    </row>
    <row r="360">
      <c r="A360" s="2"/>
      <c r="B360" s="2"/>
      <c r="C360" s="2"/>
      <c r="D360" s="2"/>
      <c r="E360" s="2"/>
      <c r="F360" s="2"/>
      <c r="G360" s="2"/>
      <c r="H360" s="2"/>
      <c r="I360" s="2"/>
      <c r="J360" s="2"/>
      <c r="K360" s="2"/>
      <c r="L360" s="2"/>
      <c r="M360" s="2"/>
      <c r="N360" s="2"/>
      <c r="O360" s="2"/>
      <c r="P360" s="2"/>
      <c r="Q360" s="23"/>
      <c r="R360" s="23"/>
      <c r="S360" s="23"/>
      <c r="T360" s="23"/>
      <c r="U360" s="23"/>
      <c r="V360" s="23"/>
      <c r="W360" s="23"/>
      <c r="X360" s="23"/>
      <c r="Y360" s="23"/>
      <c r="Z360" s="23"/>
    </row>
    <row r="361">
      <c r="A361" s="2"/>
      <c r="B361" s="2"/>
      <c r="C361" s="2"/>
      <c r="D361" s="2"/>
      <c r="E361" s="2"/>
      <c r="F361" s="2"/>
      <c r="G361" s="2"/>
      <c r="H361" s="2"/>
      <c r="I361" s="2"/>
      <c r="J361" s="2"/>
      <c r="K361" s="2"/>
      <c r="L361" s="2"/>
      <c r="M361" s="2"/>
      <c r="N361" s="2"/>
      <c r="O361" s="2"/>
      <c r="P361" s="2"/>
      <c r="Q361" s="23"/>
      <c r="R361" s="23"/>
      <c r="S361" s="23"/>
      <c r="T361" s="23"/>
      <c r="U361" s="23"/>
      <c r="V361" s="23"/>
      <c r="W361" s="23"/>
      <c r="X361" s="23"/>
      <c r="Y361" s="23"/>
      <c r="Z361" s="23"/>
    </row>
    <row r="362">
      <c r="A362" s="2"/>
      <c r="B362" s="2"/>
      <c r="C362" s="2"/>
      <c r="D362" s="2"/>
      <c r="E362" s="2"/>
      <c r="F362" s="2"/>
      <c r="G362" s="2"/>
      <c r="H362" s="2"/>
      <c r="I362" s="2"/>
      <c r="J362" s="2"/>
      <c r="K362" s="2"/>
      <c r="L362" s="2"/>
      <c r="M362" s="2"/>
      <c r="N362" s="2"/>
      <c r="O362" s="2"/>
      <c r="P362" s="2"/>
      <c r="Q362" s="23"/>
      <c r="R362" s="23"/>
      <c r="S362" s="23"/>
      <c r="T362" s="23"/>
      <c r="U362" s="23"/>
      <c r="V362" s="23"/>
      <c r="W362" s="23"/>
      <c r="X362" s="23"/>
      <c r="Y362" s="23"/>
      <c r="Z362" s="23"/>
    </row>
    <row r="363">
      <c r="A363" s="2"/>
      <c r="B363" s="2"/>
      <c r="C363" s="2"/>
      <c r="D363" s="2"/>
      <c r="E363" s="2"/>
      <c r="F363" s="2"/>
      <c r="G363" s="2"/>
      <c r="H363" s="2"/>
      <c r="I363" s="2"/>
      <c r="J363" s="2"/>
      <c r="K363" s="2"/>
      <c r="L363" s="2"/>
      <c r="M363" s="2"/>
      <c r="N363" s="2"/>
      <c r="O363" s="2"/>
      <c r="P363" s="2"/>
      <c r="Q363" s="23"/>
      <c r="R363" s="23"/>
      <c r="S363" s="23"/>
      <c r="T363" s="23"/>
      <c r="U363" s="23"/>
      <c r="V363" s="23"/>
      <c r="W363" s="23"/>
      <c r="X363" s="23"/>
      <c r="Y363" s="23"/>
      <c r="Z363" s="23"/>
    </row>
    <row r="364">
      <c r="A364" s="2"/>
      <c r="B364" s="2"/>
      <c r="C364" s="2"/>
      <c r="D364" s="2"/>
      <c r="E364" s="2"/>
      <c r="F364" s="2"/>
      <c r="G364" s="2"/>
      <c r="H364" s="2"/>
      <c r="I364" s="2"/>
      <c r="J364" s="2"/>
      <c r="K364" s="2"/>
      <c r="L364" s="2"/>
      <c r="M364" s="2"/>
      <c r="N364" s="2"/>
      <c r="O364" s="2"/>
      <c r="P364" s="2"/>
      <c r="Q364" s="23"/>
      <c r="R364" s="23"/>
      <c r="S364" s="23"/>
      <c r="T364" s="23"/>
      <c r="U364" s="23"/>
      <c r="V364" s="23"/>
      <c r="W364" s="23"/>
      <c r="X364" s="23"/>
      <c r="Y364" s="23"/>
      <c r="Z364" s="23"/>
    </row>
    <row r="365">
      <c r="A365" s="2"/>
      <c r="B365" s="2"/>
      <c r="C365" s="2"/>
      <c r="D365" s="2"/>
      <c r="E365" s="2"/>
      <c r="F365" s="2"/>
      <c r="G365" s="2"/>
      <c r="H365" s="2"/>
      <c r="I365" s="2"/>
      <c r="J365" s="2"/>
      <c r="K365" s="2"/>
      <c r="L365" s="2"/>
      <c r="M365" s="2"/>
      <c r="N365" s="2"/>
      <c r="O365" s="2"/>
      <c r="P365" s="2"/>
      <c r="Q365" s="23"/>
      <c r="R365" s="23"/>
      <c r="S365" s="23"/>
      <c r="T365" s="23"/>
      <c r="U365" s="23"/>
      <c r="V365" s="23"/>
      <c r="W365" s="23"/>
      <c r="X365" s="23"/>
      <c r="Y365" s="23"/>
      <c r="Z365" s="23"/>
    </row>
    <row r="366">
      <c r="A366" s="2"/>
      <c r="B366" s="2"/>
      <c r="C366" s="2"/>
      <c r="D366" s="2"/>
      <c r="E366" s="2"/>
      <c r="F366" s="2"/>
      <c r="G366" s="2"/>
      <c r="H366" s="2"/>
      <c r="I366" s="2"/>
      <c r="J366" s="2"/>
      <c r="K366" s="2"/>
      <c r="L366" s="2"/>
      <c r="M366" s="2"/>
      <c r="N366" s="2"/>
      <c r="O366" s="2"/>
      <c r="P366" s="2"/>
      <c r="Q366" s="23"/>
      <c r="R366" s="23"/>
      <c r="S366" s="23"/>
      <c r="T366" s="23"/>
      <c r="U366" s="23"/>
      <c r="V366" s="23"/>
      <c r="W366" s="23"/>
      <c r="X366" s="23"/>
      <c r="Y366" s="23"/>
      <c r="Z366" s="23"/>
    </row>
    <row r="367">
      <c r="A367" s="2"/>
      <c r="B367" s="2"/>
      <c r="C367" s="2"/>
      <c r="D367" s="2"/>
      <c r="E367" s="2"/>
      <c r="F367" s="2"/>
      <c r="G367" s="2"/>
      <c r="H367" s="2"/>
      <c r="I367" s="2"/>
      <c r="J367" s="2"/>
      <c r="K367" s="2"/>
      <c r="L367" s="2"/>
      <c r="M367" s="2"/>
      <c r="N367" s="2"/>
      <c r="O367" s="2"/>
      <c r="P367" s="2"/>
      <c r="Q367" s="23"/>
      <c r="R367" s="23"/>
      <c r="S367" s="23"/>
      <c r="T367" s="23"/>
      <c r="U367" s="23"/>
      <c r="V367" s="23"/>
      <c r="W367" s="23"/>
      <c r="X367" s="23"/>
      <c r="Y367" s="23"/>
      <c r="Z367" s="23"/>
    </row>
    <row r="368">
      <c r="A368" s="2"/>
      <c r="B368" s="2"/>
      <c r="C368" s="2"/>
      <c r="D368" s="2"/>
      <c r="E368" s="2"/>
      <c r="F368" s="2"/>
      <c r="G368" s="2"/>
      <c r="H368" s="2"/>
      <c r="I368" s="2"/>
      <c r="J368" s="2"/>
      <c r="K368" s="2"/>
      <c r="L368" s="2"/>
      <c r="M368" s="2"/>
      <c r="N368" s="2"/>
      <c r="O368" s="2"/>
      <c r="P368" s="2"/>
      <c r="Q368" s="23"/>
      <c r="R368" s="23"/>
      <c r="S368" s="23"/>
      <c r="T368" s="23"/>
      <c r="U368" s="23"/>
      <c r="V368" s="23"/>
      <c r="W368" s="23"/>
      <c r="X368" s="23"/>
      <c r="Y368" s="23"/>
      <c r="Z368" s="23"/>
    </row>
    <row r="369">
      <c r="A369" s="2"/>
      <c r="B369" s="2"/>
      <c r="C369" s="2"/>
      <c r="D369" s="2"/>
      <c r="E369" s="2"/>
      <c r="F369" s="2"/>
      <c r="G369" s="2"/>
      <c r="H369" s="2"/>
      <c r="I369" s="2"/>
      <c r="J369" s="2"/>
      <c r="K369" s="2"/>
      <c r="L369" s="2"/>
      <c r="M369" s="2"/>
      <c r="N369" s="2"/>
      <c r="O369" s="2"/>
      <c r="P369" s="2"/>
      <c r="Q369" s="23"/>
      <c r="R369" s="23"/>
      <c r="S369" s="23"/>
      <c r="T369" s="23"/>
      <c r="U369" s="23"/>
      <c r="V369" s="23"/>
      <c r="W369" s="23"/>
      <c r="X369" s="23"/>
      <c r="Y369" s="23"/>
      <c r="Z369" s="23"/>
    </row>
    <row r="370">
      <c r="A370" s="2"/>
      <c r="B370" s="2"/>
      <c r="C370" s="2"/>
      <c r="D370" s="2"/>
      <c r="E370" s="2"/>
      <c r="F370" s="2"/>
      <c r="G370" s="2"/>
      <c r="H370" s="2"/>
      <c r="I370" s="2"/>
      <c r="J370" s="2"/>
      <c r="K370" s="2"/>
      <c r="L370" s="2"/>
      <c r="M370" s="2"/>
      <c r="N370" s="2"/>
      <c r="O370" s="2"/>
      <c r="P370" s="2"/>
      <c r="Q370" s="23"/>
      <c r="R370" s="23"/>
      <c r="S370" s="23"/>
      <c r="T370" s="23"/>
      <c r="U370" s="23"/>
      <c r="V370" s="23"/>
      <c r="W370" s="23"/>
      <c r="X370" s="23"/>
      <c r="Y370" s="23"/>
      <c r="Z370" s="23"/>
    </row>
    <row r="371">
      <c r="A371" s="2"/>
      <c r="B371" s="2"/>
      <c r="C371" s="2"/>
      <c r="D371" s="2"/>
      <c r="E371" s="2"/>
      <c r="F371" s="2"/>
      <c r="G371" s="2"/>
      <c r="H371" s="2"/>
      <c r="I371" s="2"/>
      <c r="J371" s="2"/>
      <c r="K371" s="2"/>
      <c r="L371" s="2"/>
      <c r="M371" s="2"/>
      <c r="N371" s="2"/>
      <c r="O371" s="2"/>
      <c r="P371" s="2"/>
      <c r="Q371" s="23"/>
      <c r="R371" s="23"/>
      <c r="S371" s="23"/>
      <c r="T371" s="23"/>
      <c r="U371" s="23"/>
      <c r="V371" s="23"/>
      <c r="W371" s="23"/>
      <c r="X371" s="23"/>
      <c r="Y371" s="23"/>
      <c r="Z371" s="23"/>
    </row>
    <row r="372">
      <c r="A372" s="2"/>
      <c r="B372" s="2"/>
      <c r="C372" s="2"/>
      <c r="D372" s="2"/>
      <c r="E372" s="2"/>
      <c r="F372" s="2"/>
      <c r="G372" s="2"/>
      <c r="H372" s="2"/>
      <c r="I372" s="2"/>
      <c r="J372" s="2"/>
      <c r="K372" s="2"/>
      <c r="L372" s="2"/>
      <c r="M372" s="2"/>
      <c r="N372" s="2"/>
      <c r="O372" s="2"/>
      <c r="P372" s="2"/>
      <c r="Q372" s="23"/>
      <c r="R372" s="23"/>
      <c r="S372" s="23"/>
      <c r="T372" s="23"/>
      <c r="U372" s="23"/>
      <c r="V372" s="23"/>
      <c r="W372" s="23"/>
      <c r="X372" s="23"/>
      <c r="Y372" s="23"/>
      <c r="Z372" s="23"/>
    </row>
    <row r="373">
      <c r="A373" s="2"/>
      <c r="B373" s="2"/>
      <c r="C373" s="2"/>
      <c r="D373" s="2"/>
      <c r="E373" s="2"/>
      <c r="F373" s="2"/>
      <c r="G373" s="2"/>
      <c r="H373" s="2"/>
      <c r="I373" s="2"/>
      <c r="J373" s="2"/>
      <c r="K373" s="2"/>
      <c r="L373" s="2"/>
      <c r="M373" s="2"/>
      <c r="N373" s="2"/>
      <c r="O373" s="2"/>
      <c r="P373" s="2"/>
      <c r="Q373" s="23"/>
      <c r="R373" s="23"/>
      <c r="S373" s="23"/>
      <c r="T373" s="23"/>
      <c r="U373" s="23"/>
      <c r="V373" s="23"/>
      <c r="W373" s="23"/>
      <c r="X373" s="23"/>
      <c r="Y373" s="23"/>
      <c r="Z373" s="23"/>
    </row>
    <row r="374">
      <c r="A374" s="2"/>
      <c r="B374" s="2"/>
      <c r="C374" s="2"/>
      <c r="D374" s="2"/>
      <c r="E374" s="2"/>
      <c r="F374" s="2"/>
      <c r="G374" s="2"/>
      <c r="H374" s="2"/>
      <c r="I374" s="2"/>
      <c r="J374" s="2"/>
      <c r="K374" s="2"/>
      <c r="L374" s="2"/>
      <c r="M374" s="2"/>
      <c r="N374" s="2"/>
      <c r="O374" s="2"/>
      <c r="P374" s="2"/>
      <c r="Q374" s="23"/>
      <c r="R374" s="23"/>
      <c r="S374" s="23"/>
      <c r="T374" s="23"/>
      <c r="U374" s="23"/>
      <c r="V374" s="23"/>
      <c r="W374" s="23"/>
      <c r="X374" s="23"/>
      <c r="Y374" s="23"/>
      <c r="Z374" s="23"/>
    </row>
    <row r="375">
      <c r="A375" s="2"/>
      <c r="B375" s="2"/>
      <c r="C375" s="2"/>
      <c r="D375" s="2"/>
      <c r="E375" s="2"/>
      <c r="F375" s="2"/>
      <c r="G375" s="2"/>
      <c r="H375" s="2"/>
      <c r="I375" s="2"/>
      <c r="J375" s="2"/>
      <c r="K375" s="2"/>
      <c r="L375" s="2"/>
      <c r="M375" s="2"/>
      <c r="N375" s="2"/>
      <c r="O375" s="2"/>
      <c r="P375" s="2"/>
      <c r="Q375" s="23"/>
      <c r="R375" s="23"/>
      <c r="S375" s="23"/>
      <c r="T375" s="23"/>
      <c r="U375" s="23"/>
      <c r="V375" s="23"/>
      <c r="W375" s="23"/>
      <c r="X375" s="23"/>
      <c r="Y375" s="23"/>
      <c r="Z375" s="23"/>
    </row>
    <row r="376">
      <c r="A376" s="2"/>
      <c r="B376" s="2"/>
      <c r="C376" s="2"/>
      <c r="D376" s="2"/>
      <c r="E376" s="2"/>
      <c r="F376" s="2"/>
      <c r="G376" s="2"/>
      <c r="H376" s="2"/>
      <c r="I376" s="2"/>
      <c r="J376" s="2"/>
      <c r="K376" s="2"/>
      <c r="L376" s="2"/>
      <c r="M376" s="2"/>
      <c r="N376" s="2"/>
      <c r="O376" s="2"/>
      <c r="P376" s="2"/>
      <c r="Q376" s="23"/>
      <c r="R376" s="23"/>
      <c r="S376" s="23"/>
      <c r="T376" s="23"/>
      <c r="U376" s="23"/>
      <c r="V376" s="23"/>
      <c r="W376" s="23"/>
      <c r="X376" s="23"/>
      <c r="Y376" s="23"/>
      <c r="Z376" s="23"/>
    </row>
    <row r="377">
      <c r="A377" s="2"/>
      <c r="B377" s="2"/>
      <c r="C377" s="2"/>
      <c r="D377" s="2"/>
      <c r="E377" s="2"/>
      <c r="F377" s="2"/>
      <c r="G377" s="2"/>
      <c r="H377" s="2"/>
      <c r="I377" s="2"/>
      <c r="J377" s="2"/>
      <c r="K377" s="2"/>
      <c r="L377" s="2"/>
      <c r="M377" s="2"/>
      <c r="N377" s="2"/>
      <c r="O377" s="2"/>
      <c r="P377" s="2"/>
      <c r="Q377" s="23"/>
      <c r="R377" s="23"/>
      <c r="S377" s="23"/>
      <c r="T377" s="23"/>
      <c r="U377" s="23"/>
      <c r="V377" s="23"/>
      <c r="W377" s="23"/>
      <c r="X377" s="23"/>
      <c r="Y377" s="23"/>
      <c r="Z377" s="23"/>
    </row>
    <row r="378">
      <c r="A378" s="2"/>
      <c r="B378" s="2"/>
      <c r="C378" s="2"/>
      <c r="D378" s="2"/>
      <c r="E378" s="2"/>
      <c r="F378" s="2"/>
      <c r="G378" s="2"/>
      <c r="H378" s="2"/>
      <c r="I378" s="2"/>
      <c r="J378" s="2"/>
      <c r="K378" s="2"/>
      <c r="L378" s="2"/>
      <c r="M378" s="2"/>
      <c r="N378" s="2"/>
      <c r="O378" s="2"/>
      <c r="P378" s="2"/>
      <c r="Q378" s="23"/>
      <c r="R378" s="23"/>
      <c r="S378" s="23"/>
      <c r="T378" s="23"/>
      <c r="U378" s="23"/>
      <c r="V378" s="23"/>
      <c r="W378" s="23"/>
      <c r="X378" s="23"/>
      <c r="Y378" s="23"/>
      <c r="Z378" s="23"/>
    </row>
    <row r="379">
      <c r="A379" s="2"/>
      <c r="B379" s="2"/>
      <c r="C379" s="2"/>
      <c r="D379" s="2"/>
      <c r="E379" s="2"/>
      <c r="F379" s="2"/>
      <c r="G379" s="2"/>
      <c r="H379" s="2"/>
      <c r="I379" s="2"/>
      <c r="J379" s="2"/>
      <c r="K379" s="2"/>
      <c r="L379" s="2"/>
      <c r="M379" s="2"/>
      <c r="N379" s="2"/>
      <c r="O379" s="2"/>
      <c r="P379" s="2"/>
      <c r="Q379" s="23"/>
      <c r="R379" s="23"/>
      <c r="S379" s="23"/>
      <c r="T379" s="23"/>
      <c r="U379" s="23"/>
      <c r="V379" s="23"/>
      <c r="W379" s="23"/>
      <c r="X379" s="23"/>
      <c r="Y379" s="23"/>
      <c r="Z379" s="23"/>
    </row>
    <row r="380">
      <c r="A380" s="2"/>
      <c r="B380" s="2"/>
      <c r="C380" s="2"/>
      <c r="D380" s="2"/>
      <c r="E380" s="2"/>
      <c r="F380" s="2"/>
      <c r="G380" s="2"/>
      <c r="H380" s="2"/>
      <c r="I380" s="2"/>
      <c r="J380" s="2"/>
      <c r="K380" s="2"/>
      <c r="L380" s="2"/>
      <c r="M380" s="2"/>
      <c r="N380" s="2"/>
      <c r="O380" s="2"/>
      <c r="P380" s="2"/>
      <c r="Q380" s="23"/>
      <c r="R380" s="23"/>
      <c r="S380" s="23"/>
      <c r="T380" s="23"/>
      <c r="U380" s="23"/>
      <c r="V380" s="23"/>
      <c r="W380" s="23"/>
      <c r="X380" s="23"/>
      <c r="Y380" s="23"/>
      <c r="Z380" s="23"/>
    </row>
    <row r="381">
      <c r="A381" s="2"/>
      <c r="B381" s="2"/>
      <c r="C381" s="2"/>
      <c r="D381" s="2"/>
      <c r="E381" s="2"/>
      <c r="F381" s="2"/>
      <c r="G381" s="2"/>
      <c r="H381" s="2"/>
      <c r="I381" s="2"/>
      <c r="J381" s="2"/>
      <c r="K381" s="2"/>
      <c r="L381" s="2"/>
      <c r="M381" s="2"/>
      <c r="N381" s="2"/>
      <c r="O381" s="2"/>
      <c r="P381" s="2"/>
      <c r="Q381" s="23"/>
      <c r="R381" s="23"/>
      <c r="S381" s="23"/>
      <c r="T381" s="23"/>
      <c r="U381" s="23"/>
      <c r="V381" s="23"/>
      <c r="W381" s="23"/>
      <c r="X381" s="23"/>
      <c r="Y381" s="23"/>
      <c r="Z381" s="23"/>
    </row>
    <row r="382">
      <c r="A382" s="2"/>
      <c r="B382" s="2"/>
      <c r="C382" s="2"/>
      <c r="D382" s="2"/>
      <c r="E382" s="2"/>
      <c r="F382" s="2"/>
      <c r="G382" s="2"/>
      <c r="H382" s="2"/>
      <c r="I382" s="2"/>
      <c r="J382" s="2"/>
      <c r="K382" s="2"/>
      <c r="L382" s="2"/>
      <c r="M382" s="2"/>
      <c r="N382" s="2"/>
      <c r="O382" s="2"/>
      <c r="P382" s="2"/>
      <c r="Q382" s="23"/>
      <c r="R382" s="23"/>
      <c r="S382" s="23"/>
      <c r="T382" s="23"/>
      <c r="U382" s="23"/>
      <c r="V382" s="23"/>
      <c r="W382" s="23"/>
      <c r="X382" s="23"/>
      <c r="Y382" s="23"/>
      <c r="Z382" s="23"/>
    </row>
    <row r="383">
      <c r="A383" s="2"/>
      <c r="B383" s="2"/>
      <c r="C383" s="2"/>
      <c r="D383" s="2"/>
      <c r="E383" s="2"/>
      <c r="F383" s="2"/>
      <c r="G383" s="2"/>
      <c r="H383" s="2"/>
      <c r="I383" s="2"/>
      <c r="J383" s="2"/>
      <c r="K383" s="2"/>
      <c r="L383" s="2"/>
      <c r="M383" s="2"/>
      <c r="N383" s="2"/>
      <c r="O383" s="2"/>
      <c r="P383" s="2"/>
      <c r="Q383" s="23"/>
      <c r="R383" s="23"/>
      <c r="S383" s="23"/>
      <c r="T383" s="23"/>
      <c r="U383" s="23"/>
      <c r="V383" s="23"/>
      <c r="W383" s="23"/>
      <c r="X383" s="23"/>
      <c r="Y383" s="23"/>
      <c r="Z383" s="23"/>
    </row>
    <row r="384">
      <c r="A384" s="2"/>
      <c r="B384" s="2"/>
      <c r="C384" s="2"/>
      <c r="D384" s="2"/>
      <c r="E384" s="2"/>
      <c r="F384" s="2"/>
      <c r="G384" s="2"/>
      <c r="H384" s="2"/>
      <c r="I384" s="2"/>
      <c r="J384" s="2"/>
      <c r="K384" s="2"/>
      <c r="L384" s="2"/>
      <c r="M384" s="2"/>
      <c r="N384" s="2"/>
      <c r="O384" s="2"/>
      <c r="P384" s="2"/>
      <c r="Q384" s="23"/>
      <c r="R384" s="23"/>
      <c r="S384" s="23"/>
      <c r="T384" s="23"/>
      <c r="U384" s="23"/>
      <c r="V384" s="23"/>
      <c r="W384" s="23"/>
      <c r="X384" s="23"/>
      <c r="Y384" s="23"/>
      <c r="Z384" s="23"/>
    </row>
    <row r="385">
      <c r="A385" s="2"/>
      <c r="B385" s="2"/>
      <c r="C385" s="2"/>
      <c r="D385" s="2"/>
      <c r="E385" s="2"/>
      <c r="F385" s="2"/>
      <c r="G385" s="2"/>
      <c r="H385" s="2"/>
      <c r="I385" s="2"/>
      <c r="J385" s="2"/>
      <c r="K385" s="2"/>
      <c r="L385" s="2"/>
      <c r="M385" s="2"/>
      <c r="N385" s="2"/>
      <c r="O385" s="2"/>
      <c r="P385" s="2"/>
      <c r="Q385" s="23"/>
      <c r="R385" s="23"/>
      <c r="S385" s="23"/>
      <c r="T385" s="23"/>
      <c r="U385" s="23"/>
      <c r="V385" s="23"/>
      <c r="W385" s="23"/>
      <c r="X385" s="23"/>
      <c r="Y385" s="23"/>
      <c r="Z385" s="23"/>
    </row>
    <row r="386">
      <c r="A386" s="2"/>
      <c r="B386" s="2"/>
      <c r="C386" s="2"/>
      <c r="D386" s="2"/>
      <c r="E386" s="2"/>
      <c r="F386" s="2"/>
      <c r="G386" s="2"/>
      <c r="H386" s="2"/>
      <c r="I386" s="2"/>
      <c r="J386" s="2"/>
      <c r="K386" s="2"/>
      <c r="L386" s="2"/>
      <c r="M386" s="2"/>
      <c r="N386" s="2"/>
      <c r="O386" s="2"/>
      <c r="P386" s="2"/>
      <c r="Q386" s="23"/>
      <c r="R386" s="23"/>
      <c r="S386" s="23"/>
      <c r="T386" s="23"/>
      <c r="U386" s="23"/>
      <c r="V386" s="23"/>
      <c r="W386" s="23"/>
      <c r="X386" s="23"/>
      <c r="Y386" s="23"/>
      <c r="Z386" s="23"/>
    </row>
    <row r="387">
      <c r="A387" s="2"/>
      <c r="B387" s="2"/>
      <c r="C387" s="2"/>
      <c r="D387" s="2"/>
      <c r="E387" s="2"/>
      <c r="F387" s="2"/>
      <c r="G387" s="2"/>
      <c r="H387" s="2"/>
      <c r="I387" s="2"/>
      <c r="J387" s="2"/>
      <c r="K387" s="2"/>
      <c r="L387" s="2"/>
      <c r="M387" s="2"/>
      <c r="N387" s="2"/>
      <c r="O387" s="2"/>
      <c r="P387" s="2"/>
      <c r="Q387" s="23"/>
      <c r="R387" s="23"/>
      <c r="S387" s="23"/>
      <c r="T387" s="23"/>
      <c r="U387" s="23"/>
      <c r="V387" s="23"/>
      <c r="W387" s="23"/>
      <c r="X387" s="23"/>
      <c r="Y387" s="23"/>
      <c r="Z387" s="23"/>
    </row>
    <row r="388">
      <c r="A388" s="2"/>
      <c r="B388" s="2"/>
      <c r="C388" s="2"/>
      <c r="D388" s="2"/>
      <c r="E388" s="2"/>
      <c r="F388" s="2"/>
      <c r="G388" s="2"/>
      <c r="H388" s="2"/>
      <c r="I388" s="2"/>
      <c r="J388" s="2"/>
      <c r="K388" s="2"/>
      <c r="L388" s="2"/>
      <c r="M388" s="2"/>
      <c r="N388" s="2"/>
      <c r="O388" s="2"/>
      <c r="P388" s="2"/>
      <c r="Q388" s="23"/>
      <c r="R388" s="23"/>
      <c r="S388" s="23"/>
      <c r="T388" s="23"/>
      <c r="U388" s="23"/>
      <c r="V388" s="23"/>
      <c r="W388" s="23"/>
      <c r="X388" s="23"/>
      <c r="Y388" s="23"/>
      <c r="Z388" s="23"/>
    </row>
    <row r="389">
      <c r="A389" s="2"/>
      <c r="B389" s="2"/>
      <c r="C389" s="2"/>
      <c r="D389" s="2"/>
      <c r="E389" s="2"/>
      <c r="F389" s="2"/>
      <c r="G389" s="2"/>
      <c r="H389" s="2"/>
      <c r="I389" s="2"/>
      <c r="J389" s="2"/>
      <c r="K389" s="2"/>
      <c r="L389" s="2"/>
      <c r="M389" s="2"/>
      <c r="N389" s="2"/>
      <c r="O389" s="2"/>
      <c r="P389" s="2"/>
      <c r="Q389" s="23"/>
      <c r="R389" s="23"/>
      <c r="S389" s="23"/>
      <c r="T389" s="23"/>
      <c r="U389" s="23"/>
      <c r="V389" s="23"/>
      <c r="W389" s="23"/>
      <c r="X389" s="23"/>
      <c r="Y389" s="23"/>
      <c r="Z389" s="23"/>
    </row>
    <row r="390">
      <c r="A390" s="2"/>
      <c r="B390" s="2"/>
      <c r="C390" s="2"/>
      <c r="D390" s="2"/>
      <c r="E390" s="2"/>
      <c r="F390" s="2"/>
      <c r="G390" s="2"/>
      <c r="H390" s="2"/>
      <c r="I390" s="2"/>
      <c r="J390" s="2"/>
      <c r="K390" s="2"/>
      <c r="L390" s="2"/>
      <c r="M390" s="2"/>
      <c r="N390" s="2"/>
      <c r="O390" s="2"/>
      <c r="P390" s="2"/>
      <c r="Q390" s="23"/>
      <c r="R390" s="23"/>
      <c r="S390" s="23"/>
      <c r="T390" s="23"/>
      <c r="U390" s="23"/>
      <c r="V390" s="23"/>
      <c r="W390" s="23"/>
      <c r="X390" s="23"/>
      <c r="Y390" s="23"/>
      <c r="Z390" s="23"/>
    </row>
    <row r="391">
      <c r="A391" s="2"/>
      <c r="B391" s="2"/>
      <c r="C391" s="2"/>
      <c r="D391" s="2"/>
      <c r="E391" s="2"/>
      <c r="F391" s="2"/>
      <c r="G391" s="2"/>
      <c r="H391" s="2"/>
      <c r="I391" s="2"/>
      <c r="J391" s="2"/>
      <c r="K391" s="2"/>
      <c r="L391" s="2"/>
      <c r="M391" s="2"/>
      <c r="N391" s="2"/>
      <c r="O391" s="2"/>
      <c r="P391" s="2"/>
      <c r="Q391" s="23"/>
      <c r="R391" s="23"/>
      <c r="S391" s="23"/>
      <c r="T391" s="23"/>
      <c r="U391" s="23"/>
      <c r="V391" s="23"/>
      <c r="W391" s="23"/>
      <c r="X391" s="23"/>
      <c r="Y391" s="23"/>
      <c r="Z391" s="23"/>
    </row>
    <row r="392">
      <c r="A392" s="2"/>
      <c r="B392" s="2"/>
      <c r="C392" s="2"/>
      <c r="D392" s="2"/>
      <c r="E392" s="2"/>
      <c r="F392" s="2"/>
      <c r="G392" s="2"/>
      <c r="H392" s="2"/>
      <c r="I392" s="2"/>
      <c r="J392" s="2"/>
      <c r="K392" s="2"/>
      <c r="L392" s="2"/>
      <c r="M392" s="2"/>
      <c r="N392" s="2"/>
      <c r="O392" s="2"/>
      <c r="P392" s="2"/>
      <c r="Q392" s="23"/>
      <c r="R392" s="23"/>
      <c r="S392" s="23"/>
      <c r="T392" s="23"/>
      <c r="U392" s="23"/>
      <c r="V392" s="23"/>
      <c r="W392" s="23"/>
      <c r="X392" s="23"/>
      <c r="Y392" s="23"/>
      <c r="Z392" s="23"/>
    </row>
    <row r="393">
      <c r="A393" s="2"/>
      <c r="B393" s="2"/>
      <c r="C393" s="2"/>
      <c r="D393" s="2"/>
      <c r="E393" s="2"/>
      <c r="F393" s="2"/>
      <c r="G393" s="2"/>
      <c r="H393" s="2"/>
      <c r="I393" s="2"/>
      <c r="J393" s="2"/>
      <c r="K393" s="2"/>
      <c r="L393" s="2"/>
      <c r="M393" s="2"/>
      <c r="N393" s="2"/>
      <c r="O393" s="2"/>
      <c r="P393" s="2"/>
      <c r="Q393" s="23"/>
      <c r="R393" s="23"/>
      <c r="S393" s="23"/>
      <c r="T393" s="23"/>
      <c r="U393" s="23"/>
      <c r="V393" s="23"/>
      <c r="W393" s="23"/>
      <c r="X393" s="23"/>
      <c r="Y393" s="23"/>
      <c r="Z393" s="23"/>
    </row>
    <row r="394">
      <c r="A394" s="2"/>
      <c r="B394" s="2"/>
      <c r="C394" s="2"/>
      <c r="D394" s="2"/>
      <c r="E394" s="2"/>
      <c r="F394" s="2"/>
      <c r="G394" s="2"/>
      <c r="H394" s="2"/>
      <c r="I394" s="2"/>
      <c r="J394" s="2"/>
      <c r="K394" s="2"/>
      <c r="L394" s="2"/>
      <c r="M394" s="2"/>
      <c r="N394" s="2"/>
      <c r="O394" s="2"/>
      <c r="P394" s="2"/>
      <c r="Q394" s="23"/>
      <c r="R394" s="23"/>
      <c r="S394" s="23"/>
      <c r="T394" s="23"/>
      <c r="U394" s="23"/>
      <c r="V394" s="23"/>
      <c r="W394" s="23"/>
      <c r="X394" s="23"/>
      <c r="Y394" s="23"/>
      <c r="Z394" s="23"/>
    </row>
    <row r="395">
      <c r="A395" s="2"/>
      <c r="B395" s="2"/>
      <c r="C395" s="2"/>
      <c r="D395" s="2"/>
      <c r="E395" s="2"/>
      <c r="F395" s="2"/>
      <c r="G395" s="2"/>
      <c r="H395" s="2"/>
      <c r="I395" s="2"/>
      <c r="J395" s="2"/>
      <c r="K395" s="2"/>
      <c r="L395" s="2"/>
      <c r="M395" s="2"/>
      <c r="N395" s="2"/>
      <c r="O395" s="2"/>
      <c r="P395" s="2"/>
      <c r="Q395" s="23"/>
      <c r="R395" s="23"/>
      <c r="S395" s="23"/>
      <c r="T395" s="23"/>
      <c r="U395" s="23"/>
      <c r="V395" s="23"/>
      <c r="W395" s="23"/>
      <c r="X395" s="23"/>
      <c r="Y395" s="23"/>
      <c r="Z395" s="23"/>
    </row>
    <row r="396">
      <c r="A396" s="2"/>
      <c r="B396" s="2"/>
      <c r="C396" s="2"/>
      <c r="D396" s="2"/>
      <c r="E396" s="2"/>
      <c r="F396" s="2"/>
      <c r="G396" s="2"/>
      <c r="H396" s="2"/>
      <c r="I396" s="2"/>
      <c r="J396" s="2"/>
      <c r="K396" s="2"/>
      <c r="L396" s="2"/>
      <c r="M396" s="2"/>
      <c r="N396" s="2"/>
      <c r="O396" s="2"/>
      <c r="P396" s="2"/>
      <c r="Q396" s="23"/>
      <c r="R396" s="23"/>
      <c r="S396" s="23"/>
      <c r="T396" s="23"/>
      <c r="U396" s="23"/>
      <c r="V396" s="23"/>
      <c r="W396" s="23"/>
      <c r="X396" s="23"/>
      <c r="Y396" s="23"/>
      <c r="Z396" s="23"/>
    </row>
    <row r="397">
      <c r="A397" s="2"/>
      <c r="B397" s="2"/>
      <c r="C397" s="2"/>
      <c r="D397" s="2"/>
      <c r="E397" s="2"/>
      <c r="F397" s="2"/>
      <c r="G397" s="2"/>
      <c r="H397" s="2"/>
      <c r="I397" s="2"/>
      <c r="J397" s="2"/>
      <c r="K397" s="2"/>
      <c r="L397" s="2"/>
      <c r="M397" s="2"/>
      <c r="N397" s="2"/>
      <c r="O397" s="2"/>
      <c r="P397" s="2"/>
      <c r="Q397" s="23"/>
      <c r="R397" s="23"/>
      <c r="S397" s="23"/>
      <c r="T397" s="23"/>
      <c r="U397" s="23"/>
      <c r="V397" s="23"/>
      <c r="W397" s="23"/>
      <c r="X397" s="23"/>
      <c r="Y397" s="23"/>
      <c r="Z397" s="23"/>
    </row>
    <row r="398">
      <c r="A398" s="2"/>
      <c r="B398" s="2"/>
      <c r="C398" s="2"/>
      <c r="D398" s="2"/>
      <c r="E398" s="2"/>
      <c r="F398" s="2"/>
      <c r="G398" s="2"/>
      <c r="H398" s="2"/>
      <c r="I398" s="2"/>
      <c r="J398" s="2"/>
      <c r="K398" s="2"/>
      <c r="L398" s="2"/>
      <c r="M398" s="2"/>
      <c r="N398" s="2"/>
      <c r="O398" s="2"/>
      <c r="P398" s="2"/>
      <c r="Q398" s="23"/>
      <c r="R398" s="23"/>
      <c r="S398" s="23"/>
      <c r="T398" s="23"/>
      <c r="U398" s="23"/>
      <c r="V398" s="23"/>
      <c r="W398" s="23"/>
      <c r="X398" s="23"/>
      <c r="Y398" s="23"/>
      <c r="Z398" s="23"/>
    </row>
    <row r="399">
      <c r="A399" s="2"/>
      <c r="B399" s="2"/>
      <c r="C399" s="2"/>
      <c r="D399" s="2"/>
      <c r="E399" s="2"/>
      <c r="F399" s="2"/>
      <c r="G399" s="2"/>
      <c r="H399" s="2"/>
      <c r="I399" s="2"/>
      <c r="J399" s="2"/>
      <c r="K399" s="2"/>
      <c r="L399" s="2"/>
      <c r="M399" s="2"/>
      <c r="N399" s="2"/>
      <c r="O399" s="2"/>
      <c r="P399" s="2"/>
      <c r="Q399" s="23"/>
      <c r="R399" s="23"/>
      <c r="S399" s="23"/>
      <c r="T399" s="23"/>
      <c r="U399" s="23"/>
      <c r="V399" s="23"/>
      <c r="W399" s="23"/>
      <c r="X399" s="23"/>
      <c r="Y399" s="23"/>
      <c r="Z399" s="23"/>
    </row>
    <row r="400">
      <c r="A400" s="2"/>
      <c r="B400" s="2"/>
      <c r="C400" s="2"/>
      <c r="D400" s="2"/>
      <c r="E400" s="2"/>
      <c r="F400" s="2"/>
      <c r="G400" s="2"/>
      <c r="H400" s="2"/>
      <c r="I400" s="2"/>
      <c r="J400" s="2"/>
      <c r="K400" s="2"/>
      <c r="L400" s="2"/>
      <c r="M400" s="2"/>
      <c r="N400" s="2"/>
      <c r="O400" s="2"/>
      <c r="P400" s="2"/>
      <c r="Q400" s="23"/>
      <c r="R400" s="23"/>
      <c r="S400" s="23"/>
      <c r="T400" s="23"/>
      <c r="U400" s="23"/>
      <c r="V400" s="23"/>
      <c r="W400" s="23"/>
      <c r="X400" s="23"/>
      <c r="Y400" s="23"/>
      <c r="Z400" s="23"/>
    </row>
    <row r="401">
      <c r="A401" s="2"/>
      <c r="B401" s="2"/>
      <c r="C401" s="2"/>
      <c r="D401" s="2"/>
      <c r="E401" s="2"/>
      <c r="F401" s="2"/>
      <c r="G401" s="2"/>
      <c r="H401" s="2"/>
      <c r="I401" s="2"/>
      <c r="J401" s="2"/>
      <c r="K401" s="2"/>
      <c r="L401" s="2"/>
      <c r="M401" s="2"/>
      <c r="N401" s="2"/>
      <c r="O401" s="2"/>
      <c r="P401" s="2"/>
      <c r="Q401" s="23"/>
      <c r="R401" s="23"/>
      <c r="S401" s="23"/>
      <c r="T401" s="23"/>
      <c r="U401" s="23"/>
      <c r="V401" s="23"/>
      <c r="W401" s="23"/>
      <c r="X401" s="23"/>
      <c r="Y401" s="23"/>
      <c r="Z401" s="23"/>
    </row>
    <row r="402">
      <c r="A402" s="2"/>
      <c r="B402" s="2"/>
      <c r="C402" s="2"/>
      <c r="D402" s="2"/>
      <c r="E402" s="2"/>
      <c r="F402" s="2"/>
      <c r="G402" s="2"/>
      <c r="H402" s="2"/>
      <c r="I402" s="2"/>
      <c r="J402" s="2"/>
      <c r="K402" s="2"/>
      <c r="L402" s="2"/>
      <c r="M402" s="2"/>
      <c r="N402" s="2"/>
      <c r="O402" s="2"/>
      <c r="P402" s="2"/>
      <c r="Q402" s="23"/>
      <c r="R402" s="23"/>
      <c r="S402" s="23"/>
      <c r="T402" s="23"/>
      <c r="U402" s="23"/>
      <c r="V402" s="23"/>
      <c r="W402" s="23"/>
      <c r="X402" s="23"/>
      <c r="Y402" s="23"/>
      <c r="Z402" s="23"/>
    </row>
    <row r="403">
      <c r="A403" s="2"/>
      <c r="B403" s="2"/>
      <c r="C403" s="2"/>
      <c r="D403" s="2"/>
      <c r="E403" s="2"/>
      <c r="F403" s="2"/>
      <c r="G403" s="2"/>
      <c r="H403" s="2"/>
      <c r="I403" s="2"/>
      <c r="J403" s="2"/>
      <c r="K403" s="2"/>
      <c r="L403" s="2"/>
      <c r="M403" s="2"/>
      <c r="N403" s="2"/>
      <c r="O403" s="2"/>
      <c r="P403" s="2"/>
      <c r="Q403" s="23"/>
      <c r="R403" s="23"/>
      <c r="S403" s="23"/>
      <c r="T403" s="23"/>
      <c r="U403" s="23"/>
      <c r="V403" s="23"/>
      <c r="W403" s="23"/>
      <c r="X403" s="23"/>
      <c r="Y403" s="23"/>
      <c r="Z403" s="23"/>
    </row>
    <row r="404">
      <c r="A404" s="2"/>
      <c r="B404" s="2"/>
      <c r="C404" s="2"/>
      <c r="D404" s="2"/>
      <c r="E404" s="2"/>
      <c r="F404" s="2"/>
      <c r="G404" s="2"/>
      <c r="H404" s="2"/>
      <c r="I404" s="2"/>
      <c r="J404" s="2"/>
      <c r="K404" s="2"/>
      <c r="L404" s="2"/>
      <c r="M404" s="2"/>
      <c r="N404" s="2"/>
      <c r="O404" s="2"/>
      <c r="P404" s="2"/>
      <c r="Q404" s="23"/>
      <c r="R404" s="23"/>
      <c r="S404" s="23"/>
      <c r="T404" s="23"/>
      <c r="U404" s="23"/>
      <c r="V404" s="23"/>
      <c r="W404" s="23"/>
      <c r="X404" s="23"/>
      <c r="Y404" s="23"/>
      <c r="Z404" s="23"/>
    </row>
    <row r="405">
      <c r="A405" s="2"/>
      <c r="B405" s="2"/>
      <c r="C405" s="2"/>
      <c r="D405" s="2"/>
      <c r="E405" s="2"/>
      <c r="F405" s="2"/>
      <c r="G405" s="2"/>
      <c r="H405" s="2"/>
      <c r="I405" s="2"/>
      <c r="J405" s="2"/>
      <c r="K405" s="2"/>
      <c r="L405" s="2"/>
      <c r="M405" s="2"/>
      <c r="N405" s="2"/>
      <c r="O405" s="2"/>
      <c r="P405" s="2"/>
      <c r="Q405" s="23"/>
      <c r="R405" s="23"/>
      <c r="S405" s="23"/>
      <c r="T405" s="23"/>
      <c r="U405" s="23"/>
      <c r="V405" s="23"/>
      <c r="W405" s="23"/>
      <c r="X405" s="23"/>
      <c r="Y405" s="23"/>
      <c r="Z405" s="23"/>
    </row>
    <row r="406">
      <c r="A406" s="2"/>
      <c r="B406" s="2"/>
      <c r="C406" s="2"/>
      <c r="D406" s="2"/>
      <c r="E406" s="2"/>
      <c r="F406" s="2"/>
      <c r="G406" s="2"/>
      <c r="H406" s="2"/>
      <c r="I406" s="2"/>
      <c r="J406" s="2"/>
      <c r="K406" s="2"/>
      <c r="L406" s="2"/>
      <c r="M406" s="2"/>
      <c r="N406" s="2"/>
      <c r="O406" s="2"/>
      <c r="P406" s="2"/>
      <c r="Q406" s="23"/>
      <c r="R406" s="23"/>
      <c r="S406" s="23"/>
      <c r="T406" s="23"/>
      <c r="U406" s="23"/>
      <c r="V406" s="23"/>
      <c r="W406" s="23"/>
      <c r="X406" s="23"/>
      <c r="Y406" s="23"/>
      <c r="Z406" s="23"/>
    </row>
    <row r="407">
      <c r="A407" s="2"/>
      <c r="B407" s="2"/>
      <c r="C407" s="2"/>
      <c r="D407" s="2"/>
      <c r="E407" s="2"/>
      <c r="F407" s="2"/>
      <c r="G407" s="2"/>
      <c r="H407" s="2"/>
      <c r="I407" s="2"/>
      <c r="J407" s="2"/>
      <c r="K407" s="2"/>
      <c r="L407" s="2"/>
      <c r="M407" s="2"/>
      <c r="N407" s="2"/>
      <c r="O407" s="2"/>
      <c r="P407" s="2"/>
      <c r="Q407" s="23"/>
      <c r="R407" s="23"/>
      <c r="S407" s="23"/>
      <c r="T407" s="23"/>
      <c r="U407" s="23"/>
      <c r="V407" s="23"/>
      <c r="W407" s="23"/>
      <c r="X407" s="23"/>
      <c r="Y407" s="23"/>
      <c r="Z407" s="23"/>
    </row>
    <row r="408">
      <c r="A408" s="2"/>
      <c r="B408" s="2"/>
      <c r="C408" s="2"/>
      <c r="D408" s="2"/>
      <c r="E408" s="2"/>
      <c r="F408" s="2"/>
      <c r="G408" s="2"/>
      <c r="H408" s="2"/>
      <c r="I408" s="2"/>
      <c r="J408" s="2"/>
      <c r="K408" s="2"/>
      <c r="L408" s="2"/>
      <c r="M408" s="2"/>
      <c r="N408" s="2"/>
      <c r="O408" s="2"/>
      <c r="P408" s="2"/>
      <c r="Q408" s="23"/>
      <c r="R408" s="23"/>
      <c r="S408" s="23"/>
      <c r="T408" s="23"/>
      <c r="U408" s="23"/>
      <c r="V408" s="23"/>
      <c r="W408" s="23"/>
      <c r="X408" s="23"/>
      <c r="Y408" s="23"/>
      <c r="Z408" s="23"/>
    </row>
    <row r="409">
      <c r="A409" s="2"/>
      <c r="B409" s="2"/>
      <c r="C409" s="2"/>
      <c r="D409" s="2"/>
      <c r="E409" s="2"/>
      <c r="F409" s="2"/>
      <c r="G409" s="2"/>
      <c r="H409" s="2"/>
      <c r="I409" s="2"/>
      <c r="J409" s="2"/>
      <c r="K409" s="2"/>
      <c r="L409" s="2"/>
      <c r="M409" s="2"/>
      <c r="N409" s="2"/>
      <c r="O409" s="2"/>
      <c r="P409" s="2"/>
      <c r="Q409" s="23"/>
      <c r="R409" s="23"/>
      <c r="S409" s="23"/>
      <c r="T409" s="23"/>
      <c r="U409" s="23"/>
      <c r="V409" s="23"/>
      <c r="W409" s="23"/>
      <c r="X409" s="23"/>
      <c r="Y409" s="23"/>
      <c r="Z409" s="23"/>
    </row>
    <row r="410">
      <c r="A410" s="2"/>
      <c r="B410" s="2"/>
      <c r="C410" s="2"/>
      <c r="D410" s="2"/>
      <c r="E410" s="2"/>
      <c r="F410" s="2"/>
      <c r="G410" s="2"/>
      <c r="H410" s="2"/>
      <c r="I410" s="2"/>
      <c r="J410" s="2"/>
      <c r="K410" s="2"/>
      <c r="L410" s="2"/>
      <c r="M410" s="2"/>
      <c r="N410" s="2"/>
      <c r="O410" s="2"/>
      <c r="P410" s="2"/>
      <c r="Q410" s="23"/>
      <c r="R410" s="23"/>
      <c r="S410" s="23"/>
      <c r="T410" s="23"/>
      <c r="U410" s="23"/>
      <c r="V410" s="23"/>
      <c r="W410" s="23"/>
      <c r="X410" s="23"/>
      <c r="Y410" s="23"/>
      <c r="Z410" s="23"/>
    </row>
    <row r="411">
      <c r="A411" s="2"/>
      <c r="B411" s="2"/>
      <c r="C411" s="2"/>
      <c r="D411" s="2"/>
      <c r="E411" s="2"/>
      <c r="F411" s="2"/>
      <c r="G411" s="2"/>
      <c r="H411" s="2"/>
      <c r="I411" s="2"/>
      <c r="J411" s="2"/>
      <c r="K411" s="2"/>
      <c r="L411" s="2"/>
      <c r="M411" s="2"/>
      <c r="N411" s="2"/>
      <c r="O411" s="2"/>
      <c r="P411" s="2"/>
      <c r="Q411" s="23"/>
      <c r="R411" s="23"/>
      <c r="S411" s="23"/>
      <c r="T411" s="23"/>
      <c r="U411" s="23"/>
      <c r="V411" s="23"/>
      <c r="W411" s="23"/>
      <c r="X411" s="23"/>
      <c r="Y411" s="23"/>
      <c r="Z411" s="23"/>
    </row>
    <row r="412">
      <c r="A412" s="2"/>
      <c r="B412" s="2"/>
      <c r="C412" s="2"/>
      <c r="D412" s="2"/>
      <c r="E412" s="2"/>
      <c r="F412" s="2"/>
      <c r="G412" s="2"/>
      <c r="H412" s="2"/>
      <c r="I412" s="2"/>
      <c r="J412" s="2"/>
      <c r="K412" s="2"/>
      <c r="L412" s="2"/>
      <c r="M412" s="2"/>
      <c r="N412" s="2"/>
      <c r="O412" s="2"/>
      <c r="P412" s="2"/>
      <c r="Q412" s="23"/>
      <c r="R412" s="23"/>
      <c r="S412" s="23"/>
      <c r="T412" s="23"/>
      <c r="U412" s="23"/>
      <c r="V412" s="23"/>
      <c r="W412" s="23"/>
      <c r="X412" s="23"/>
      <c r="Y412" s="23"/>
      <c r="Z412" s="23"/>
    </row>
    <row r="413">
      <c r="A413" s="2"/>
      <c r="B413" s="2"/>
      <c r="C413" s="2"/>
      <c r="D413" s="2"/>
      <c r="E413" s="2"/>
      <c r="F413" s="2"/>
      <c r="G413" s="2"/>
      <c r="H413" s="2"/>
      <c r="I413" s="2"/>
      <c r="J413" s="2"/>
      <c r="K413" s="2"/>
      <c r="L413" s="2"/>
      <c r="M413" s="2"/>
      <c r="N413" s="2"/>
      <c r="O413" s="2"/>
      <c r="P413" s="2"/>
      <c r="Q413" s="23"/>
      <c r="R413" s="23"/>
      <c r="S413" s="23"/>
      <c r="T413" s="23"/>
      <c r="U413" s="23"/>
      <c r="V413" s="23"/>
      <c r="W413" s="23"/>
      <c r="X413" s="23"/>
      <c r="Y413" s="23"/>
      <c r="Z413" s="23"/>
    </row>
    <row r="414">
      <c r="A414" s="2"/>
      <c r="B414" s="2"/>
      <c r="C414" s="2"/>
      <c r="D414" s="2"/>
      <c r="E414" s="2"/>
      <c r="F414" s="2"/>
      <c r="G414" s="2"/>
      <c r="H414" s="2"/>
      <c r="I414" s="2"/>
      <c r="J414" s="2"/>
      <c r="K414" s="2"/>
      <c r="L414" s="2"/>
      <c r="M414" s="2"/>
      <c r="N414" s="2"/>
      <c r="O414" s="2"/>
      <c r="P414" s="2"/>
      <c r="Q414" s="23"/>
      <c r="R414" s="23"/>
      <c r="S414" s="23"/>
      <c r="T414" s="23"/>
      <c r="U414" s="23"/>
      <c r="V414" s="23"/>
      <c r="W414" s="23"/>
      <c r="X414" s="23"/>
      <c r="Y414" s="23"/>
      <c r="Z414" s="23"/>
    </row>
    <row r="415">
      <c r="A415" s="2"/>
      <c r="B415" s="2"/>
      <c r="C415" s="2"/>
      <c r="D415" s="2"/>
      <c r="E415" s="2"/>
      <c r="F415" s="2"/>
      <c r="G415" s="2"/>
      <c r="H415" s="2"/>
      <c r="I415" s="2"/>
      <c r="J415" s="2"/>
      <c r="K415" s="2"/>
      <c r="L415" s="2"/>
      <c r="M415" s="2"/>
      <c r="N415" s="2"/>
      <c r="O415" s="2"/>
      <c r="P415" s="2"/>
      <c r="Q415" s="23"/>
      <c r="R415" s="23"/>
      <c r="S415" s="23"/>
      <c r="T415" s="23"/>
      <c r="U415" s="23"/>
      <c r="V415" s="23"/>
      <c r="W415" s="23"/>
      <c r="X415" s="23"/>
      <c r="Y415" s="23"/>
      <c r="Z415" s="23"/>
    </row>
    <row r="416">
      <c r="A416" s="2"/>
      <c r="B416" s="2"/>
      <c r="C416" s="2"/>
      <c r="D416" s="2"/>
      <c r="E416" s="2"/>
      <c r="F416" s="2"/>
      <c r="G416" s="2"/>
      <c r="H416" s="2"/>
      <c r="I416" s="2"/>
      <c r="J416" s="2"/>
      <c r="K416" s="2"/>
      <c r="L416" s="2"/>
      <c r="M416" s="2"/>
      <c r="N416" s="2"/>
      <c r="O416" s="2"/>
      <c r="P416" s="2"/>
      <c r="Q416" s="23"/>
      <c r="R416" s="23"/>
      <c r="S416" s="23"/>
      <c r="T416" s="23"/>
      <c r="U416" s="23"/>
      <c r="V416" s="23"/>
      <c r="W416" s="23"/>
      <c r="X416" s="23"/>
      <c r="Y416" s="23"/>
      <c r="Z416" s="23"/>
    </row>
    <row r="417">
      <c r="A417" s="2"/>
      <c r="B417" s="2"/>
      <c r="C417" s="2"/>
      <c r="D417" s="2"/>
      <c r="E417" s="2"/>
      <c r="F417" s="2"/>
      <c r="G417" s="2"/>
      <c r="H417" s="2"/>
      <c r="I417" s="2"/>
      <c r="J417" s="2"/>
      <c r="K417" s="2"/>
      <c r="L417" s="2"/>
      <c r="M417" s="2"/>
      <c r="N417" s="2"/>
      <c r="O417" s="2"/>
      <c r="P417" s="2"/>
      <c r="Q417" s="23"/>
      <c r="R417" s="23"/>
      <c r="S417" s="23"/>
      <c r="T417" s="23"/>
      <c r="U417" s="23"/>
      <c r="V417" s="23"/>
      <c r="W417" s="23"/>
      <c r="X417" s="23"/>
      <c r="Y417" s="23"/>
      <c r="Z417" s="23"/>
    </row>
    <row r="418">
      <c r="A418" s="2"/>
      <c r="B418" s="2"/>
      <c r="C418" s="2"/>
      <c r="D418" s="2"/>
      <c r="E418" s="2"/>
      <c r="F418" s="2"/>
      <c r="G418" s="2"/>
      <c r="H418" s="2"/>
      <c r="I418" s="2"/>
      <c r="J418" s="2"/>
      <c r="K418" s="2"/>
      <c r="L418" s="2"/>
      <c r="M418" s="2"/>
      <c r="N418" s="2"/>
      <c r="O418" s="2"/>
      <c r="P418" s="2"/>
      <c r="Q418" s="23"/>
      <c r="R418" s="23"/>
      <c r="S418" s="23"/>
      <c r="T418" s="23"/>
      <c r="U418" s="23"/>
      <c r="V418" s="23"/>
      <c r="W418" s="23"/>
      <c r="X418" s="23"/>
      <c r="Y418" s="23"/>
      <c r="Z418" s="23"/>
    </row>
    <row r="419">
      <c r="A419" s="2"/>
      <c r="B419" s="2"/>
      <c r="C419" s="2"/>
      <c r="D419" s="2"/>
      <c r="E419" s="2"/>
      <c r="F419" s="2"/>
      <c r="G419" s="2"/>
      <c r="H419" s="2"/>
      <c r="I419" s="2"/>
      <c r="J419" s="2"/>
      <c r="K419" s="2"/>
      <c r="L419" s="2"/>
      <c r="M419" s="2"/>
      <c r="N419" s="2"/>
      <c r="O419" s="2"/>
      <c r="P419" s="2"/>
      <c r="Q419" s="23"/>
      <c r="R419" s="23"/>
      <c r="S419" s="23"/>
      <c r="T419" s="23"/>
      <c r="U419" s="23"/>
      <c r="V419" s="23"/>
      <c r="W419" s="23"/>
      <c r="X419" s="23"/>
      <c r="Y419" s="23"/>
      <c r="Z419" s="23"/>
    </row>
    <row r="420">
      <c r="A420" s="2"/>
      <c r="B420" s="2"/>
      <c r="C420" s="2"/>
      <c r="D420" s="2"/>
      <c r="E420" s="2"/>
      <c r="F420" s="2"/>
      <c r="G420" s="2"/>
      <c r="H420" s="2"/>
      <c r="I420" s="2"/>
      <c r="J420" s="2"/>
      <c r="K420" s="2"/>
      <c r="L420" s="2"/>
      <c r="M420" s="2"/>
      <c r="N420" s="2"/>
      <c r="O420" s="2"/>
      <c r="P420" s="2"/>
      <c r="Q420" s="23"/>
      <c r="R420" s="23"/>
      <c r="S420" s="23"/>
      <c r="T420" s="23"/>
      <c r="U420" s="23"/>
      <c r="V420" s="23"/>
      <c r="W420" s="23"/>
      <c r="X420" s="23"/>
      <c r="Y420" s="23"/>
      <c r="Z420" s="23"/>
    </row>
    <row r="421">
      <c r="A421" s="2"/>
      <c r="B421" s="2"/>
      <c r="C421" s="2"/>
      <c r="D421" s="2"/>
      <c r="E421" s="2"/>
      <c r="F421" s="2"/>
      <c r="G421" s="2"/>
      <c r="H421" s="2"/>
      <c r="I421" s="2"/>
      <c r="J421" s="2"/>
      <c r="K421" s="2"/>
      <c r="L421" s="2"/>
      <c r="M421" s="2"/>
      <c r="N421" s="2"/>
      <c r="O421" s="2"/>
      <c r="P421" s="2"/>
      <c r="Q421" s="23"/>
      <c r="R421" s="23"/>
      <c r="S421" s="23"/>
      <c r="T421" s="23"/>
      <c r="U421" s="23"/>
      <c r="V421" s="23"/>
      <c r="W421" s="23"/>
      <c r="X421" s="23"/>
      <c r="Y421" s="23"/>
      <c r="Z421" s="23"/>
    </row>
    <row r="422">
      <c r="A422" s="2"/>
      <c r="B422" s="2"/>
      <c r="C422" s="2"/>
      <c r="D422" s="2"/>
      <c r="E422" s="2"/>
      <c r="F422" s="2"/>
      <c r="G422" s="2"/>
      <c r="H422" s="2"/>
      <c r="I422" s="2"/>
      <c r="J422" s="2"/>
      <c r="K422" s="2"/>
      <c r="L422" s="2"/>
      <c r="M422" s="2"/>
      <c r="N422" s="2"/>
      <c r="O422" s="2"/>
      <c r="P422" s="2"/>
      <c r="Q422" s="23"/>
      <c r="R422" s="23"/>
      <c r="S422" s="23"/>
      <c r="T422" s="23"/>
      <c r="U422" s="23"/>
      <c r="V422" s="23"/>
      <c r="W422" s="23"/>
      <c r="X422" s="23"/>
      <c r="Y422" s="23"/>
      <c r="Z422" s="23"/>
    </row>
    <row r="423">
      <c r="A423" s="2"/>
      <c r="B423" s="2"/>
      <c r="C423" s="2"/>
      <c r="D423" s="2"/>
      <c r="E423" s="2"/>
      <c r="F423" s="2"/>
      <c r="G423" s="2"/>
      <c r="H423" s="2"/>
      <c r="I423" s="2"/>
      <c r="J423" s="2"/>
      <c r="K423" s="2"/>
      <c r="L423" s="2"/>
      <c r="M423" s="2"/>
      <c r="N423" s="2"/>
      <c r="O423" s="2"/>
      <c r="P423" s="2"/>
      <c r="Q423" s="23"/>
      <c r="R423" s="23"/>
      <c r="S423" s="23"/>
      <c r="T423" s="23"/>
      <c r="U423" s="23"/>
      <c r="V423" s="23"/>
      <c r="W423" s="23"/>
      <c r="X423" s="23"/>
      <c r="Y423" s="23"/>
      <c r="Z423" s="23"/>
    </row>
    <row r="424">
      <c r="A424" s="2"/>
      <c r="B424" s="2"/>
      <c r="C424" s="2"/>
      <c r="D424" s="2"/>
      <c r="E424" s="2"/>
      <c r="F424" s="2"/>
      <c r="G424" s="2"/>
      <c r="H424" s="2"/>
      <c r="I424" s="2"/>
      <c r="J424" s="2"/>
      <c r="K424" s="2"/>
      <c r="L424" s="2"/>
      <c r="M424" s="2"/>
      <c r="N424" s="2"/>
      <c r="O424" s="2"/>
      <c r="P424" s="2"/>
      <c r="Q424" s="23"/>
      <c r="R424" s="23"/>
      <c r="S424" s="23"/>
      <c r="T424" s="23"/>
      <c r="U424" s="23"/>
      <c r="V424" s="23"/>
      <c r="W424" s="23"/>
      <c r="X424" s="23"/>
      <c r="Y424" s="23"/>
      <c r="Z424" s="23"/>
    </row>
    <row r="425">
      <c r="A425" s="2"/>
      <c r="B425" s="2"/>
      <c r="C425" s="2"/>
      <c r="D425" s="2"/>
      <c r="E425" s="2"/>
      <c r="F425" s="2"/>
      <c r="G425" s="2"/>
      <c r="H425" s="2"/>
      <c r="I425" s="2"/>
      <c r="J425" s="2"/>
      <c r="K425" s="2"/>
      <c r="L425" s="2"/>
      <c r="M425" s="2"/>
      <c r="N425" s="2"/>
      <c r="O425" s="2"/>
      <c r="P425" s="2"/>
      <c r="Q425" s="23"/>
      <c r="R425" s="23"/>
      <c r="S425" s="23"/>
      <c r="T425" s="23"/>
      <c r="U425" s="23"/>
      <c r="V425" s="23"/>
      <c r="W425" s="23"/>
      <c r="X425" s="23"/>
      <c r="Y425" s="23"/>
      <c r="Z425" s="23"/>
    </row>
    <row r="426">
      <c r="A426" s="2"/>
      <c r="B426" s="2"/>
      <c r="C426" s="2"/>
      <c r="D426" s="2"/>
      <c r="E426" s="2"/>
      <c r="F426" s="2"/>
      <c r="G426" s="2"/>
      <c r="H426" s="2"/>
      <c r="I426" s="2"/>
      <c r="J426" s="2"/>
      <c r="K426" s="2"/>
      <c r="L426" s="2"/>
      <c r="M426" s="2"/>
      <c r="N426" s="2"/>
      <c r="O426" s="2"/>
      <c r="P426" s="2"/>
      <c r="Q426" s="23"/>
      <c r="R426" s="23"/>
      <c r="S426" s="23"/>
      <c r="T426" s="23"/>
      <c r="U426" s="23"/>
      <c r="V426" s="23"/>
      <c r="W426" s="23"/>
      <c r="X426" s="23"/>
      <c r="Y426" s="23"/>
      <c r="Z426" s="23"/>
    </row>
    <row r="427">
      <c r="A427" s="2"/>
      <c r="B427" s="2"/>
      <c r="C427" s="2"/>
      <c r="D427" s="2"/>
      <c r="E427" s="2"/>
      <c r="F427" s="2"/>
      <c r="G427" s="2"/>
      <c r="H427" s="2"/>
      <c r="I427" s="2"/>
      <c r="J427" s="2"/>
      <c r="K427" s="2"/>
      <c r="L427" s="2"/>
      <c r="M427" s="2"/>
      <c r="N427" s="2"/>
      <c r="O427" s="2"/>
      <c r="P427" s="2"/>
      <c r="Q427" s="23"/>
      <c r="R427" s="23"/>
      <c r="S427" s="23"/>
      <c r="T427" s="23"/>
      <c r="U427" s="23"/>
      <c r="V427" s="23"/>
      <c r="W427" s="23"/>
      <c r="X427" s="23"/>
      <c r="Y427" s="23"/>
      <c r="Z427" s="23"/>
    </row>
    <row r="428">
      <c r="A428" s="2"/>
      <c r="B428" s="2"/>
      <c r="C428" s="2"/>
      <c r="D428" s="2"/>
      <c r="E428" s="2"/>
      <c r="F428" s="2"/>
      <c r="G428" s="2"/>
      <c r="H428" s="2"/>
      <c r="I428" s="2"/>
      <c r="J428" s="2"/>
      <c r="K428" s="2"/>
      <c r="L428" s="2"/>
      <c r="M428" s="2"/>
      <c r="N428" s="2"/>
      <c r="O428" s="2"/>
      <c r="P428" s="2"/>
      <c r="Q428" s="23"/>
      <c r="R428" s="23"/>
      <c r="S428" s="23"/>
      <c r="T428" s="23"/>
      <c r="U428" s="23"/>
      <c r="V428" s="23"/>
      <c r="W428" s="23"/>
      <c r="X428" s="23"/>
      <c r="Y428" s="23"/>
      <c r="Z428" s="23"/>
    </row>
    <row r="429">
      <c r="A429" s="2"/>
      <c r="B429" s="2"/>
      <c r="C429" s="2"/>
      <c r="D429" s="2"/>
      <c r="E429" s="2"/>
      <c r="F429" s="2"/>
      <c r="G429" s="2"/>
      <c r="H429" s="2"/>
      <c r="I429" s="2"/>
      <c r="J429" s="2"/>
      <c r="K429" s="2"/>
      <c r="L429" s="2"/>
      <c r="M429" s="2"/>
      <c r="N429" s="2"/>
      <c r="O429" s="2"/>
      <c r="P429" s="2"/>
      <c r="Q429" s="23"/>
      <c r="R429" s="23"/>
      <c r="S429" s="23"/>
      <c r="T429" s="23"/>
      <c r="U429" s="23"/>
      <c r="V429" s="23"/>
      <c r="W429" s="23"/>
      <c r="X429" s="23"/>
      <c r="Y429" s="23"/>
      <c r="Z429" s="23"/>
    </row>
    <row r="430">
      <c r="A430" s="2"/>
      <c r="B430" s="2"/>
      <c r="C430" s="2"/>
      <c r="D430" s="2"/>
      <c r="E430" s="2"/>
      <c r="F430" s="2"/>
      <c r="G430" s="2"/>
      <c r="H430" s="2"/>
      <c r="I430" s="2"/>
      <c r="J430" s="2"/>
      <c r="K430" s="2"/>
      <c r="L430" s="2"/>
      <c r="M430" s="2"/>
      <c r="N430" s="2"/>
      <c r="O430" s="2"/>
      <c r="P430" s="2"/>
      <c r="Q430" s="23"/>
      <c r="R430" s="23"/>
      <c r="S430" s="23"/>
      <c r="T430" s="23"/>
      <c r="U430" s="23"/>
      <c r="V430" s="23"/>
      <c r="W430" s="23"/>
      <c r="X430" s="23"/>
      <c r="Y430" s="23"/>
      <c r="Z430" s="23"/>
    </row>
    <row r="431">
      <c r="A431" s="2"/>
      <c r="B431" s="2"/>
      <c r="C431" s="2"/>
      <c r="D431" s="2"/>
      <c r="E431" s="2"/>
      <c r="F431" s="2"/>
      <c r="G431" s="2"/>
      <c r="H431" s="2"/>
      <c r="I431" s="2"/>
      <c r="J431" s="2"/>
      <c r="K431" s="2"/>
      <c r="L431" s="2"/>
      <c r="M431" s="2"/>
      <c r="N431" s="2"/>
      <c r="O431" s="2"/>
      <c r="P431" s="2"/>
      <c r="Q431" s="23"/>
      <c r="R431" s="23"/>
      <c r="S431" s="23"/>
      <c r="T431" s="23"/>
      <c r="U431" s="23"/>
      <c r="V431" s="23"/>
      <c r="W431" s="23"/>
      <c r="X431" s="23"/>
      <c r="Y431" s="23"/>
      <c r="Z431" s="23"/>
    </row>
    <row r="432">
      <c r="A432" s="2"/>
      <c r="B432" s="2"/>
      <c r="C432" s="2"/>
      <c r="D432" s="2"/>
      <c r="E432" s="2"/>
      <c r="F432" s="2"/>
      <c r="G432" s="2"/>
      <c r="H432" s="2"/>
      <c r="I432" s="2"/>
      <c r="J432" s="2"/>
      <c r="K432" s="2"/>
      <c r="L432" s="2"/>
      <c r="M432" s="2"/>
      <c r="N432" s="2"/>
      <c r="O432" s="2"/>
      <c r="P432" s="2"/>
      <c r="Q432" s="23"/>
      <c r="R432" s="23"/>
      <c r="S432" s="23"/>
      <c r="T432" s="23"/>
      <c r="U432" s="23"/>
      <c r="V432" s="23"/>
      <c r="W432" s="23"/>
      <c r="X432" s="23"/>
      <c r="Y432" s="23"/>
      <c r="Z432" s="23"/>
    </row>
    <row r="433">
      <c r="A433" s="2"/>
      <c r="B433" s="2"/>
      <c r="C433" s="2"/>
      <c r="D433" s="2"/>
      <c r="E433" s="2"/>
      <c r="F433" s="2"/>
      <c r="G433" s="2"/>
      <c r="H433" s="2"/>
      <c r="I433" s="2"/>
      <c r="J433" s="2"/>
      <c r="K433" s="2"/>
      <c r="L433" s="2"/>
      <c r="M433" s="2"/>
      <c r="N433" s="2"/>
      <c r="O433" s="2"/>
      <c r="P433" s="2"/>
      <c r="Q433" s="23"/>
      <c r="R433" s="23"/>
      <c r="S433" s="23"/>
      <c r="T433" s="23"/>
      <c r="U433" s="23"/>
      <c r="V433" s="23"/>
      <c r="W433" s="23"/>
      <c r="X433" s="23"/>
      <c r="Y433" s="23"/>
      <c r="Z433" s="23"/>
    </row>
    <row r="434">
      <c r="A434" s="2"/>
      <c r="B434" s="2"/>
      <c r="C434" s="2"/>
      <c r="D434" s="2"/>
      <c r="E434" s="2"/>
      <c r="F434" s="2"/>
      <c r="G434" s="2"/>
      <c r="H434" s="2"/>
      <c r="I434" s="2"/>
      <c r="J434" s="2"/>
      <c r="K434" s="2"/>
      <c r="L434" s="2"/>
      <c r="M434" s="2"/>
      <c r="N434" s="2"/>
      <c r="O434" s="2"/>
      <c r="P434" s="2"/>
      <c r="Q434" s="23"/>
      <c r="R434" s="23"/>
      <c r="S434" s="23"/>
      <c r="T434" s="23"/>
      <c r="U434" s="23"/>
      <c r="V434" s="23"/>
      <c r="W434" s="23"/>
      <c r="X434" s="23"/>
      <c r="Y434" s="23"/>
      <c r="Z434" s="23"/>
    </row>
    <row r="435">
      <c r="A435" s="2"/>
      <c r="B435" s="2"/>
      <c r="C435" s="2"/>
      <c r="D435" s="2"/>
      <c r="E435" s="2"/>
      <c r="F435" s="2"/>
      <c r="G435" s="2"/>
      <c r="H435" s="2"/>
      <c r="I435" s="2"/>
      <c r="J435" s="2"/>
      <c r="K435" s="2"/>
      <c r="L435" s="2"/>
      <c r="M435" s="2"/>
      <c r="N435" s="2"/>
      <c r="O435" s="2"/>
      <c r="P435" s="2"/>
      <c r="Q435" s="23"/>
      <c r="R435" s="23"/>
      <c r="S435" s="23"/>
      <c r="T435" s="23"/>
      <c r="U435" s="23"/>
      <c r="V435" s="23"/>
      <c r="W435" s="23"/>
      <c r="X435" s="23"/>
      <c r="Y435" s="23"/>
      <c r="Z435" s="23"/>
    </row>
    <row r="436">
      <c r="A436" s="2"/>
      <c r="B436" s="2"/>
      <c r="C436" s="2"/>
      <c r="D436" s="2"/>
      <c r="E436" s="2"/>
      <c r="F436" s="2"/>
      <c r="G436" s="2"/>
      <c r="H436" s="2"/>
      <c r="I436" s="2"/>
      <c r="J436" s="2"/>
      <c r="K436" s="2"/>
      <c r="L436" s="2"/>
      <c r="M436" s="2"/>
      <c r="N436" s="2"/>
      <c r="O436" s="2"/>
      <c r="P436" s="2"/>
      <c r="Q436" s="23"/>
      <c r="R436" s="23"/>
      <c r="S436" s="23"/>
      <c r="T436" s="23"/>
      <c r="U436" s="23"/>
      <c r="V436" s="23"/>
      <c r="W436" s="23"/>
      <c r="X436" s="23"/>
      <c r="Y436" s="23"/>
      <c r="Z436" s="23"/>
    </row>
    <row r="437">
      <c r="A437" s="2"/>
      <c r="B437" s="2"/>
      <c r="C437" s="2"/>
      <c r="D437" s="2"/>
      <c r="E437" s="2"/>
      <c r="F437" s="2"/>
      <c r="G437" s="2"/>
      <c r="H437" s="2"/>
      <c r="I437" s="2"/>
      <c r="J437" s="2"/>
      <c r="K437" s="2"/>
      <c r="L437" s="2"/>
      <c r="M437" s="2"/>
      <c r="N437" s="2"/>
      <c r="O437" s="2"/>
      <c r="P437" s="2"/>
      <c r="Q437" s="23"/>
      <c r="R437" s="23"/>
      <c r="S437" s="23"/>
      <c r="T437" s="23"/>
      <c r="U437" s="23"/>
      <c r="V437" s="23"/>
      <c r="W437" s="23"/>
      <c r="X437" s="23"/>
      <c r="Y437" s="23"/>
      <c r="Z437" s="23"/>
    </row>
    <row r="438">
      <c r="A438" s="2"/>
      <c r="B438" s="2"/>
      <c r="C438" s="2"/>
      <c r="D438" s="2"/>
      <c r="E438" s="2"/>
      <c r="F438" s="2"/>
      <c r="G438" s="2"/>
      <c r="H438" s="2"/>
      <c r="I438" s="2"/>
      <c r="J438" s="2"/>
      <c r="K438" s="2"/>
      <c r="L438" s="2"/>
      <c r="M438" s="2"/>
      <c r="N438" s="2"/>
      <c r="O438" s="2"/>
      <c r="P438" s="2"/>
      <c r="Q438" s="23"/>
      <c r="R438" s="23"/>
      <c r="S438" s="23"/>
      <c r="T438" s="23"/>
      <c r="U438" s="23"/>
      <c r="V438" s="23"/>
      <c r="W438" s="23"/>
      <c r="X438" s="23"/>
      <c r="Y438" s="23"/>
      <c r="Z438" s="23"/>
    </row>
    <row r="439">
      <c r="A439" s="2"/>
      <c r="B439" s="2"/>
      <c r="C439" s="2"/>
      <c r="D439" s="2"/>
      <c r="E439" s="2"/>
      <c r="F439" s="2"/>
      <c r="G439" s="2"/>
      <c r="H439" s="2"/>
      <c r="I439" s="2"/>
      <c r="J439" s="2"/>
      <c r="K439" s="2"/>
      <c r="L439" s="2"/>
      <c r="M439" s="2"/>
      <c r="N439" s="2"/>
      <c r="O439" s="2"/>
      <c r="P439" s="2"/>
      <c r="Q439" s="23"/>
      <c r="R439" s="23"/>
      <c r="S439" s="23"/>
      <c r="T439" s="23"/>
      <c r="U439" s="23"/>
      <c r="V439" s="23"/>
      <c r="W439" s="23"/>
      <c r="X439" s="23"/>
      <c r="Y439" s="23"/>
      <c r="Z439" s="23"/>
    </row>
    <row r="440">
      <c r="A440" s="2"/>
      <c r="B440" s="2"/>
      <c r="C440" s="2"/>
      <c r="D440" s="2"/>
      <c r="E440" s="2"/>
      <c r="F440" s="2"/>
      <c r="G440" s="2"/>
      <c r="H440" s="2"/>
      <c r="I440" s="2"/>
      <c r="J440" s="2"/>
      <c r="K440" s="2"/>
      <c r="L440" s="2"/>
      <c r="M440" s="2"/>
      <c r="N440" s="2"/>
      <c r="O440" s="2"/>
      <c r="P440" s="2"/>
      <c r="Q440" s="23"/>
      <c r="R440" s="23"/>
      <c r="S440" s="23"/>
      <c r="T440" s="23"/>
      <c r="U440" s="23"/>
      <c r="V440" s="23"/>
      <c r="W440" s="23"/>
      <c r="X440" s="23"/>
      <c r="Y440" s="23"/>
      <c r="Z440" s="23"/>
    </row>
    <row r="441">
      <c r="A441" s="2"/>
      <c r="B441" s="2"/>
      <c r="C441" s="2"/>
      <c r="D441" s="2"/>
      <c r="E441" s="2"/>
      <c r="F441" s="2"/>
      <c r="G441" s="2"/>
      <c r="H441" s="2"/>
      <c r="I441" s="2"/>
      <c r="J441" s="2"/>
      <c r="K441" s="2"/>
      <c r="L441" s="2"/>
      <c r="M441" s="2"/>
      <c r="N441" s="2"/>
      <c r="O441" s="2"/>
      <c r="P441" s="2"/>
      <c r="Q441" s="23"/>
      <c r="R441" s="23"/>
      <c r="S441" s="23"/>
      <c r="T441" s="23"/>
      <c r="U441" s="23"/>
      <c r="V441" s="23"/>
      <c r="W441" s="23"/>
      <c r="X441" s="23"/>
      <c r="Y441" s="23"/>
      <c r="Z441" s="23"/>
    </row>
    <row r="442">
      <c r="A442" s="2"/>
      <c r="B442" s="2"/>
      <c r="C442" s="2"/>
      <c r="D442" s="2"/>
      <c r="E442" s="2"/>
      <c r="F442" s="2"/>
      <c r="G442" s="2"/>
      <c r="H442" s="2"/>
      <c r="I442" s="2"/>
      <c r="J442" s="2"/>
      <c r="K442" s="2"/>
      <c r="L442" s="2"/>
      <c r="M442" s="2"/>
      <c r="N442" s="2"/>
      <c r="O442" s="2"/>
      <c r="P442" s="2"/>
      <c r="Q442" s="23"/>
      <c r="R442" s="23"/>
      <c r="S442" s="23"/>
      <c r="T442" s="23"/>
      <c r="U442" s="23"/>
      <c r="V442" s="23"/>
      <c r="W442" s="23"/>
      <c r="X442" s="23"/>
      <c r="Y442" s="23"/>
      <c r="Z442" s="23"/>
    </row>
    <row r="443">
      <c r="A443" s="2"/>
      <c r="B443" s="2"/>
      <c r="C443" s="2"/>
      <c r="D443" s="2"/>
      <c r="E443" s="2"/>
      <c r="F443" s="2"/>
      <c r="G443" s="2"/>
      <c r="H443" s="2"/>
      <c r="I443" s="2"/>
      <c r="J443" s="2"/>
      <c r="K443" s="2"/>
      <c r="L443" s="2"/>
      <c r="M443" s="2"/>
      <c r="N443" s="2"/>
      <c r="O443" s="2"/>
      <c r="P443" s="2"/>
      <c r="Q443" s="23"/>
      <c r="R443" s="23"/>
      <c r="S443" s="23"/>
      <c r="T443" s="23"/>
      <c r="U443" s="23"/>
      <c r="V443" s="23"/>
      <c r="W443" s="23"/>
      <c r="X443" s="23"/>
      <c r="Y443" s="23"/>
      <c r="Z443" s="23"/>
    </row>
    <row r="444">
      <c r="A444" s="2"/>
      <c r="B444" s="2"/>
      <c r="C444" s="2"/>
      <c r="D444" s="2"/>
      <c r="E444" s="2"/>
      <c r="F444" s="2"/>
      <c r="G444" s="2"/>
      <c r="H444" s="2"/>
      <c r="I444" s="2"/>
      <c r="J444" s="2"/>
      <c r="K444" s="2"/>
      <c r="L444" s="2"/>
      <c r="M444" s="2"/>
      <c r="N444" s="2"/>
      <c r="O444" s="2"/>
      <c r="P444" s="2"/>
      <c r="Q444" s="23"/>
      <c r="R444" s="23"/>
      <c r="S444" s="23"/>
      <c r="T444" s="23"/>
      <c r="U444" s="23"/>
      <c r="V444" s="23"/>
      <c r="W444" s="23"/>
      <c r="X444" s="23"/>
      <c r="Y444" s="23"/>
      <c r="Z444" s="23"/>
    </row>
    <row r="445">
      <c r="A445" s="2"/>
      <c r="B445" s="2"/>
      <c r="C445" s="2"/>
      <c r="D445" s="2"/>
      <c r="E445" s="2"/>
      <c r="F445" s="2"/>
      <c r="G445" s="2"/>
      <c r="H445" s="2"/>
      <c r="I445" s="2"/>
      <c r="J445" s="2"/>
      <c r="K445" s="2"/>
      <c r="L445" s="2"/>
      <c r="M445" s="2"/>
      <c r="N445" s="2"/>
      <c r="O445" s="2"/>
      <c r="P445" s="2"/>
      <c r="Q445" s="23"/>
      <c r="R445" s="23"/>
      <c r="S445" s="23"/>
      <c r="T445" s="23"/>
      <c r="U445" s="23"/>
      <c r="V445" s="23"/>
      <c r="W445" s="23"/>
      <c r="X445" s="23"/>
      <c r="Y445" s="23"/>
      <c r="Z445" s="23"/>
    </row>
    <row r="446">
      <c r="A446" s="2"/>
      <c r="B446" s="2"/>
      <c r="C446" s="2"/>
      <c r="D446" s="2"/>
      <c r="E446" s="2"/>
      <c r="F446" s="2"/>
      <c r="G446" s="2"/>
      <c r="H446" s="2"/>
      <c r="I446" s="2"/>
      <c r="J446" s="2"/>
      <c r="K446" s="2"/>
      <c r="L446" s="2"/>
      <c r="M446" s="2"/>
      <c r="N446" s="2"/>
      <c r="O446" s="2"/>
      <c r="P446" s="2"/>
      <c r="Q446" s="23"/>
      <c r="R446" s="23"/>
      <c r="S446" s="23"/>
      <c r="T446" s="23"/>
      <c r="U446" s="23"/>
      <c r="V446" s="23"/>
      <c r="W446" s="23"/>
      <c r="X446" s="23"/>
      <c r="Y446" s="23"/>
      <c r="Z446" s="23"/>
    </row>
    <row r="447">
      <c r="A447" s="2"/>
      <c r="B447" s="2"/>
      <c r="C447" s="2"/>
      <c r="D447" s="2"/>
      <c r="E447" s="2"/>
      <c r="F447" s="2"/>
      <c r="G447" s="2"/>
      <c r="H447" s="2"/>
      <c r="I447" s="2"/>
      <c r="J447" s="2"/>
      <c r="K447" s="2"/>
      <c r="L447" s="2"/>
      <c r="M447" s="2"/>
      <c r="N447" s="2"/>
      <c r="O447" s="2"/>
      <c r="P447" s="2"/>
      <c r="Q447" s="23"/>
      <c r="R447" s="23"/>
      <c r="S447" s="23"/>
      <c r="T447" s="23"/>
      <c r="U447" s="23"/>
      <c r="V447" s="23"/>
      <c r="W447" s="23"/>
      <c r="X447" s="23"/>
      <c r="Y447" s="23"/>
      <c r="Z447" s="23"/>
    </row>
    <row r="448">
      <c r="A448" s="2"/>
      <c r="B448" s="2"/>
      <c r="C448" s="2"/>
      <c r="D448" s="2"/>
      <c r="E448" s="2"/>
      <c r="F448" s="2"/>
      <c r="G448" s="2"/>
      <c r="H448" s="2"/>
      <c r="I448" s="2"/>
      <c r="J448" s="2"/>
      <c r="K448" s="2"/>
      <c r="L448" s="2"/>
      <c r="M448" s="2"/>
      <c r="N448" s="2"/>
      <c r="O448" s="2"/>
      <c r="P448" s="2"/>
      <c r="Q448" s="23"/>
      <c r="R448" s="23"/>
      <c r="S448" s="23"/>
      <c r="T448" s="23"/>
      <c r="U448" s="23"/>
      <c r="V448" s="23"/>
      <c r="W448" s="23"/>
      <c r="X448" s="23"/>
      <c r="Y448" s="23"/>
      <c r="Z448" s="23"/>
    </row>
    <row r="449">
      <c r="A449" s="2"/>
      <c r="B449" s="2"/>
      <c r="C449" s="2"/>
      <c r="D449" s="2"/>
      <c r="E449" s="2"/>
      <c r="F449" s="2"/>
      <c r="G449" s="2"/>
      <c r="H449" s="2"/>
      <c r="I449" s="2"/>
      <c r="J449" s="2"/>
      <c r="K449" s="2"/>
      <c r="L449" s="2"/>
      <c r="M449" s="2"/>
      <c r="N449" s="2"/>
      <c r="O449" s="2"/>
      <c r="P449" s="2"/>
      <c r="Q449" s="23"/>
      <c r="R449" s="23"/>
      <c r="S449" s="23"/>
      <c r="T449" s="23"/>
      <c r="U449" s="23"/>
      <c r="V449" s="23"/>
      <c r="W449" s="23"/>
      <c r="X449" s="23"/>
      <c r="Y449" s="23"/>
      <c r="Z449" s="23"/>
    </row>
    <row r="450">
      <c r="A450" s="2"/>
      <c r="B450" s="2"/>
      <c r="C450" s="2"/>
      <c r="D450" s="2"/>
      <c r="E450" s="2"/>
      <c r="F450" s="2"/>
      <c r="G450" s="2"/>
      <c r="H450" s="2"/>
      <c r="I450" s="2"/>
      <c r="J450" s="2"/>
      <c r="K450" s="2"/>
      <c r="L450" s="2"/>
      <c r="M450" s="2"/>
      <c r="N450" s="2"/>
      <c r="O450" s="2"/>
      <c r="P450" s="2"/>
      <c r="Q450" s="23"/>
      <c r="R450" s="23"/>
      <c r="S450" s="23"/>
      <c r="T450" s="23"/>
      <c r="U450" s="23"/>
      <c r="V450" s="23"/>
      <c r="W450" s="23"/>
      <c r="X450" s="23"/>
      <c r="Y450" s="23"/>
      <c r="Z450" s="23"/>
    </row>
    <row r="451">
      <c r="A451" s="2"/>
      <c r="B451" s="2"/>
      <c r="C451" s="2"/>
      <c r="D451" s="2"/>
      <c r="E451" s="2"/>
      <c r="F451" s="2"/>
      <c r="G451" s="2"/>
      <c r="H451" s="2"/>
      <c r="I451" s="2"/>
      <c r="J451" s="2"/>
      <c r="K451" s="2"/>
      <c r="L451" s="2"/>
      <c r="M451" s="2"/>
      <c r="N451" s="2"/>
      <c r="O451" s="2"/>
      <c r="P451" s="2"/>
      <c r="Q451" s="23"/>
      <c r="R451" s="23"/>
      <c r="S451" s="23"/>
      <c r="T451" s="23"/>
      <c r="U451" s="23"/>
      <c r="V451" s="23"/>
      <c r="W451" s="23"/>
      <c r="X451" s="23"/>
      <c r="Y451" s="23"/>
      <c r="Z451" s="23"/>
    </row>
    <row r="452">
      <c r="A452" s="2"/>
      <c r="B452" s="2"/>
      <c r="C452" s="2"/>
      <c r="D452" s="2"/>
      <c r="E452" s="2"/>
      <c r="F452" s="2"/>
      <c r="G452" s="2"/>
      <c r="H452" s="2"/>
      <c r="I452" s="2"/>
      <c r="J452" s="2"/>
      <c r="K452" s="2"/>
      <c r="L452" s="2"/>
      <c r="M452" s="2"/>
      <c r="N452" s="2"/>
      <c r="O452" s="2"/>
      <c r="P452" s="2"/>
      <c r="Q452" s="23"/>
      <c r="R452" s="23"/>
      <c r="S452" s="23"/>
      <c r="T452" s="23"/>
      <c r="U452" s="23"/>
      <c r="V452" s="23"/>
      <c r="W452" s="23"/>
      <c r="X452" s="23"/>
      <c r="Y452" s="23"/>
      <c r="Z452" s="23"/>
    </row>
    <row r="453">
      <c r="A453" s="2"/>
      <c r="B453" s="2"/>
      <c r="C453" s="2"/>
      <c r="D453" s="2"/>
      <c r="E453" s="2"/>
      <c r="F453" s="2"/>
      <c r="G453" s="2"/>
      <c r="H453" s="2"/>
      <c r="I453" s="2"/>
      <c r="J453" s="2"/>
      <c r="K453" s="2"/>
      <c r="L453" s="2"/>
      <c r="M453" s="2"/>
      <c r="N453" s="2"/>
      <c r="O453" s="2"/>
      <c r="P453" s="2"/>
      <c r="Q453" s="23"/>
      <c r="R453" s="23"/>
      <c r="S453" s="23"/>
      <c r="T453" s="23"/>
      <c r="U453" s="23"/>
      <c r="V453" s="23"/>
      <c r="W453" s="23"/>
      <c r="X453" s="23"/>
      <c r="Y453" s="23"/>
      <c r="Z453" s="23"/>
    </row>
    <row r="454">
      <c r="A454" s="2"/>
      <c r="B454" s="2"/>
      <c r="C454" s="2"/>
      <c r="D454" s="2"/>
      <c r="E454" s="2"/>
      <c r="F454" s="2"/>
      <c r="G454" s="2"/>
      <c r="H454" s="2"/>
      <c r="I454" s="2"/>
      <c r="J454" s="2"/>
      <c r="K454" s="2"/>
      <c r="L454" s="2"/>
      <c r="M454" s="2"/>
      <c r="N454" s="2"/>
      <c r="O454" s="2"/>
      <c r="P454" s="2"/>
      <c r="Q454" s="23"/>
      <c r="R454" s="23"/>
      <c r="S454" s="23"/>
      <c r="T454" s="23"/>
      <c r="U454" s="23"/>
      <c r="V454" s="23"/>
      <c r="W454" s="23"/>
      <c r="X454" s="23"/>
      <c r="Y454" s="23"/>
      <c r="Z454" s="23"/>
    </row>
    <row r="455">
      <c r="A455" s="2"/>
      <c r="B455" s="2"/>
      <c r="C455" s="2"/>
      <c r="D455" s="2"/>
      <c r="E455" s="2"/>
      <c r="F455" s="2"/>
      <c r="G455" s="2"/>
      <c r="H455" s="2"/>
      <c r="I455" s="2"/>
      <c r="J455" s="2"/>
      <c r="K455" s="2"/>
      <c r="L455" s="2"/>
      <c r="M455" s="2"/>
      <c r="N455" s="2"/>
      <c r="O455" s="2"/>
      <c r="P455" s="2"/>
      <c r="Q455" s="23"/>
      <c r="R455" s="23"/>
      <c r="S455" s="23"/>
      <c r="T455" s="23"/>
      <c r="U455" s="23"/>
      <c r="V455" s="23"/>
      <c r="W455" s="23"/>
      <c r="X455" s="23"/>
      <c r="Y455" s="23"/>
      <c r="Z455" s="23"/>
    </row>
    <row r="456">
      <c r="A456" s="2"/>
      <c r="B456" s="2"/>
      <c r="C456" s="2"/>
      <c r="D456" s="2"/>
      <c r="E456" s="2"/>
      <c r="F456" s="2"/>
      <c r="G456" s="2"/>
      <c r="H456" s="2"/>
      <c r="I456" s="2"/>
      <c r="J456" s="2"/>
      <c r="K456" s="2"/>
      <c r="L456" s="2"/>
      <c r="M456" s="2"/>
      <c r="N456" s="2"/>
      <c r="O456" s="2"/>
      <c r="P456" s="2"/>
      <c r="Q456" s="23"/>
      <c r="R456" s="23"/>
      <c r="S456" s="23"/>
      <c r="T456" s="23"/>
      <c r="U456" s="23"/>
      <c r="V456" s="23"/>
      <c r="W456" s="23"/>
      <c r="X456" s="23"/>
      <c r="Y456" s="23"/>
      <c r="Z456" s="23"/>
    </row>
    <row r="457">
      <c r="A457" s="2"/>
      <c r="B457" s="2"/>
      <c r="C457" s="2"/>
      <c r="D457" s="2"/>
      <c r="E457" s="2"/>
      <c r="F457" s="2"/>
      <c r="G457" s="2"/>
      <c r="H457" s="2"/>
      <c r="I457" s="2"/>
      <c r="J457" s="2"/>
      <c r="K457" s="2"/>
      <c r="L457" s="2"/>
      <c r="M457" s="2"/>
      <c r="N457" s="2"/>
      <c r="O457" s="2"/>
      <c r="P457" s="2"/>
      <c r="Q457" s="23"/>
      <c r="R457" s="23"/>
      <c r="S457" s="23"/>
      <c r="T457" s="23"/>
      <c r="U457" s="23"/>
      <c r="V457" s="23"/>
      <c r="W457" s="23"/>
      <c r="X457" s="23"/>
      <c r="Y457" s="23"/>
      <c r="Z457" s="23"/>
    </row>
    <row r="458">
      <c r="A458" s="2"/>
      <c r="B458" s="2"/>
      <c r="C458" s="2"/>
      <c r="D458" s="2"/>
      <c r="E458" s="2"/>
      <c r="F458" s="2"/>
      <c r="G458" s="2"/>
      <c r="H458" s="2"/>
      <c r="I458" s="2"/>
      <c r="J458" s="2"/>
      <c r="K458" s="2"/>
      <c r="L458" s="2"/>
      <c r="M458" s="2"/>
      <c r="N458" s="2"/>
      <c r="O458" s="2"/>
      <c r="P458" s="2"/>
      <c r="Q458" s="23"/>
      <c r="R458" s="23"/>
      <c r="S458" s="23"/>
      <c r="T458" s="23"/>
      <c r="U458" s="23"/>
      <c r="V458" s="23"/>
      <c r="W458" s="23"/>
      <c r="X458" s="23"/>
      <c r="Y458" s="23"/>
      <c r="Z458" s="23"/>
    </row>
    <row r="459">
      <c r="A459" s="2"/>
      <c r="B459" s="2"/>
      <c r="C459" s="2"/>
      <c r="D459" s="2"/>
      <c r="E459" s="2"/>
      <c r="F459" s="2"/>
      <c r="G459" s="2"/>
      <c r="H459" s="2"/>
      <c r="I459" s="2"/>
      <c r="J459" s="2"/>
      <c r="K459" s="2"/>
      <c r="L459" s="2"/>
      <c r="M459" s="2"/>
      <c r="N459" s="2"/>
      <c r="O459" s="2"/>
      <c r="P459" s="2"/>
      <c r="Q459" s="23"/>
      <c r="R459" s="23"/>
      <c r="S459" s="23"/>
      <c r="T459" s="23"/>
      <c r="U459" s="23"/>
      <c r="V459" s="23"/>
      <c r="W459" s="23"/>
      <c r="X459" s="23"/>
      <c r="Y459" s="23"/>
      <c r="Z459" s="23"/>
    </row>
    <row r="460">
      <c r="A460" s="2"/>
      <c r="B460" s="2"/>
      <c r="C460" s="2"/>
      <c r="D460" s="2"/>
      <c r="E460" s="2"/>
      <c r="F460" s="2"/>
      <c r="G460" s="2"/>
      <c r="H460" s="2"/>
      <c r="I460" s="2"/>
      <c r="J460" s="2"/>
      <c r="K460" s="2"/>
      <c r="L460" s="2"/>
      <c r="M460" s="2"/>
      <c r="N460" s="2"/>
      <c r="O460" s="2"/>
      <c r="P460" s="2"/>
      <c r="Q460" s="23"/>
      <c r="R460" s="23"/>
      <c r="S460" s="23"/>
      <c r="T460" s="23"/>
      <c r="U460" s="23"/>
      <c r="V460" s="23"/>
      <c r="W460" s="23"/>
      <c r="X460" s="23"/>
      <c r="Y460" s="23"/>
      <c r="Z460" s="23"/>
    </row>
    <row r="461">
      <c r="A461" s="2"/>
      <c r="B461" s="2"/>
      <c r="C461" s="2"/>
      <c r="D461" s="2"/>
      <c r="E461" s="2"/>
      <c r="F461" s="2"/>
      <c r="G461" s="2"/>
      <c r="H461" s="2"/>
      <c r="I461" s="2"/>
      <c r="J461" s="2"/>
      <c r="K461" s="2"/>
      <c r="L461" s="2"/>
      <c r="M461" s="2"/>
      <c r="N461" s="2"/>
      <c r="O461" s="2"/>
      <c r="P461" s="2"/>
      <c r="Q461" s="23"/>
      <c r="R461" s="23"/>
      <c r="S461" s="23"/>
      <c r="T461" s="23"/>
      <c r="U461" s="23"/>
      <c r="V461" s="23"/>
      <c r="W461" s="23"/>
      <c r="X461" s="23"/>
      <c r="Y461" s="23"/>
      <c r="Z461" s="23"/>
    </row>
    <row r="462">
      <c r="A462" s="2"/>
      <c r="B462" s="2"/>
      <c r="C462" s="2"/>
      <c r="D462" s="2"/>
      <c r="E462" s="2"/>
      <c r="F462" s="2"/>
      <c r="G462" s="2"/>
      <c r="H462" s="2"/>
      <c r="I462" s="2"/>
      <c r="J462" s="2"/>
      <c r="K462" s="2"/>
      <c r="L462" s="2"/>
      <c r="M462" s="2"/>
      <c r="N462" s="2"/>
      <c r="O462" s="2"/>
      <c r="P462" s="2"/>
      <c r="Q462" s="23"/>
      <c r="R462" s="23"/>
      <c r="S462" s="23"/>
      <c r="T462" s="23"/>
      <c r="U462" s="23"/>
      <c r="V462" s="23"/>
      <c r="W462" s="23"/>
      <c r="X462" s="23"/>
      <c r="Y462" s="23"/>
      <c r="Z462" s="23"/>
    </row>
    <row r="463">
      <c r="A463" s="2"/>
      <c r="B463" s="2"/>
      <c r="C463" s="2"/>
      <c r="D463" s="2"/>
      <c r="E463" s="2"/>
      <c r="F463" s="2"/>
      <c r="G463" s="2"/>
      <c r="H463" s="2"/>
      <c r="I463" s="2"/>
      <c r="J463" s="2"/>
      <c r="K463" s="2"/>
      <c r="L463" s="2"/>
      <c r="M463" s="2"/>
      <c r="N463" s="2"/>
      <c r="O463" s="2"/>
      <c r="P463" s="2"/>
      <c r="Q463" s="23"/>
      <c r="R463" s="23"/>
      <c r="S463" s="23"/>
      <c r="T463" s="23"/>
      <c r="U463" s="23"/>
      <c r="V463" s="23"/>
      <c r="W463" s="23"/>
      <c r="X463" s="23"/>
      <c r="Y463" s="23"/>
      <c r="Z463" s="23"/>
    </row>
    <row r="464">
      <c r="A464" s="2"/>
      <c r="B464" s="2"/>
      <c r="C464" s="2"/>
      <c r="D464" s="2"/>
      <c r="E464" s="2"/>
      <c r="F464" s="2"/>
      <c r="G464" s="2"/>
      <c r="H464" s="2"/>
      <c r="I464" s="2"/>
      <c r="J464" s="2"/>
      <c r="K464" s="2"/>
      <c r="L464" s="2"/>
      <c r="M464" s="2"/>
      <c r="N464" s="2"/>
      <c r="O464" s="2"/>
      <c r="P464" s="2"/>
      <c r="Q464" s="23"/>
      <c r="R464" s="23"/>
      <c r="S464" s="23"/>
      <c r="T464" s="23"/>
      <c r="U464" s="23"/>
      <c r="V464" s="23"/>
      <c r="W464" s="23"/>
      <c r="X464" s="23"/>
      <c r="Y464" s="23"/>
      <c r="Z464" s="23"/>
    </row>
    <row r="465">
      <c r="A465" s="2"/>
      <c r="B465" s="2"/>
      <c r="C465" s="2"/>
      <c r="D465" s="2"/>
      <c r="E465" s="2"/>
      <c r="F465" s="2"/>
      <c r="G465" s="2"/>
      <c r="H465" s="2"/>
      <c r="I465" s="2"/>
      <c r="J465" s="2"/>
      <c r="K465" s="2"/>
      <c r="L465" s="2"/>
      <c r="M465" s="2"/>
      <c r="N465" s="2"/>
      <c r="O465" s="2"/>
      <c r="P465" s="2"/>
      <c r="Q465" s="23"/>
      <c r="R465" s="23"/>
      <c r="S465" s="23"/>
      <c r="T465" s="23"/>
      <c r="U465" s="23"/>
      <c r="V465" s="23"/>
      <c r="W465" s="23"/>
      <c r="X465" s="23"/>
      <c r="Y465" s="23"/>
      <c r="Z465" s="23"/>
    </row>
    <row r="466">
      <c r="A466" s="2"/>
      <c r="B466" s="2"/>
      <c r="C466" s="2"/>
      <c r="D466" s="2"/>
      <c r="E466" s="2"/>
      <c r="F466" s="2"/>
      <c r="G466" s="2"/>
      <c r="H466" s="2"/>
      <c r="I466" s="2"/>
      <c r="J466" s="2"/>
      <c r="K466" s="2"/>
      <c r="L466" s="2"/>
      <c r="M466" s="2"/>
      <c r="N466" s="2"/>
      <c r="O466" s="2"/>
      <c r="P466" s="2"/>
      <c r="Q466" s="23"/>
      <c r="R466" s="23"/>
      <c r="S466" s="23"/>
      <c r="T466" s="23"/>
      <c r="U466" s="23"/>
      <c r="V466" s="23"/>
      <c r="W466" s="23"/>
      <c r="X466" s="23"/>
      <c r="Y466" s="23"/>
      <c r="Z466" s="23"/>
    </row>
    <row r="467">
      <c r="A467" s="2"/>
      <c r="B467" s="2"/>
      <c r="C467" s="2"/>
      <c r="D467" s="2"/>
      <c r="E467" s="2"/>
      <c r="F467" s="2"/>
      <c r="G467" s="2"/>
      <c r="H467" s="2"/>
      <c r="I467" s="2"/>
      <c r="J467" s="2"/>
      <c r="K467" s="2"/>
      <c r="L467" s="2"/>
      <c r="M467" s="2"/>
      <c r="N467" s="2"/>
      <c r="O467" s="2"/>
      <c r="P467" s="2"/>
      <c r="Q467" s="23"/>
      <c r="R467" s="23"/>
      <c r="S467" s="23"/>
      <c r="T467" s="23"/>
      <c r="U467" s="23"/>
      <c r="V467" s="23"/>
      <c r="W467" s="23"/>
      <c r="X467" s="23"/>
      <c r="Y467" s="23"/>
      <c r="Z467" s="23"/>
    </row>
    <row r="468">
      <c r="A468" s="2"/>
      <c r="B468" s="2"/>
      <c r="C468" s="2"/>
      <c r="D468" s="2"/>
      <c r="E468" s="2"/>
      <c r="F468" s="2"/>
      <c r="G468" s="2"/>
      <c r="H468" s="2"/>
      <c r="I468" s="2"/>
      <c r="J468" s="2"/>
      <c r="K468" s="2"/>
      <c r="L468" s="2"/>
      <c r="M468" s="2"/>
      <c r="N468" s="2"/>
      <c r="O468" s="2"/>
      <c r="P468" s="2"/>
      <c r="Q468" s="23"/>
      <c r="R468" s="23"/>
      <c r="S468" s="23"/>
      <c r="T468" s="23"/>
      <c r="U468" s="23"/>
      <c r="V468" s="23"/>
      <c r="W468" s="23"/>
      <c r="X468" s="23"/>
      <c r="Y468" s="23"/>
      <c r="Z468" s="23"/>
    </row>
    <row r="469">
      <c r="A469" s="2"/>
      <c r="B469" s="2"/>
      <c r="C469" s="2"/>
      <c r="D469" s="2"/>
      <c r="E469" s="2"/>
      <c r="F469" s="2"/>
      <c r="G469" s="2"/>
      <c r="H469" s="2"/>
      <c r="I469" s="2"/>
      <c r="J469" s="2"/>
      <c r="K469" s="2"/>
      <c r="L469" s="2"/>
      <c r="M469" s="2"/>
      <c r="N469" s="2"/>
      <c r="O469" s="2"/>
      <c r="P469" s="2"/>
      <c r="Q469" s="23"/>
      <c r="R469" s="23"/>
      <c r="S469" s="23"/>
      <c r="T469" s="23"/>
      <c r="U469" s="23"/>
      <c r="V469" s="23"/>
      <c r="W469" s="23"/>
      <c r="X469" s="23"/>
      <c r="Y469" s="23"/>
      <c r="Z469" s="23"/>
    </row>
    <row r="470">
      <c r="A470" s="2"/>
      <c r="B470" s="2"/>
      <c r="C470" s="2"/>
      <c r="D470" s="2"/>
      <c r="E470" s="2"/>
      <c r="F470" s="2"/>
      <c r="G470" s="2"/>
      <c r="H470" s="2"/>
      <c r="I470" s="2"/>
      <c r="J470" s="2"/>
      <c r="K470" s="2"/>
      <c r="L470" s="2"/>
      <c r="M470" s="2"/>
      <c r="N470" s="2"/>
      <c r="O470" s="2"/>
      <c r="P470" s="2"/>
      <c r="Q470" s="23"/>
      <c r="R470" s="23"/>
      <c r="S470" s="23"/>
      <c r="T470" s="23"/>
      <c r="U470" s="23"/>
      <c r="V470" s="23"/>
      <c r="W470" s="23"/>
      <c r="X470" s="23"/>
      <c r="Y470" s="23"/>
      <c r="Z470" s="23"/>
    </row>
    <row r="471">
      <c r="A471" s="2"/>
      <c r="B471" s="2"/>
      <c r="C471" s="2"/>
      <c r="D471" s="2"/>
      <c r="E471" s="2"/>
      <c r="F471" s="2"/>
      <c r="G471" s="2"/>
      <c r="H471" s="2"/>
      <c r="I471" s="2"/>
      <c r="J471" s="2"/>
      <c r="K471" s="2"/>
      <c r="L471" s="2"/>
      <c r="M471" s="2"/>
      <c r="N471" s="2"/>
      <c r="O471" s="2"/>
      <c r="P471" s="2"/>
      <c r="Q471" s="23"/>
      <c r="R471" s="23"/>
      <c r="S471" s="23"/>
      <c r="T471" s="23"/>
      <c r="U471" s="23"/>
      <c r="V471" s="23"/>
      <c r="W471" s="23"/>
      <c r="X471" s="23"/>
      <c r="Y471" s="23"/>
      <c r="Z471" s="23"/>
    </row>
    <row r="472">
      <c r="A472" s="2"/>
      <c r="B472" s="2"/>
      <c r="C472" s="2"/>
      <c r="D472" s="2"/>
      <c r="E472" s="2"/>
      <c r="F472" s="2"/>
      <c r="G472" s="2"/>
      <c r="H472" s="2"/>
      <c r="I472" s="2"/>
      <c r="J472" s="2"/>
      <c r="K472" s="2"/>
      <c r="L472" s="2"/>
      <c r="M472" s="2"/>
      <c r="N472" s="2"/>
      <c r="O472" s="2"/>
      <c r="P472" s="2"/>
      <c r="Q472" s="23"/>
      <c r="R472" s="23"/>
      <c r="S472" s="23"/>
      <c r="T472" s="23"/>
      <c r="U472" s="23"/>
      <c r="V472" s="23"/>
      <c r="W472" s="23"/>
      <c r="X472" s="23"/>
      <c r="Y472" s="23"/>
      <c r="Z472" s="23"/>
    </row>
    <row r="473">
      <c r="A473" s="2"/>
      <c r="B473" s="2"/>
      <c r="C473" s="2"/>
      <c r="D473" s="2"/>
      <c r="E473" s="2"/>
      <c r="F473" s="2"/>
      <c r="G473" s="2"/>
      <c r="H473" s="2"/>
      <c r="I473" s="2"/>
      <c r="J473" s="2"/>
      <c r="K473" s="2"/>
      <c r="L473" s="2"/>
      <c r="M473" s="2"/>
      <c r="N473" s="2"/>
      <c r="O473" s="2"/>
      <c r="P473" s="2"/>
      <c r="Q473" s="23"/>
      <c r="R473" s="23"/>
      <c r="S473" s="23"/>
      <c r="T473" s="23"/>
      <c r="U473" s="23"/>
      <c r="V473" s="23"/>
      <c r="W473" s="23"/>
      <c r="X473" s="23"/>
      <c r="Y473" s="23"/>
      <c r="Z473" s="23"/>
    </row>
    <row r="474">
      <c r="A474" s="2"/>
      <c r="B474" s="2"/>
      <c r="C474" s="2"/>
      <c r="D474" s="2"/>
      <c r="E474" s="2"/>
      <c r="F474" s="2"/>
      <c r="G474" s="2"/>
      <c r="H474" s="2"/>
      <c r="I474" s="2"/>
      <c r="J474" s="2"/>
      <c r="K474" s="2"/>
      <c r="L474" s="2"/>
      <c r="M474" s="2"/>
      <c r="N474" s="2"/>
      <c r="O474" s="2"/>
      <c r="P474" s="2"/>
      <c r="Q474" s="23"/>
      <c r="R474" s="23"/>
      <c r="S474" s="23"/>
      <c r="T474" s="23"/>
      <c r="U474" s="23"/>
      <c r="V474" s="23"/>
      <c r="W474" s="23"/>
      <c r="X474" s="23"/>
      <c r="Y474" s="23"/>
      <c r="Z474" s="23"/>
    </row>
    <row r="475">
      <c r="A475" s="2"/>
      <c r="B475" s="2"/>
      <c r="C475" s="2"/>
      <c r="D475" s="2"/>
      <c r="E475" s="2"/>
      <c r="F475" s="2"/>
      <c r="G475" s="2"/>
      <c r="H475" s="2"/>
      <c r="I475" s="2"/>
      <c r="J475" s="2"/>
      <c r="K475" s="2"/>
      <c r="L475" s="2"/>
      <c r="M475" s="2"/>
      <c r="N475" s="2"/>
      <c r="O475" s="2"/>
      <c r="P475" s="2"/>
      <c r="Q475" s="23"/>
      <c r="R475" s="23"/>
      <c r="S475" s="23"/>
      <c r="T475" s="23"/>
      <c r="U475" s="23"/>
      <c r="V475" s="23"/>
      <c r="W475" s="23"/>
      <c r="X475" s="23"/>
      <c r="Y475" s="23"/>
      <c r="Z475" s="23"/>
    </row>
    <row r="476">
      <c r="A476" s="2"/>
      <c r="B476" s="2"/>
      <c r="C476" s="2"/>
      <c r="D476" s="2"/>
      <c r="E476" s="2"/>
      <c r="F476" s="2"/>
      <c r="G476" s="2"/>
      <c r="H476" s="2"/>
      <c r="I476" s="2"/>
      <c r="J476" s="2"/>
      <c r="K476" s="2"/>
      <c r="L476" s="2"/>
      <c r="M476" s="2"/>
      <c r="N476" s="2"/>
      <c r="O476" s="2"/>
      <c r="P476" s="2"/>
      <c r="Q476" s="23"/>
      <c r="R476" s="23"/>
      <c r="S476" s="23"/>
      <c r="T476" s="23"/>
      <c r="U476" s="23"/>
      <c r="V476" s="23"/>
      <c r="W476" s="23"/>
      <c r="X476" s="23"/>
      <c r="Y476" s="23"/>
      <c r="Z476" s="23"/>
    </row>
    <row r="477">
      <c r="A477" s="2"/>
      <c r="B477" s="2"/>
      <c r="C477" s="2"/>
      <c r="D477" s="2"/>
      <c r="E477" s="2"/>
      <c r="F477" s="2"/>
      <c r="G477" s="2"/>
      <c r="H477" s="2"/>
      <c r="I477" s="2"/>
      <c r="J477" s="2"/>
      <c r="K477" s="2"/>
      <c r="L477" s="2"/>
      <c r="M477" s="2"/>
      <c r="N477" s="2"/>
      <c r="O477" s="2"/>
      <c r="P477" s="2"/>
      <c r="Q477" s="23"/>
      <c r="R477" s="23"/>
      <c r="S477" s="23"/>
      <c r="T477" s="23"/>
      <c r="U477" s="23"/>
      <c r="V477" s="23"/>
      <c r="W477" s="23"/>
      <c r="X477" s="23"/>
      <c r="Y477" s="23"/>
      <c r="Z477" s="23"/>
    </row>
    <row r="478">
      <c r="A478" s="2"/>
      <c r="B478" s="2"/>
      <c r="C478" s="2"/>
      <c r="D478" s="2"/>
      <c r="E478" s="2"/>
      <c r="F478" s="2"/>
      <c r="G478" s="2"/>
      <c r="H478" s="2"/>
      <c r="I478" s="2"/>
      <c r="J478" s="2"/>
      <c r="K478" s="2"/>
      <c r="L478" s="2"/>
      <c r="M478" s="2"/>
      <c r="N478" s="2"/>
      <c r="O478" s="2"/>
      <c r="P478" s="2"/>
      <c r="Q478" s="23"/>
      <c r="R478" s="23"/>
      <c r="S478" s="23"/>
      <c r="T478" s="23"/>
      <c r="U478" s="23"/>
      <c r="V478" s="23"/>
      <c r="W478" s="23"/>
      <c r="X478" s="23"/>
      <c r="Y478" s="23"/>
      <c r="Z478" s="23"/>
    </row>
    <row r="479">
      <c r="A479" s="2"/>
      <c r="B479" s="2"/>
      <c r="C479" s="2"/>
      <c r="D479" s="2"/>
      <c r="E479" s="2"/>
      <c r="F479" s="2"/>
      <c r="G479" s="2"/>
      <c r="H479" s="2"/>
      <c r="I479" s="2"/>
      <c r="J479" s="2"/>
      <c r="K479" s="2"/>
      <c r="L479" s="2"/>
      <c r="M479" s="2"/>
      <c r="N479" s="2"/>
      <c r="O479" s="2"/>
      <c r="P479" s="2"/>
      <c r="Q479" s="23"/>
      <c r="R479" s="23"/>
      <c r="S479" s="23"/>
      <c r="T479" s="23"/>
      <c r="U479" s="23"/>
      <c r="V479" s="23"/>
      <c r="W479" s="23"/>
      <c r="X479" s="23"/>
      <c r="Y479" s="23"/>
      <c r="Z479" s="23"/>
    </row>
    <row r="480">
      <c r="A480" s="2"/>
      <c r="B480" s="2"/>
      <c r="C480" s="2"/>
      <c r="D480" s="2"/>
      <c r="E480" s="2"/>
      <c r="F480" s="2"/>
      <c r="G480" s="2"/>
      <c r="H480" s="2"/>
      <c r="I480" s="2"/>
      <c r="J480" s="2"/>
      <c r="K480" s="2"/>
      <c r="L480" s="2"/>
      <c r="M480" s="2"/>
      <c r="N480" s="2"/>
      <c r="O480" s="2"/>
      <c r="P480" s="2"/>
      <c r="Q480" s="23"/>
      <c r="R480" s="23"/>
      <c r="S480" s="23"/>
      <c r="T480" s="23"/>
      <c r="U480" s="23"/>
      <c r="V480" s="23"/>
      <c r="W480" s="23"/>
      <c r="X480" s="23"/>
      <c r="Y480" s="23"/>
      <c r="Z480" s="23"/>
    </row>
    <row r="481">
      <c r="A481" s="2"/>
      <c r="B481" s="2"/>
      <c r="C481" s="2"/>
      <c r="D481" s="2"/>
      <c r="E481" s="2"/>
      <c r="F481" s="2"/>
      <c r="G481" s="2"/>
      <c r="H481" s="2"/>
      <c r="I481" s="2"/>
      <c r="J481" s="2"/>
      <c r="K481" s="2"/>
      <c r="L481" s="2"/>
      <c r="M481" s="2"/>
      <c r="N481" s="2"/>
      <c r="O481" s="2"/>
      <c r="P481" s="2"/>
      <c r="Q481" s="23"/>
      <c r="R481" s="23"/>
      <c r="S481" s="23"/>
      <c r="T481" s="23"/>
      <c r="U481" s="23"/>
      <c r="V481" s="23"/>
      <c r="W481" s="23"/>
      <c r="X481" s="23"/>
      <c r="Y481" s="23"/>
      <c r="Z481" s="23"/>
    </row>
    <row r="482">
      <c r="A482" s="2"/>
      <c r="B482" s="2"/>
      <c r="C482" s="2"/>
      <c r="D482" s="2"/>
      <c r="E482" s="2"/>
      <c r="F482" s="2"/>
      <c r="G482" s="2"/>
      <c r="H482" s="2"/>
      <c r="I482" s="2"/>
      <c r="J482" s="2"/>
      <c r="K482" s="2"/>
      <c r="L482" s="2"/>
      <c r="M482" s="2"/>
      <c r="N482" s="2"/>
      <c r="O482" s="2"/>
      <c r="P482" s="2"/>
      <c r="Q482" s="23"/>
      <c r="R482" s="23"/>
      <c r="S482" s="23"/>
      <c r="T482" s="23"/>
      <c r="U482" s="23"/>
      <c r="V482" s="23"/>
      <c r="W482" s="23"/>
      <c r="X482" s="23"/>
      <c r="Y482" s="23"/>
      <c r="Z482" s="23"/>
    </row>
    <row r="483">
      <c r="A483" s="2"/>
      <c r="B483" s="2"/>
      <c r="C483" s="2"/>
      <c r="D483" s="2"/>
      <c r="E483" s="2"/>
      <c r="F483" s="2"/>
      <c r="G483" s="2"/>
      <c r="H483" s="2"/>
      <c r="I483" s="2"/>
      <c r="J483" s="2"/>
      <c r="K483" s="2"/>
      <c r="L483" s="2"/>
      <c r="M483" s="2"/>
      <c r="N483" s="2"/>
      <c r="O483" s="2"/>
      <c r="P483" s="2"/>
      <c r="Q483" s="23"/>
      <c r="R483" s="23"/>
      <c r="S483" s="23"/>
      <c r="T483" s="23"/>
      <c r="U483" s="23"/>
      <c r="V483" s="23"/>
      <c r="W483" s="23"/>
      <c r="X483" s="23"/>
      <c r="Y483" s="23"/>
      <c r="Z483" s="23"/>
    </row>
    <row r="484">
      <c r="A484" s="2"/>
      <c r="B484" s="2"/>
      <c r="C484" s="2"/>
      <c r="D484" s="2"/>
      <c r="E484" s="2"/>
      <c r="F484" s="2"/>
      <c r="G484" s="2"/>
      <c r="H484" s="2"/>
      <c r="I484" s="2"/>
      <c r="J484" s="2"/>
      <c r="K484" s="2"/>
      <c r="L484" s="2"/>
      <c r="M484" s="2"/>
      <c r="N484" s="2"/>
      <c r="O484" s="2"/>
      <c r="P484" s="2"/>
      <c r="Q484" s="23"/>
      <c r="R484" s="23"/>
      <c r="S484" s="23"/>
      <c r="T484" s="23"/>
      <c r="U484" s="23"/>
      <c r="V484" s="23"/>
      <c r="W484" s="23"/>
      <c r="X484" s="23"/>
      <c r="Y484" s="23"/>
      <c r="Z484" s="23"/>
    </row>
    <row r="485">
      <c r="A485" s="2"/>
      <c r="B485" s="2"/>
      <c r="C485" s="2"/>
      <c r="D485" s="2"/>
      <c r="E485" s="2"/>
      <c r="F485" s="2"/>
      <c r="G485" s="2"/>
      <c r="H485" s="2"/>
      <c r="I485" s="2"/>
      <c r="J485" s="2"/>
      <c r="K485" s="2"/>
      <c r="L485" s="2"/>
      <c r="M485" s="2"/>
      <c r="N485" s="2"/>
      <c r="O485" s="2"/>
      <c r="P485" s="2"/>
      <c r="Q485" s="23"/>
      <c r="R485" s="23"/>
      <c r="S485" s="23"/>
      <c r="T485" s="23"/>
      <c r="U485" s="23"/>
      <c r="V485" s="23"/>
      <c r="W485" s="23"/>
      <c r="X485" s="23"/>
      <c r="Y485" s="23"/>
      <c r="Z485" s="23"/>
    </row>
    <row r="486">
      <c r="A486" s="2"/>
      <c r="B486" s="2"/>
      <c r="C486" s="2"/>
      <c r="D486" s="2"/>
      <c r="E486" s="2"/>
      <c r="F486" s="2"/>
      <c r="G486" s="2"/>
      <c r="H486" s="2"/>
      <c r="I486" s="2"/>
      <c r="J486" s="2"/>
      <c r="K486" s="2"/>
      <c r="L486" s="2"/>
      <c r="M486" s="2"/>
      <c r="N486" s="2"/>
      <c r="O486" s="2"/>
      <c r="P486" s="2"/>
      <c r="Q486" s="23"/>
      <c r="R486" s="23"/>
      <c r="S486" s="23"/>
      <c r="T486" s="23"/>
      <c r="U486" s="23"/>
      <c r="V486" s="23"/>
      <c r="W486" s="23"/>
      <c r="X486" s="23"/>
      <c r="Y486" s="23"/>
      <c r="Z486" s="23"/>
    </row>
    <row r="487">
      <c r="A487" s="2"/>
      <c r="B487" s="2"/>
      <c r="C487" s="2"/>
      <c r="D487" s="2"/>
      <c r="E487" s="2"/>
      <c r="F487" s="2"/>
      <c r="G487" s="2"/>
      <c r="H487" s="2"/>
      <c r="I487" s="2"/>
      <c r="J487" s="2"/>
      <c r="K487" s="2"/>
      <c r="L487" s="2"/>
      <c r="M487" s="2"/>
      <c r="N487" s="2"/>
      <c r="O487" s="2"/>
      <c r="P487" s="2"/>
      <c r="Q487" s="23"/>
      <c r="R487" s="23"/>
      <c r="S487" s="23"/>
      <c r="T487" s="23"/>
      <c r="U487" s="23"/>
      <c r="V487" s="23"/>
      <c r="W487" s="23"/>
      <c r="X487" s="23"/>
      <c r="Y487" s="23"/>
      <c r="Z487" s="23"/>
    </row>
    <row r="488">
      <c r="A488" s="2"/>
      <c r="B488" s="2"/>
      <c r="C488" s="2"/>
      <c r="D488" s="2"/>
      <c r="E488" s="2"/>
      <c r="F488" s="2"/>
      <c r="G488" s="2"/>
      <c r="H488" s="2"/>
      <c r="I488" s="2"/>
      <c r="J488" s="2"/>
      <c r="K488" s="2"/>
      <c r="L488" s="2"/>
      <c r="M488" s="2"/>
      <c r="N488" s="2"/>
      <c r="O488" s="2"/>
      <c r="P488" s="2"/>
      <c r="Q488" s="23"/>
      <c r="R488" s="23"/>
      <c r="S488" s="23"/>
      <c r="T488" s="23"/>
      <c r="U488" s="23"/>
      <c r="V488" s="23"/>
      <c r="W488" s="23"/>
      <c r="X488" s="23"/>
      <c r="Y488" s="23"/>
      <c r="Z488" s="23"/>
    </row>
    <row r="489">
      <c r="A489" s="2"/>
      <c r="B489" s="2"/>
      <c r="C489" s="2"/>
      <c r="D489" s="2"/>
      <c r="E489" s="2"/>
      <c r="F489" s="2"/>
      <c r="G489" s="2"/>
      <c r="H489" s="2"/>
      <c r="I489" s="2"/>
      <c r="J489" s="2"/>
      <c r="K489" s="2"/>
      <c r="L489" s="2"/>
      <c r="M489" s="2"/>
      <c r="N489" s="2"/>
      <c r="O489" s="2"/>
      <c r="P489" s="2"/>
      <c r="Q489" s="23"/>
      <c r="R489" s="23"/>
      <c r="S489" s="23"/>
      <c r="T489" s="23"/>
      <c r="U489" s="23"/>
      <c r="V489" s="23"/>
      <c r="W489" s="23"/>
      <c r="X489" s="23"/>
      <c r="Y489" s="23"/>
      <c r="Z489" s="23"/>
    </row>
    <row r="490">
      <c r="A490" s="2"/>
      <c r="B490" s="2"/>
      <c r="C490" s="2"/>
      <c r="D490" s="2"/>
      <c r="E490" s="2"/>
      <c r="F490" s="2"/>
      <c r="G490" s="2"/>
      <c r="H490" s="2"/>
      <c r="I490" s="2"/>
      <c r="J490" s="2"/>
      <c r="K490" s="2"/>
      <c r="L490" s="2"/>
      <c r="M490" s="2"/>
      <c r="N490" s="2"/>
      <c r="O490" s="2"/>
      <c r="P490" s="2"/>
      <c r="Q490" s="23"/>
      <c r="R490" s="23"/>
      <c r="S490" s="23"/>
      <c r="T490" s="23"/>
      <c r="U490" s="23"/>
      <c r="V490" s="23"/>
      <c r="W490" s="23"/>
      <c r="X490" s="23"/>
      <c r="Y490" s="23"/>
      <c r="Z490" s="23"/>
    </row>
    <row r="491">
      <c r="A491" s="2"/>
      <c r="B491" s="2"/>
      <c r="C491" s="2"/>
      <c r="D491" s="2"/>
      <c r="E491" s="2"/>
      <c r="F491" s="2"/>
      <c r="G491" s="2"/>
      <c r="H491" s="2"/>
      <c r="I491" s="2"/>
      <c r="J491" s="2"/>
      <c r="K491" s="2"/>
      <c r="L491" s="2"/>
      <c r="M491" s="2"/>
      <c r="N491" s="2"/>
      <c r="O491" s="2"/>
      <c r="P491" s="2"/>
      <c r="Q491" s="23"/>
      <c r="R491" s="23"/>
      <c r="S491" s="23"/>
      <c r="T491" s="23"/>
      <c r="U491" s="23"/>
      <c r="V491" s="23"/>
      <c r="W491" s="23"/>
      <c r="X491" s="23"/>
      <c r="Y491" s="23"/>
      <c r="Z491" s="23"/>
    </row>
    <row r="492">
      <c r="A492" s="2"/>
      <c r="B492" s="2"/>
      <c r="C492" s="2"/>
      <c r="D492" s="2"/>
      <c r="E492" s="2"/>
      <c r="F492" s="2"/>
      <c r="G492" s="2"/>
      <c r="H492" s="2"/>
      <c r="I492" s="2"/>
      <c r="J492" s="2"/>
      <c r="K492" s="2"/>
      <c r="L492" s="2"/>
      <c r="M492" s="2"/>
      <c r="N492" s="2"/>
      <c r="O492" s="2"/>
      <c r="P492" s="2"/>
      <c r="Q492" s="23"/>
      <c r="R492" s="23"/>
      <c r="S492" s="23"/>
      <c r="T492" s="23"/>
      <c r="U492" s="23"/>
      <c r="V492" s="23"/>
      <c r="W492" s="23"/>
      <c r="X492" s="23"/>
      <c r="Y492" s="23"/>
      <c r="Z492" s="23"/>
    </row>
    <row r="493">
      <c r="A493" s="2"/>
      <c r="B493" s="2"/>
      <c r="C493" s="2"/>
      <c r="D493" s="2"/>
      <c r="E493" s="2"/>
      <c r="F493" s="2"/>
      <c r="G493" s="2"/>
      <c r="H493" s="2"/>
      <c r="I493" s="2"/>
      <c r="J493" s="2"/>
      <c r="K493" s="2"/>
      <c r="L493" s="2"/>
      <c r="M493" s="2"/>
      <c r="N493" s="2"/>
      <c r="O493" s="2"/>
      <c r="P493" s="2"/>
      <c r="Q493" s="23"/>
      <c r="R493" s="23"/>
      <c r="S493" s="23"/>
      <c r="T493" s="23"/>
      <c r="U493" s="23"/>
      <c r="V493" s="23"/>
      <c r="W493" s="23"/>
      <c r="X493" s="23"/>
      <c r="Y493" s="23"/>
      <c r="Z493" s="23"/>
    </row>
    <row r="494">
      <c r="A494" s="2"/>
      <c r="B494" s="2"/>
      <c r="C494" s="2"/>
      <c r="D494" s="2"/>
      <c r="E494" s="2"/>
      <c r="F494" s="2"/>
      <c r="G494" s="2"/>
      <c r="H494" s="2"/>
      <c r="I494" s="2"/>
      <c r="J494" s="2"/>
      <c r="K494" s="2"/>
      <c r="L494" s="2"/>
      <c r="M494" s="2"/>
      <c r="N494" s="2"/>
      <c r="O494" s="2"/>
      <c r="P494" s="2"/>
      <c r="Q494" s="23"/>
      <c r="R494" s="23"/>
      <c r="S494" s="23"/>
      <c r="T494" s="23"/>
      <c r="U494" s="23"/>
      <c r="V494" s="23"/>
      <c r="W494" s="23"/>
      <c r="X494" s="23"/>
      <c r="Y494" s="23"/>
      <c r="Z494" s="23"/>
    </row>
    <row r="495">
      <c r="A495" s="2"/>
      <c r="B495" s="2"/>
      <c r="C495" s="2"/>
      <c r="D495" s="2"/>
      <c r="E495" s="2"/>
      <c r="F495" s="2"/>
      <c r="G495" s="2"/>
      <c r="H495" s="2"/>
      <c r="I495" s="2"/>
      <c r="J495" s="2"/>
      <c r="K495" s="2"/>
      <c r="L495" s="2"/>
      <c r="M495" s="2"/>
      <c r="N495" s="2"/>
      <c r="O495" s="2"/>
      <c r="P495" s="2"/>
      <c r="Q495" s="23"/>
      <c r="R495" s="23"/>
      <c r="S495" s="23"/>
      <c r="T495" s="23"/>
      <c r="U495" s="23"/>
      <c r="V495" s="23"/>
      <c r="W495" s="23"/>
      <c r="X495" s="23"/>
      <c r="Y495" s="23"/>
      <c r="Z495" s="23"/>
    </row>
    <row r="496">
      <c r="A496" s="2"/>
      <c r="B496" s="2"/>
      <c r="C496" s="2"/>
      <c r="D496" s="2"/>
      <c r="E496" s="2"/>
      <c r="F496" s="2"/>
      <c r="G496" s="2"/>
      <c r="H496" s="2"/>
      <c r="I496" s="2"/>
      <c r="J496" s="2"/>
      <c r="K496" s="2"/>
      <c r="L496" s="2"/>
      <c r="M496" s="2"/>
      <c r="N496" s="2"/>
      <c r="O496" s="2"/>
      <c r="P496" s="2"/>
      <c r="Q496" s="23"/>
      <c r="R496" s="23"/>
      <c r="S496" s="23"/>
      <c r="T496" s="23"/>
      <c r="U496" s="23"/>
      <c r="V496" s="23"/>
      <c r="W496" s="23"/>
      <c r="X496" s="23"/>
      <c r="Y496" s="23"/>
      <c r="Z496" s="23"/>
    </row>
    <row r="497">
      <c r="A497" s="2"/>
      <c r="B497" s="2"/>
      <c r="C497" s="2"/>
      <c r="D497" s="2"/>
      <c r="E497" s="2"/>
      <c r="F497" s="2"/>
      <c r="G497" s="2"/>
      <c r="H497" s="2"/>
      <c r="I497" s="2"/>
      <c r="J497" s="2"/>
      <c r="K497" s="2"/>
      <c r="L497" s="2"/>
      <c r="M497" s="2"/>
      <c r="N497" s="2"/>
      <c r="O497" s="2"/>
      <c r="P497" s="2"/>
      <c r="Q497" s="23"/>
      <c r="R497" s="23"/>
      <c r="S497" s="23"/>
      <c r="T497" s="23"/>
      <c r="U497" s="23"/>
      <c r="V497" s="23"/>
      <c r="W497" s="23"/>
      <c r="X497" s="23"/>
      <c r="Y497" s="23"/>
      <c r="Z497" s="23"/>
    </row>
    <row r="498">
      <c r="A498" s="2"/>
      <c r="B498" s="2"/>
      <c r="C498" s="2"/>
      <c r="D498" s="2"/>
      <c r="E498" s="2"/>
      <c r="F498" s="2"/>
      <c r="G498" s="2"/>
      <c r="H498" s="2"/>
      <c r="I498" s="2"/>
      <c r="J498" s="2"/>
      <c r="K498" s="2"/>
      <c r="L498" s="2"/>
      <c r="M498" s="2"/>
      <c r="N498" s="2"/>
      <c r="O498" s="2"/>
      <c r="P498" s="2"/>
      <c r="Q498" s="23"/>
      <c r="R498" s="23"/>
      <c r="S498" s="23"/>
      <c r="T498" s="23"/>
      <c r="U498" s="23"/>
      <c r="V498" s="23"/>
      <c r="W498" s="23"/>
      <c r="X498" s="23"/>
      <c r="Y498" s="23"/>
      <c r="Z498" s="23"/>
    </row>
    <row r="499">
      <c r="A499" s="2"/>
      <c r="B499" s="2"/>
      <c r="C499" s="2"/>
      <c r="D499" s="2"/>
      <c r="E499" s="2"/>
      <c r="F499" s="2"/>
      <c r="G499" s="2"/>
      <c r="H499" s="2"/>
      <c r="I499" s="2"/>
      <c r="J499" s="2"/>
      <c r="K499" s="2"/>
      <c r="L499" s="2"/>
      <c r="M499" s="2"/>
      <c r="N499" s="2"/>
      <c r="O499" s="2"/>
      <c r="P499" s="2"/>
      <c r="Q499" s="23"/>
      <c r="R499" s="23"/>
      <c r="S499" s="23"/>
      <c r="T499" s="23"/>
      <c r="U499" s="23"/>
      <c r="V499" s="23"/>
      <c r="W499" s="23"/>
      <c r="X499" s="23"/>
      <c r="Y499" s="23"/>
      <c r="Z499" s="23"/>
    </row>
    <row r="500">
      <c r="A500" s="2"/>
      <c r="B500" s="2"/>
      <c r="C500" s="2"/>
      <c r="D500" s="2"/>
      <c r="E500" s="2"/>
      <c r="F500" s="2"/>
      <c r="G500" s="2"/>
      <c r="H500" s="2"/>
      <c r="I500" s="2"/>
      <c r="J500" s="2"/>
      <c r="K500" s="2"/>
      <c r="L500" s="2"/>
      <c r="M500" s="2"/>
      <c r="N500" s="2"/>
      <c r="O500" s="2"/>
      <c r="P500" s="2"/>
      <c r="Q500" s="23"/>
      <c r="R500" s="23"/>
      <c r="S500" s="23"/>
      <c r="T500" s="23"/>
      <c r="U500" s="23"/>
      <c r="V500" s="23"/>
      <c r="W500" s="23"/>
      <c r="X500" s="23"/>
      <c r="Y500" s="23"/>
      <c r="Z500" s="23"/>
    </row>
    <row r="501">
      <c r="A501" s="2"/>
      <c r="B501" s="2"/>
      <c r="C501" s="2"/>
      <c r="D501" s="2"/>
      <c r="E501" s="2"/>
      <c r="F501" s="2"/>
      <c r="G501" s="2"/>
      <c r="H501" s="2"/>
      <c r="I501" s="2"/>
      <c r="J501" s="2"/>
      <c r="K501" s="2"/>
      <c r="L501" s="2"/>
      <c r="M501" s="2"/>
      <c r="N501" s="2"/>
      <c r="O501" s="2"/>
      <c r="P501" s="2"/>
      <c r="Q501" s="23"/>
      <c r="R501" s="23"/>
      <c r="S501" s="23"/>
      <c r="T501" s="23"/>
      <c r="U501" s="23"/>
      <c r="V501" s="23"/>
      <c r="W501" s="23"/>
      <c r="X501" s="23"/>
      <c r="Y501" s="23"/>
      <c r="Z501" s="23"/>
    </row>
    <row r="502">
      <c r="A502" s="2"/>
      <c r="B502" s="2"/>
      <c r="C502" s="2"/>
      <c r="D502" s="2"/>
      <c r="E502" s="2"/>
      <c r="F502" s="2"/>
      <c r="G502" s="2"/>
      <c r="H502" s="2"/>
      <c r="I502" s="2"/>
      <c r="J502" s="2"/>
      <c r="K502" s="2"/>
      <c r="L502" s="2"/>
      <c r="M502" s="2"/>
      <c r="N502" s="2"/>
      <c r="O502" s="2"/>
      <c r="P502" s="2"/>
      <c r="Q502" s="23"/>
      <c r="R502" s="23"/>
      <c r="S502" s="23"/>
      <c r="T502" s="23"/>
      <c r="U502" s="23"/>
      <c r="V502" s="23"/>
      <c r="W502" s="23"/>
      <c r="X502" s="23"/>
      <c r="Y502" s="23"/>
      <c r="Z502" s="23"/>
    </row>
    <row r="503">
      <c r="A503" s="2"/>
      <c r="B503" s="2"/>
      <c r="C503" s="2"/>
      <c r="D503" s="2"/>
      <c r="E503" s="2"/>
      <c r="F503" s="2"/>
      <c r="G503" s="2"/>
      <c r="H503" s="2"/>
      <c r="I503" s="2"/>
      <c r="J503" s="2"/>
      <c r="K503" s="2"/>
      <c r="L503" s="2"/>
      <c r="M503" s="2"/>
      <c r="N503" s="2"/>
      <c r="O503" s="2"/>
      <c r="P503" s="2"/>
      <c r="Q503" s="23"/>
      <c r="R503" s="23"/>
      <c r="S503" s="23"/>
      <c r="T503" s="23"/>
      <c r="U503" s="23"/>
      <c r="V503" s="23"/>
      <c r="W503" s="23"/>
      <c r="X503" s="23"/>
      <c r="Y503" s="23"/>
      <c r="Z503" s="23"/>
    </row>
    <row r="504">
      <c r="A504" s="2"/>
      <c r="B504" s="2"/>
      <c r="C504" s="2"/>
      <c r="D504" s="2"/>
      <c r="E504" s="2"/>
      <c r="F504" s="2"/>
      <c r="G504" s="2"/>
      <c r="H504" s="2"/>
      <c r="I504" s="2"/>
      <c r="J504" s="2"/>
      <c r="K504" s="2"/>
      <c r="L504" s="2"/>
      <c r="M504" s="2"/>
      <c r="N504" s="2"/>
      <c r="O504" s="2"/>
      <c r="P504" s="2"/>
      <c r="Q504" s="23"/>
      <c r="R504" s="23"/>
      <c r="S504" s="23"/>
      <c r="T504" s="23"/>
      <c r="U504" s="23"/>
      <c r="V504" s="23"/>
      <c r="W504" s="23"/>
      <c r="X504" s="23"/>
      <c r="Y504" s="23"/>
      <c r="Z504" s="23"/>
    </row>
    <row r="505">
      <c r="A505" s="2"/>
      <c r="B505" s="2"/>
      <c r="C505" s="2"/>
      <c r="D505" s="2"/>
      <c r="E505" s="2"/>
      <c r="F505" s="2"/>
      <c r="G505" s="2"/>
      <c r="H505" s="2"/>
      <c r="I505" s="2"/>
      <c r="J505" s="2"/>
      <c r="K505" s="2"/>
      <c r="L505" s="2"/>
      <c r="M505" s="2"/>
      <c r="N505" s="2"/>
      <c r="O505" s="2"/>
      <c r="P505" s="2"/>
      <c r="Q505" s="23"/>
      <c r="R505" s="23"/>
      <c r="S505" s="23"/>
      <c r="T505" s="23"/>
      <c r="U505" s="23"/>
      <c r="V505" s="23"/>
      <c r="W505" s="23"/>
      <c r="X505" s="23"/>
      <c r="Y505" s="23"/>
      <c r="Z505" s="23"/>
    </row>
    <row r="506">
      <c r="A506" s="2"/>
      <c r="B506" s="2"/>
      <c r="C506" s="2"/>
      <c r="D506" s="2"/>
      <c r="E506" s="2"/>
      <c r="F506" s="2"/>
      <c r="G506" s="2"/>
      <c r="H506" s="2"/>
      <c r="I506" s="2"/>
      <c r="J506" s="2"/>
      <c r="K506" s="2"/>
      <c r="L506" s="2"/>
      <c r="M506" s="2"/>
      <c r="N506" s="2"/>
      <c r="O506" s="2"/>
      <c r="P506" s="2"/>
      <c r="Q506" s="23"/>
      <c r="R506" s="23"/>
      <c r="S506" s="23"/>
      <c r="T506" s="23"/>
      <c r="U506" s="23"/>
      <c r="V506" s="23"/>
      <c r="W506" s="23"/>
      <c r="X506" s="23"/>
      <c r="Y506" s="23"/>
      <c r="Z506" s="23"/>
    </row>
    <row r="507">
      <c r="A507" s="2"/>
      <c r="B507" s="2"/>
      <c r="C507" s="2"/>
      <c r="D507" s="2"/>
      <c r="E507" s="2"/>
      <c r="F507" s="2"/>
      <c r="G507" s="2"/>
      <c r="H507" s="2"/>
      <c r="I507" s="2"/>
      <c r="J507" s="2"/>
      <c r="K507" s="2"/>
      <c r="L507" s="2"/>
      <c r="M507" s="2"/>
      <c r="N507" s="2"/>
      <c r="O507" s="2"/>
      <c r="P507" s="2"/>
      <c r="Q507" s="23"/>
      <c r="R507" s="23"/>
      <c r="S507" s="23"/>
      <c r="T507" s="23"/>
      <c r="U507" s="23"/>
      <c r="V507" s="23"/>
      <c r="W507" s="23"/>
      <c r="X507" s="23"/>
      <c r="Y507" s="23"/>
      <c r="Z507" s="23"/>
    </row>
    <row r="508">
      <c r="A508" s="2"/>
      <c r="B508" s="2"/>
      <c r="C508" s="2"/>
      <c r="D508" s="2"/>
      <c r="E508" s="2"/>
      <c r="F508" s="2"/>
      <c r="G508" s="2"/>
      <c r="H508" s="2"/>
      <c r="I508" s="2"/>
      <c r="J508" s="2"/>
      <c r="K508" s="2"/>
      <c r="L508" s="2"/>
      <c r="M508" s="2"/>
      <c r="N508" s="2"/>
      <c r="O508" s="2"/>
      <c r="P508" s="2"/>
      <c r="Q508" s="23"/>
      <c r="R508" s="23"/>
      <c r="S508" s="23"/>
      <c r="T508" s="23"/>
      <c r="U508" s="23"/>
      <c r="V508" s="23"/>
      <c r="W508" s="23"/>
      <c r="X508" s="23"/>
      <c r="Y508" s="23"/>
      <c r="Z508" s="23"/>
    </row>
    <row r="509">
      <c r="A509" s="2"/>
      <c r="B509" s="2"/>
      <c r="C509" s="2"/>
      <c r="D509" s="2"/>
      <c r="E509" s="2"/>
      <c r="F509" s="2"/>
      <c r="G509" s="2"/>
      <c r="H509" s="2"/>
      <c r="I509" s="2"/>
      <c r="J509" s="2"/>
      <c r="K509" s="2"/>
      <c r="L509" s="2"/>
      <c r="M509" s="2"/>
      <c r="N509" s="2"/>
      <c r="O509" s="2"/>
      <c r="P509" s="2"/>
      <c r="Q509" s="23"/>
      <c r="R509" s="23"/>
      <c r="S509" s="23"/>
      <c r="T509" s="23"/>
      <c r="U509" s="23"/>
      <c r="V509" s="23"/>
      <c r="W509" s="23"/>
      <c r="X509" s="23"/>
      <c r="Y509" s="23"/>
      <c r="Z509" s="23"/>
    </row>
    <row r="510">
      <c r="A510" s="2"/>
      <c r="B510" s="2"/>
      <c r="C510" s="2"/>
      <c r="D510" s="2"/>
      <c r="E510" s="2"/>
      <c r="F510" s="2"/>
      <c r="G510" s="2"/>
      <c r="H510" s="2"/>
      <c r="I510" s="2"/>
      <c r="J510" s="2"/>
      <c r="K510" s="2"/>
      <c r="L510" s="2"/>
      <c r="M510" s="2"/>
      <c r="N510" s="2"/>
      <c r="O510" s="2"/>
      <c r="P510" s="2"/>
      <c r="Q510" s="23"/>
      <c r="R510" s="23"/>
      <c r="S510" s="23"/>
      <c r="T510" s="23"/>
      <c r="U510" s="23"/>
      <c r="V510" s="23"/>
      <c r="W510" s="23"/>
      <c r="X510" s="23"/>
      <c r="Y510" s="23"/>
      <c r="Z510" s="23"/>
    </row>
    <row r="511">
      <c r="A511" s="2"/>
      <c r="B511" s="2"/>
      <c r="C511" s="2"/>
      <c r="D511" s="2"/>
      <c r="E511" s="2"/>
      <c r="F511" s="2"/>
      <c r="G511" s="2"/>
      <c r="H511" s="2"/>
      <c r="I511" s="2"/>
      <c r="J511" s="2"/>
      <c r="K511" s="2"/>
      <c r="L511" s="2"/>
      <c r="M511" s="2"/>
      <c r="N511" s="2"/>
      <c r="O511" s="2"/>
      <c r="P511" s="2"/>
      <c r="Q511" s="23"/>
      <c r="R511" s="23"/>
      <c r="S511" s="23"/>
      <c r="T511" s="23"/>
      <c r="U511" s="23"/>
      <c r="V511" s="23"/>
      <c r="W511" s="23"/>
      <c r="X511" s="23"/>
      <c r="Y511" s="23"/>
      <c r="Z511" s="23"/>
    </row>
    <row r="512">
      <c r="A512" s="2"/>
      <c r="B512" s="2"/>
      <c r="C512" s="2"/>
      <c r="D512" s="2"/>
      <c r="E512" s="2"/>
      <c r="F512" s="2"/>
      <c r="G512" s="2"/>
      <c r="H512" s="2"/>
      <c r="I512" s="2"/>
      <c r="J512" s="2"/>
      <c r="K512" s="2"/>
      <c r="L512" s="2"/>
      <c r="M512" s="2"/>
      <c r="N512" s="2"/>
      <c r="O512" s="2"/>
      <c r="P512" s="2"/>
      <c r="Q512" s="23"/>
      <c r="R512" s="23"/>
      <c r="S512" s="23"/>
      <c r="T512" s="23"/>
      <c r="U512" s="23"/>
      <c r="V512" s="23"/>
      <c r="W512" s="23"/>
      <c r="X512" s="23"/>
      <c r="Y512" s="23"/>
      <c r="Z512" s="23"/>
    </row>
    <row r="513">
      <c r="A513" s="2"/>
      <c r="B513" s="2"/>
      <c r="C513" s="2"/>
      <c r="D513" s="2"/>
      <c r="E513" s="2"/>
      <c r="F513" s="2"/>
      <c r="G513" s="2"/>
      <c r="H513" s="2"/>
      <c r="I513" s="2"/>
      <c r="J513" s="2"/>
      <c r="K513" s="2"/>
      <c r="L513" s="2"/>
      <c r="M513" s="2"/>
      <c r="N513" s="2"/>
      <c r="O513" s="2"/>
      <c r="P513" s="2"/>
      <c r="Q513" s="23"/>
      <c r="R513" s="23"/>
      <c r="S513" s="23"/>
      <c r="T513" s="23"/>
      <c r="U513" s="23"/>
      <c r="V513" s="23"/>
      <c r="W513" s="23"/>
      <c r="X513" s="23"/>
      <c r="Y513" s="23"/>
      <c r="Z513" s="23"/>
    </row>
    <row r="514">
      <c r="A514" s="2"/>
      <c r="B514" s="2"/>
      <c r="C514" s="2"/>
      <c r="D514" s="2"/>
      <c r="E514" s="2"/>
      <c r="F514" s="2"/>
      <c r="G514" s="2"/>
      <c r="H514" s="2"/>
      <c r="I514" s="2"/>
      <c r="J514" s="2"/>
      <c r="K514" s="2"/>
      <c r="L514" s="2"/>
      <c r="M514" s="2"/>
      <c r="N514" s="2"/>
      <c r="O514" s="2"/>
      <c r="P514" s="2"/>
      <c r="Q514" s="23"/>
      <c r="R514" s="23"/>
      <c r="S514" s="23"/>
      <c r="T514" s="23"/>
      <c r="U514" s="23"/>
      <c r="V514" s="23"/>
      <c r="W514" s="23"/>
      <c r="X514" s="23"/>
      <c r="Y514" s="23"/>
      <c r="Z514" s="23"/>
    </row>
    <row r="515">
      <c r="A515" s="2"/>
      <c r="B515" s="2"/>
      <c r="C515" s="2"/>
      <c r="D515" s="2"/>
      <c r="E515" s="2"/>
      <c r="F515" s="2"/>
      <c r="G515" s="2"/>
      <c r="H515" s="2"/>
      <c r="I515" s="2"/>
      <c r="J515" s="2"/>
      <c r="K515" s="2"/>
      <c r="L515" s="2"/>
      <c r="M515" s="2"/>
      <c r="N515" s="2"/>
      <c r="O515" s="2"/>
      <c r="P515" s="2"/>
      <c r="Q515" s="23"/>
      <c r="R515" s="23"/>
      <c r="S515" s="23"/>
      <c r="T515" s="23"/>
      <c r="U515" s="23"/>
      <c r="V515" s="23"/>
      <c r="W515" s="23"/>
      <c r="X515" s="23"/>
      <c r="Y515" s="23"/>
      <c r="Z515" s="23"/>
    </row>
    <row r="516">
      <c r="A516" s="2"/>
      <c r="B516" s="2"/>
      <c r="C516" s="2"/>
      <c r="D516" s="2"/>
      <c r="E516" s="2"/>
      <c r="F516" s="2"/>
      <c r="G516" s="2"/>
      <c r="H516" s="2"/>
      <c r="I516" s="2"/>
      <c r="J516" s="2"/>
      <c r="K516" s="2"/>
      <c r="L516" s="2"/>
      <c r="M516" s="2"/>
      <c r="N516" s="2"/>
      <c r="O516" s="2"/>
      <c r="P516" s="2"/>
      <c r="Q516" s="23"/>
      <c r="R516" s="23"/>
      <c r="S516" s="23"/>
      <c r="T516" s="23"/>
      <c r="U516" s="23"/>
      <c r="V516" s="23"/>
      <c r="W516" s="23"/>
      <c r="X516" s="23"/>
      <c r="Y516" s="23"/>
      <c r="Z516" s="23"/>
    </row>
    <row r="517">
      <c r="A517" s="2"/>
      <c r="B517" s="2"/>
      <c r="C517" s="2"/>
      <c r="D517" s="2"/>
      <c r="E517" s="2"/>
      <c r="F517" s="2"/>
      <c r="G517" s="2"/>
      <c r="H517" s="2"/>
      <c r="I517" s="2"/>
      <c r="J517" s="2"/>
      <c r="K517" s="2"/>
      <c r="L517" s="2"/>
      <c r="M517" s="2"/>
      <c r="N517" s="2"/>
      <c r="O517" s="2"/>
      <c r="P517" s="2"/>
      <c r="Q517" s="23"/>
      <c r="R517" s="23"/>
      <c r="S517" s="23"/>
      <c r="T517" s="23"/>
      <c r="U517" s="23"/>
      <c r="V517" s="23"/>
      <c r="W517" s="23"/>
      <c r="X517" s="23"/>
      <c r="Y517" s="23"/>
      <c r="Z517" s="23"/>
    </row>
    <row r="518">
      <c r="A518" s="2"/>
      <c r="B518" s="2"/>
      <c r="C518" s="2"/>
      <c r="D518" s="2"/>
      <c r="E518" s="2"/>
      <c r="F518" s="2"/>
      <c r="G518" s="2"/>
      <c r="H518" s="2"/>
      <c r="I518" s="2"/>
      <c r="J518" s="2"/>
      <c r="K518" s="2"/>
      <c r="L518" s="2"/>
      <c r="M518" s="2"/>
      <c r="N518" s="2"/>
      <c r="O518" s="2"/>
      <c r="P518" s="2"/>
      <c r="Q518" s="23"/>
      <c r="R518" s="23"/>
      <c r="S518" s="23"/>
      <c r="T518" s="23"/>
      <c r="U518" s="23"/>
      <c r="V518" s="23"/>
      <c r="W518" s="23"/>
      <c r="X518" s="23"/>
      <c r="Y518" s="23"/>
      <c r="Z518" s="23"/>
    </row>
    <row r="519">
      <c r="A519" s="2"/>
      <c r="B519" s="2"/>
      <c r="C519" s="2"/>
      <c r="D519" s="2"/>
      <c r="E519" s="2"/>
      <c r="F519" s="2"/>
      <c r="G519" s="2"/>
      <c r="H519" s="2"/>
      <c r="I519" s="2"/>
      <c r="J519" s="2"/>
      <c r="K519" s="2"/>
      <c r="L519" s="2"/>
      <c r="M519" s="2"/>
      <c r="N519" s="2"/>
      <c r="O519" s="2"/>
      <c r="P519" s="2"/>
      <c r="Q519" s="23"/>
      <c r="R519" s="23"/>
      <c r="S519" s="23"/>
      <c r="T519" s="23"/>
      <c r="U519" s="23"/>
      <c r="V519" s="23"/>
      <c r="W519" s="23"/>
      <c r="X519" s="23"/>
      <c r="Y519" s="23"/>
      <c r="Z519" s="23"/>
    </row>
    <row r="520">
      <c r="A520" s="2"/>
      <c r="B520" s="2"/>
      <c r="C520" s="2"/>
      <c r="D520" s="2"/>
      <c r="E520" s="2"/>
      <c r="F520" s="2"/>
      <c r="G520" s="2"/>
      <c r="H520" s="2"/>
      <c r="I520" s="2"/>
      <c r="J520" s="2"/>
      <c r="K520" s="2"/>
      <c r="L520" s="2"/>
      <c r="M520" s="2"/>
      <c r="N520" s="2"/>
      <c r="O520" s="2"/>
      <c r="P520" s="2"/>
      <c r="Q520" s="23"/>
      <c r="R520" s="23"/>
      <c r="S520" s="23"/>
      <c r="T520" s="23"/>
      <c r="U520" s="23"/>
      <c r="V520" s="23"/>
      <c r="W520" s="23"/>
      <c r="X520" s="23"/>
      <c r="Y520" s="23"/>
      <c r="Z520" s="23"/>
    </row>
    <row r="521">
      <c r="A521" s="2"/>
      <c r="B521" s="2"/>
      <c r="C521" s="2"/>
      <c r="D521" s="2"/>
      <c r="E521" s="2"/>
      <c r="F521" s="2"/>
      <c r="G521" s="2"/>
      <c r="H521" s="2"/>
      <c r="I521" s="2"/>
      <c r="J521" s="2"/>
      <c r="K521" s="2"/>
      <c r="L521" s="2"/>
      <c r="M521" s="2"/>
      <c r="N521" s="2"/>
      <c r="O521" s="2"/>
      <c r="P521" s="2"/>
      <c r="Q521" s="23"/>
      <c r="R521" s="23"/>
      <c r="S521" s="23"/>
      <c r="T521" s="23"/>
      <c r="U521" s="23"/>
      <c r="V521" s="23"/>
      <c r="W521" s="23"/>
      <c r="X521" s="23"/>
      <c r="Y521" s="23"/>
      <c r="Z521" s="23"/>
    </row>
    <row r="522">
      <c r="A522" s="2"/>
      <c r="B522" s="2"/>
      <c r="C522" s="2"/>
      <c r="D522" s="2"/>
      <c r="E522" s="2"/>
      <c r="F522" s="2"/>
      <c r="G522" s="2"/>
      <c r="H522" s="2"/>
      <c r="I522" s="2"/>
      <c r="J522" s="2"/>
      <c r="K522" s="2"/>
      <c r="L522" s="2"/>
      <c r="M522" s="2"/>
      <c r="N522" s="2"/>
      <c r="O522" s="2"/>
      <c r="P522" s="2"/>
      <c r="Q522" s="23"/>
      <c r="R522" s="23"/>
      <c r="S522" s="23"/>
      <c r="T522" s="23"/>
      <c r="U522" s="23"/>
      <c r="V522" s="23"/>
      <c r="W522" s="23"/>
      <c r="X522" s="23"/>
      <c r="Y522" s="23"/>
      <c r="Z522" s="23"/>
    </row>
    <row r="523">
      <c r="A523" s="2"/>
      <c r="B523" s="2"/>
      <c r="C523" s="2"/>
      <c r="D523" s="2"/>
      <c r="E523" s="2"/>
      <c r="F523" s="2"/>
      <c r="G523" s="2"/>
      <c r="H523" s="2"/>
      <c r="I523" s="2"/>
      <c r="J523" s="2"/>
      <c r="K523" s="2"/>
      <c r="L523" s="2"/>
      <c r="M523" s="2"/>
      <c r="N523" s="2"/>
      <c r="O523" s="2"/>
      <c r="P523" s="2"/>
      <c r="Q523" s="23"/>
      <c r="R523" s="23"/>
      <c r="S523" s="23"/>
      <c r="T523" s="23"/>
      <c r="U523" s="23"/>
      <c r="V523" s="23"/>
      <c r="W523" s="23"/>
      <c r="X523" s="23"/>
      <c r="Y523" s="23"/>
      <c r="Z523" s="23"/>
    </row>
    <row r="524">
      <c r="A524" s="2"/>
      <c r="B524" s="2"/>
      <c r="C524" s="2"/>
      <c r="D524" s="2"/>
      <c r="E524" s="2"/>
      <c r="F524" s="2"/>
      <c r="G524" s="2"/>
      <c r="H524" s="2"/>
      <c r="I524" s="2"/>
      <c r="J524" s="2"/>
      <c r="K524" s="2"/>
      <c r="L524" s="2"/>
      <c r="M524" s="2"/>
      <c r="N524" s="2"/>
      <c r="O524" s="2"/>
      <c r="P524" s="2"/>
      <c r="Q524" s="23"/>
      <c r="R524" s="23"/>
      <c r="S524" s="23"/>
      <c r="T524" s="23"/>
      <c r="U524" s="23"/>
      <c r="V524" s="23"/>
      <c r="W524" s="23"/>
      <c r="X524" s="23"/>
      <c r="Y524" s="23"/>
      <c r="Z524" s="23"/>
    </row>
    <row r="525">
      <c r="A525" s="2"/>
      <c r="B525" s="2"/>
      <c r="C525" s="2"/>
      <c r="D525" s="2"/>
      <c r="E525" s="2"/>
      <c r="F525" s="2"/>
      <c r="G525" s="2"/>
      <c r="H525" s="2"/>
      <c r="I525" s="2"/>
      <c r="J525" s="2"/>
      <c r="K525" s="2"/>
      <c r="L525" s="2"/>
      <c r="M525" s="2"/>
      <c r="N525" s="2"/>
      <c r="O525" s="2"/>
      <c r="P525" s="2"/>
      <c r="Q525" s="23"/>
      <c r="R525" s="23"/>
      <c r="S525" s="23"/>
      <c r="T525" s="23"/>
      <c r="U525" s="23"/>
      <c r="V525" s="23"/>
      <c r="W525" s="23"/>
      <c r="X525" s="23"/>
      <c r="Y525" s="23"/>
      <c r="Z525" s="23"/>
    </row>
    <row r="526">
      <c r="A526" s="2"/>
      <c r="B526" s="2"/>
      <c r="C526" s="2"/>
      <c r="D526" s="2"/>
      <c r="E526" s="2"/>
      <c r="F526" s="2"/>
      <c r="G526" s="2"/>
      <c r="H526" s="2"/>
      <c r="I526" s="2"/>
      <c r="J526" s="2"/>
      <c r="K526" s="2"/>
      <c r="L526" s="2"/>
      <c r="M526" s="2"/>
      <c r="N526" s="2"/>
      <c r="O526" s="2"/>
      <c r="P526" s="2"/>
      <c r="Q526" s="23"/>
      <c r="R526" s="23"/>
      <c r="S526" s="23"/>
      <c r="T526" s="23"/>
      <c r="U526" s="23"/>
      <c r="V526" s="23"/>
      <c r="W526" s="23"/>
      <c r="X526" s="23"/>
      <c r="Y526" s="23"/>
      <c r="Z526" s="23"/>
    </row>
    <row r="527">
      <c r="A527" s="2"/>
      <c r="B527" s="2"/>
      <c r="C527" s="2"/>
      <c r="D527" s="2"/>
      <c r="E527" s="2"/>
      <c r="F527" s="2"/>
      <c r="G527" s="2"/>
      <c r="H527" s="2"/>
      <c r="I527" s="2"/>
      <c r="J527" s="2"/>
      <c r="K527" s="2"/>
      <c r="L527" s="2"/>
      <c r="M527" s="2"/>
      <c r="N527" s="2"/>
      <c r="O527" s="2"/>
      <c r="P527" s="2"/>
      <c r="Q527" s="23"/>
      <c r="R527" s="23"/>
      <c r="S527" s="23"/>
      <c r="T527" s="23"/>
      <c r="U527" s="23"/>
      <c r="V527" s="23"/>
      <c r="W527" s="23"/>
      <c r="X527" s="23"/>
      <c r="Y527" s="23"/>
      <c r="Z527" s="23"/>
    </row>
    <row r="528">
      <c r="A528" s="2"/>
      <c r="B528" s="2"/>
      <c r="C528" s="2"/>
      <c r="D528" s="2"/>
      <c r="E528" s="2"/>
      <c r="F528" s="2"/>
      <c r="G528" s="2"/>
      <c r="H528" s="2"/>
      <c r="I528" s="2"/>
      <c r="J528" s="2"/>
      <c r="K528" s="2"/>
      <c r="L528" s="2"/>
      <c r="M528" s="2"/>
      <c r="N528" s="2"/>
      <c r="O528" s="2"/>
      <c r="P528" s="2"/>
      <c r="Q528" s="23"/>
      <c r="R528" s="23"/>
      <c r="S528" s="23"/>
      <c r="T528" s="23"/>
      <c r="U528" s="23"/>
      <c r="V528" s="23"/>
      <c r="W528" s="23"/>
      <c r="X528" s="23"/>
      <c r="Y528" s="23"/>
      <c r="Z528" s="23"/>
    </row>
    <row r="529">
      <c r="A529" s="2"/>
      <c r="B529" s="2"/>
      <c r="C529" s="2"/>
      <c r="D529" s="2"/>
      <c r="E529" s="2"/>
      <c r="F529" s="2"/>
      <c r="G529" s="2"/>
      <c r="H529" s="2"/>
      <c r="I529" s="2"/>
      <c r="J529" s="2"/>
      <c r="K529" s="2"/>
      <c r="L529" s="2"/>
      <c r="M529" s="2"/>
      <c r="N529" s="2"/>
      <c r="O529" s="2"/>
      <c r="P529" s="2"/>
      <c r="Q529" s="23"/>
      <c r="R529" s="23"/>
      <c r="S529" s="23"/>
      <c r="T529" s="23"/>
      <c r="U529" s="23"/>
      <c r="V529" s="23"/>
      <c r="W529" s="23"/>
      <c r="X529" s="23"/>
      <c r="Y529" s="23"/>
      <c r="Z529" s="23"/>
    </row>
    <row r="530">
      <c r="A530" s="2"/>
      <c r="B530" s="2"/>
      <c r="C530" s="2"/>
      <c r="D530" s="2"/>
      <c r="E530" s="2"/>
      <c r="F530" s="2"/>
      <c r="G530" s="2"/>
      <c r="H530" s="2"/>
      <c r="I530" s="2"/>
      <c r="J530" s="2"/>
      <c r="K530" s="2"/>
      <c r="L530" s="2"/>
      <c r="M530" s="2"/>
      <c r="N530" s="2"/>
      <c r="O530" s="2"/>
      <c r="P530" s="2"/>
      <c r="Q530" s="23"/>
      <c r="R530" s="23"/>
      <c r="S530" s="23"/>
      <c r="T530" s="23"/>
      <c r="U530" s="23"/>
      <c r="V530" s="23"/>
      <c r="W530" s="23"/>
      <c r="X530" s="23"/>
      <c r="Y530" s="23"/>
      <c r="Z530" s="23"/>
    </row>
    <row r="531">
      <c r="A531" s="2"/>
      <c r="B531" s="2"/>
      <c r="C531" s="2"/>
      <c r="D531" s="2"/>
      <c r="E531" s="2"/>
      <c r="F531" s="2"/>
      <c r="G531" s="2"/>
      <c r="H531" s="2"/>
      <c r="I531" s="2"/>
      <c r="J531" s="2"/>
      <c r="K531" s="2"/>
      <c r="L531" s="2"/>
      <c r="M531" s="2"/>
      <c r="N531" s="2"/>
      <c r="O531" s="2"/>
      <c r="P531" s="2"/>
      <c r="Q531" s="23"/>
      <c r="R531" s="23"/>
      <c r="S531" s="23"/>
      <c r="T531" s="23"/>
      <c r="U531" s="23"/>
      <c r="V531" s="23"/>
      <c r="W531" s="23"/>
      <c r="X531" s="23"/>
      <c r="Y531" s="23"/>
      <c r="Z531" s="23"/>
    </row>
    <row r="532">
      <c r="A532" s="2"/>
      <c r="B532" s="2"/>
      <c r="C532" s="2"/>
      <c r="D532" s="2"/>
      <c r="E532" s="2"/>
      <c r="F532" s="2"/>
      <c r="G532" s="2"/>
      <c r="H532" s="2"/>
      <c r="I532" s="2"/>
      <c r="J532" s="2"/>
      <c r="K532" s="2"/>
      <c r="L532" s="2"/>
      <c r="M532" s="2"/>
      <c r="N532" s="2"/>
      <c r="O532" s="2"/>
      <c r="P532" s="2"/>
      <c r="Q532" s="23"/>
      <c r="R532" s="23"/>
      <c r="S532" s="23"/>
      <c r="T532" s="23"/>
      <c r="U532" s="23"/>
      <c r="V532" s="23"/>
      <c r="W532" s="23"/>
      <c r="X532" s="23"/>
      <c r="Y532" s="23"/>
      <c r="Z532" s="23"/>
    </row>
    <row r="533">
      <c r="A533" s="2"/>
      <c r="B533" s="2"/>
      <c r="C533" s="2"/>
      <c r="D533" s="2"/>
      <c r="E533" s="2"/>
      <c r="F533" s="2"/>
      <c r="G533" s="2"/>
      <c r="H533" s="2"/>
      <c r="I533" s="2"/>
      <c r="J533" s="2"/>
      <c r="K533" s="2"/>
      <c r="L533" s="2"/>
      <c r="M533" s="2"/>
      <c r="N533" s="2"/>
      <c r="O533" s="2"/>
      <c r="P533" s="2"/>
      <c r="Q533" s="23"/>
      <c r="R533" s="23"/>
      <c r="S533" s="23"/>
      <c r="T533" s="23"/>
      <c r="U533" s="23"/>
      <c r="V533" s="23"/>
      <c r="W533" s="23"/>
      <c r="X533" s="23"/>
      <c r="Y533" s="23"/>
      <c r="Z533" s="23"/>
    </row>
    <row r="534">
      <c r="A534" s="2"/>
      <c r="B534" s="2"/>
      <c r="C534" s="2"/>
      <c r="D534" s="2"/>
      <c r="E534" s="2"/>
      <c r="F534" s="2"/>
      <c r="G534" s="2"/>
      <c r="H534" s="2"/>
      <c r="I534" s="2"/>
      <c r="J534" s="2"/>
      <c r="K534" s="2"/>
      <c r="L534" s="2"/>
      <c r="M534" s="2"/>
      <c r="N534" s="2"/>
      <c r="O534" s="2"/>
      <c r="P534" s="2"/>
      <c r="Q534" s="23"/>
      <c r="R534" s="23"/>
      <c r="S534" s="23"/>
      <c r="T534" s="23"/>
      <c r="U534" s="23"/>
      <c r="V534" s="23"/>
      <c r="W534" s="23"/>
      <c r="X534" s="23"/>
      <c r="Y534" s="23"/>
      <c r="Z534" s="23"/>
    </row>
    <row r="535">
      <c r="A535" s="2"/>
      <c r="B535" s="2"/>
      <c r="C535" s="2"/>
      <c r="D535" s="2"/>
      <c r="E535" s="2"/>
      <c r="F535" s="2"/>
      <c r="G535" s="2"/>
      <c r="H535" s="2"/>
      <c r="I535" s="2"/>
      <c r="J535" s="2"/>
      <c r="K535" s="2"/>
      <c r="L535" s="2"/>
      <c r="M535" s="2"/>
      <c r="N535" s="2"/>
      <c r="O535" s="2"/>
      <c r="P535" s="2"/>
      <c r="Q535" s="23"/>
      <c r="R535" s="23"/>
      <c r="S535" s="23"/>
      <c r="T535" s="23"/>
      <c r="U535" s="23"/>
      <c r="V535" s="23"/>
      <c r="W535" s="23"/>
      <c r="X535" s="23"/>
      <c r="Y535" s="23"/>
      <c r="Z535" s="23"/>
    </row>
    <row r="536">
      <c r="A536" s="2"/>
      <c r="B536" s="2"/>
      <c r="C536" s="2"/>
      <c r="D536" s="2"/>
      <c r="E536" s="2"/>
      <c r="F536" s="2"/>
      <c r="G536" s="2"/>
      <c r="H536" s="2"/>
      <c r="I536" s="2"/>
      <c r="J536" s="2"/>
      <c r="K536" s="2"/>
      <c r="L536" s="2"/>
      <c r="M536" s="2"/>
      <c r="N536" s="2"/>
      <c r="O536" s="2"/>
      <c r="P536" s="2"/>
      <c r="Q536" s="23"/>
      <c r="R536" s="23"/>
      <c r="S536" s="23"/>
      <c r="T536" s="23"/>
      <c r="U536" s="23"/>
      <c r="V536" s="23"/>
      <c r="W536" s="23"/>
      <c r="X536" s="23"/>
      <c r="Y536" s="23"/>
      <c r="Z536" s="23"/>
    </row>
    <row r="537">
      <c r="A537" s="2"/>
      <c r="B537" s="2"/>
      <c r="C537" s="2"/>
      <c r="D537" s="2"/>
      <c r="E537" s="2"/>
      <c r="F537" s="2"/>
      <c r="G537" s="2"/>
      <c r="H537" s="2"/>
      <c r="I537" s="2"/>
      <c r="J537" s="2"/>
      <c r="K537" s="2"/>
      <c r="L537" s="2"/>
      <c r="M537" s="2"/>
      <c r="N537" s="2"/>
      <c r="O537" s="2"/>
      <c r="P537" s="2"/>
      <c r="Q537" s="23"/>
      <c r="R537" s="23"/>
      <c r="S537" s="23"/>
      <c r="T537" s="23"/>
      <c r="U537" s="23"/>
      <c r="V537" s="23"/>
      <c r="W537" s="23"/>
      <c r="X537" s="23"/>
      <c r="Y537" s="23"/>
      <c r="Z537" s="23"/>
    </row>
    <row r="538">
      <c r="A538" s="2"/>
      <c r="B538" s="2"/>
      <c r="C538" s="2"/>
      <c r="D538" s="2"/>
      <c r="E538" s="2"/>
      <c r="F538" s="2"/>
      <c r="G538" s="2"/>
      <c r="H538" s="2"/>
      <c r="I538" s="2"/>
      <c r="J538" s="2"/>
      <c r="K538" s="2"/>
      <c r="L538" s="2"/>
      <c r="M538" s="2"/>
      <c r="N538" s="2"/>
      <c r="O538" s="2"/>
      <c r="P538" s="2"/>
      <c r="Q538" s="23"/>
      <c r="R538" s="23"/>
      <c r="S538" s="23"/>
      <c r="T538" s="23"/>
      <c r="U538" s="23"/>
      <c r="V538" s="23"/>
      <c r="W538" s="23"/>
      <c r="X538" s="23"/>
      <c r="Y538" s="23"/>
      <c r="Z538" s="23"/>
    </row>
    <row r="539">
      <c r="A539" s="2"/>
      <c r="B539" s="2"/>
      <c r="C539" s="2"/>
      <c r="D539" s="2"/>
      <c r="E539" s="2"/>
      <c r="F539" s="2"/>
      <c r="G539" s="2"/>
      <c r="H539" s="2"/>
      <c r="I539" s="2"/>
      <c r="J539" s="2"/>
      <c r="K539" s="2"/>
      <c r="L539" s="2"/>
      <c r="M539" s="2"/>
      <c r="N539" s="2"/>
      <c r="O539" s="2"/>
      <c r="P539" s="2"/>
      <c r="Q539" s="23"/>
      <c r="R539" s="23"/>
      <c r="S539" s="23"/>
      <c r="T539" s="23"/>
      <c r="U539" s="23"/>
      <c r="V539" s="23"/>
      <c r="W539" s="23"/>
      <c r="X539" s="23"/>
      <c r="Y539" s="23"/>
      <c r="Z539" s="23"/>
    </row>
    <row r="540">
      <c r="A540" s="2"/>
      <c r="B540" s="2"/>
      <c r="C540" s="2"/>
      <c r="D540" s="2"/>
      <c r="E540" s="2"/>
      <c r="F540" s="2"/>
      <c r="G540" s="2"/>
      <c r="H540" s="2"/>
      <c r="I540" s="2"/>
      <c r="J540" s="2"/>
      <c r="K540" s="2"/>
      <c r="L540" s="2"/>
      <c r="M540" s="2"/>
      <c r="N540" s="2"/>
      <c r="O540" s="2"/>
      <c r="P540" s="2"/>
      <c r="Q540" s="23"/>
      <c r="R540" s="23"/>
      <c r="S540" s="23"/>
      <c r="T540" s="23"/>
      <c r="U540" s="23"/>
      <c r="V540" s="23"/>
      <c r="W540" s="23"/>
      <c r="X540" s="23"/>
      <c r="Y540" s="23"/>
      <c r="Z540" s="23"/>
    </row>
    <row r="541">
      <c r="A541" s="2"/>
      <c r="B541" s="2"/>
      <c r="C541" s="2"/>
      <c r="D541" s="2"/>
      <c r="E541" s="2"/>
      <c r="F541" s="2"/>
      <c r="G541" s="2"/>
      <c r="H541" s="2"/>
      <c r="I541" s="2"/>
      <c r="J541" s="2"/>
      <c r="K541" s="2"/>
      <c r="L541" s="2"/>
      <c r="M541" s="2"/>
      <c r="N541" s="2"/>
      <c r="O541" s="2"/>
      <c r="P541" s="2"/>
      <c r="Q541" s="23"/>
      <c r="R541" s="23"/>
      <c r="S541" s="23"/>
      <c r="T541" s="23"/>
      <c r="U541" s="23"/>
      <c r="V541" s="23"/>
      <c r="W541" s="23"/>
      <c r="X541" s="23"/>
      <c r="Y541" s="23"/>
      <c r="Z541" s="23"/>
    </row>
    <row r="542">
      <c r="A542" s="2"/>
      <c r="B542" s="2"/>
      <c r="C542" s="2"/>
      <c r="D542" s="2"/>
      <c r="E542" s="2"/>
      <c r="F542" s="2"/>
      <c r="G542" s="2"/>
      <c r="H542" s="2"/>
      <c r="I542" s="2"/>
      <c r="J542" s="2"/>
      <c r="K542" s="2"/>
      <c r="L542" s="2"/>
      <c r="M542" s="2"/>
      <c r="N542" s="2"/>
      <c r="O542" s="2"/>
      <c r="P542" s="2"/>
      <c r="Q542" s="23"/>
      <c r="R542" s="23"/>
      <c r="S542" s="23"/>
      <c r="T542" s="23"/>
      <c r="U542" s="23"/>
      <c r="V542" s="23"/>
      <c r="W542" s="23"/>
      <c r="X542" s="23"/>
      <c r="Y542" s="23"/>
      <c r="Z542" s="23"/>
    </row>
    <row r="543">
      <c r="A543" s="2"/>
      <c r="B543" s="2"/>
      <c r="C543" s="2"/>
      <c r="D543" s="2"/>
      <c r="E543" s="2"/>
      <c r="F543" s="2"/>
      <c r="G543" s="2"/>
      <c r="H543" s="2"/>
      <c r="I543" s="2"/>
      <c r="J543" s="2"/>
      <c r="K543" s="2"/>
      <c r="L543" s="2"/>
      <c r="M543" s="2"/>
      <c r="N543" s="2"/>
      <c r="O543" s="2"/>
      <c r="P543" s="2"/>
      <c r="Q543" s="23"/>
      <c r="R543" s="23"/>
      <c r="S543" s="23"/>
      <c r="T543" s="23"/>
      <c r="U543" s="23"/>
      <c r="V543" s="23"/>
      <c r="W543" s="23"/>
      <c r="X543" s="23"/>
      <c r="Y543" s="23"/>
      <c r="Z543" s="23"/>
    </row>
    <row r="544">
      <c r="A544" s="2"/>
      <c r="B544" s="2"/>
      <c r="C544" s="2"/>
      <c r="D544" s="2"/>
      <c r="E544" s="2"/>
      <c r="F544" s="2"/>
      <c r="G544" s="2"/>
      <c r="H544" s="2"/>
      <c r="I544" s="2"/>
      <c r="J544" s="2"/>
      <c r="K544" s="2"/>
      <c r="L544" s="2"/>
      <c r="M544" s="2"/>
      <c r="N544" s="2"/>
      <c r="O544" s="2"/>
      <c r="P544" s="2"/>
      <c r="Q544" s="23"/>
      <c r="R544" s="23"/>
      <c r="S544" s="23"/>
      <c r="T544" s="23"/>
      <c r="U544" s="23"/>
      <c r="V544" s="23"/>
      <c r="W544" s="23"/>
      <c r="X544" s="23"/>
      <c r="Y544" s="23"/>
      <c r="Z544" s="23"/>
    </row>
    <row r="545">
      <c r="A545" s="2"/>
      <c r="B545" s="2"/>
      <c r="C545" s="2"/>
      <c r="D545" s="2"/>
      <c r="E545" s="2"/>
      <c r="F545" s="2"/>
      <c r="G545" s="2"/>
      <c r="H545" s="2"/>
      <c r="I545" s="2"/>
      <c r="J545" s="2"/>
      <c r="K545" s="2"/>
      <c r="L545" s="2"/>
      <c r="M545" s="2"/>
      <c r="N545" s="2"/>
      <c r="O545" s="2"/>
      <c r="P545" s="2"/>
      <c r="Q545" s="23"/>
      <c r="R545" s="23"/>
      <c r="S545" s="23"/>
      <c r="T545" s="23"/>
      <c r="U545" s="23"/>
      <c r="V545" s="23"/>
      <c r="W545" s="23"/>
      <c r="X545" s="23"/>
      <c r="Y545" s="23"/>
      <c r="Z545" s="23"/>
    </row>
    <row r="546">
      <c r="A546" s="2"/>
      <c r="B546" s="2"/>
      <c r="C546" s="2"/>
      <c r="D546" s="2"/>
      <c r="E546" s="2"/>
      <c r="F546" s="2"/>
      <c r="G546" s="2"/>
      <c r="H546" s="2"/>
      <c r="I546" s="2"/>
      <c r="J546" s="2"/>
      <c r="K546" s="2"/>
      <c r="L546" s="2"/>
      <c r="M546" s="2"/>
      <c r="N546" s="2"/>
      <c r="O546" s="2"/>
      <c r="P546" s="2"/>
      <c r="Q546" s="23"/>
      <c r="R546" s="23"/>
      <c r="S546" s="23"/>
      <c r="T546" s="23"/>
      <c r="U546" s="23"/>
      <c r="V546" s="23"/>
      <c r="W546" s="23"/>
      <c r="X546" s="23"/>
      <c r="Y546" s="23"/>
      <c r="Z546" s="23"/>
    </row>
    <row r="547">
      <c r="A547" s="2"/>
      <c r="B547" s="2"/>
      <c r="C547" s="2"/>
      <c r="D547" s="2"/>
      <c r="E547" s="2"/>
      <c r="F547" s="2"/>
      <c r="G547" s="2"/>
      <c r="H547" s="2"/>
      <c r="I547" s="2"/>
      <c r="J547" s="2"/>
      <c r="K547" s="2"/>
      <c r="L547" s="2"/>
      <c r="M547" s="2"/>
      <c r="N547" s="2"/>
      <c r="O547" s="2"/>
      <c r="P547" s="2"/>
      <c r="Q547" s="23"/>
      <c r="R547" s="23"/>
      <c r="S547" s="23"/>
      <c r="T547" s="23"/>
      <c r="U547" s="23"/>
      <c r="V547" s="23"/>
      <c r="W547" s="23"/>
      <c r="X547" s="23"/>
      <c r="Y547" s="23"/>
      <c r="Z547" s="23"/>
    </row>
    <row r="548">
      <c r="A548" s="2"/>
      <c r="B548" s="2"/>
      <c r="C548" s="2"/>
      <c r="D548" s="2"/>
      <c r="E548" s="2"/>
      <c r="F548" s="2"/>
      <c r="G548" s="2"/>
      <c r="H548" s="2"/>
      <c r="I548" s="2"/>
      <c r="J548" s="2"/>
      <c r="K548" s="2"/>
      <c r="L548" s="2"/>
      <c r="M548" s="2"/>
      <c r="N548" s="2"/>
      <c r="O548" s="2"/>
      <c r="P548" s="2"/>
      <c r="Q548" s="23"/>
      <c r="R548" s="23"/>
      <c r="S548" s="23"/>
      <c r="T548" s="23"/>
      <c r="U548" s="23"/>
      <c r="V548" s="23"/>
      <c r="W548" s="23"/>
      <c r="X548" s="23"/>
      <c r="Y548" s="23"/>
      <c r="Z548" s="23"/>
    </row>
    <row r="549">
      <c r="A549" s="2"/>
      <c r="B549" s="2"/>
      <c r="C549" s="2"/>
      <c r="D549" s="2"/>
      <c r="E549" s="2"/>
      <c r="F549" s="2"/>
      <c r="G549" s="2"/>
      <c r="H549" s="2"/>
      <c r="I549" s="2"/>
      <c r="J549" s="2"/>
      <c r="K549" s="2"/>
      <c r="L549" s="2"/>
      <c r="M549" s="2"/>
      <c r="N549" s="2"/>
      <c r="O549" s="2"/>
      <c r="P549" s="2"/>
      <c r="Q549" s="23"/>
      <c r="R549" s="23"/>
      <c r="S549" s="23"/>
      <c r="T549" s="23"/>
      <c r="U549" s="23"/>
      <c r="V549" s="23"/>
      <c r="W549" s="23"/>
      <c r="X549" s="23"/>
      <c r="Y549" s="23"/>
      <c r="Z549" s="23"/>
    </row>
    <row r="550">
      <c r="A550" s="2"/>
      <c r="B550" s="2"/>
      <c r="C550" s="2"/>
      <c r="D550" s="2"/>
      <c r="E550" s="2"/>
      <c r="F550" s="2"/>
      <c r="G550" s="2"/>
      <c r="H550" s="2"/>
      <c r="I550" s="2"/>
      <c r="J550" s="2"/>
      <c r="K550" s="2"/>
      <c r="L550" s="2"/>
      <c r="M550" s="2"/>
      <c r="N550" s="2"/>
      <c r="O550" s="2"/>
      <c r="P550" s="2"/>
      <c r="Q550" s="23"/>
      <c r="R550" s="23"/>
      <c r="S550" s="23"/>
      <c r="T550" s="23"/>
      <c r="U550" s="23"/>
      <c r="V550" s="23"/>
      <c r="W550" s="23"/>
      <c r="X550" s="23"/>
      <c r="Y550" s="23"/>
      <c r="Z550" s="23"/>
    </row>
    <row r="551">
      <c r="A551" s="2"/>
      <c r="B551" s="2"/>
      <c r="C551" s="2"/>
      <c r="D551" s="2"/>
      <c r="E551" s="2"/>
      <c r="F551" s="2"/>
      <c r="G551" s="2"/>
      <c r="H551" s="2"/>
      <c r="I551" s="2"/>
      <c r="J551" s="2"/>
      <c r="K551" s="2"/>
      <c r="L551" s="2"/>
      <c r="M551" s="2"/>
      <c r="N551" s="2"/>
      <c r="O551" s="2"/>
      <c r="P551" s="2"/>
      <c r="Q551" s="23"/>
      <c r="R551" s="23"/>
      <c r="S551" s="23"/>
      <c r="T551" s="23"/>
      <c r="U551" s="23"/>
      <c r="V551" s="23"/>
      <c r="W551" s="23"/>
      <c r="X551" s="23"/>
      <c r="Y551" s="23"/>
      <c r="Z551" s="23"/>
    </row>
    <row r="552">
      <c r="A552" s="2"/>
      <c r="B552" s="2"/>
      <c r="C552" s="2"/>
      <c r="D552" s="2"/>
      <c r="E552" s="2"/>
      <c r="F552" s="2"/>
      <c r="G552" s="2"/>
      <c r="H552" s="2"/>
      <c r="I552" s="2"/>
      <c r="J552" s="2"/>
      <c r="K552" s="2"/>
      <c r="L552" s="2"/>
      <c r="M552" s="2"/>
      <c r="N552" s="2"/>
      <c r="O552" s="2"/>
      <c r="P552" s="2"/>
      <c r="Q552" s="23"/>
      <c r="R552" s="23"/>
      <c r="S552" s="23"/>
      <c r="T552" s="23"/>
      <c r="U552" s="23"/>
      <c r="V552" s="23"/>
      <c r="W552" s="23"/>
      <c r="X552" s="23"/>
      <c r="Y552" s="23"/>
      <c r="Z552" s="23"/>
    </row>
    <row r="553">
      <c r="A553" s="2"/>
      <c r="B553" s="2"/>
      <c r="C553" s="2"/>
      <c r="D553" s="2"/>
      <c r="E553" s="2"/>
      <c r="F553" s="2"/>
      <c r="G553" s="2"/>
      <c r="H553" s="2"/>
      <c r="I553" s="2"/>
      <c r="J553" s="2"/>
      <c r="K553" s="2"/>
      <c r="L553" s="2"/>
      <c r="M553" s="2"/>
      <c r="N553" s="2"/>
      <c r="O553" s="2"/>
      <c r="P553" s="2"/>
      <c r="Q553" s="23"/>
      <c r="R553" s="23"/>
      <c r="S553" s="23"/>
      <c r="T553" s="23"/>
      <c r="U553" s="23"/>
      <c r="V553" s="23"/>
      <c r="W553" s="23"/>
      <c r="X553" s="23"/>
      <c r="Y553" s="23"/>
      <c r="Z553" s="23"/>
    </row>
    <row r="554">
      <c r="A554" s="2"/>
      <c r="B554" s="2"/>
      <c r="C554" s="2"/>
      <c r="D554" s="2"/>
      <c r="E554" s="2"/>
      <c r="F554" s="2"/>
      <c r="G554" s="2"/>
      <c r="H554" s="2"/>
      <c r="I554" s="2"/>
      <c r="J554" s="2"/>
      <c r="K554" s="2"/>
      <c r="L554" s="2"/>
      <c r="M554" s="2"/>
      <c r="N554" s="2"/>
      <c r="O554" s="2"/>
      <c r="P554" s="2"/>
      <c r="Q554" s="23"/>
      <c r="R554" s="23"/>
      <c r="S554" s="23"/>
      <c r="T554" s="23"/>
      <c r="U554" s="23"/>
      <c r="V554" s="23"/>
      <c r="W554" s="23"/>
      <c r="X554" s="23"/>
      <c r="Y554" s="23"/>
      <c r="Z554" s="23"/>
    </row>
    <row r="555">
      <c r="A555" s="2"/>
      <c r="B555" s="2"/>
      <c r="C555" s="2"/>
      <c r="D555" s="2"/>
      <c r="E555" s="2"/>
      <c r="F555" s="2"/>
      <c r="G555" s="2"/>
      <c r="H555" s="2"/>
      <c r="I555" s="2"/>
      <c r="J555" s="2"/>
      <c r="K555" s="2"/>
      <c r="L555" s="2"/>
      <c r="M555" s="2"/>
      <c r="N555" s="2"/>
      <c r="O555" s="2"/>
      <c r="P555" s="2"/>
      <c r="Q555" s="23"/>
      <c r="R555" s="23"/>
      <c r="S555" s="23"/>
      <c r="T555" s="23"/>
      <c r="U555" s="23"/>
      <c r="V555" s="23"/>
      <c r="W555" s="23"/>
      <c r="X555" s="23"/>
      <c r="Y555" s="23"/>
      <c r="Z555" s="23"/>
    </row>
    <row r="556">
      <c r="A556" s="2"/>
      <c r="B556" s="2"/>
      <c r="C556" s="2"/>
      <c r="D556" s="2"/>
      <c r="E556" s="2"/>
      <c r="F556" s="2"/>
      <c r="G556" s="2"/>
      <c r="H556" s="2"/>
      <c r="I556" s="2"/>
      <c r="J556" s="2"/>
      <c r="K556" s="2"/>
      <c r="L556" s="2"/>
      <c r="M556" s="2"/>
      <c r="N556" s="2"/>
      <c r="O556" s="2"/>
      <c r="P556" s="2"/>
      <c r="Q556" s="23"/>
      <c r="R556" s="23"/>
      <c r="S556" s="23"/>
      <c r="T556" s="23"/>
      <c r="U556" s="23"/>
      <c r="V556" s="23"/>
      <c r="W556" s="23"/>
      <c r="X556" s="23"/>
      <c r="Y556" s="23"/>
      <c r="Z556" s="23"/>
    </row>
    <row r="557">
      <c r="A557" s="2"/>
      <c r="B557" s="2"/>
      <c r="C557" s="2"/>
      <c r="D557" s="2"/>
      <c r="E557" s="2"/>
      <c r="F557" s="2"/>
      <c r="G557" s="2"/>
      <c r="H557" s="2"/>
      <c r="I557" s="2"/>
      <c r="J557" s="2"/>
      <c r="K557" s="2"/>
      <c r="L557" s="2"/>
      <c r="M557" s="2"/>
      <c r="N557" s="2"/>
      <c r="O557" s="2"/>
      <c r="P557" s="2"/>
      <c r="Q557" s="23"/>
      <c r="R557" s="23"/>
      <c r="S557" s="23"/>
      <c r="T557" s="23"/>
      <c r="U557" s="23"/>
      <c r="V557" s="23"/>
      <c r="W557" s="23"/>
      <c r="X557" s="23"/>
      <c r="Y557" s="23"/>
      <c r="Z557" s="23"/>
    </row>
    <row r="558">
      <c r="A558" s="2"/>
      <c r="B558" s="2"/>
      <c r="C558" s="2"/>
      <c r="D558" s="2"/>
      <c r="E558" s="2"/>
      <c r="F558" s="2"/>
      <c r="G558" s="2"/>
      <c r="H558" s="2"/>
      <c r="I558" s="2"/>
      <c r="J558" s="2"/>
      <c r="K558" s="2"/>
      <c r="L558" s="2"/>
      <c r="M558" s="2"/>
      <c r="N558" s="2"/>
      <c r="O558" s="2"/>
      <c r="P558" s="2"/>
      <c r="Q558" s="23"/>
      <c r="R558" s="23"/>
      <c r="S558" s="23"/>
      <c r="T558" s="23"/>
      <c r="U558" s="23"/>
      <c r="V558" s="23"/>
      <c r="W558" s="23"/>
      <c r="X558" s="23"/>
      <c r="Y558" s="23"/>
      <c r="Z558" s="23"/>
    </row>
    <row r="559">
      <c r="A559" s="2"/>
      <c r="B559" s="2"/>
      <c r="C559" s="2"/>
      <c r="D559" s="2"/>
      <c r="E559" s="2"/>
      <c r="F559" s="2"/>
      <c r="G559" s="2"/>
      <c r="H559" s="2"/>
      <c r="I559" s="2"/>
      <c r="J559" s="2"/>
      <c r="K559" s="2"/>
      <c r="L559" s="2"/>
      <c r="M559" s="2"/>
      <c r="N559" s="2"/>
      <c r="O559" s="2"/>
      <c r="P559" s="2"/>
      <c r="Q559" s="23"/>
      <c r="R559" s="23"/>
      <c r="S559" s="23"/>
      <c r="T559" s="23"/>
      <c r="U559" s="23"/>
      <c r="V559" s="23"/>
      <c r="W559" s="23"/>
      <c r="X559" s="23"/>
      <c r="Y559" s="23"/>
      <c r="Z559" s="23"/>
    </row>
    <row r="560">
      <c r="A560" s="2"/>
      <c r="B560" s="2"/>
      <c r="C560" s="2"/>
      <c r="D560" s="2"/>
      <c r="E560" s="2"/>
      <c r="F560" s="2"/>
      <c r="G560" s="2"/>
      <c r="H560" s="2"/>
      <c r="I560" s="2"/>
      <c r="J560" s="2"/>
      <c r="K560" s="2"/>
      <c r="L560" s="2"/>
      <c r="M560" s="2"/>
      <c r="N560" s="2"/>
      <c r="O560" s="2"/>
      <c r="P560" s="2"/>
      <c r="Q560" s="23"/>
      <c r="R560" s="23"/>
      <c r="S560" s="23"/>
      <c r="T560" s="23"/>
      <c r="U560" s="23"/>
      <c r="V560" s="23"/>
      <c r="W560" s="23"/>
      <c r="X560" s="23"/>
      <c r="Y560" s="23"/>
      <c r="Z560" s="23"/>
    </row>
    <row r="561">
      <c r="A561" s="2"/>
      <c r="B561" s="2"/>
      <c r="C561" s="2"/>
      <c r="D561" s="2"/>
      <c r="E561" s="2"/>
      <c r="F561" s="2"/>
      <c r="G561" s="2"/>
      <c r="H561" s="2"/>
      <c r="I561" s="2"/>
      <c r="J561" s="2"/>
      <c r="K561" s="2"/>
      <c r="L561" s="2"/>
      <c r="M561" s="2"/>
      <c r="N561" s="2"/>
      <c r="O561" s="2"/>
      <c r="P561" s="2"/>
      <c r="Q561" s="23"/>
      <c r="R561" s="23"/>
      <c r="S561" s="23"/>
      <c r="T561" s="23"/>
      <c r="U561" s="23"/>
      <c r="V561" s="23"/>
      <c r="W561" s="23"/>
      <c r="X561" s="23"/>
      <c r="Y561" s="23"/>
      <c r="Z561" s="23"/>
    </row>
    <row r="562">
      <c r="A562" s="2"/>
      <c r="B562" s="2"/>
      <c r="C562" s="2"/>
      <c r="D562" s="2"/>
      <c r="E562" s="2"/>
      <c r="F562" s="2"/>
      <c r="G562" s="2"/>
      <c r="H562" s="2"/>
      <c r="I562" s="2"/>
      <c r="J562" s="2"/>
      <c r="K562" s="2"/>
      <c r="L562" s="2"/>
      <c r="M562" s="2"/>
      <c r="N562" s="2"/>
      <c r="O562" s="2"/>
      <c r="P562" s="2"/>
      <c r="Q562" s="23"/>
      <c r="R562" s="23"/>
      <c r="S562" s="23"/>
      <c r="T562" s="23"/>
      <c r="U562" s="23"/>
      <c r="V562" s="23"/>
      <c r="W562" s="23"/>
      <c r="X562" s="23"/>
      <c r="Y562" s="23"/>
      <c r="Z562" s="23"/>
    </row>
    <row r="563">
      <c r="A563" s="2"/>
      <c r="B563" s="2"/>
      <c r="C563" s="2"/>
      <c r="D563" s="2"/>
      <c r="E563" s="2"/>
      <c r="F563" s="2"/>
      <c r="G563" s="2"/>
      <c r="H563" s="2"/>
      <c r="I563" s="2"/>
      <c r="J563" s="2"/>
      <c r="K563" s="2"/>
      <c r="L563" s="2"/>
      <c r="M563" s="2"/>
      <c r="N563" s="2"/>
      <c r="O563" s="2"/>
      <c r="P563" s="2"/>
      <c r="Q563" s="23"/>
      <c r="R563" s="23"/>
      <c r="S563" s="23"/>
      <c r="T563" s="23"/>
      <c r="U563" s="23"/>
      <c r="V563" s="23"/>
      <c r="W563" s="23"/>
      <c r="X563" s="23"/>
      <c r="Y563" s="23"/>
      <c r="Z563" s="23"/>
    </row>
    <row r="564">
      <c r="A564" s="2"/>
      <c r="B564" s="2"/>
      <c r="C564" s="2"/>
      <c r="D564" s="2"/>
      <c r="E564" s="2"/>
      <c r="F564" s="2"/>
      <c r="G564" s="2"/>
      <c r="H564" s="2"/>
      <c r="I564" s="2"/>
      <c r="J564" s="2"/>
      <c r="K564" s="2"/>
      <c r="L564" s="2"/>
      <c r="M564" s="2"/>
      <c r="N564" s="2"/>
      <c r="O564" s="2"/>
      <c r="P564" s="2"/>
      <c r="Q564" s="23"/>
      <c r="R564" s="23"/>
      <c r="S564" s="23"/>
      <c r="T564" s="23"/>
      <c r="U564" s="23"/>
      <c r="V564" s="23"/>
      <c r="W564" s="23"/>
      <c r="X564" s="23"/>
      <c r="Y564" s="23"/>
      <c r="Z564" s="23"/>
    </row>
    <row r="565">
      <c r="A565" s="2"/>
      <c r="B565" s="2"/>
      <c r="C565" s="2"/>
      <c r="D565" s="2"/>
      <c r="E565" s="2"/>
      <c r="F565" s="2"/>
      <c r="G565" s="2"/>
      <c r="H565" s="2"/>
      <c r="I565" s="2"/>
      <c r="J565" s="2"/>
      <c r="K565" s="2"/>
      <c r="L565" s="2"/>
      <c r="M565" s="2"/>
      <c r="N565" s="2"/>
      <c r="O565" s="2"/>
      <c r="P565" s="2"/>
      <c r="Q565" s="23"/>
      <c r="R565" s="23"/>
      <c r="S565" s="23"/>
      <c r="T565" s="23"/>
      <c r="U565" s="23"/>
      <c r="V565" s="23"/>
      <c r="W565" s="23"/>
      <c r="X565" s="23"/>
      <c r="Y565" s="23"/>
      <c r="Z565" s="23"/>
    </row>
    <row r="566">
      <c r="A566" s="2"/>
      <c r="B566" s="2"/>
      <c r="C566" s="2"/>
      <c r="D566" s="2"/>
      <c r="E566" s="2"/>
      <c r="F566" s="2"/>
      <c r="G566" s="2"/>
      <c r="H566" s="2"/>
      <c r="I566" s="2"/>
      <c r="J566" s="2"/>
      <c r="K566" s="2"/>
      <c r="L566" s="2"/>
      <c r="M566" s="2"/>
      <c r="N566" s="2"/>
      <c r="O566" s="2"/>
      <c r="P566" s="2"/>
      <c r="Q566" s="23"/>
      <c r="R566" s="23"/>
      <c r="S566" s="23"/>
      <c r="T566" s="23"/>
      <c r="U566" s="23"/>
      <c r="V566" s="23"/>
      <c r="W566" s="23"/>
      <c r="X566" s="23"/>
      <c r="Y566" s="23"/>
      <c r="Z566" s="23"/>
    </row>
    <row r="567">
      <c r="A567" s="2"/>
      <c r="B567" s="2"/>
      <c r="C567" s="2"/>
      <c r="D567" s="2"/>
      <c r="E567" s="2"/>
      <c r="F567" s="2"/>
      <c r="G567" s="2"/>
      <c r="H567" s="2"/>
      <c r="I567" s="2"/>
      <c r="J567" s="2"/>
      <c r="K567" s="2"/>
      <c r="L567" s="2"/>
      <c r="M567" s="2"/>
      <c r="N567" s="2"/>
      <c r="O567" s="2"/>
      <c r="P567" s="2"/>
      <c r="Q567" s="23"/>
      <c r="R567" s="23"/>
      <c r="S567" s="23"/>
      <c r="T567" s="23"/>
      <c r="U567" s="23"/>
      <c r="V567" s="23"/>
      <c r="W567" s="23"/>
      <c r="X567" s="23"/>
      <c r="Y567" s="23"/>
      <c r="Z567" s="23"/>
    </row>
    <row r="568">
      <c r="A568" s="2"/>
      <c r="B568" s="2"/>
      <c r="C568" s="2"/>
      <c r="D568" s="2"/>
      <c r="E568" s="2"/>
      <c r="F568" s="2"/>
      <c r="G568" s="2"/>
      <c r="H568" s="2"/>
      <c r="I568" s="2"/>
      <c r="J568" s="2"/>
      <c r="K568" s="2"/>
      <c r="L568" s="2"/>
      <c r="M568" s="2"/>
      <c r="N568" s="2"/>
      <c r="O568" s="2"/>
      <c r="P568" s="2"/>
      <c r="Q568" s="23"/>
      <c r="R568" s="23"/>
      <c r="S568" s="23"/>
      <c r="T568" s="23"/>
      <c r="U568" s="23"/>
      <c r="V568" s="23"/>
      <c r="W568" s="23"/>
      <c r="X568" s="23"/>
      <c r="Y568" s="23"/>
      <c r="Z568" s="23"/>
    </row>
    <row r="569">
      <c r="A569" s="2"/>
      <c r="B569" s="2"/>
      <c r="C569" s="2"/>
      <c r="D569" s="2"/>
      <c r="E569" s="2"/>
      <c r="F569" s="2"/>
      <c r="G569" s="2"/>
      <c r="H569" s="2"/>
      <c r="I569" s="2"/>
      <c r="J569" s="2"/>
      <c r="K569" s="2"/>
      <c r="L569" s="2"/>
      <c r="M569" s="2"/>
      <c r="N569" s="2"/>
      <c r="O569" s="2"/>
      <c r="P569" s="2"/>
      <c r="Q569" s="23"/>
      <c r="R569" s="23"/>
      <c r="S569" s="23"/>
      <c r="T569" s="23"/>
      <c r="U569" s="23"/>
      <c r="V569" s="23"/>
      <c r="W569" s="23"/>
      <c r="X569" s="23"/>
      <c r="Y569" s="23"/>
      <c r="Z569" s="23"/>
    </row>
    <row r="570">
      <c r="A570" s="2"/>
      <c r="B570" s="2"/>
      <c r="C570" s="2"/>
      <c r="D570" s="2"/>
      <c r="E570" s="2"/>
      <c r="F570" s="2"/>
      <c r="G570" s="2"/>
      <c r="H570" s="2"/>
      <c r="I570" s="2"/>
      <c r="J570" s="2"/>
      <c r="K570" s="2"/>
      <c r="L570" s="2"/>
      <c r="M570" s="2"/>
      <c r="N570" s="2"/>
      <c r="O570" s="2"/>
      <c r="P570" s="2"/>
      <c r="Q570" s="23"/>
      <c r="R570" s="23"/>
      <c r="S570" s="23"/>
      <c r="T570" s="23"/>
      <c r="U570" s="23"/>
      <c r="V570" s="23"/>
      <c r="W570" s="23"/>
      <c r="X570" s="23"/>
      <c r="Y570" s="23"/>
      <c r="Z570" s="23"/>
    </row>
    <row r="571">
      <c r="A571" s="2"/>
      <c r="B571" s="2"/>
      <c r="C571" s="2"/>
      <c r="D571" s="2"/>
      <c r="E571" s="2"/>
      <c r="F571" s="2"/>
      <c r="G571" s="2"/>
      <c r="H571" s="2"/>
      <c r="I571" s="2"/>
      <c r="J571" s="2"/>
      <c r="K571" s="2"/>
      <c r="L571" s="2"/>
      <c r="M571" s="2"/>
      <c r="N571" s="2"/>
      <c r="O571" s="2"/>
      <c r="P571" s="2"/>
      <c r="Q571" s="23"/>
      <c r="R571" s="23"/>
      <c r="S571" s="23"/>
      <c r="T571" s="23"/>
      <c r="U571" s="23"/>
      <c r="V571" s="23"/>
      <c r="W571" s="23"/>
      <c r="X571" s="23"/>
      <c r="Y571" s="23"/>
      <c r="Z571" s="23"/>
    </row>
    <row r="572">
      <c r="A572" s="2"/>
      <c r="B572" s="2"/>
      <c r="C572" s="2"/>
      <c r="D572" s="2"/>
      <c r="E572" s="2"/>
      <c r="F572" s="2"/>
      <c r="G572" s="2"/>
      <c r="H572" s="2"/>
      <c r="I572" s="2"/>
      <c r="J572" s="2"/>
      <c r="K572" s="2"/>
      <c r="L572" s="2"/>
      <c r="M572" s="2"/>
      <c r="N572" s="2"/>
      <c r="O572" s="2"/>
      <c r="P572" s="2"/>
      <c r="Q572" s="23"/>
      <c r="R572" s="23"/>
      <c r="S572" s="23"/>
      <c r="T572" s="23"/>
      <c r="U572" s="23"/>
      <c r="V572" s="23"/>
      <c r="W572" s="23"/>
      <c r="X572" s="23"/>
      <c r="Y572" s="23"/>
      <c r="Z572" s="23"/>
    </row>
    <row r="573">
      <c r="A573" s="2"/>
      <c r="B573" s="2"/>
      <c r="C573" s="2"/>
      <c r="D573" s="2"/>
      <c r="E573" s="2"/>
      <c r="F573" s="2"/>
      <c r="G573" s="2"/>
      <c r="H573" s="2"/>
      <c r="I573" s="2"/>
      <c r="J573" s="2"/>
      <c r="K573" s="2"/>
      <c r="L573" s="2"/>
      <c r="M573" s="2"/>
      <c r="N573" s="2"/>
      <c r="O573" s="2"/>
      <c r="P573" s="2"/>
      <c r="Q573" s="23"/>
      <c r="R573" s="23"/>
      <c r="S573" s="23"/>
      <c r="T573" s="23"/>
      <c r="U573" s="23"/>
      <c r="V573" s="23"/>
      <c r="W573" s="23"/>
      <c r="X573" s="23"/>
      <c r="Y573" s="23"/>
      <c r="Z573" s="23"/>
    </row>
    <row r="574">
      <c r="A574" s="2"/>
      <c r="B574" s="2"/>
      <c r="C574" s="2"/>
      <c r="D574" s="2"/>
      <c r="E574" s="2"/>
      <c r="F574" s="2"/>
      <c r="G574" s="2"/>
      <c r="H574" s="2"/>
      <c r="I574" s="2"/>
      <c r="J574" s="2"/>
      <c r="K574" s="2"/>
      <c r="L574" s="2"/>
      <c r="M574" s="2"/>
      <c r="N574" s="2"/>
      <c r="O574" s="2"/>
      <c r="P574" s="2"/>
      <c r="Q574" s="23"/>
      <c r="R574" s="23"/>
      <c r="S574" s="23"/>
      <c r="T574" s="23"/>
      <c r="U574" s="23"/>
      <c r="V574" s="23"/>
      <c r="W574" s="23"/>
      <c r="X574" s="23"/>
      <c r="Y574" s="23"/>
      <c r="Z574" s="23"/>
    </row>
    <row r="575">
      <c r="A575" s="2"/>
      <c r="B575" s="2"/>
      <c r="C575" s="2"/>
      <c r="D575" s="2"/>
      <c r="E575" s="2"/>
      <c r="F575" s="2"/>
      <c r="G575" s="2"/>
      <c r="H575" s="2"/>
      <c r="I575" s="2"/>
      <c r="J575" s="2"/>
      <c r="K575" s="2"/>
      <c r="L575" s="2"/>
      <c r="M575" s="2"/>
      <c r="N575" s="2"/>
      <c r="O575" s="2"/>
      <c r="P575" s="2"/>
      <c r="Q575" s="23"/>
      <c r="R575" s="23"/>
      <c r="S575" s="23"/>
      <c r="T575" s="23"/>
      <c r="U575" s="23"/>
      <c r="V575" s="23"/>
      <c r="W575" s="23"/>
      <c r="X575" s="23"/>
      <c r="Y575" s="23"/>
      <c r="Z575" s="23"/>
    </row>
    <row r="576">
      <c r="A576" s="2"/>
      <c r="B576" s="2"/>
      <c r="C576" s="2"/>
      <c r="D576" s="2"/>
      <c r="E576" s="2"/>
      <c r="F576" s="2"/>
      <c r="G576" s="2"/>
      <c r="H576" s="2"/>
      <c r="I576" s="2"/>
      <c r="J576" s="2"/>
      <c r="K576" s="2"/>
      <c r="L576" s="2"/>
      <c r="M576" s="2"/>
      <c r="N576" s="2"/>
      <c r="O576" s="2"/>
      <c r="P576" s="2"/>
      <c r="Q576" s="23"/>
      <c r="R576" s="23"/>
      <c r="S576" s="23"/>
      <c r="T576" s="23"/>
      <c r="U576" s="23"/>
      <c r="V576" s="23"/>
      <c r="W576" s="23"/>
      <c r="X576" s="23"/>
      <c r="Y576" s="23"/>
      <c r="Z576" s="23"/>
    </row>
    <row r="577">
      <c r="A577" s="2"/>
      <c r="B577" s="2"/>
      <c r="C577" s="2"/>
      <c r="D577" s="2"/>
      <c r="E577" s="2"/>
      <c r="F577" s="2"/>
      <c r="G577" s="2"/>
      <c r="H577" s="2"/>
      <c r="I577" s="2"/>
      <c r="J577" s="2"/>
      <c r="K577" s="2"/>
      <c r="L577" s="2"/>
      <c r="M577" s="2"/>
      <c r="N577" s="2"/>
      <c r="O577" s="2"/>
      <c r="P577" s="2"/>
      <c r="Q577" s="23"/>
      <c r="R577" s="23"/>
      <c r="S577" s="23"/>
      <c r="T577" s="23"/>
      <c r="U577" s="23"/>
      <c r="V577" s="23"/>
      <c r="W577" s="23"/>
      <c r="X577" s="23"/>
      <c r="Y577" s="23"/>
      <c r="Z577" s="23"/>
    </row>
    <row r="578">
      <c r="A578" s="2"/>
      <c r="B578" s="2"/>
      <c r="C578" s="2"/>
      <c r="D578" s="2"/>
      <c r="E578" s="2"/>
      <c r="F578" s="2"/>
      <c r="G578" s="2"/>
      <c r="H578" s="2"/>
      <c r="I578" s="2"/>
      <c r="J578" s="2"/>
      <c r="K578" s="2"/>
      <c r="L578" s="2"/>
      <c r="M578" s="2"/>
      <c r="N578" s="2"/>
      <c r="O578" s="2"/>
      <c r="P578" s="2"/>
      <c r="Q578" s="23"/>
      <c r="R578" s="23"/>
      <c r="S578" s="23"/>
      <c r="T578" s="23"/>
      <c r="U578" s="23"/>
      <c r="V578" s="23"/>
      <c r="W578" s="23"/>
      <c r="X578" s="23"/>
      <c r="Y578" s="23"/>
      <c r="Z578" s="23"/>
    </row>
    <row r="579">
      <c r="A579" s="2"/>
      <c r="B579" s="2"/>
      <c r="C579" s="2"/>
      <c r="D579" s="2"/>
      <c r="E579" s="2"/>
      <c r="F579" s="2"/>
      <c r="G579" s="2"/>
      <c r="H579" s="2"/>
      <c r="I579" s="2"/>
      <c r="J579" s="2"/>
      <c r="K579" s="2"/>
      <c r="L579" s="2"/>
      <c r="M579" s="2"/>
      <c r="N579" s="2"/>
      <c r="O579" s="2"/>
      <c r="P579" s="2"/>
      <c r="Q579" s="23"/>
      <c r="R579" s="23"/>
      <c r="S579" s="23"/>
      <c r="T579" s="23"/>
      <c r="U579" s="23"/>
      <c r="V579" s="23"/>
      <c r="W579" s="23"/>
      <c r="X579" s="23"/>
      <c r="Y579" s="23"/>
      <c r="Z579" s="23"/>
    </row>
    <row r="580">
      <c r="A580" s="2"/>
      <c r="B580" s="2"/>
      <c r="C580" s="2"/>
      <c r="D580" s="2"/>
      <c r="E580" s="2"/>
      <c r="F580" s="2"/>
      <c r="G580" s="2"/>
      <c r="H580" s="2"/>
      <c r="I580" s="2"/>
      <c r="J580" s="2"/>
      <c r="K580" s="2"/>
      <c r="L580" s="2"/>
      <c r="M580" s="2"/>
      <c r="N580" s="2"/>
      <c r="O580" s="2"/>
      <c r="P580" s="2"/>
      <c r="Q580" s="23"/>
      <c r="R580" s="23"/>
      <c r="S580" s="23"/>
      <c r="T580" s="23"/>
      <c r="U580" s="23"/>
      <c r="V580" s="23"/>
      <c r="W580" s="23"/>
      <c r="X580" s="23"/>
      <c r="Y580" s="23"/>
      <c r="Z580" s="23"/>
    </row>
    <row r="581">
      <c r="A581" s="2"/>
      <c r="B581" s="2"/>
      <c r="C581" s="2"/>
      <c r="D581" s="2"/>
      <c r="E581" s="2"/>
      <c r="F581" s="2"/>
      <c r="G581" s="2"/>
      <c r="H581" s="2"/>
      <c r="I581" s="2"/>
      <c r="J581" s="2"/>
      <c r="K581" s="2"/>
      <c r="L581" s="2"/>
      <c r="M581" s="2"/>
      <c r="N581" s="2"/>
      <c r="O581" s="2"/>
      <c r="P581" s="2"/>
      <c r="Q581" s="23"/>
      <c r="R581" s="23"/>
      <c r="S581" s="23"/>
      <c r="T581" s="23"/>
      <c r="U581" s="23"/>
      <c r="V581" s="23"/>
      <c r="W581" s="23"/>
      <c r="X581" s="23"/>
      <c r="Y581" s="23"/>
      <c r="Z581" s="23"/>
    </row>
    <row r="582">
      <c r="A582" s="2"/>
      <c r="B582" s="2"/>
      <c r="C582" s="2"/>
      <c r="D582" s="2"/>
      <c r="E582" s="2"/>
      <c r="F582" s="2"/>
      <c r="G582" s="2"/>
      <c r="H582" s="2"/>
      <c r="I582" s="2"/>
      <c r="J582" s="2"/>
      <c r="K582" s="2"/>
      <c r="L582" s="2"/>
      <c r="M582" s="2"/>
      <c r="N582" s="2"/>
      <c r="O582" s="2"/>
      <c r="P582" s="2"/>
      <c r="Q582" s="23"/>
      <c r="R582" s="23"/>
      <c r="S582" s="23"/>
      <c r="T582" s="23"/>
      <c r="U582" s="23"/>
      <c r="V582" s="23"/>
      <c r="W582" s="23"/>
      <c r="X582" s="23"/>
      <c r="Y582" s="23"/>
      <c r="Z582" s="23"/>
    </row>
    <row r="583">
      <c r="A583" s="2"/>
      <c r="B583" s="2"/>
      <c r="C583" s="2"/>
      <c r="D583" s="2"/>
      <c r="E583" s="2"/>
      <c r="F583" s="2"/>
      <c r="G583" s="2"/>
      <c r="H583" s="2"/>
      <c r="I583" s="2"/>
      <c r="J583" s="2"/>
      <c r="K583" s="2"/>
      <c r="L583" s="2"/>
      <c r="M583" s="2"/>
      <c r="N583" s="2"/>
      <c r="O583" s="2"/>
      <c r="P583" s="2"/>
      <c r="Q583" s="23"/>
      <c r="R583" s="23"/>
      <c r="S583" s="23"/>
      <c r="T583" s="23"/>
      <c r="U583" s="23"/>
      <c r="V583" s="23"/>
      <c r="W583" s="23"/>
      <c r="X583" s="23"/>
      <c r="Y583" s="23"/>
      <c r="Z583" s="23"/>
    </row>
    <row r="584">
      <c r="A584" s="2"/>
      <c r="B584" s="2"/>
      <c r="C584" s="2"/>
      <c r="D584" s="2"/>
      <c r="E584" s="2"/>
      <c r="F584" s="2"/>
      <c r="G584" s="2"/>
      <c r="H584" s="2"/>
      <c r="I584" s="2"/>
      <c r="J584" s="2"/>
      <c r="K584" s="2"/>
      <c r="L584" s="2"/>
      <c r="M584" s="2"/>
      <c r="N584" s="2"/>
      <c r="O584" s="2"/>
      <c r="P584" s="2"/>
      <c r="Q584" s="23"/>
      <c r="R584" s="23"/>
      <c r="S584" s="23"/>
      <c r="T584" s="23"/>
      <c r="U584" s="23"/>
      <c r="V584" s="23"/>
      <c r="W584" s="23"/>
      <c r="X584" s="23"/>
      <c r="Y584" s="23"/>
      <c r="Z584" s="23"/>
    </row>
    <row r="585">
      <c r="A585" s="2"/>
      <c r="B585" s="2"/>
      <c r="C585" s="2"/>
      <c r="D585" s="2"/>
      <c r="E585" s="2"/>
      <c r="F585" s="2"/>
      <c r="G585" s="2"/>
      <c r="H585" s="2"/>
      <c r="I585" s="2"/>
      <c r="J585" s="2"/>
      <c r="K585" s="2"/>
      <c r="L585" s="2"/>
      <c r="M585" s="2"/>
      <c r="N585" s="2"/>
      <c r="O585" s="2"/>
      <c r="P585" s="2"/>
      <c r="Q585" s="23"/>
      <c r="R585" s="23"/>
      <c r="S585" s="23"/>
      <c r="T585" s="23"/>
      <c r="U585" s="23"/>
      <c r="V585" s="23"/>
      <c r="W585" s="23"/>
      <c r="X585" s="23"/>
      <c r="Y585" s="23"/>
      <c r="Z585" s="23"/>
    </row>
    <row r="586">
      <c r="A586" s="2"/>
      <c r="B586" s="2"/>
      <c r="C586" s="2"/>
      <c r="D586" s="2"/>
      <c r="E586" s="2"/>
      <c r="F586" s="2"/>
      <c r="G586" s="2"/>
      <c r="H586" s="2"/>
      <c r="I586" s="2"/>
      <c r="J586" s="2"/>
      <c r="K586" s="2"/>
      <c r="L586" s="2"/>
      <c r="M586" s="2"/>
      <c r="N586" s="2"/>
      <c r="O586" s="2"/>
      <c r="P586" s="2"/>
      <c r="Q586" s="23"/>
      <c r="R586" s="23"/>
      <c r="S586" s="23"/>
      <c r="T586" s="23"/>
      <c r="U586" s="23"/>
      <c r="V586" s="23"/>
      <c r="W586" s="23"/>
      <c r="X586" s="23"/>
      <c r="Y586" s="23"/>
      <c r="Z586" s="23"/>
    </row>
    <row r="587">
      <c r="A587" s="2"/>
      <c r="B587" s="2"/>
      <c r="C587" s="2"/>
      <c r="D587" s="2"/>
      <c r="E587" s="2"/>
      <c r="F587" s="2"/>
      <c r="G587" s="2"/>
      <c r="H587" s="2"/>
      <c r="I587" s="2"/>
      <c r="J587" s="2"/>
      <c r="K587" s="2"/>
      <c r="L587" s="2"/>
      <c r="M587" s="2"/>
      <c r="N587" s="2"/>
      <c r="O587" s="2"/>
      <c r="P587" s="2"/>
      <c r="Q587" s="23"/>
      <c r="R587" s="23"/>
      <c r="S587" s="23"/>
      <c r="T587" s="23"/>
      <c r="U587" s="23"/>
      <c r="V587" s="23"/>
      <c r="W587" s="23"/>
      <c r="X587" s="23"/>
      <c r="Y587" s="23"/>
      <c r="Z587" s="23"/>
    </row>
    <row r="588">
      <c r="A588" s="2"/>
      <c r="B588" s="2"/>
      <c r="C588" s="2"/>
      <c r="D588" s="2"/>
      <c r="E588" s="2"/>
      <c r="F588" s="2"/>
      <c r="G588" s="2"/>
      <c r="H588" s="2"/>
      <c r="I588" s="2"/>
      <c r="J588" s="2"/>
      <c r="K588" s="2"/>
      <c r="L588" s="2"/>
      <c r="M588" s="2"/>
      <c r="N588" s="2"/>
      <c r="O588" s="2"/>
      <c r="P588" s="2"/>
      <c r="Q588" s="23"/>
      <c r="R588" s="23"/>
      <c r="S588" s="23"/>
      <c r="T588" s="23"/>
      <c r="U588" s="23"/>
      <c r="V588" s="23"/>
      <c r="W588" s="23"/>
      <c r="X588" s="23"/>
      <c r="Y588" s="23"/>
      <c r="Z588" s="23"/>
    </row>
    <row r="589">
      <c r="A589" s="2"/>
      <c r="B589" s="2"/>
      <c r="C589" s="2"/>
      <c r="D589" s="2"/>
      <c r="E589" s="2"/>
      <c r="F589" s="2"/>
      <c r="G589" s="2"/>
      <c r="H589" s="2"/>
      <c r="I589" s="2"/>
      <c r="J589" s="2"/>
      <c r="K589" s="2"/>
      <c r="L589" s="2"/>
      <c r="M589" s="2"/>
      <c r="N589" s="2"/>
      <c r="O589" s="2"/>
      <c r="P589" s="2"/>
      <c r="Q589" s="23"/>
      <c r="R589" s="23"/>
      <c r="S589" s="23"/>
      <c r="T589" s="23"/>
      <c r="U589" s="23"/>
      <c r="V589" s="23"/>
      <c r="W589" s="23"/>
      <c r="X589" s="23"/>
      <c r="Y589" s="23"/>
      <c r="Z589" s="23"/>
    </row>
    <row r="590">
      <c r="A590" s="2"/>
      <c r="B590" s="2"/>
      <c r="C590" s="2"/>
      <c r="D590" s="2"/>
      <c r="E590" s="2"/>
      <c r="F590" s="2"/>
      <c r="G590" s="2"/>
      <c r="H590" s="2"/>
      <c r="I590" s="2"/>
      <c r="J590" s="2"/>
      <c r="K590" s="2"/>
      <c r="L590" s="2"/>
      <c r="M590" s="2"/>
      <c r="N590" s="2"/>
      <c r="O590" s="2"/>
      <c r="P590" s="2"/>
      <c r="Q590" s="23"/>
      <c r="R590" s="23"/>
      <c r="S590" s="23"/>
      <c r="T590" s="23"/>
      <c r="U590" s="23"/>
      <c r="V590" s="23"/>
      <c r="W590" s="23"/>
      <c r="X590" s="23"/>
      <c r="Y590" s="23"/>
      <c r="Z590" s="23"/>
    </row>
    <row r="591">
      <c r="A591" s="2"/>
      <c r="B591" s="2"/>
      <c r="C591" s="2"/>
      <c r="D591" s="2"/>
      <c r="E591" s="2"/>
      <c r="F591" s="2"/>
      <c r="G591" s="2"/>
      <c r="H591" s="2"/>
      <c r="I591" s="2"/>
      <c r="J591" s="2"/>
      <c r="K591" s="2"/>
      <c r="L591" s="2"/>
      <c r="M591" s="2"/>
      <c r="N591" s="2"/>
      <c r="O591" s="2"/>
      <c r="P591" s="2"/>
      <c r="Q591" s="23"/>
      <c r="R591" s="23"/>
      <c r="S591" s="23"/>
      <c r="T591" s="23"/>
      <c r="U591" s="23"/>
      <c r="V591" s="23"/>
      <c r="W591" s="23"/>
      <c r="X591" s="23"/>
      <c r="Y591" s="23"/>
      <c r="Z591" s="23"/>
    </row>
    <row r="592">
      <c r="A592" s="2"/>
      <c r="B592" s="2"/>
      <c r="C592" s="2"/>
      <c r="D592" s="2"/>
      <c r="E592" s="2"/>
      <c r="F592" s="2"/>
      <c r="G592" s="2"/>
      <c r="H592" s="2"/>
      <c r="I592" s="2"/>
      <c r="J592" s="2"/>
      <c r="K592" s="2"/>
      <c r="L592" s="2"/>
      <c r="M592" s="2"/>
      <c r="N592" s="2"/>
      <c r="O592" s="2"/>
      <c r="P592" s="2"/>
      <c r="Q592" s="23"/>
      <c r="R592" s="23"/>
      <c r="S592" s="23"/>
      <c r="T592" s="23"/>
      <c r="U592" s="23"/>
      <c r="V592" s="23"/>
      <c r="W592" s="23"/>
      <c r="X592" s="23"/>
      <c r="Y592" s="23"/>
      <c r="Z592" s="23"/>
    </row>
    <row r="593">
      <c r="A593" s="2"/>
      <c r="B593" s="2"/>
      <c r="C593" s="2"/>
      <c r="D593" s="2"/>
      <c r="E593" s="2"/>
      <c r="F593" s="2"/>
      <c r="G593" s="2"/>
      <c r="H593" s="2"/>
      <c r="I593" s="2"/>
      <c r="J593" s="2"/>
      <c r="K593" s="2"/>
      <c r="L593" s="2"/>
      <c r="M593" s="2"/>
      <c r="N593" s="2"/>
      <c r="O593" s="2"/>
      <c r="P593" s="2"/>
      <c r="Q593" s="23"/>
      <c r="R593" s="23"/>
      <c r="S593" s="23"/>
      <c r="T593" s="23"/>
      <c r="U593" s="23"/>
      <c r="V593" s="23"/>
      <c r="W593" s="23"/>
      <c r="X593" s="23"/>
      <c r="Y593" s="23"/>
      <c r="Z593" s="23"/>
    </row>
    <row r="594">
      <c r="A594" s="2"/>
      <c r="B594" s="2"/>
      <c r="C594" s="2"/>
      <c r="D594" s="2"/>
      <c r="E594" s="2"/>
      <c r="F594" s="2"/>
      <c r="G594" s="2"/>
      <c r="H594" s="2"/>
      <c r="I594" s="2"/>
      <c r="J594" s="2"/>
      <c r="K594" s="2"/>
      <c r="L594" s="2"/>
      <c r="M594" s="2"/>
      <c r="N594" s="2"/>
      <c r="O594" s="2"/>
      <c r="P594" s="2"/>
      <c r="Q594" s="23"/>
      <c r="R594" s="23"/>
      <c r="S594" s="23"/>
      <c r="T594" s="23"/>
      <c r="U594" s="23"/>
      <c r="V594" s="23"/>
      <c r="W594" s="23"/>
      <c r="X594" s="23"/>
      <c r="Y594" s="23"/>
      <c r="Z594" s="23"/>
    </row>
    <row r="595">
      <c r="A595" s="2"/>
      <c r="B595" s="2"/>
      <c r="C595" s="2"/>
      <c r="D595" s="2"/>
      <c r="E595" s="2"/>
      <c r="F595" s="2"/>
      <c r="G595" s="2"/>
      <c r="H595" s="2"/>
      <c r="I595" s="2"/>
      <c r="J595" s="2"/>
      <c r="K595" s="2"/>
      <c r="L595" s="2"/>
      <c r="M595" s="2"/>
      <c r="N595" s="2"/>
      <c r="O595" s="2"/>
      <c r="P595" s="2"/>
      <c r="Q595" s="23"/>
      <c r="R595" s="23"/>
      <c r="S595" s="23"/>
      <c r="T595" s="23"/>
      <c r="U595" s="23"/>
      <c r="V595" s="23"/>
      <c r="W595" s="23"/>
      <c r="X595" s="23"/>
      <c r="Y595" s="23"/>
      <c r="Z595" s="23"/>
    </row>
    <row r="596">
      <c r="A596" s="2"/>
      <c r="B596" s="2"/>
      <c r="C596" s="2"/>
      <c r="D596" s="2"/>
      <c r="E596" s="2"/>
      <c r="F596" s="2"/>
      <c r="G596" s="2"/>
      <c r="H596" s="2"/>
      <c r="I596" s="2"/>
      <c r="J596" s="2"/>
      <c r="K596" s="2"/>
      <c r="L596" s="2"/>
      <c r="M596" s="2"/>
      <c r="N596" s="2"/>
      <c r="O596" s="2"/>
      <c r="P596" s="2"/>
      <c r="Q596" s="23"/>
      <c r="R596" s="23"/>
      <c r="S596" s="23"/>
      <c r="T596" s="23"/>
      <c r="U596" s="23"/>
      <c r="V596" s="23"/>
      <c r="W596" s="23"/>
      <c r="X596" s="23"/>
      <c r="Y596" s="23"/>
      <c r="Z596" s="23"/>
    </row>
    <row r="597">
      <c r="A597" s="2"/>
      <c r="B597" s="2"/>
      <c r="C597" s="2"/>
      <c r="D597" s="2"/>
      <c r="E597" s="2"/>
      <c r="F597" s="2"/>
      <c r="G597" s="2"/>
      <c r="H597" s="2"/>
      <c r="I597" s="2"/>
      <c r="J597" s="2"/>
      <c r="K597" s="2"/>
      <c r="L597" s="2"/>
      <c r="M597" s="2"/>
      <c r="N597" s="2"/>
      <c r="O597" s="2"/>
      <c r="P597" s="2"/>
      <c r="Q597" s="23"/>
      <c r="R597" s="23"/>
      <c r="S597" s="23"/>
      <c r="T597" s="23"/>
      <c r="U597" s="23"/>
      <c r="V597" s="23"/>
      <c r="W597" s="23"/>
      <c r="X597" s="23"/>
      <c r="Y597" s="23"/>
      <c r="Z597" s="23"/>
    </row>
    <row r="598">
      <c r="A598" s="2"/>
      <c r="B598" s="2"/>
      <c r="C598" s="2"/>
      <c r="D598" s="2"/>
      <c r="E598" s="2"/>
      <c r="F598" s="2"/>
      <c r="G598" s="2"/>
      <c r="H598" s="2"/>
      <c r="I598" s="2"/>
      <c r="J598" s="2"/>
      <c r="K598" s="2"/>
      <c r="L598" s="2"/>
      <c r="M598" s="2"/>
      <c r="N598" s="2"/>
      <c r="O598" s="2"/>
      <c r="P598" s="2"/>
      <c r="Q598" s="23"/>
      <c r="R598" s="23"/>
      <c r="S598" s="23"/>
      <c r="T598" s="23"/>
      <c r="U598" s="23"/>
      <c r="V598" s="23"/>
      <c r="W598" s="23"/>
      <c r="X598" s="23"/>
      <c r="Y598" s="23"/>
      <c r="Z598" s="23"/>
    </row>
    <row r="599">
      <c r="A599" s="2"/>
      <c r="B599" s="2"/>
      <c r="C599" s="2"/>
      <c r="D599" s="2"/>
      <c r="E599" s="2"/>
      <c r="F599" s="2"/>
      <c r="G599" s="2"/>
      <c r="H599" s="2"/>
      <c r="I599" s="2"/>
      <c r="J599" s="2"/>
      <c r="K599" s="2"/>
      <c r="L599" s="2"/>
      <c r="M599" s="2"/>
      <c r="N599" s="2"/>
      <c r="O599" s="2"/>
      <c r="P599" s="2"/>
      <c r="Q599" s="23"/>
      <c r="R599" s="23"/>
      <c r="S599" s="23"/>
      <c r="T599" s="23"/>
      <c r="U599" s="23"/>
      <c r="V599" s="23"/>
      <c r="W599" s="23"/>
      <c r="X599" s="23"/>
      <c r="Y599" s="23"/>
      <c r="Z599" s="23"/>
    </row>
    <row r="600">
      <c r="A600" s="2"/>
      <c r="B600" s="2"/>
      <c r="C600" s="2"/>
      <c r="D600" s="2"/>
      <c r="E600" s="2"/>
      <c r="F600" s="2"/>
      <c r="G600" s="2"/>
      <c r="H600" s="2"/>
      <c r="I600" s="2"/>
      <c r="J600" s="2"/>
      <c r="K600" s="2"/>
      <c r="L600" s="2"/>
      <c r="M600" s="2"/>
      <c r="N600" s="2"/>
      <c r="O600" s="2"/>
      <c r="P600" s="2"/>
      <c r="Q600" s="23"/>
      <c r="R600" s="23"/>
      <c r="S600" s="23"/>
      <c r="T600" s="23"/>
      <c r="U600" s="23"/>
      <c r="V600" s="23"/>
      <c r="W600" s="23"/>
      <c r="X600" s="23"/>
      <c r="Y600" s="23"/>
      <c r="Z600" s="23"/>
    </row>
    <row r="601">
      <c r="A601" s="2"/>
      <c r="B601" s="2"/>
      <c r="C601" s="2"/>
      <c r="D601" s="2"/>
      <c r="E601" s="2"/>
      <c r="F601" s="2"/>
      <c r="G601" s="2"/>
      <c r="H601" s="2"/>
      <c r="I601" s="2"/>
      <c r="J601" s="2"/>
      <c r="K601" s="2"/>
      <c r="L601" s="2"/>
      <c r="M601" s="2"/>
      <c r="N601" s="2"/>
      <c r="O601" s="2"/>
      <c r="P601" s="2"/>
      <c r="Q601" s="23"/>
      <c r="R601" s="23"/>
      <c r="S601" s="23"/>
      <c r="T601" s="23"/>
      <c r="U601" s="23"/>
      <c r="V601" s="23"/>
      <c r="W601" s="23"/>
      <c r="X601" s="23"/>
      <c r="Y601" s="23"/>
      <c r="Z601" s="23"/>
    </row>
    <row r="602">
      <c r="A602" s="2"/>
      <c r="B602" s="2"/>
      <c r="C602" s="2"/>
      <c r="D602" s="2"/>
      <c r="E602" s="2"/>
      <c r="F602" s="2"/>
      <c r="G602" s="2"/>
      <c r="H602" s="2"/>
      <c r="I602" s="2"/>
      <c r="J602" s="2"/>
      <c r="K602" s="2"/>
      <c r="L602" s="2"/>
      <c r="M602" s="2"/>
      <c r="N602" s="2"/>
      <c r="O602" s="2"/>
      <c r="P602" s="2"/>
      <c r="Q602" s="23"/>
      <c r="R602" s="23"/>
      <c r="S602" s="23"/>
      <c r="T602" s="23"/>
      <c r="U602" s="23"/>
      <c r="V602" s="23"/>
      <c r="W602" s="23"/>
      <c r="X602" s="23"/>
      <c r="Y602" s="23"/>
      <c r="Z602" s="23"/>
    </row>
    <row r="603">
      <c r="A603" s="2"/>
      <c r="B603" s="2"/>
      <c r="C603" s="2"/>
      <c r="D603" s="2"/>
      <c r="E603" s="2"/>
      <c r="F603" s="2"/>
      <c r="G603" s="2"/>
      <c r="H603" s="2"/>
      <c r="I603" s="2"/>
      <c r="J603" s="2"/>
      <c r="K603" s="2"/>
      <c r="L603" s="2"/>
      <c r="M603" s="2"/>
      <c r="N603" s="2"/>
      <c r="O603" s="2"/>
      <c r="P603" s="2"/>
      <c r="Q603" s="23"/>
      <c r="R603" s="23"/>
      <c r="S603" s="23"/>
      <c r="T603" s="23"/>
      <c r="U603" s="23"/>
      <c r="V603" s="23"/>
      <c r="W603" s="23"/>
      <c r="X603" s="23"/>
      <c r="Y603" s="23"/>
      <c r="Z603" s="23"/>
    </row>
    <row r="604">
      <c r="A604" s="2"/>
      <c r="B604" s="2"/>
      <c r="C604" s="2"/>
      <c r="D604" s="2"/>
      <c r="E604" s="2"/>
      <c r="F604" s="2"/>
      <c r="G604" s="2"/>
      <c r="H604" s="2"/>
      <c r="I604" s="2"/>
      <c r="J604" s="2"/>
      <c r="K604" s="2"/>
      <c r="L604" s="2"/>
      <c r="M604" s="2"/>
      <c r="N604" s="2"/>
      <c r="O604" s="2"/>
      <c r="P604" s="2"/>
      <c r="Q604" s="23"/>
      <c r="R604" s="23"/>
      <c r="S604" s="23"/>
      <c r="T604" s="23"/>
      <c r="U604" s="23"/>
      <c r="V604" s="23"/>
      <c r="W604" s="23"/>
      <c r="X604" s="23"/>
      <c r="Y604" s="23"/>
      <c r="Z604" s="23"/>
    </row>
    <row r="605">
      <c r="A605" s="2"/>
      <c r="B605" s="2"/>
      <c r="C605" s="2"/>
      <c r="D605" s="2"/>
      <c r="E605" s="2"/>
      <c r="F605" s="2"/>
      <c r="G605" s="2"/>
      <c r="H605" s="2"/>
      <c r="I605" s="2"/>
      <c r="J605" s="2"/>
      <c r="K605" s="2"/>
      <c r="L605" s="2"/>
      <c r="M605" s="2"/>
      <c r="N605" s="2"/>
      <c r="O605" s="2"/>
      <c r="P605" s="2"/>
      <c r="Q605" s="23"/>
      <c r="R605" s="23"/>
      <c r="S605" s="23"/>
      <c r="T605" s="23"/>
      <c r="U605" s="23"/>
      <c r="V605" s="23"/>
      <c r="W605" s="23"/>
      <c r="X605" s="23"/>
      <c r="Y605" s="23"/>
      <c r="Z605" s="23"/>
    </row>
    <row r="606">
      <c r="A606" s="2"/>
      <c r="B606" s="2"/>
      <c r="C606" s="2"/>
      <c r="D606" s="2"/>
      <c r="E606" s="2"/>
      <c r="F606" s="2"/>
      <c r="G606" s="2"/>
      <c r="H606" s="2"/>
      <c r="I606" s="2"/>
      <c r="J606" s="2"/>
      <c r="K606" s="2"/>
      <c r="L606" s="2"/>
      <c r="M606" s="2"/>
      <c r="N606" s="2"/>
      <c r="O606" s="2"/>
      <c r="P606" s="2"/>
      <c r="Q606" s="23"/>
      <c r="R606" s="23"/>
      <c r="S606" s="23"/>
      <c r="T606" s="23"/>
      <c r="U606" s="23"/>
      <c r="V606" s="23"/>
      <c r="W606" s="23"/>
      <c r="X606" s="23"/>
      <c r="Y606" s="23"/>
      <c r="Z606" s="23"/>
    </row>
    <row r="607">
      <c r="A607" s="2"/>
      <c r="B607" s="2"/>
      <c r="C607" s="2"/>
      <c r="D607" s="2"/>
      <c r="E607" s="2"/>
      <c r="F607" s="2"/>
      <c r="G607" s="2"/>
      <c r="H607" s="2"/>
      <c r="I607" s="2"/>
      <c r="J607" s="2"/>
      <c r="K607" s="2"/>
      <c r="L607" s="2"/>
      <c r="M607" s="2"/>
      <c r="N607" s="2"/>
      <c r="O607" s="2"/>
      <c r="P607" s="2"/>
      <c r="Q607" s="23"/>
      <c r="R607" s="23"/>
      <c r="S607" s="23"/>
      <c r="T607" s="23"/>
      <c r="U607" s="23"/>
      <c r="V607" s="23"/>
      <c r="W607" s="23"/>
      <c r="X607" s="23"/>
      <c r="Y607" s="23"/>
      <c r="Z607" s="23"/>
    </row>
    <row r="608">
      <c r="A608" s="2"/>
      <c r="B608" s="2"/>
      <c r="C608" s="2"/>
      <c r="D608" s="2"/>
      <c r="E608" s="2"/>
      <c r="F608" s="2"/>
      <c r="G608" s="2"/>
      <c r="H608" s="2"/>
      <c r="I608" s="2"/>
      <c r="J608" s="2"/>
      <c r="K608" s="2"/>
      <c r="L608" s="2"/>
      <c r="M608" s="2"/>
      <c r="N608" s="2"/>
      <c r="O608" s="2"/>
      <c r="P608" s="2"/>
      <c r="Q608" s="23"/>
      <c r="R608" s="23"/>
      <c r="S608" s="23"/>
      <c r="T608" s="23"/>
      <c r="U608" s="23"/>
      <c r="V608" s="23"/>
      <c r="W608" s="23"/>
      <c r="X608" s="23"/>
      <c r="Y608" s="23"/>
      <c r="Z608" s="23"/>
    </row>
    <row r="609">
      <c r="A609" s="2"/>
      <c r="B609" s="2"/>
      <c r="C609" s="2"/>
      <c r="D609" s="2"/>
      <c r="E609" s="2"/>
      <c r="F609" s="2"/>
      <c r="G609" s="2"/>
      <c r="H609" s="2"/>
      <c r="I609" s="2"/>
      <c r="J609" s="2"/>
      <c r="K609" s="2"/>
      <c r="L609" s="2"/>
      <c r="M609" s="2"/>
      <c r="N609" s="2"/>
      <c r="O609" s="2"/>
      <c r="P609" s="2"/>
      <c r="Q609" s="23"/>
      <c r="R609" s="23"/>
      <c r="S609" s="23"/>
      <c r="T609" s="23"/>
      <c r="U609" s="23"/>
      <c r="V609" s="23"/>
      <c r="W609" s="23"/>
      <c r="X609" s="23"/>
      <c r="Y609" s="23"/>
      <c r="Z609" s="23"/>
    </row>
    <row r="610">
      <c r="A610" s="2"/>
      <c r="B610" s="2"/>
      <c r="C610" s="2"/>
      <c r="D610" s="2"/>
      <c r="E610" s="2"/>
      <c r="F610" s="2"/>
      <c r="G610" s="2"/>
      <c r="H610" s="2"/>
      <c r="I610" s="2"/>
      <c r="J610" s="2"/>
      <c r="K610" s="2"/>
      <c r="L610" s="2"/>
      <c r="M610" s="2"/>
      <c r="N610" s="2"/>
      <c r="O610" s="2"/>
      <c r="P610" s="2"/>
      <c r="Q610" s="23"/>
      <c r="R610" s="23"/>
      <c r="S610" s="23"/>
      <c r="T610" s="23"/>
      <c r="U610" s="23"/>
      <c r="V610" s="23"/>
      <c r="W610" s="23"/>
      <c r="X610" s="23"/>
      <c r="Y610" s="23"/>
      <c r="Z610" s="23"/>
    </row>
    <row r="611">
      <c r="A611" s="2"/>
      <c r="B611" s="2"/>
      <c r="C611" s="2"/>
      <c r="D611" s="2"/>
      <c r="E611" s="2"/>
      <c r="F611" s="2"/>
      <c r="G611" s="2"/>
      <c r="H611" s="2"/>
      <c r="I611" s="2"/>
      <c r="J611" s="2"/>
      <c r="K611" s="2"/>
      <c r="L611" s="2"/>
      <c r="M611" s="2"/>
      <c r="N611" s="2"/>
      <c r="O611" s="2"/>
      <c r="P611" s="2"/>
      <c r="Q611" s="23"/>
      <c r="R611" s="23"/>
      <c r="S611" s="23"/>
      <c r="T611" s="23"/>
      <c r="U611" s="23"/>
      <c r="V611" s="23"/>
      <c r="W611" s="23"/>
      <c r="X611" s="23"/>
      <c r="Y611" s="23"/>
      <c r="Z611" s="23"/>
    </row>
    <row r="612">
      <c r="A612" s="2"/>
      <c r="B612" s="2"/>
      <c r="C612" s="2"/>
      <c r="D612" s="2"/>
      <c r="E612" s="2"/>
      <c r="F612" s="2"/>
      <c r="G612" s="2"/>
      <c r="H612" s="2"/>
      <c r="I612" s="2"/>
      <c r="J612" s="2"/>
      <c r="K612" s="2"/>
      <c r="L612" s="2"/>
      <c r="M612" s="2"/>
      <c r="N612" s="2"/>
      <c r="O612" s="2"/>
      <c r="P612" s="2"/>
      <c r="Q612" s="23"/>
      <c r="R612" s="23"/>
      <c r="S612" s="23"/>
      <c r="T612" s="23"/>
      <c r="U612" s="23"/>
      <c r="V612" s="23"/>
      <c r="W612" s="23"/>
      <c r="X612" s="23"/>
      <c r="Y612" s="23"/>
      <c r="Z612" s="23"/>
    </row>
    <row r="613">
      <c r="A613" s="2"/>
      <c r="B613" s="2"/>
      <c r="C613" s="2"/>
      <c r="D613" s="2"/>
      <c r="E613" s="2"/>
      <c r="F613" s="2"/>
      <c r="G613" s="2"/>
      <c r="H613" s="2"/>
      <c r="I613" s="2"/>
      <c r="J613" s="2"/>
      <c r="K613" s="2"/>
      <c r="L613" s="2"/>
      <c r="M613" s="2"/>
      <c r="N613" s="2"/>
      <c r="O613" s="2"/>
      <c r="P613" s="2"/>
      <c r="Q613" s="23"/>
      <c r="R613" s="23"/>
      <c r="S613" s="23"/>
      <c r="T613" s="23"/>
      <c r="U613" s="23"/>
      <c r="V613" s="23"/>
      <c r="W613" s="23"/>
      <c r="X613" s="23"/>
      <c r="Y613" s="23"/>
      <c r="Z613" s="23"/>
    </row>
    <row r="614">
      <c r="A614" s="2"/>
      <c r="B614" s="2"/>
      <c r="C614" s="2"/>
      <c r="D614" s="2"/>
      <c r="E614" s="2"/>
      <c r="F614" s="2"/>
      <c r="G614" s="2"/>
      <c r="H614" s="2"/>
      <c r="I614" s="2"/>
      <c r="J614" s="2"/>
      <c r="K614" s="2"/>
      <c r="L614" s="2"/>
      <c r="M614" s="2"/>
      <c r="N614" s="2"/>
      <c r="O614" s="2"/>
      <c r="P614" s="2"/>
      <c r="Q614" s="23"/>
      <c r="R614" s="23"/>
      <c r="S614" s="23"/>
      <c r="T614" s="23"/>
      <c r="U614" s="23"/>
      <c r="V614" s="23"/>
      <c r="W614" s="23"/>
      <c r="X614" s="23"/>
      <c r="Y614" s="23"/>
      <c r="Z614" s="23"/>
    </row>
    <row r="615">
      <c r="A615" s="2"/>
      <c r="B615" s="2"/>
      <c r="C615" s="2"/>
      <c r="D615" s="2"/>
      <c r="E615" s="2"/>
      <c r="F615" s="2"/>
      <c r="G615" s="2"/>
      <c r="H615" s="2"/>
      <c r="I615" s="2"/>
      <c r="J615" s="2"/>
      <c r="K615" s="2"/>
      <c r="L615" s="2"/>
      <c r="M615" s="2"/>
      <c r="N615" s="2"/>
      <c r="O615" s="2"/>
      <c r="P615" s="2"/>
      <c r="Q615" s="23"/>
      <c r="R615" s="23"/>
      <c r="S615" s="23"/>
      <c r="T615" s="23"/>
      <c r="U615" s="23"/>
      <c r="V615" s="23"/>
      <c r="W615" s="23"/>
      <c r="X615" s="23"/>
      <c r="Y615" s="23"/>
      <c r="Z615" s="23"/>
    </row>
    <row r="616">
      <c r="A616" s="2"/>
      <c r="B616" s="2"/>
      <c r="C616" s="2"/>
      <c r="D616" s="2"/>
      <c r="E616" s="2"/>
      <c r="F616" s="2"/>
      <c r="G616" s="2"/>
      <c r="H616" s="2"/>
      <c r="I616" s="2"/>
      <c r="J616" s="2"/>
      <c r="K616" s="2"/>
      <c r="L616" s="2"/>
      <c r="M616" s="2"/>
      <c r="N616" s="2"/>
      <c r="O616" s="2"/>
      <c r="P616" s="2"/>
      <c r="Q616" s="23"/>
      <c r="R616" s="23"/>
      <c r="S616" s="23"/>
      <c r="T616" s="23"/>
      <c r="U616" s="23"/>
      <c r="V616" s="23"/>
      <c r="W616" s="23"/>
      <c r="X616" s="23"/>
      <c r="Y616" s="23"/>
      <c r="Z616" s="23"/>
    </row>
    <row r="617">
      <c r="A617" s="2"/>
      <c r="B617" s="2"/>
      <c r="C617" s="2"/>
      <c r="D617" s="2"/>
      <c r="E617" s="2"/>
      <c r="F617" s="2"/>
      <c r="G617" s="2"/>
      <c r="H617" s="2"/>
      <c r="I617" s="2"/>
      <c r="J617" s="2"/>
      <c r="K617" s="2"/>
      <c r="L617" s="2"/>
      <c r="M617" s="2"/>
      <c r="N617" s="2"/>
      <c r="O617" s="2"/>
      <c r="P617" s="2"/>
      <c r="Q617" s="23"/>
      <c r="R617" s="23"/>
      <c r="S617" s="23"/>
      <c r="T617" s="23"/>
      <c r="U617" s="23"/>
      <c r="V617" s="23"/>
      <c r="W617" s="23"/>
      <c r="X617" s="23"/>
      <c r="Y617" s="23"/>
      <c r="Z617" s="23"/>
    </row>
    <row r="618">
      <c r="A618" s="2"/>
      <c r="B618" s="2"/>
      <c r="C618" s="2"/>
      <c r="D618" s="2"/>
      <c r="E618" s="2"/>
      <c r="F618" s="2"/>
      <c r="G618" s="2"/>
      <c r="H618" s="2"/>
      <c r="I618" s="2"/>
      <c r="J618" s="2"/>
      <c r="K618" s="2"/>
      <c r="L618" s="2"/>
      <c r="M618" s="2"/>
      <c r="N618" s="2"/>
      <c r="O618" s="2"/>
      <c r="P618" s="2"/>
      <c r="Q618" s="23"/>
      <c r="R618" s="23"/>
      <c r="S618" s="23"/>
      <c r="T618" s="23"/>
      <c r="U618" s="23"/>
      <c r="V618" s="23"/>
      <c r="W618" s="23"/>
      <c r="X618" s="23"/>
      <c r="Y618" s="23"/>
      <c r="Z618" s="23"/>
    </row>
    <row r="619">
      <c r="A619" s="2"/>
      <c r="B619" s="2"/>
      <c r="C619" s="2"/>
      <c r="D619" s="2"/>
      <c r="E619" s="2"/>
      <c r="F619" s="2"/>
      <c r="G619" s="2"/>
      <c r="H619" s="2"/>
      <c r="I619" s="2"/>
      <c r="J619" s="2"/>
      <c r="K619" s="2"/>
      <c r="L619" s="2"/>
      <c r="M619" s="2"/>
      <c r="N619" s="2"/>
      <c r="O619" s="2"/>
      <c r="P619" s="2"/>
      <c r="Q619" s="23"/>
      <c r="R619" s="23"/>
      <c r="S619" s="23"/>
      <c r="T619" s="23"/>
      <c r="U619" s="23"/>
      <c r="V619" s="23"/>
      <c r="W619" s="23"/>
      <c r="X619" s="23"/>
      <c r="Y619" s="23"/>
      <c r="Z619" s="23"/>
    </row>
    <row r="620">
      <c r="A620" s="2"/>
      <c r="B620" s="2"/>
      <c r="C620" s="2"/>
      <c r="D620" s="2"/>
      <c r="E620" s="2"/>
      <c r="F620" s="2"/>
      <c r="G620" s="2"/>
      <c r="H620" s="2"/>
      <c r="I620" s="2"/>
      <c r="J620" s="2"/>
      <c r="K620" s="2"/>
      <c r="L620" s="2"/>
      <c r="M620" s="2"/>
      <c r="N620" s="2"/>
      <c r="O620" s="2"/>
      <c r="P620" s="2"/>
      <c r="Q620" s="23"/>
      <c r="R620" s="23"/>
      <c r="S620" s="23"/>
      <c r="T620" s="23"/>
      <c r="U620" s="23"/>
      <c r="V620" s="23"/>
      <c r="W620" s="23"/>
      <c r="X620" s="23"/>
      <c r="Y620" s="23"/>
      <c r="Z620" s="23"/>
    </row>
    <row r="621">
      <c r="A621" s="2"/>
      <c r="B621" s="2"/>
      <c r="C621" s="2"/>
      <c r="D621" s="2"/>
      <c r="E621" s="2"/>
      <c r="F621" s="2"/>
      <c r="G621" s="2"/>
      <c r="H621" s="2"/>
      <c r="I621" s="2"/>
      <c r="J621" s="2"/>
      <c r="K621" s="2"/>
      <c r="L621" s="2"/>
      <c r="M621" s="2"/>
      <c r="N621" s="2"/>
      <c r="O621" s="2"/>
      <c r="P621" s="2"/>
      <c r="Q621" s="23"/>
      <c r="R621" s="23"/>
      <c r="S621" s="23"/>
      <c r="T621" s="23"/>
      <c r="U621" s="23"/>
      <c r="V621" s="23"/>
      <c r="W621" s="23"/>
      <c r="X621" s="23"/>
      <c r="Y621" s="23"/>
      <c r="Z621" s="23"/>
    </row>
    <row r="622">
      <c r="A622" s="2"/>
      <c r="B622" s="2"/>
      <c r="C622" s="2"/>
      <c r="D622" s="2"/>
      <c r="E622" s="2"/>
      <c r="F622" s="2"/>
      <c r="G622" s="2"/>
      <c r="H622" s="2"/>
      <c r="I622" s="2"/>
      <c r="J622" s="2"/>
      <c r="K622" s="2"/>
      <c r="L622" s="2"/>
      <c r="M622" s="2"/>
      <c r="N622" s="2"/>
      <c r="O622" s="2"/>
      <c r="P622" s="2"/>
      <c r="Q622" s="23"/>
      <c r="R622" s="23"/>
      <c r="S622" s="23"/>
      <c r="T622" s="23"/>
      <c r="U622" s="23"/>
      <c r="V622" s="23"/>
      <c r="W622" s="23"/>
      <c r="X622" s="23"/>
      <c r="Y622" s="23"/>
      <c r="Z622" s="23"/>
    </row>
    <row r="623">
      <c r="A623" s="2"/>
      <c r="B623" s="2"/>
      <c r="C623" s="2"/>
      <c r="D623" s="2"/>
      <c r="E623" s="2"/>
      <c r="F623" s="2"/>
      <c r="G623" s="2"/>
      <c r="H623" s="2"/>
      <c r="I623" s="2"/>
      <c r="J623" s="2"/>
      <c r="K623" s="2"/>
      <c r="L623" s="2"/>
      <c r="M623" s="2"/>
      <c r="N623" s="2"/>
      <c r="O623" s="2"/>
      <c r="P623" s="2"/>
      <c r="Q623" s="23"/>
      <c r="R623" s="23"/>
      <c r="S623" s="23"/>
      <c r="T623" s="23"/>
      <c r="U623" s="23"/>
      <c r="V623" s="23"/>
      <c r="W623" s="23"/>
      <c r="X623" s="23"/>
      <c r="Y623" s="23"/>
      <c r="Z623" s="23"/>
    </row>
    <row r="624">
      <c r="A624" s="2"/>
      <c r="B624" s="2"/>
      <c r="C624" s="2"/>
      <c r="D624" s="2"/>
      <c r="E624" s="2"/>
      <c r="F624" s="2"/>
      <c r="G624" s="2"/>
      <c r="H624" s="2"/>
      <c r="I624" s="2"/>
      <c r="J624" s="2"/>
      <c r="K624" s="2"/>
      <c r="L624" s="2"/>
      <c r="M624" s="2"/>
      <c r="N624" s="2"/>
      <c r="O624" s="2"/>
      <c r="P624" s="2"/>
      <c r="Q624" s="23"/>
      <c r="R624" s="23"/>
      <c r="S624" s="23"/>
      <c r="T624" s="23"/>
      <c r="U624" s="23"/>
      <c r="V624" s="23"/>
      <c r="W624" s="23"/>
      <c r="X624" s="23"/>
      <c r="Y624" s="23"/>
      <c r="Z624" s="23"/>
    </row>
    <row r="625">
      <c r="A625" s="2"/>
      <c r="B625" s="2"/>
      <c r="C625" s="2"/>
      <c r="D625" s="2"/>
      <c r="E625" s="2"/>
      <c r="F625" s="2"/>
      <c r="G625" s="2"/>
      <c r="H625" s="2"/>
      <c r="I625" s="2"/>
      <c r="J625" s="2"/>
      <c r="K625" s="2"/>
      <c r="L625" s="2"/>
      <c r="M625" s="2"/>
      <c r="N625" s="2"/>
      <c r="O625" s="2"/>
      <c r="P625" s="2"/>
      <c r="Q625" s="23"/>
      <c r="R625" s="23"/>
      <c r="S625" s="23"/>
      <c r="T625" s="23"/>
      <c r="U625" s="23"/>
      <c r="V625" s="23"/>
      <c r="W625" s="23"/>
      <c r="X625" s="23"/>
      <c r="Y625" s="23"/>
      <c r="Z625" s="23"/>
    </row>
    <row r="626">
      <c r="A626" s="2"/>
      <c r="B626" s="2"/>
      <c r="C626" s="2"/>
      <c r="D626" s="2"/>
      <c r="E626" s="2"/>
      <c r="F626" s="2"/>
      <c r="G626" s="2"/>
      <c r="H626" s="2"/>
      <c r="I626" s="2"/>
      <c r="J626" s="2"/>
      <c r="K626" s="2"/>
      <c r="L626" s="2"/>
      <c r="M626" s="2"/>
      <c r="N626" s="2"/>
      <c r="O626" s="2"/>
      <c r="P626" s="2"/>
      <c r="Q626" s="23"/>
      <c r="R626" s="23"/>
      <c r="S626" s="23"/>
      <c r="T626" s="23"/>
      <c r="U626" s="23"/>
      <c r="V626" s="23"/>
      <c r="W626" s="23"/>
      <c r="X626" s="23"/>
      <c r="Y626" s="23"/>
      <c r="Z626" s="23"/>
    </row>
    <row r="627">
      <c r="A627" s="2"/>
      <c r="B627" s="2"/>
      <c r="C627" s="2"/>
      <c r="D627" s="2"/>
      <c r="E627" s="2"/>
      <c r="F627" s="2"/>
      <c r="G627" s="2"/>
      <c r="H627" s="2"/>
      <c r="I627" s="2"/>
      <c r="J627" s="2"/>
      <c r="K627" s="2"/>
      <c r="L627" s="2"/>
      <c r="M627" s="2"/>
      <c r="N627" s="2"/>
      <c r="O627" s="2"/>
      <c r="P627" s="2"/>
      <c r="Q627" s="23"/>
      <c r="R627" s="23"/>
      <c r="S627" s="23"/>
      <c r="T627" s="23"/>
      <c r="U627" s="23"/>
      <c r="V627" s="23"/>
      <c r="W627" s="23"/>
      <c r="X627" s="23"/>
      <c r="Y627" s="23"/>
      <c r="Z627" s="23"/>
    </row>
    <row r="628">
      <c r="A628" s="2"/>
      <c r="B628" s="2"/>
      <c r="C628" s="2"/>
      <c r="D628" s="2"/>
      <c r="E628" s="2"/>
      <c r="F628" s="2"/>
      <c r="G628" s="2"/>
      <c r="H628" s="2"/>
      <c r="I628" s="2"/>
      <c r="J628" s="2"/>
      <c r="K628" s="2"/>
      <c r="L628" s="2"/>
      <c r="M628" s="2"/>
      <c r="N628" s="2"/>
      <c r="O628" s="2"/>
      <c r="P628" s="2"/>
      <c r="Q628" s="23"/>
      <c r="R628" s="23"/>
      <c r="S628" s="23"/>
      <c r="T628" s="23"/>
      <c r="U628" s="23"/>
      <c r="V628" s="23"/>
      <c r="W628" s="23"/>
      <c r="X628" s="23"/>
      <c r="Y628" s="23"/>
      <c r="Z628" s="23"/>
    </row>
    <row r="629">
      <c r="A629" s="2"/>
      <c r="B629" s="2"/>
      <c r="C629" s="2"/>
      <c r="D629" s="2"/>
      <c r="E629" s="2"/>
      <c r="F629" s="2"/>
      <c r="G629" s="2"/>
      <c r="H629" s="2"/>
      <c r="I629" s="2"/>
      <c r="J629" s="2"/>
      <c r="K629" s="2"/>
      <c r="L629" s="2"/>
      <c r="M629" s="2"/>
      <c r="N629" s="2"/>
      <c r="O629" s="2"/>
      <c r="P629" s="2"/>
      <c r="Q629" s="23"/>
      <c r="R629" s="23"/>
      <c r="S629" s="23"/>
      <c r="T629" s="23"/>
      <c r="U629" s="23"/>
      <c r="V629" s="23"/>
      <c r="W629" s="23"/>
      <c r="X629" s="23"/>
      <c r="Y629" s="23"/>
      <c r="Z629" s="23"/>
    </row>
    <row r="630">
      <c r="A630" s="2"/>
      <c r="B630" s="2"/>
      <c r="C630" s="2"/>
      <c r="D630" s="2"/>
      <c r="E630" s="2"/>
      <c r="F630" s="2"/>
      <c r="G630" s="2"/>
      <c r="H630" s="2"/>
      <c r="I630" s="2"/>
      <c r="J630" s="2"/>
      <c r="K630" s="2"/>
      <c r="L630" s="2"/>
      <c r="M630" s="2"/>
      <c r="N630" s="2"/>
      <c r="O630" s="2"/>
      <c r="P630" s="2"/>
      <c r="Q630" s="23"/>
      <c r="R630" s="23"/>
      <c r="S630" s="23"/>
      <c r="T630" s="23"/>
      <c r="U630" s="23"/>
      <c r="V630" s="23"/>
      <c r="W630" s="23"/>
      <c r="X630" s="23"/>
      <c r="Y630" s="23"/>
      <c r="Z630" s="23"/>
    </row>
    <row r="631">
      <c r="A631" s="2"/>
      <c r="B631" s="2"/>
      <c r="C631" s="2"/>
      <c r="D631" s="2"/>
      <c r="E631" s="2"/>
      <c r="F631" s="2"/>
      <c r="G631" s="2"/>
      <c r="H631" s="2"/>
      <c r="I631" s="2"/>
      <c r="J631" s="2"/>
      <c r="K631" s="2"/>
      <c r="L631" s="2"/>
      <c r="M631" s="2"/>
      <c r="N631" s="2"/>
      <c r="O631" s="2"/>
      <c r="P631" s="2"/>
      <c r="Q631" s="23"/>
      <c r="R631" s="23"/>
      <c r="S631" s="23"/>
      <c r="T631" s="23"/>
      <c r="U631" s="23"/>
      <c r="V631" s="23"/>
      <c r="W631" s="23"/>
      <c r="X631" s="23"/>
      <c r="Y631" s="23"/>
      <c r="Z631" s="23"/>
    </row>
    <row r="632">
      <c r="A632" s="2"/>
      <c r="B632" s="2"/>
      <c r="C632" s="2"/>
      <c r="D632" s="2"/>
      <c r="E632" s="2"/>
      <c r="F632" s="2"/>
      <c r="G632" s="2"/>
      <c r="H632" s="2"/>
      <c r="I632" s="2"/>
      <c r="J632" s="2"/>
      <c r="K632" s="2"/>
      <c r="L632" s="2"/>
      <c r="M632" s="2"/>
      <c r="N632" s="2"/>
      <c r="O632" s="2"/>
      <c r="P632" s="2"/>
      <c r="Q632" s="23"/>
      <c r="R632" s="23"/>
      <c r="S632" s="23"/>
      <c r="T632" s="23"/>
      <c r="U632" s="23"/>
      <c r="V632" s="23"/>
      <c r="W632" s="23"/>
      <c r="X632" s="23"/>
      <c r="Y632" s="23"/>
      <c r="Z632" s="23"/>
    </row>
    <row r="633">
      <c r="A633" s="2"/>
      <c r="B633" s="2"/>
      <c r="C633" s="2"/>
      <c r="D633" s="2"/>
      <c r="E633" s="2"/>
      <c r="F633" s="2"/>
      <c r="G633" s="2"/>
      <c r="H633" s="2"/>
      <c r="I633" s="2"/>
      <c r="J633" s="2"/>
      <c r="K633" s="2"/>
      <c r="L633" s="2"/>
      <c r="M633" s="2"/>
      <c r="N633" s="2"/>
      <c r="O633" s="2"/>
      <c r="P633" s="2"/>
      <c r="Q633" s="23"/>
      <c r="R633" s="23"/>
      <c r="S633" s="23"/>
      <c r="T633" s="23"/>
      <c r="U633" s="23"/>
      <c r="V633" s="23"/>
      <c r="W633" s="23"/>
      <c r="X633" s="23"/>
      <c r="Y633" s="23"/>
      <c r="Z633" s="23"/>
    </row>
    <row r="634">
      <c r="A634" s="2"/>
      <c r="B634" s="2"/>
      <c r="C634" s="2"/>
      <c r="D634" s="2"/>
      <c r="E634" s="2"/>
      <c r="F634" s="2"/>
      <c r="G634" s="2"/>
      <c r="H634" s="2"/>
      <c r="I634" s="2"/>
      <c r="J634" s="2"/>
      <c r="K634" s="2"/>
      <c r="L634" s="2"/>
      <c r="M634" s="2"/>
      <c r="N634" s="2"/>
      <c r="O634" s="2"/>
      <c r="P634" s="2"/>
      <c r="Q634" s="23"/>
      <c r="R634" s="23"/>
      <c r="S634" s="23"/>
      <c r="T634" s="23"/>
      <c r="U634" s="23"/>
      <c r="V634" s="23"/>
      <c r="W634" s="23"/>
      <c r="X634" s="23"/>
      <c r="Y634" s="23"/>
      <c r="Z634" s="23"/>
    </row>
    <row r="635">
      <c r="A635" s="2"/>
      <c r="B635" s="2"/>
      <c r="C635" s="2"/>
      <c r="D635" s="2"/>
      <c r="E635" s="2"/>
      <c r="F635" s="2"/>
      <c r="G635" s="2"/>
      <c r="H635" s="2"/>
      <c r="I635" s="2"/>
      <c r="J635" s="2"/>
      <c r="K635" s="2"/>
      <c r="L635" s="2"/>
      <c r="M635" s="2"/>
      <c r="N635" s="2"/>
      <c r="O635" s="2"/>
      <c r="P635" s="2"/>
      <c r="Q635" s="23"/>
      <c r="R635" s="23"/>
      <c r="S635" s="23"/>
      <c r="T635" s="23"/>
      <c r="U635" s="23"/>
      <c r="V635" s="23"/>
      <c r="W635" s="23"/>
      <c r="X635" s="23"/>
      <c r="Y635" s="23"/>
      <c r="Z635" s="23"/>
    </row>
    <row r="636">
      <c r="A636" s="2"/>
      <c r="B636" s="2"/>
      <c r="C636" s="2"/>
      <c r="D636" s="2"/>
      <c r="E636" s="2"/>
      <c r="F636" s="2"/>
      <c r="G636" s="2"/>
      <c r="H636" s="2"/>
      <c r="I636" s="2"/>
      <c r="J636" s="2"/>
      <c r="K636" s="2"/>
      <c r="L636" s="2"/>
      <c r="M636" s="2"/>
      <c r="N636" s="2"/>
      <c r="O636" s="2"/>
      <c r="P636" s="2"/>
      <c r="Q636" s="23"/>
      <c r="R636" s="23"/>
      <c r="S636" s="23"/>
      <c r="T636" s="23"/>
      <c r="U636" s="23"/>
      <c r="V636" s="23"/>
      <c r="W636" s="23"/>
      <c r="X636" s="23"/>
      <c r="Y636" s="23"/>
      <c r="Z636" s="23"/>
    </row>
    <row r="637">
      <c r="A637" s="2"/>
      <c r="B637" s="2"/>
      <c r="C637" s="2"/>
      <c r="D637" s="2"/>
      <c r="E637" s="2"/>
      <c r="F637" s="2"/>
      <c r="G637" s="2"/>
      <c r="H637" s="2"/>
      <c r="I637" s="2"/>
      <c r="J637" s="2"/>
      <c r="K637" s="2"/>
      <c r="L637" s="2"/>
      <c r="M637" s="2"/>
      <c r="N637" s="2"/>
      <c r="O637" s="2"/>
      <c r="P637" s="2"/>
      <c r="Q637" s="23"/>
      <c r="R637" s="23"/>
      <c r="S637" s="23"/>
      <c r="T637" s="23"/>
      <c r="U637" s="23"/>
      <c r="V637" s="23"/>
      <c r="W637" s="23"/>
      <c r="X637" s="23"/>
      <c r="Y637" s="23"/>
      <c r="Z637" s="23"/>
    </row>
    <row r="638">
      <c r="A638" s="2"/>
      <c r="B638" s="2"/>
      <c r="C638" s="2"/>
      <c r="D638" s="2"/>
      <c r="E638" s="2"/>
      <c r="F638" s="2"/>
      <c r="G638" s="2"/>
      <c r="H638" s="2"/>
      <c r="I638" s="2"/>
      <c r="J638" s="2"/>
      <c r="K638" s="2"/>
      <c r="L638" s="2"/>
      <c r="M638" s="2"/>
      <c r="N638" s="2"/>
      <c r="O638" s="2"/>
      <c r="P638" s="2"/>
      <c r="Q638" s="23"/>
      <c r="R638" s="23"/>
      <c r="S638" s="23"/>
      <c r="T638" s="23"/>
      <c r="U638" s="23"/>
      <c r="V638" s="23"/>
      <c r="W638" s="23"/>
      <c r="X638" s="23"/>
      <c r="Y638" s="23"/>
      <c r="Z638" s="23"/>
    </row>
    <row r="639">
      <c r="A639" s="2"/>
      <c r="B639" s="2"/>
      <c r="C639" s="2"/>
      <c r="D639" s="2"/>
      <c r="E639" s="2"/>
      <c r="F639" s="2"/>
      <c r="G639" s="2"/>
      <c r="H639" s="2"/>
      <c r="I639" s="2"/>
      <c r="J639" s="2"/>
      <c r="K639" s="2"/>
      <c r="L639" s="2"/>
      <c r="M639" s="2"/>
      <c r="N639" s="2"/>
      <c r="O639" s="2"/>
      <c r="P639" s="2"/>
      <c r="Q639" s="23"/>
      <c r="R639" s="23"/>
      <c r="S639" s="23"/>
      <c r="T639" s="23"/>
      <c r="U639" s="23"/>
      <c r="V639" s="23"/>
      <c r="W639" s="23"/>
      <c r="X639" s="23"/>
      <c r="Y639" s="23"/>
      <c r="Z639" s="23"/>
    </row>
    <row r="640">
      <c r="A640" s="2"/>
      <c r="B640" s="2"/>
      <c r="C640" s="2"/>
      <c r="D640" s="2"/>
      <c r="E640" s="2"/>
      <c r="F640" s="2"/>
      <c r="G640" s="2"/>
      <c r="H640" s="2"/>
      <c r="I640" s="2"/>
      <c r="J640" s="2"/>
      <c r="K640" s="2"/>
      <c r="L640" s="2"/>
      <c r="M640" s="2"/>
      <c r="N640" s="2"/>
      <c r="O640" s="2"/>
      <c r="P640" s="2"/>
      <c r="Q640" s="23"/>
      <c r="R640" s="23"/>
      <c r="S640" s="23"/>
      <c r="T640" s="23"/>
      <c r="U640" s="23"/>
      <c r="V640" s="23"/>
      <c r="W640" s="23"/>
      <c r="X640" s="23"/>
      <c r="Y640" s="23"/>
      <c r="Z640" s="23"/>
    </row>
    <row r="641">
      <c r="A641" s="2"/>
      <c r="B641" s="2"/>
      <c r="C641" s="2"/>
      <c r="D641" s="2"/>
      <c r="E641" s="2"/>
      <c r="F641" s="2"/>
      <c r="G641" s="2"/>
      <c r="H641" s="2"/>
      <c r="I641" s="2"/>
      <c r="J641" s="2"/>
      <c r="K641" s="2"/>
      <c r="L641" s="2"/>
      <c r="M641" s="2"/>
      <c r="N641" s="2"/>
      <c r="O641" s="2"/>
      <c r="P641" s="2"/>
      <c r="Q641" s="23"/>
      <c r="R641" s="23"/>
      <c r="S641" s="23"/>
      <c r="T641" s="23"/>
      <c r="U641" s="23"/>
      <c r="V641" s="23"/>
      <c r="W641" s="23"/>
      <c r="X641" s="23"/>
      <c r="Y641" s="23"/>
      <c r="Z641" s="23"/>
    </row>
    <row r="642">
      <c r="A642" s="2"/>
      <c r="B642" s="2"/>
      <c r="C642" s="2"/>
      <c r="D642" s="2"/>
      <c r="E642" s="2"/>
      <c r="F642" s="2"/>
      <c r="G642" s="2"/>
      <c r="H642" s="2"/>
      <c r="I642" s="2"/>
      <c r="J642" s="2"/>
      <c r="K642" s="2"/>
      <c r="L642" s="2"/>
      <c r="M642" s="2"/>
      <c r="N642" s="2"/>
      <c r="O642" s="2"/>
      <c r="P642" s="2"/>
      <c r="Q642" s="23"/>
      <c r="R642" s="23"/>
      <c r="S642" s="23"/>
      <c r="T642" s="23"/>
      <c r="U642" s="23"/>
      <c r="V642" s="23"/>
      <c r="W642" s="23"/>
      <c r="X642" s="23"/>
      <c r="Y642" s="23"/>
      <c r="Z642" s="23"/>
    </row>
    <row r="643">
      <c r="A643" s="2"/>
      <c r="B643" s="2"/>
      <c r="C643" s="2"/>
      <c r="D643" s="2"/>
      <c r="E643" s="2"/>
      <c r="F643" s="2"/>
      <c r="G643" s="2"/>
      <c r="H643" s="2"/>
      <c r="I643" s="2"/>
      <c r="J643" s="2"/>
      <c r="K643" s="2"/>
      <c r="L643" s="2"/>
      <c r="M643" s="2"/>
      <c r="N643" s="2"/>
      <c r="O643" s="2"/>
      <c r="P643" s="2"/>
      <c r="Q643" s="23"/>
      <c r="R643" s="23"/>
      <c r="S643" s="23"/>
      <c r="T643" s="23"/>
      <c r="U643" s="23"/>
      <c r="V643" s="23"/>
      <c r="W643" s="23"/>
      <c r="X643" s="23"/>
      <c r="Y643" s="23"/>
      <c r="Z643" s="23"/>
    </row>
    <row r="644">
      <c r="A644" s="2"/>
      <c r="B644" s="2"/>
      <c r="C644" s="2"/>
      <c r="D644" s="2"/>
      <c r="E644" s="2"/>
      <c r="F644" s="2"/>
      <c r="G644" s="2"/>
      <c r="H644" s="2"/>
      <c r="I644" s="2"/>
      <c r="J644" s="2"/>
      <c r="K644" s="2"/>
      <c r="L644" s="2"/>
      <c r="M644" s="2"/>
      <c r="N644" s="2"/>
      <c r="O644" s="2"/>
      <c r="P644" s="2"/>
      <c r="Q644" s="23"/>
      <c r="R644" s="23"/>
      <c r="S644" s="23"/>
      <c r="T644" s="23"/>
      <c r="U644" s="23"/>
      <c r="V644" s="23"/>
      <c r="W644" s="23"/>
      <c r="X644" s="23"/>
      <c r="Y644" s="23"/>
      <c r="Z644" s="23"/>
    </row>
    <row r="645">
      <c r="A645" s="2"/>
      <c r="B645" s="2"/>
      <c r="C645" s="2"/>
      <c r="D645" s="2"/>
      <c r="E645" s="2"/>
      <c r="F645" s="2"/>
      <c r="G645" s="2"/>
      <c r="H645" s="2"/>
      <c r="I645" s="2"/>
      <c r="J645" s="2"/>
      <c r="K645" s="2"/>
      <c r="L645" s="2"/>
      <c r="M645" s="2"/>
      <c r="N645" s="2"/>
      <c r="O645" s="2"/>
      <c r="P645" s="2"/>
      <c r="Q645" s="23"/>
      <c r="R645" s="23"/>
      <c r="S645" s="23"/>
      <c r="T645" s="23"/>
      <c r="U645" s="23"/>
      <c r="V645" s="23"/>
      <c r="W645" s="23"/>
      <c r="X645" s="23"/>
      <c r="Y645" s="23"/>
      <c r="Z645" s="23"/>
    </row>
    <row r="646">
      <c r="A646" s="2"/>
      <c r="B646" s="2"/>
      <c r="C646" s="2"/>
      <c r="D646" s="2"/>
      <c r="E646" s="2"/>
      <c r="F646" s="2"/>
      <c r="G646" s="2"/>
      <c r="H646" s="2"/>
      <c r="I646" s="2"/>
      <c r="J646" s="2"/>
      <c r="K646" s="2"/>
      <c r="L646" s="2"/>
      <c r="M646" s="2"/>
      <c r="N646" s="2"/>
      <c r="O646" s="2"/>
      <c r="P646" s="2"/>
      <c r="Q646" s="23"/>
      <c r="R646" s="23"/>
      <c r="S646" s="23"/>
      <c r="T646" s="23"/>
      <c r="U646" s="23"/>
      <c r="V646" s="23"/>
      <c r="W646" s="23"/>
      <c r="X646" s="23"/>
      <c r="Y646" s="23"/>
      <c r="Z646" s="23"/>
    </row>
    <row r="647">
      <c r="A647" s="2"/>
      <c r="B647" s="2"/>
      <c r="C647" s="2"/>
      <c r="D647" s="2"/>
      <c r="E647" s="2"/>
      <c r="F647" s="2"/>
      <c r="G647" s="2"/>
      <c r="H647" s="2"/>
      <c r="I647" s="2"/>
      <c r="J647" s="2"/>
      <c r="K647" s="2"/>
      <c r="L647" s="2"/>
      <c r="M647" s="2"/>
      <c r="N647" s="2"/>
      <c r="O647" s="2"/>
      <c r="P647" s="2"/>
      <c r="Q647" s="23"/>
      <c r="R647" s="23"/>
      <c r="S647" s="23"/>
      <c r="T647" s="23"/>
      <c r="U647" s="23"/>
      <c r="V647" s="23"/>
      <c r="W647" s="23"/>
      <c r="X647" s="23"/>
      <c r="Y647" s="23"/>
      <c r="Z647" s="23"/>
    </row>
    <row r="648">
      <c r="A648" s="2"/>
      <c r="B648" s="2"/>
      <c r="C648" s="2"/>
      <c r="D648" s="2"/>
      <c r="E648" s="2"/>
      <c r="F648" s="2"/>
      <c r="G648" s="2"/>
      <c r="H648" s="2"/>
      <c r="I648" s="2"/>
      <c r="J648" s="2"/>
      <c r="K648" s="2"/>
      <c r="L648" s="2"/>
      <c r="M648" s="2"/>
      <c r="N648" s="2"/>
      <c r="O648" s="2"/>
      <c r="P648" s="2"/>
      <c r="Q648" s="23"/>
      <c r="R648" s="23"/>
      <c r="S648" s="23"/>
      <c r="T648" s="23"/>
      <c r="U648" s="23"/>
      <c r="V648" s="23"/>
      <c r="W648" s="23"/>
      <c r="X648" s="23"/>
      <c r="Y648" s="23"/>
      <c r="Z648" s="23"/>
    </row>
    <row r="649">
      <c r="A649" s="2"/>
      <c r="B649" s="2"/>
      <c r="C649" s="2"/>
      <c r="D649" s="2"/>
      <c r="E649" s="2"/>
      <c r="F649" s="2"/>
      <c r="G649" s="2"/>
      <c r="H649" s="2"/>
      <c r="I649" s="2"/>
      <c r="J649" s="2"/>
      <c r="K649" s="2"/>
      <c r="L649" s="2"/>
      <c r="M649" s="2"/>
      <c r="N649" s="2"/>
      <c r="O649" s="2"/>
      <c r="P649" s="2"/>
      <c r="Q649" s="23"/>
      <c r="R649" s="23"/>
      <c r="S649" s="23"/>
      <c r="T649" s="23"/>
      <c r="U649" s="23"/>
      <c r="V649" s="23"/>
      <c r="W649" s="23"/>
      <c r="X649" s="23"/>
      <c r="Y649" s="23"/>
      <c r="Z649" s="23"/>
    </row>
    <row r="650">
      <c r="A650" s="2"/>
      <c r="B650" s="2"/>
      <c r="C650" s="2"/>
      <c r="D650" s="2"/>
      <c r="E650" s="2"/>
      <c r="F650" s="2"/>
      <c r="G650" s="2"/>
      <c r="H650" s="2"/>
      <c r="I650" s="2"/>
      <c r="J650" s="2"/>
      <c r="K650" s="2"/>
      <c r="L650" s="2"/>
      <c r="M650" s="2"/>
      <c r="N650" s="2"/>
      <c r="O650" s="2"/>
      <c r="P650" s="2"/>
      <c r="Q650" s="23"/>
      <c r="R650" s="23"/>
      <c r="S650" s="23"/>
      <c r="T650" s="23"/>
      <c r="U650" s="23"/>
      <c r="V650" s="23"/>
      <c r="W650" s="23"/>
      <c r="X650" s="23"/>
      <c r="Y650" s="23"/>
      <c r="Z650" s="23"/>
    </row>
    <row r="651">
      <c r="A651" s="2"/>
      <c r="B651" s="2"/>
      <c r="C651" s="2"/>
      <c r="D651" s="2"/>
      <c r="E651" s="2"/>
      <c r="F651" s="2"/>
      <c r="G651" s="2"/>
      <c r="H651" s="2"/>
      <c r="I651" s="2"/>
      <c r="J651" s="2"/>
      <c r="K651" s="2"/>
      <c r="L651" s="2"/>
      <c r="M651" s="2"/>
      <c r="N651" s="2"/>
      <c r="O651" s="2"/>
      <c r="P651" s="2"/>
      <c r="Q651" s="23"/>
      <c r="R651" s="23"/>
      <c r="S651" s="23"/>
      <c r="T651" s="23"/>
      <c r="U651" s="23"/>
      <c r="V651" s="23"/>
      <c r="W651" s="23"/>
      <c r="X651" s="23"/>
      <c r="Y651" s="23"/>
      <c r="Z651" s="23"/>
    </row>
    <row r="652">
      <c r="A652" s="2"/>
      <c r="B652" s="2"/>
      <c r="C652" s="2"/>
      <c r="D652" s="2"/>
      <c r="E652" s="2"/>
      <c r="F652" s="2"/>
      <c r="G652" s="2"/>
      <c r="H652" s="2"/>
      <c r="I652" s="2"/>
      <c r="J652" s="2"/>
      <c r="K652" s="2"/>
      <c r="L652" s="2"/>
      <c r="M652" s="2"/>
      <c r="N652" s="2"/>
      <c r="O652" s="2"/>
      <c r="P652" s="2"/>
      <c r="Q652" s="23"/>
      <c r="R652" s="23"/>
      <c r="S652" s="23"/>
      <c r="T652" s="23"/>
      <c r="U652" s="23"/>
      <c r="V652" s="23"/>
      <c r="W652" s="23"/>
      <c r="X652" s="23"/>
      <c r="Y652" s="23"/>
      <c r="Z652" s="23"/>
    </row>
    <row r="653">
      <c r="A653" s="2"/>
      <c r="B653" s="2"/>
      <c r="C653" s="2"/>
      <c r="D653" s="2"/>
      <c r="E653" s="2"/>
      <c r="F653" s="2"/>
      <c r="G653" s="2"/>
      <c r="H653" s="2"/>
      <c r="I653" s="2"/>
      <c r="J653" s="2"/>
      <c r="K653" s="2"/>
      <c r="L653" s="2"/>
      <c r="M653" s="2"/>
      <c r="N653" s="2"/>
      <c r="O653" s="2"/>
      <c r="P653" s="2"/>
      <c r="Q653" s="23"/>
      <c r="R653" s="23"/>
      <c r="S653" s="23"/>
      <c r="T653" s="23"/>
      <c r="U653" s="23"/>
      <c r="V653" s="23"/>
      <c r="W653" s="23"/>
      <c r="X653" s="23"/>
      <c r="Y653" s="23"/>
      <c r="Z653" s="23"/>
    </row>
    <row r="654">
      <c r="A654" s="2"/>
      <c r="B654" s="2"/>
      <c r="C654" s="2"/>
      <c r="D654" s="2"/>
      <c r="E654" s="2"/>
      <c r="F654" s="2"/>
      <c r="G654" s="2"/>
      <c r="H654" s="2"/>
      <c r="I654" s="2"/>
      <c r="J654" s="2"/>
      <c r="K654" s="2"/>
      <c r="L654" s="2"/>
      <c r="M654" s="2"/>
      <c r="N654" s="2"/>
      <c r="O654" s="2"/>
      <c r="P654" s="2"/>
      <c r="Q654" s="23"/>
      <c r="R654" s="23"/>
      <c r="S654" s="23"/>
      <c r="T654" s="23"/>
      <c r="U654" s="23"/>
      <c r="V654" s="23"/>
      <c r="W654" s="23"/>
      <c r="X654" s="23"/>
      <c r="Y654" s="23"/>
      <c r="Z654" s="23"/>
    </row>
    <row r="655">
      <c r="A655" s="2"/>
      <c r="B655" s="2"/>
      <c r="C655" s="2"/>
      <c r="D655" s="2"/>
      <c r="E655" s="2"/>
      <c r="F655" s="2"/>
      <c r="G655" s="2"/>
      <c r="H655" s="2"/>
      <c r="I655" s="2"/>
      <c r="J655" s="2"/>
      <c r="K655" s="2"/>
      <c r="L655" s="2"/>
      <c r="M655" s="2"/>
      <c r="N655" s="2"/>
      <c r="O655" s="2"/>
      <c r="P655" s="2"/>
      <c r="Q655" s="23"/>
      <c r="R655" s="23"/>
      <c r="S655" s="23"/>
      <c r="T655" s="23"/>
      <c r="U655" s="23"/>
      <c r="V655" s="23"/>
      <c r="W655" s="23"/>
      <c r="X655" s="23"/>
      <c r="Y655" s="23"/>
      <c r="Z655" s="23"/>
    </row>
    <row r="656">
      <c r="A656" s="2"/>
      <c r="B656" s="2"/>
      <c r="C656" s="2"/>
      <c r="D656" s="2"/>
      <c r="E656" s="2"/>
      <c r="F656" s="2"/>
      <c r="G656" s="2"/>
      <c r="H656" s="2"/>
      <c r="I656" s="2"/>
      <c r="J656" s="2"/>
      <c r="K656" s="2"/>
      <c r="L656" s="2"/>
      <c r="M656" s="2"/>
      <c r="N656" s="2"/>
      <c r="O656" s="2"/>
      <c r="P656" s="2"/>
      <c r="Q656" s="23"/>
      <c r="R656" s="23"/>
      <c r="S656" s="23"/>
      <c r="T656" s="23"/>
      <c r="U656" s="23"/>
      <c r="V656" s="23"/>
      <c r="W656" s="23"/>
      <c r="X656" s="23"/>
      <c r="Y656" s="23"/>
      <c r="Z656" s="23"/>
    </row>
    <row r="657">
      <c r="A657" s="2"/>
      <c r="B657" s="2"/>
      <c r="C657" s="2"/>
      <c r="D657" s="2"/>
      <c r="E657" s="2"/>
      <c r="F657" s="2"/>
      <c r="G657" s="2"/>
      <c r="H657" s="2"/>
      <c r="I657" s="2"/>
      <c r="J657" s="2"/>
      <c r="K657" s="2"/>
      <c r="L657" s="2"/>
      <c r="M657" s="2"/>
      <c r="N657" s="2"/>
      <c r="O657" s="2"/>
      <c r="P657" s="2"/>
      <c r="Q657" s="23"/>
      <c r="R657" s="23"/>
      <c r="S657" s="23"/>
      <c r="T657" s="23"/>
      <c r="U657" s="23"/>
      <c r="V657" s="23"/>
      <c r="W657" s="23"/>
      <c r="X657" s="23"/>
      <c r="Y657" s="23"/>
      <c r="Z657" s="23"/>
    </row>
    <row r="658">
      <c r="A658" s="2"/>
      <c r="B658" s="2"/>
      <c r="C658" s="2"/>
      <c r="D658" s="2"/>
      <c r="E658" s="2"/>
      <c r="F658" s="2"/>
      <c r="G658" s="2"/>
      <c r="H658" s="2"/>
      <c r="I658" s="2"/>
      <c r="J658" s="2"/>
      <c r="K658" s="2"/>
      <c r="L658" s="2"/>
      <c r="M658" s="2"/>
      <c r="N658" s="2"/>
      <c r="O658" s="2"/>
      <c r="P658" s="2"/>
      <c r="Q658" s="23"/>
      <c r="R658" s="23"/>
      <c r="S658" s="23"/>
      <c r="T658" s="23"/>
      <c r="U658" s="23"/>
      <c r="V658" s="23"/>
      <c r="W658" s="23"/>
      <c r="X658" s="23"/>
      <c r="Y658" s="23"/>
      <c r="Z658" s="23"/>
    </row>
    <row r="659">
      <c r="A659" s="2"/>
      <c r="B659" s="2"/>
      <c r="C659" s="2"/>
      <c r="D659" s="2"/>
      <c r="E659" s="2"/>
      <c r="F659" s="2"/>
      <c r="G659" s="2"/>
      <c r="H659" s="2"/>
      <c r="I659" s="2"/>
      <c r="J659" s="2"/>
      <c r="K659" s="2"/>
      <c r="L659" s="2"/>
      <c r="M659" s="2"/>
      <c r="N659" s="2"/>
      <c r="O659" s="2"/>
      <c r="P659" s="2"/>
      <c r="Q659" s="23"/>
      <c r="R659" s="23"/>
      <c r="S659" s="23"/>
      <c r="T659" s="23"/>
      <c r="U659" s="23"/>
      <c r="V659" s="23"/>
      <c r="W659" s="23"/>
      <c r="X659" s="23"/>
      <c r="Y659" s="23"/>
      <c r="Z659" s="23"/>
    </row>
    <row r="660">
      <c r="A660" s="2"/>
      <c r="B660" s="2"/>
      <c r="C660" s="2"/>
      <c r="D660" s="2"/>
      <c r="E660" s="2"/>
      <c r="F660" s="2"/>
      <c r="G660" s="2"/>
      <c r="H660" s="2"/>
      <c r="I660" s="2"/>
      <c r="J660" s="2"/>
      <c r="K660" s="2"/>
      <c r="L660" s="2"/>
      <c r="M660" s="2"/>
      <c r="N660" s="2"/>
      <c r="O660" s="2"/>
      <c r="P660" s="2"/>
      <c r="Q660" s="23"/>
      <c r="R660" s="23"/>
      <c r="S660" s="23"/>
      <c r="T660" s="23"/>
      <c r="U660" s="23"/>
      <c r="V660" s="23"/>
      <c r="W660" s="23"/>
      <c r="X660" s="23"/>
      <c r="Y660" s="23"/>
      <c r="Z660" s="23"/>
    </row>
    <row r="661">
      <c r="A661" s="2"/>
      <c r="B661" s="2"/>
      <c r="C661" s="2"/>
      <c r="D661" s="2"/>
      <c r="E661" s="2"/>
      <c r="F661" s="2"/>
      <c r="G661" s="2"/>
      <c r="H661" s="2"/>
      <c r="I661" s="2"/>
      <c r="J661" s="2"/>
      <c r="K661" s="2"/>
      <c r="L661" s="2"/>
      <c r="M661" s="2"/>
      <c r="N661" s="2"/>
      <c r="O661" s="2"/>
      <c r="P661" s="2"/>
      <c r="Q661" s="23"/>
      <c r="R661" s="23"/>
      <c r="S661" s="23"/>
      <c r="T661" s="23"/>
      <c r="U661" s="23"/>
      <c r="V661" s="23"/>
      <c r="W661" s="23"/>
      <c r="X661" s="23"/>
      <c r="Y661" s="23"/>
      <c r="Z661" s="23"/>
    </row>
    <row r="662">
      <c r="A662" s="2"/>
      <c r="B662" s="2"/>
      <c r="C662" s="2"/>
      <c r="D662" s="2"/>
      <c r="E662" s="2"/>
      <c r="F662" s="2"/>
      <c r="G662" s="2"/>
      <c r="H662" s="2"/>
      <c r="I662" s="2"/>
      <c r="J662" s="2"/>
      <c r="K662" s="2"/>
      <c r="L662" s="2"/>
      <c r="M662" s="2"/>
      <c r="N662" s="2"/>
      <c r="O662" s="2"/>
      <c r="P662" s="2"/>
      <c r="Q662" s="23"/>
      <c r="R662" s="23"/>
      <c r="S662" s="23"/>
      <c r="T662" s="23"/>
      <c r="U662" s="23"/>
      <c r="V662" s="23"/>
      <c r="W662" s="23"/>
      <c r="X662" s="23"/>
      <c r="Y662" s="23"/>
      <c r="Z662" s="23"/>
    </row>
    <row r="663">
      <c r="A663" s="2"/>
      <c r="B663" s="2"/>
      <c r="C663" s="2"/>
      <c r="D663" s="2"/>
      <c r="E663" s="2"/>
      <c r="F663" s="2"/>
      <c r="G663" s="2"/>
      <c r="H663" s="2"/>
      <c r="I663" s="2"/>
      <c r="J663" s="2"/>
      <c r="K663" s="2"/>
      <c r="L663" s="2"/>
      <c r="M663" s="2"/>
      <c r="N663" s="2"/>
      <c r="O663" s="2"/>
      <c r="P663" s="2"/>
      <c r="Q663" s="23"/>
      <c r="R663" s="23"/>
      <c r="S663" s="23"/>
      <c r="T663" s="23"/>
      <c r="U663" s="23"/>
      <c r="V663" s="23"/>
      <c r="W663" s="23"/>
      <c r="X663" s="23"/>
      <c r="Y663" s="23"/>
      <c r="Z663" s="23"/>
    </row>
    <row r="664">
      <c r="A664" s="2"/>
      <c r="B664" s="2"/>
      <c r="C664" s="2"/>
      <c r="D664" s="2"/>
      <c r="E664" s="2"/>
      <c r="F664" s="2"/>
      <c r="G664" s="2"/>
      <c r="H664" s="2"/>
      <c r="I664" s="2"/>
      <c r="J664" s="2"/>
      <c r="K664" s="2"/>
      <c r="L664" s="2"/>
      <c r="M664" s="2"/>
      <c r="N664" s="2"/>
      <c r="O664" s="2"/>
      <c r="P664" s="2"/>
      <c r="Q664" s="23"/>
      <c r="R664" s="23"/>
      <c r="S664" s="23"/>
      <c r="T664" s="23"/>
      <c r="U664" s="23"/>
      <c r="V664" s="23"/>
      <c r="W664" s="23"/>
      <c r="X664" s="23"/>
      <c r="Y664" s="23"/>
      <c r="Z664" s="23"/>
    </row>
    <row r="665">
      <c r="A665" s="2"/>
      <c r="B665" s="2"/>
      <c r="C665" s="2"/>
      <c r="D665" s="2"/>
      <c r="E665" s="2"/>
      <c r="F665" s="2"/>
      <c r="G665" s="2"/>
      <c r="H665" s="2"/>
      <c r="I665" s="2"/>
      <c r="J665" s="2"/>
      <c r="K665" s="2"/>
      <c r="L665" s="2"/>
      <c r="M665" s="2"/>
      <c r="N665" s="2"/>
      <c r="O665" s="2"/>
      <c r="P665" s="2"/>
      <c r="Q665" s="23"/>
      <c r="R665" s="23"/>
      <c r="S665" s="23"/>
      <c r="T665" s="23"/>
      <c r="U665" s="23"/>
      <c r="V665" s="23"/>
      <c r="W665" s="23"/>
      <c r="X665" s="23"/>
      <c r="Y665" s="23"/>
      <c r="Z665" s="23"/>
    </row>
    <row r="666">
      <c r="A666" s="2"/>
      <c r="B666" s="2"/>
      <c r="C666" s="2"/>
      <c r="D666" s="2"/>
      <c r="E666" s="2"/>
      <c r="F666" s="2"/>
      <c r="G666" s="2"/>
      <c r="H666" s="2"/>
      <c r="I666" s="2"/>
      <c r="J666" s="2"/>
      <c r="K666" s="2"/>
      <c r="L666" s="2"/>
      <c r="M666" s="2"/>
      <c r="N666" s="2"/>
      <c r="O666" s="2"/>
      <c r="P666" s="2"/>
      <c r="Q666" s="23"/>
      <c r="R666" s="23"/>
      <c r="S666" s="23"/>
      <c r="T666" s="23"/>
      <c r="U666" s="23"/>
      <c r="V666" s="23"/>
      <c r="W666" s="23"/>
      <c r="X666" s="23"/>
      <c r="Y666" s="23"/>
      <c r="Z666" s="23"/>
    </row>
    <row r="667">
      <c r="A667" s="2"/>
      <c r="B667" s="2"/>
      <c r="C667" s="2"/>
      <c r="D667" s="2"/>
      <c r="E667" s="2"/>
      <c r="F667" s="2"/>
      <c r="G667" s="2"/>
      <c r="H667" s="2"/>
      <c r="I667" s="2"/>
      <c r="J667" s="2"/>
      <c r="K667" s="2"/>
      <c r="L667" s="2"/>
      <c r="M667" s="2"/>
      <c r="N667" s="2"/>
      <c r="O667" s="2"/>
      <c r="P667" s="2"/>
      <c r="Q667" s="23"/>
      <c r="R667" s="23"/>
      <c r="S667" s="23"/>
      <c r="T667" s="23"/>
      <c r="U667" s="23"/>
      <c r="V667" s="23"/>
      <c r="W667" s="23"/>
      <c r="X667" s="23"/>
      <c r="Y667" s="23"/>
      <c r="Z667" s="23"/>
    </row>
    <row r="668">
      <c r="A668" s="2"/>
      <c r="B668" s="2"/>
      <c r="C668" s="2"/>
      <c r="D668" s="2"/>
      <c r="E668" s="2"/>
      <c r="F668" s="2"/>
      <c r="G668" s="2"/>
      <c r="H668" s="2"/>
      <c r="I668" s="2"/>
      <c r="J668" s="2"/>
      <c r="K668" s="2"/>
      <c r="L668" s="2"/>
      <c r="M668" s="2"/>
      <c r="N668" s="2"/>
      <c r="O668" s="2"/>
      <c r="P668" s="2"/>
      <c r="Q668" s="23"/>
      <c r="R668" s="23"/>
      <c r="S668" s="23"/>
      <c r="T668" s="23"/>
      <c r="U668" s="23"/>
      <c r="V668" s="23"/>
      <c r="W668" s="23"/>
      <c r="X668" s="23"/>
      <c r="Y668" s="23"/>
      <c r="Z668" s="23"/>
    </row>
    <row r="669">
      <c r="A669" s="2"/>
      <c r="B669" s="2"/>
      <c r="C669" s="2"/>
      <c r="D669" s="2"/>
      <c r="E669" s="2"/>
      <c r="F669" s="2"/>
      <c r="G669" s="2"/>
      <c r="H669" s="2"/>
      <c r="I669" s="2"/>
      <c r="J669" s="2"/>
      <c r="K669" s="2"/>
      <c r="L669" s="2"/>
      <c r="M669" s="2"/>
      <c r="N669" s="2"/>
      <c r="O669" s="2"/>
      <c r="P669" s="2"/>
      <c r="Q669" s="23"/>
      <c r="R669" s="23"/>
      <c r="S669" s="23"/>
      <c r="T669" s="23"/>
      <c r="U669" s="23"/>
      <c r="V669" s="23"/>
      <c r="W669" s="23"/>
      <c r="X669" s="23"/>
      <c r="Y669" s="23"/>
      <c r="Z669" s="23"/>
    </row>
    <row r="670">
      <c r="A670" s="2"/>
      <c r="B670" s="2"/>
      <c r="C670" s="2"/>
      <c r="D670" s="2"/>
      <c r="E670" s="2"/>
      <c r="F670" s="2"/>
      <c r="G670" s="2"/>
      <c r="H670" s="2"/>
      <c r="I670" s="2"/>
      <c r="J670" s="2"/>
      <c r="K670" s="2"/>
      <c r="L670" s="2"/>
      <c r="M670" s="2"/>
      <c r="N670" s="2"/>
      <c r="O670" s="2"/>
      <c r="P670" s="2"/>
      <c r="Q670" s="23"/>
      <c r="R670" s="23"/>
      <c r="S670" s="23"/>
      <c r="T670" s="23"/>
      <c r="U670" s="23"/>
      <c r="V670" s="23"/>
      <c r="W670" s="23"/>
      <c r="X670" s="23"/>
      <c r="Y670" s="23"/>
      <c r="Z670" s="23"/>
    </row>
    <row r="671">
      <c r="A671" s="2"/>
      <c r="B671" s="2"/>
      <c r="C671" s="2"/>
      <c r="D671" s="2"/>
      <c r="E671" s="2"/>
      <c r="F671" s="2"/>
      <c r="G671" s="2"/>
      <c r="H671" s="2"/>
      <c r="I671" s="2"/>
      <c r="J671" s="2"/>
      <c r="K671" s="2"/>
      <c r="L671" s="2"/>
      <c r="M671" s="2"/>
      <c r="N671" s="2"/>
      <c r="O671" s="2"/>
      <c r="P671" s="2"/>
      <c r="Q671" s="23"/>
      <c r="R671" s="23"/>
      <c r="S671" s="23"/>
      <c r="T671" s="23"/>
      <c r="U671" s="23"/>
      <c r="V671" s="23"/>
      <c r="W671" s="23"/>
      <c r="X671" s="23"/>
      <c r="Y671" s="23"/>
      <c r="Z671" s="23"/>
    </row>
    <row r="672">
      <c r="A672" s="2"/>
      <c r="B672" s="2"/>
      <c r="C672" s="2"/>
      <c r="D672" s="2"/>
      <c r="E672" s="2"/>
      <c r="F672" s="2"/>
      <c r="G672" s="2"/>
      <c r="H672" s="2"/>
      <c r="I672" s="2"/>
      <c r="J672" s="2"/>
      <c r="K672" s="2"/>
      <c r="L672" s="2"/>
      <c r="M672" s="2"/>
      <c r="N672" s="2"/>
      <c r="O672" s="2"/>
      <c r="P672" s="2"/>
      <c r="Q672" s="23"/>
      <c r="R672" s="23"/>
      <c r="S672" s="23"/>
      <c r="T672" s="23"/>
      <c r="U672" s="23"/>
      <c r="V672" s="23"/>
      <c r="W672" s="23"/>
      <c r="X672" s="23"/>
      <c r="Y672" s="23"/>
      <c r="Z672" s="23"/>
    </row>
    <row r="673">
      <c r="A673" s="2"/>
      <c r="B673" s="2"/>
      <c r="C673" s="2"/>
      <c r="D673" s="2"/>
      <c r="E673" s="2"/>
      <c r="F673" s="2"/>
      <c r="G673" s="2"/>
      <c r="H673" s="2"/>
      <c r="I673" s="2"/>
      <c r="J673" s="2"/>
      <c r="K673" s="2"/>
      <c r="L673" s="2"/>
      <c r="M673" s="2"/>
      <c r="N673" s="2"/>
      <c r="O673" s="2"/>
      <c r="P673" s="2"/>
      <c r="Q673" s="23"/>
      <c r="R673" s="23"/>
      <c r="S673" s="23"/>
      <c r="T673" s="23"/>
      <c r="U673" s="23"/>
      <c r="V673" s="23"/>
      <c r="W673" s="23"/>
      <c r="X673" s="23"/>
      <c r="Y673" s="23"/>
      <c r="Z673" s="23"/>
    </row>
    <row r="674">
      <c r="A674" s="2"/>
      <c r="B674" s="2"/>
      <c r="C674" s="2"/>
      <c r="D674" s="2"/>
      <c r="E674" s="2"/>
      <c r="F674" s="2"/>
      <c r="G674" s="2"/>
      <c r="H674" s="2"/>
      <c r="I674" s="2"/>
      <c r="J674" s="2"/>
      <c r="K674" s="2"/>
      <c r="L674" s="2"/>
      <c r="M674" s="2"/>
      <c r="N674" s="2"/>
      <c r="O674" s="2"/>
      <c r="P674" s="2"/>
      <c r="Q674" s="23"/>
      <c r="R674" s="23"/>
      <c r="S674" s="23"/>
      <c r="T674" s="23"/>
      <c r="U674" s="23"/>
      <c r="V674" s="23"/>
      <c r="W674" s="23"/>
      <c r="X674" s="23"/>
      <c r="Y674" s="23"/>
      <c r="Z674" s="23"/>
    </row>
    <row r="675">
      <c r="A675" s="2"/>
      <c r="B675" s="2"/>
      <c r="C675" s="2"/>
      <c r="D675" s="2"/>
      <c r="E675" s="2"/>
      <c r="F675" s="2"/>
      <c r="G675" s="2"/>
      <c r="H675" s="2"/>
      <c r="I675" s="2"/>
      <c r="J675" s="2"/>
      <c r="K675" s="2"/>
      <c r="L675" s="2"/>
      <c r="M675" s="2"/>
      <c r="N675" s="2"/>
      <c r="O675" s="2"/>
      <c r="P675" s="2"/>
      <c r="Q675" s="23"/>
      <c r="R675" s="23"/>
      <c r="S675" s="23"/>
      <c r="T675" s="23"/>
      <c r="U675" s="23"/>
      <c r="V675" s="23"/>
      <c r="W675" s="23"/>
      <c r="X675" s="23"/>
      <c r="Y675" s="23"/>
      <c r="Z675" s="23"/>
    </row>
    <row r="676">
      <c r="A676" s="2"/>
      <c r="B676" s="2"/>
      <c r="C676" s="2"/>
      <c r="D676" s="2"/>
      <c r="E676" s="2"/>
      <c r="F676" s="2"/>
      <c r="G676" s="2"/>
      <c r="H676" s="2"/>
      <c r="I676" s="2"/>
      <c r="J676" s="2"/>
      <c r="K676" s="2"/>
      <c r="L676" s="2"/>
      <c r="M676" s="2"/>
      <c r="N676" s="2"/>
      <c r="O676" s="2"/>
      <c r="P676" s="2"/>
      <c r="Q676" s="23"/>
      <c r="R676" s="23"/>
      <c r="S676" s="23"/>
      <c r="T676" s="23"/>
      <c r="U676" s="23"/>
      <c r="V676" s="23"/>
      <c r="W676" s="23"/>
      <c r="X676" s="23"/>
      <c r="Y676" s="23"/>
      <c r="Z676" s="23"/>
    </row>
    <row r="677">
      <c r="A677" s="2"/>
      <c r="B677" s="2"/>
      <c r="C677" s="2"/>
      <c r="D677" s="2"/>
      <c r="E677" s="2"/>
      <c r="F677" s="2"/>
      <c r="G677" s="2"/>
      <c r="H677" s="2"/>
      <c r="I677" s="2"/>
      <c r="J677" s="2"/>
      <c r="K677" s="2"/>
      <c r="L677" s="2"/>
      <c r="M677" s="2"/>
      <c r="N677" s="2"/>
      <c r="O677" s="2"/>
      <c r="P677" s="2"/>
      <c r="Q677" s="23"/>
      <c r="R677" s="23"/>
      <c r="S677" s="23"/>
      <c r="T677" s="23"/>
      <c r="U677" s="23"/>
      <c r="V677" s="23"/>
      <c r="W677" s="23"/>
      <c r="X677" s="23"/>
      <c r="Y677" s="23"/>
      <c r="Z677" s="23"/>
    </row>
    <row r="678">
      <c r="A678" s="2"/>
      <c r="B678" s="2"/>
      <c r="C678" s="2"/>
      <c r="D678" s="2"/>
      <c r="E678" s="2"/>
      <c r="F678" s="2"/>
      <c r="G678" s="2"/>
      <c r="H678" s="2"/>
      <c r="I678" s="2"/>
      <c r="J678" s="2"/>
      <c r="K678" s="2"/>
      <c r="L678" s="2"/>
      <c r="M678" s="2"/>
      <c r="N678" s="2"/>
      <c r="O678" s="2"/>
      <c r="P678" s="2"/>
      <c r="Q678" s="23"/>
      <c r="R678" s="23"/>
      <c r="S678" s="23"/>
      <c r="T678" s="23"/>
      <c r="U678" s="23"/>
      <c r="V678" s="23"/>
      <c r="W678" s="23"/>
      <c r="X678" s="23"/>
      <c r="Y678" s="23"/>
      <c r="Z678" s="23"/>
    </row>
    <row r="679">
      <c r="A679" s="2"/>
      <c r="B679" s="2"/>
      <c r="C679" s="2"/>
      <c r="D679" s="2"/>
      <c r="E679" s="2"/>
      <c r="F679" s="2"/>
      <c r="G679" s="2"/>
      <c r="H679" s="2"/>
      <c r="I679" s="2"/>
      <c r="J679" s="2"/>
      <c r="K679" s="2"/>
      <c r="L679" s="2"/>
      <c r="M679" s="2"/>
      <c r="N679" s="2"/>
      <c r="O679" s="2"/>
      <c r="P679" s="2"/>
      <c r="Q679" s="23"/>
      <c r="R679" s="23"/>
      <c r="S679" s="23"/>
      <c r="T679" s="23"/>
      <c r="U679" s="23"/>
      <c r="V679" s="23"/>
      <c r="W679" s="23"/>
      <c r="X679" s="23"/>
      <c r="Y679" s="23"/>
      <c r="Z679" s="23"/>
    </row>
    <row r="680">
      <c r="A680" s="2"/>
      <c r="B680" s="2"/>
      <c r="C680" s="2"/>
      <c r="D680" s="2"/>
      <c r="E680" s="2"/>
      <c r="F680" s="2"/>
      <c r="G680" s="2"/>
      <c r="H680" s="2"/>
      <c r="I680" s="2"/>
      <c r="J680" s="2"/>
      <c r="K680" s="2"/>
      <c r="L680" s="2"/>
      <c r="M680" s="2"/>
      <c r="N680" s="2"/>
      <c r="O680" s="2"/>
      <c r="P680" s="2"/>
      <c r="Q680" s="23"/>
      <c r="R680" s="23"/>
      <c r="S680" s="23"/>
      <c r="T680" s="23"/>
      <c r="U680" s="23"/>
      <c r="V680" s="23"/>
      <c r="W680" s="23"/>
      <c r="X680" s="23"/>
      <c r="Y680" s="23"/>
      <c r="Z680" s="23"/>
    </row>
    <row r="681">
      <c r="A681" s="2"/>
      <c r="B681" s="2"/>
      <c r="C681" s="2"/>
      <c r="D681" s="2"/>
      <c r="E681" s="2"/>
      <c r="F681" s="2"/>
      <c r="G681" s="2"/>
      <c r="H681" s="2"/>
      <c r="I681" s="2"/>
      <c r="J681" s="2"/>
      <c r="K681" s="2"/>
      <c r="L681" s="2"/>
      <c r="M681" s="2"/>
      <c r="N681" s="2"/>
      <c r="O681" s="2"/>
      <c r="P681" s="2"/>
      <c r="Q681" s="23"/>
      <c r="R681" s="23"/>
      <c r="S681" s="23"/>
      <c r="T681" s="23"/>
      <c r="U681" s="23"/>
      <c r="V681" s="23"/>
      <c r="W681" s="23"/>
      <c r="X681" s="23"/>
      <c r="Y681" s="23"/>
      <c r="Z681" s="23"/>
    </row>
    <row r="682">
      <c r="A682" s="2"/>
      <c r="B682" s="2"/>
      <c r="C682" s="2"/>
      <c r="D682" s="2"/>
      <c r="E682" s="2"/>
      <c r="F682" s="2"/>
      <c r="G682" s="2"/>
      <c r="H682" s="2"/>
      <c r="I682" s="2"/>
      <c r="J682" s="2"/>
      <c r="K682" s="2"/>
      <c r="L682" s="2"/>
      <c r="M682" s="2"/>
      <c r="N682" s="2"/>
      <c r="O682" s="2"/>
      <c r="P682" s="2"/>
      <c r="Q682" s="23"/>
      <c r="R682" s="23"/>
      <c r="S682" s="23"/>
      <c r="T682" s="23"/>
      <c r="U682" s="23"/>
      <c r="V682" s="23"/>
      <c r="W682" s="23"/>
      <c r="X682" s="23"/>
      <c r="Y682" s="23"/>
      <c r="Z682" s="23"/>
    </row>
    <row r="683">
      <c r="A683" s="2"/>
      <c r="B683" s="2"/>
      <c r="C683" s="2"/>
      <c r="D683" s="2"/>
      <c r="E683" s="2"/>
      <c r="F683" s="2"/>
      <c r="G683" s="2"/>
      <c r="H683" s="2"/>
      <c r="I683" s="2"/>
      <c r="J683" s="2"/>
      <c r="K683" s="2"/>
      <c r="L683" s="2"/>
      <c r="M683" s="2"/>
      <c r="N683" s="2"/>
      <c r="O683" s="2"/>
      <c r="P683" s="2"/>
      <c r="Q683" s="23"/>
      <c r="R683" s="23"/>
      <c r="S683" s="23"/>
      <c r="T683" s="23"/>
      <c r="U683" s="23"/>
      <c r="V683" s="23"/>
      <c r="W683" s="23"/>
      <c r="X683" s="23"/>
      <c r="Y683" s="23"/>
      <c r="Z683" s="23"/>
    </row>
    <row r="684">
      <c r="A684" s="2"/>
      <c r="B684" s="2"/>
      <c r="C684" s="2"/>
      <c r="D684" s="2"/>
      <c r="E684" s="2"/>
      <c r="F684" s="2"/>
      <c r="G684" s="2"/>
      <c r="H684" s="2"/>
      <c r="I684" s="2"/>
      <c r="J684" s="2"/>
      <c r="K684" s="2"/>
      <c r="L684" s="2"/>
      <c r="M684" s="2"/>
      <c r="N684" s="2"/>
      <c r="O684" s="2"/>
      <c r="P684" s="2"/>
      <c r="Q684" s="23"/>
      <c r="R684" s="23"/>
      <c r="S684" s="23"/>
      <c r="T684" s="23"/>
      <c r="U684" s="23"/>
      <c r="V684" s="23"/>
      <c r="W684" s="23"/>
      <c r="X684" s="23"/>
      <c r="Y684" s="23"/>
      <c r="Z684" s="23"/>
    </row>
    <row r="685">
      <c r="A685" s="2"/>
      <c r="B685" s="2"/>
      <c r="C685" s="2"/>
      <c r="D685" s="2"/>
      <c r="E685" s="2"/>
      <c r="F685" s="2"/>
      <c r="G685" s="2"/>
      <c r="H685" s="2"/>
      <c r="I685" s="2"/>
      <c r="J685" s="2"/>
      <c r="K685" s="2"/>
      <c r="L685" s="2"/>
      <c r="M685" s="2"/>
      <c r="N685" s="2"/>
      <c r="O685" s="2"/>
      <c r="P685" s="2"/>
      <c r="Q685" s="23"/>
      <c r="R685" s="23"/>
      <c r="S685" s="23"/>
      <c r="T685" s="23"/>
      <c r="U685" s="23"/>
      <c r="V685" s="23"/>
      <c r="W685" s="23"/>
      <c r="X685" s="23"/>
      <c r="Y685" s="23"/>
      <c r="Z685" s="23"/>
    </row>
    <row r="686">
      <c r="A686" s="2"/>
      <c r="B686" s="2"/>
      <c r="C686" s="2"/>
      <c r="D686" s="2"/>
      <c r="E686" s="2"/>
      <c r="F686" s="2"/>
      <c r="G686" s="2"/>
      <c r="H686" s="2"/>
      <c r="I686" s="2"/>
      <c r="J686" s="2"/>
      <c r="K686" s="2"/>
      <c r="L686" s="2"/>
      <c r="M686" s="2"/>
      <c r="N686" s="2"/>
      <c r="O686" s="2"/>
      <c r="P686" s="2"/>
      <c r="Q686" s="23"/>
      <c r="R686" s="23"/>
      <c r="S686" s="23"/>
      <c r="T686" s="23"/>
      <c r="U686" s="23"/>
      <c r="V686" s="23"/>
      <c r="W686" s="23"/>
      <c r="X686" s="23"/>
      <c r="Y686" s="23"/>
      <c r="Z686" s="23"/>
    </row>
    <row r="687">
      <c r="A687" s="2"/>
      <c r="B687" s="2"/>
      <c r="C687" s="2"/>
      <c r="D687" s="2"/>
      <c r="E687" s="2"/>
      <c r="F687" s="2"/>
      <c r="G687" s="2"/>
      <c r="H687" s="2"/>
      <c r="I687" s="2"/>
      <c r="J687" s="2"/>
      <c r="K687" s="2"/>
      <c r="L687" s="2"/>
      <c r="M687" s="2"/>
      <c r="N687" s="2"/>
      <c r="O687" s="2"/>
      <c r="P687" s="2"/>
      <c r="Q687" s="23"/>
      <c r="R687" s="23"/>
      <c r="S687" s="23"/>
      <c r="T687" s="23"/>
      <c r="U687" s="23"/>
      <c r="V687" s="23"/>
      <c r="W687" s="23"/>
      <c r="X687" s="23"/>
      <c r="Y687" s="23"/>
      <c r="Z687" s="23"/>
    </row>
    <row r="688">
      <c r="A688" s="2"/>
      <c r="B688" s="2"/>
      <c r="C688" s="2"/>
      <c r="D688" s="2"/>
      <c r="E688" s="2"/>
      <c r="F688" s="2"/>
      <c r="G688" s="2"/>
      <c r="H688" s="2"/>
      <c r="I688" s="2"/>
      <c r="J688" s="2"/>
      <c r="K688" s="2"/>
      <c r="L688" s="2"/>
      <c r="M688" s="2"/>
      <c r="N688" s="2"/>
      <c r="O688" s="2"/>
      <c r="P688" s="2"/>
      <c r="Q688" s="23"/>
      <c r="R688" s="23"/>
      <c r="S688" s="23"/>
      <c r="T688" s="23"/>
      <c r="U688" s="23"/>
      <c r="V688" s="23"/>
      <c r="W688" s="23"/>
      <c r="X688" s="23"/>
      <c r="Y688" s="23"/>
      <c r="Z688" s="23"/>
    </row>
    <row r="689">
      <c r="A689" s="2"/>
      <c r="B689" s="2"/>
      <c r="C689" s="2"/>
      <c r="D689" s="2"/>
      <c r="E689" s="2"/>
      <c r="F689" s="2"/>
      <c r="G689" s="2"/>
      <c r="H689" s="2"/>
      <c r="I689" s="2"/>
      <c r="J689" s="2"/>
      <c r="K689" s="2"/>
      <c r="L689" s="2"/>
      <c r="M689" s="2"/>
      <c r="N689" s="2"/>
      <c r="O689" s="2"/>
      <c r="P689" s="2"/>
      <c r="Q689" s="23"/>
      <c r="R689" s="23"/>
      <c r="S689" s="23"/>
      <c r="T689" s="23"/>
      <c r="U689" s="23"/>
      <c r="V689" s="23"/>
      <c r="W689" s="23"/>
      <c r="X689" s="23"/>
      <c r="Y689" s="23"/>
      <c r="Z689" s="23"/>
    </row>
    <row r="690">
      <c r="A690" s="2"/>
      <c r="B690" s="2"/>
      <c r="C690" s="2"/>
      <c r="D690" s="2"/>
      <c r="E690" s="2"/>
      <c r="F690" s="2"/>
      <c r="G690" s="2"/>
      <c r="H690" s="2"/>
      <c r="I690" s="2"/>
      <c r="J690" s="2"/>
      <c r="K690" s="2"/>
      <c r="L690" s="2"/>
      <c r="M690" s="2"/>
      <c r="N690" s="2"/>
      <c r="O690" s="2"/>
      <c r="P690" s="2"/>
      <c r="Q690" s="23"/>
      <c r="R690" s="23"/>
      <c r="S690" s="23"/>
      <c r="T690" s="23"/>
      <c r="U690" s="23"/>
      <c r="V690" s="23"/>
      <c r="W690" s="23"/>
      <c r="X690" s="23"/>
      <c r="Y690" s="23"/>
      <c r="Z690" s="23"/>
    </row>
    <row r="691">
      <c r="A691" s="2"/>
      <c r="B691" s="2"/>
      <c r="C691" s="2"/>
      <c r="D691" s="2"/>
      <c r="E691" s="2"/>
      <c r="F691" s="2"/>
      <c r="G691" s="2"/>
      <c r="H691" s="2"/>
      <c r="I691" s="2"/>
      <c r="J691" s="2"/>
      <c r="K691" s="2"/>
      <c r="L691" s="2"/>
      <c r="M691" s="2"/>
      <c r="N691" s="2"/>
      <c r="O691" s="2"/>
      <c r="P691" s="2"/>
      <c r="Q691" s="23"/>
      <c r="R691" s="23"/>
      <c r="S691" s="23"/>
      <c r="T691" s="23"/>
      <c r="U691" s="23"/>
      <c r="V691" s="23"/>
      <c r="W691" s="23"/>
      <c r="X691" s="23"/>
      <c r="Y691" s="23"/>
      <c r="Z691" s="23"/>
    </row>
    <row r="692">
      <c r="A692" s="2"/>
      <c r="B692" s="2"/>
      <c r="C692" s="2"/>
      <c r="D692" s="2"/>
      <c r="E692" s="2"/>
      <c r="F692" s="2"/>
      <c r="G692" s="2"/>
      <c r="H692" s="2"/>
      <c r="I692" s="2"/>
      <c r="J692" s="2"/>
      <c r="K692" s="2"/>
      <c r="L692" s="2"/>
      <c r="M692" s="2"/>
      <c r="N692" s="2"/>
      <c r="O692" s="2"/>
      <c r="P692" s="2"/>
      <c r="Q692" s="23"/>
      <c r="R692" s="23"/>
      <c r="S692" s="23"/>
      <c r="T692" s="23"/>
      <c r="U692" s="23"/>
      <c r="V692" s="23"/>
      <c r="W692" s="23"/>
      <c r="X692" s="23"/>
      <c r="Y692" s="23"/>
      <c r="Z692" s="23"/>
    </row>
    <row r="693">
      <c r="A693" s="2"/>
      <c r="B693" s="2"/>
      <c r="C693" s="2"/>
      <c r="D693" s="2"/>
      <c r="E693" s="2"/>
      <c r="F693" s="2"/>
      <c r="G693" s="2"/>
      <c r="H693" s="2"/>
      <c r="I693" s="2"/>
      <c r="J693" s="2"/>
      <c r="K693" s="2"/>
      <c r="L693" s="2"/>
      <c r="M693" s="2"/>
      <c r="N693" s="2"/>
      <c r="O693" s="2"/>
      <c r="P693" s="2"/>
      <c r="Q693" s="23"/>
      <c r="R693" s="23"/>
      <c r="S693" s="23"/>
      <c r="T693" s="23"/>
      <c r="U693" s="23"/>
      <c r="V693" s="23"/>
      <c r="W693" s="23"/>
      <c r="X693" s="23"/>
      <c r="Y693" s="23"/>
      <c r="Z693" s="23"/>
    </row>
    <row r="694">
      <c r="A694" s="2"/>
      <c r="B694" s="2"/>
      <c r="C694" s="2"/>
      <c r="D694" s="2"/>
      <c r="E694" s="2"/>
      <c r="F694" s="2"/>
      <c r="G694" s="2"/>
      <c r="H694" s="2"/>
      <c r="I694" s="2"/>
      <c r="J694" s="2"/>
      <c r="K694" s="2"/>
      <c r="L694" s="2"/>
      <c r="M694" s="2"/>
      <c r="N694" s="2"/>
      <c r="O694" s="2"/>
      <c r="P694" s="2"/>
      <c r="Q694" s="23"/>
      <c r="R694" s="23"/>
      <c r="S694" s="23"/>
      <c r="T694" s="23"/>
      <c r="U694" s="23"/>
      <c r="V694" s="23"/>
      <c r="W694" s="23"/>
      <c r="X694" s="23"/>
      <c r="Y694" s="23"/>
      <c r="Z694" s="23"/>
    </row>
    <row r="695">
      <c r="A695" s="2"/>
      <c r="B695" s="2"/>
      <c r="C695" s="2"/>
      <c r="D695" s="2"/>
      <c r="E695" s="2"/>
      <c r="F695" s="2"/>
      <c r="G695" s="2"/>
      <c r="H695" s="2"/>
      <c r="I695" s="2"/>
      <c r="J695" s="2"/>
      <c r="K695" s="2"/>
      <c r="L695" s="2"/>
      <c r="M695" s="2"/>
      <c r="N695" s="2"/>
      <c r="O695" s="2"/>
      <c r="P695" s="2"/>
      <c r="Q695" s="23"/>
      <c r="R695" s="23"/>
      <c r="S695" s="23"/>
      <c r="T695" s="23"/>
      <c r="U695" s="23"/>
      <c r="V695" s="23"/>
      <c r="W695" s="23"/>
      <c r="X695" s="23"/>
      <c r="Y695" s="23"/>
      <c r="Z695" s="23"/>
    </row>
    <row r="696">
      <c r="A696" s="2"/>
      <c r="B696" s="2"/>
      <c r="C696" s="2"/>
      <c r="D696" s="2"/>
      <c r="E696" s="2"/>
      <c r="F696" s="2"/>
      <c r="G696" s="2"/>
      <c r="H696" s="2"/>
      <c r="I696" s="2"/>
      <c r="J696" s="2"/>
      <c r="K696" s="2"/>
      <c r="L696" s="2"/>
      <c r="M696" s="2"/>
      <c r="N696" s="2"/>
      <c r="O696" s="2"/>
      <c r="P696" s="2"/>
      <c r="Q696" s="23"/>
      <c r="R696" s="23"/>
      <c r="S696" s="23"/>
      <c r="T696" s="23"/>
      <c r="U696" s="23"/>
      <c r="V696" s="23"/>
      <c r="W696" s="23"/>
      <c r="X696" s="23"/>
      <c r="Y696" s="23"/>
      <c r="Z696" s="23"/>
    </row>
    <row r="697">
      <c r="A697" s="2"/>
      <c r="B697" s="2"/>
      <c r="C697" s="2"/>
      <c r="D697" s="2"/>
      <c r="E697" s="2"/>
      <c r="F697" s="2"/>
      <c r="G697" s="2"/>
      <c r="H697" s="2"/>
      <c r="I697" s="2"/>
      <c r="J697" s="2"/>
      <c r="K697" s="2"/>
      <c r="L697" s="2"/>
      <c r="M697" s="2"/>
      <c r="N697" s="2"/>
      <c r="O697" s="2"/>
      <c r="P697" s="2"/>
      <c r="Q697" s="23"/>
      <c r="R697" s="23"/>
      <c r="S697" s="23"/>
      <c r="T697" s="23"/>
      <c r="U697" s="23"/>
      <c r="V697" s="23"/>
      <c r="W697" s="23"/>
      <c r="X697" s="23"/>
      <c r="Y697" s="23"/>
      <c r="Z697" s="23"/>
    </row>
    <row r="698">
      <c r="A698" s="2"/>
      <c r="B698" s="2"/>
      <c r="C698" s="2"/>
      <c r="D698" s="2"/>
      <c r="E698" s="2"/>
      <c r="F698" s="2"/>
      <c r="G698" s="2"/>
      <c r="H698" s="2"/>
      <c r="I698" s="2"/>
      <c r="J698" s="2"/>
      <c r="K698" s="2"/>
      <c r="L698" s="2"/>
      <c r="M698" s="2"/>
      <c r="N698" s="2"/>
      <c r="O698" s="2"/>
      <c r="P698" s="2"/>
      <c r="Q698" s="23"/>
      <c r="R698" s="23"/>
      <c r="S698" s="23"/>
      <c r="T698" s="23"/>
      <c r="U698" s="23"/>
      <c r="V698" s="23"/>
      <c r="W698" s="23"/>
      <c r="X698" s="23"/>
      <c r="Y698" s="23"/>
      <c r="Z698" s="23"/>
    </row>
    <row r="699">
      <c r="A699" s="2"/>
      <c r="B699" s="2"/>
      <c r="C699" s="2"/>
      <c r="D699" s="2"/>
      <c r="E699" s="2"/>
      <c r="F699" s="2"/>
      <c r="G699" s="2"/>
      <c r="H699" s="2"/>
      <c r="I699" s="2"/>
      <c r="J699" s="2"/>
      <c r="K699" s="2"/>
      <c r="L699" s="2"/>
      <c r="M699" s="2"/>
      <c r="N699" s="2"/>
      <c r="O699" s="2"/>
      <c r="P699" s="2"/>
      <c r="Q699" s="23"/>
      <c r="R699" s="23"/>
      <c r="S699" s="23"/>
      <c r="T699" s="23"/>
      <c r="U699" s="23"/>
      <c r="V699" s="23"/>
      <c r="W699" s="23"/>
      <c r="X699" s="23"/>
      <c r="Y699" s="23"/>
      <c r="Z699" s="23"/>
    </row>
    <row r="700">
      <c r="A700" s="2"/>
      <c r="B700" s="2"/>
      <c r="C700" s="2"/>
      <c r="D700" s="2"/>
      <c r="E700" s="2"/>
      <c r="F700" s="2"/>
      <c r="G700" s="2"/>
      <c r="H700" s="2"/>
      <c r="I700" s="2"/>
      <c r="J700" s="2"/>
      <c r="K700" s="2"/>
      <c r="L700" s="2"/>
      <c r="M700" s="2"/>
      <c r="N700" s="2"/>
      <c r="O700" s="2"/>
      <c r="P700" s="2"/>
      <c r="Q700" s="23"/>
      <c r="R700" s="23"/>
      <c r="S700" s="23"/>
      <c r="T700" s="23"/>
      <c r="U700" s="23"/>
      <c r="V700" s="23"/>
      <c r="W700" s="23"/>
      <c r="X700" s="23"/>
      <c r="Y700" s="23"/>
      <c r="Z700" s="23"/>
    </row>
    <row r="701">
      <c r="A701" s="2"/>
      <c r="B701" s="2"/>
      <c r="C701" s="2"/>
      <c r="D701" s="2"/>
      <c r="E701" s="2"/>
      <c r="F701" s="2"/>
      <c r="G701" s="2"/>
      <c r="H701" s="2"/>
      <c r="I701" s="2"/>
      <c r="J701" s="2"/>
      <c r="K701" s="2"/>
      <c r="L701" s="2"/>
      <c r="M701" s="2"/>
      <c r="N701" s="2"/>
      <c r="O701" s="2"/>
      <c r="P701" s="2"/>
      <c r="Q701" s="23"/>
      <c r="R701" s="23"/>
      <c r="S701" s="23"/>
      <c r="T701" s="23"/>
      <c r="U701" s="23"/>
      <c r="V701" s="23"/>
      <c r="W701" s="23"/>
      <c r="X701" s="23"/>
      <c r="Y701" s="23"/>
      <c r="Z701" s="23"/>
    </row>
    <row r="702">
      <c r="A702" s="2"/>
      <c r="B702" s="2"/>
      <c r="C702" s="2"/>
      <c r="D702" s="2"/>
      <c r="E702" s="2"/>
      <c r="F702" s="2"/>
      <c r="G702" s="2"/>
      <c r="H702" s="2"/>
      <c r="I702" s="2"/>
      <c r="J702" s="2"/>
      <c r="K702" s="2"/>
      <c r="L702" s="2"/>
      <c r="M702" s="2"/>
      <c r="N702" s="2"/>
      <c r="O702" s="2"/>
      <c r="P702" s="2"/>
      <c r="Q702" s="23"/>
      <c r="R702" s="23"/>
      <c r="S702" s="23"/>
      <c r="T702" s="23"/>
      <c r="U702" s="23"/>
      <c r="V702" s="23"/>
      <c r="W702" s="23"/>
      <c r="X702" s="23"/>
      <c r="Y702" s="23"/>
      <c r="Z702" s="23"/>
    </row>
    <row r="703">
      <c r="A703" s="2"/>
      <c r="B703" s="2"/>
      <c r="C703" s="2"/>
      <c r="D703" s="2"/>
      <c r="E703" s="2"/>
      <c r="F703" s="2"/>
      <c r="G703" s="2"/>
      <c r="H703" s="2"/>
      <c r="I703" s="2"/>
      <c r="J703" s="2"/>
      <c r="K703" s="2"/>
      <c r="L703" s="2"/>
      <c r="M703" s="2"/>
      <c r="N703" s="2"/>
      <c r="O703" s="2"/>
      <c r="P703" s="2"/>
      <c r="Q703" s="23"/>
      <c r="R703" s="23"/>
      <c r="S703" s="23"/>
      <c r="T703" s="23"/>
      <c r="U703" s="23"/>
      <c r="V703" s="23"/>
      <c r="W703" s="23"/>
      <c r="X703" s="23"/>
      <c r="Y703" s="23"/>
      <c r="Z703" s="23"/>
    </row>
    <row r="704">
      <c r="A704" s="2"/>
      <c r="B704" s="2"/>
      <c r="C704" s="2"/>
      <c r="D704" s="2"/>
      <c r="E704" s="2"/>
      <c r="F704" s="2"/>
      <c r="G704" s="2"/>
      <c r="H704" s="2"/>
      <c r="I704" s="2"/>
      <c r="J704" s="2"/>
      <c r="K704" s="2"/>
      <c r="L704" s="2"/>
      <c r="M704" s="2"/>
      <c r="N704" s="2"/>
      <c r="O704" s="2"/>
      <c r="P704" s="2"/>
      <c r="Q704" s="23"/>
      <c r="R704" s="23"/>
      <c r="S704" s="23"/>
      <c r="T704" s="23"/>
      <c r="U704" s="23"/>
      <c r="V704" s="23"/>
      <c r="W704" s="23"/>
      <c r="X704" s="23"/>
      <c r="Y704" s="23"/>
      <c r="Z704" s="23"/>
    </row>
    <row r="705">
      <c r="A705" s="2"/>
      <c r="B705" s="2"/>
      <c r="C705" s="2"/>
      <c r="D705" s="2"/>
      <c r="E705" s="2"/>
      <c r="F705" s="2"/>
      <c r="G705" s="2"/>
      <c r="H705" s="2"/>
      <c r="I705" s="2"/>
      <c r="J705" s="2"/>
      <c r="K705" s="2"/>
      <c r="L705" s="2"/>
      <c r="M705" s="2"/>
      <c r="N705" s="2"/>
      <c r="O705" s="2"/>
      <c r="P705" s="2"/>
      <c r="Q705" s="23"/>
      <c r="R705" s="23"/>
      <c r="S705" s="23"/>
      <c r="T705" s="23"/>
      <c r="U705" s="23"/>
      <c r="V705" s="23"/>
      <c r="W705" s="23"/>
      <c r="X705" s="23"/>
      <c r="Y705" s="23"/>
      <c r="Z705" s="23"/>
    </row>
    <row r="706">
      <c r="A706" s="2"/>
      <c r="B706" s="2"/>
      <c r="C706" s="2"/>
      <c r="D706" s="2"/>
      <c r="E706" s="2"/>
      <c r="F706" s="2"/>
      <c r="G706" s="2"/>
      <c r="H706" s="2"/>
      <c r="I706" s="2"/>
      <c r="J706" s="2"/>
      <c r="K706" s="2"/>
      <c r="L706" s="2"/>
      <c r="M706" s="2"/>
      <c r="N706" s="2"/>
      <c r="O706" s="2"/>
      <c r="P706" s="2"/>
      <c r="Q706" s="23"/>
      <c r="R706" s="23"/>
      <c r="S706" s="23"/>
      <c r="T706" s="23"/>
      <c r="U706" s="23"/>
      <c r="V706" s="23"/>
      <c r="W706" s="23"/>
      <c r="X706" s="23"/>
      <c r="Y706" s="23"/>
      <c r="Z706" s="23"/>
    </row>
    <row r="707">
      <c r="A707" s="2"/>
      <c r="B707" s="2"/>
      <c r="C707" s="2"/>
      <c r="D707" s="2"/>
      <c r="E707" s="2"/>
      <c r="F707" s="2"/>
      <c r="G707" s="2"/>
      <c r="H707" s="2"/>
      <c r="I707" s="2"/>
      <c r="J707" s="2"/>
      <c r="K707" s="2"/>
      <c r="L707" s="2"/>
      <c r="M707" s="2"/>
      <c r="N707" s="2"/>
      <c r="O707" s="2"/>
      <c r="P707" s="2"/>
      <c r="Q707" s="23"/>
      <c r="R707" s="23"/>
      <c r="S707" s="23"/>
      <c r="T707" s="23"/>
      <c r="U707" s="23"/>
      <c r="V707" s="23"/>
      <c r="W707" s="23"/>
      <c r="X707" s="23"/>
      <c r="Y707" s="23"/>
      <c r="Z707" s="23"/>
    </row>
    <row r="708">
      <c r="A708" s="2"/>
      <c r="B708" s="2"/>
      <c r="C708" s="2"/>
      <c r="D708" s="2"/>
      <c r="E708" s="2"/>
      <c r="F708" s="2"/>
      <c r="G708" s="2"/>
      <c r="H708" s="2"/>
      <c r="I708" s="2"/>
      <c r="J708" s="2"/>
      <c r="K708" s="2"/>
      <c r="L708" s="2"/>
      <c r="M708" s="2"/>
      <c r="N708" s="2"/>
      <c r="O708" s="2"/>
      <c r="P708" s="2"/>
      <c r="Q708" s="23"/>
      <c r="R708" s="23"/>
      <c r="S708" s="23"/>
      <c r="T708" s="23"/>
      <c r="U708" s="23"/>
      <c r="V708" s="23"/>
      <c r="W708" s="23"/>
      <c r="X708" s="23"/>
      <c r="Y708" s="23"/>
      <c r="Z708" s="23"/>
    </row>
    <row r="709">
      <c r="A709" s="2"/>
      <c r="B709" s="2"/>
      <c r="C709" s="2"/>
      <c r="D709" s="2"/>
      <c r="E709" s="2"/>
      <c r="F709" s="2"/>
      <c r="G709" s="2"/>
      <c r="H709" s="2"/>
      <c r="I709" s="2"/>
      <c r="J709" s="2"/>
      <c r="K709" s="2"/>
      <c r="L709" s="2"/>
      <c r="M709" s="2"/>
      <c r="N709" s="2"/>
      <c r="O709" s="2"/>
      <c r="P709" s="2"/>
      <c r="Q709" s="23"/>
      <c r="R709" s="23"/>
      <c r="S709" s="23"/>
      <c r="T709" s="23"/>
      <c r="U709" s="23"/>
      <c r="V709" s="23"/>
      <c r="W709" s="23"/>
      <c r="X709" s="23"/>
      <c r="Y709" s="23"/>
      <c r="Z709" s="23"/>
    </row>
    <row r="710">
      <c r="A710" s="2"/>
      <c r="B710" s="2"/>
      <c r="C710" s="2"/>
      <c r="D710" s="2"/>
      <c r="E710" s="2"/>
      <c r="F710" s="2"/>
      <c r="G710" s="2"/>
      <c r="H710" s="2"/>
      <c r="I710" s="2"/>
      <c r="J710" s="2"/>
      <c r="K710" s="2"/>
      <c r="L710" s="2"/>
      <c r="M710" s="2"/>
      <c r="N710" s="2"/>
      <c r="O710" s="2"/>
      <c r="P710" s="2"/>
      <c r="Q710" s="23"/>
      <c r="R710" s="23"/>
      <c r="S710" s="23"/>
      <c r="T710" s="23"/>
      <c r="U710" s="23"/>
      <c r="V710" s="23"/>
      <c r="W710" s="23"/>
      <c r="X710" s="23"/>
      <c r="Y710" s="23"/>
      <c r="Z710" s="23"/>
    </row>
    <row r="711">
      <c r="A711" s="2"/>
      <c r="B711" s="2"/>
      <c r="C711" s="2"/>
      <c r="D711" s="2"/>
      <c r="E711" s="2"/>
      <c r="F711" s="2"/>
      <c r="G711" s="2"/>
      <c r="H711" s="2"/>
      <c r="I711" s="2"/>
      <c r="J711" s="2"/>
      <c r="K711" s="2"/>
      <c r="L711" s="2"/>
      <c r="M711" s="2"/>
      <c r="N711" s="2"/>
      <c r="O711" s="2"/>
      <c r="P711" s="2"/>
      <c r="Q711" s="23"/>
      <c r="R711" s="23"/>
      <c r="S711" s="23"/>
      <c r="T711" s="23"/>
      <c r="U711" s="23"/>
      <c r="V711" s="23"/>
      <c r="W711" s="23"/>
      <c r="X711" s="23"/>
      <c r="Y711" s="23"/>
      <c r="Z711" s="23"/>
    </row>
    <row r="712">
      <c r="A712" s="2"/>
      <c r="B712" s="2"/>
      <c r="C712" s="2"/>
      <c r="D712" s="2"/>
      <c r="E712" s="2"/>
      <c r="F712" s="2"/>
      <c r="G712" s="2"/>
      <c r="H712" s="2"/>
      <c r="I712" s="2"/>
      <c r="J712" s="2"/>
      <c r="K712" s="2"/>
      <c r="L712" s="2"/>
      <c r="M712" s="2"/>
      <c r="N712" s="2"/>
      <c r="O712" s="2"/>
      <c r="P712" s="2"/>
      <c r="Q712" s="23"/>
      <c r="R712" s="23"/>
      <c r="S712" s="23"/>
      <c r="T712" s="23"/>
      <c r="U712" s="23"/>
      <c r="V712" s="23"/>
      <c r="W712" s="23"/>
      <c r="X712" s="23"/>
      <c r="Y712" s="23"/>
      <c r="Z712" s="23"/>
    </row>
    <row r="713">
      <c r="A713" s="2"/>
      <c r="B713" s="2"/>
      <c r="C713" s="2"/>
      <c r="D713" s="2"/>
      <c r="E713" s="2"/>
      <c r="F713" s="2"/>
      <c r="G713" s="2"/>
      <c r="H713" s="2"/>
      <c r="I713" s="2"/>
      <c r="J713" s="2"/>
      <c r="K713" s="2"/>
      <c r="L713" s="2"/>
      <c r="M713" s="2"/>
      <c r="N713" s="2"/>
      <c r="O713" s="2"/>
      <c r="P713" s="2"/>
      <c r="Q713" s="23"/>
      <c r="R713" s="23"/>
      <c r="S713" s="23"/>
      <c r="T713" s="23"/>
      <c r="U713" s="23"/>
      <c r="V713" s="23"/>
      <c r="W713" s="23"/>
      <c r="X713" s="23"/>
      <c r="Y713" s="23"/>
      <c r="Z713" s="23"/>
    </row>
    <row r="714">
      <c r="A714" s="2"/>
      <c r="B714" s="2"/>
      <c r="C714" s="2"/>
      <c r="D714" s="2"/>
      <c r="E714" s="2"/>
      <c r="F714" s="2"/>
      <c r="G714" s="2"/>
      <c r="H714" s="2"/>
      <c r="I714" s="2"/>
      <c r="J714" s="2"/>
      <c r="K714" s="2"/>
      <c r="L714" s="2"/>
      <c r="M714" s="2"/>
      <c r="N714" s="2"/>
      <c r="O714" s="2"/>
      <c r="P714" s="2"/>
      <c r="Q714" s="23"/>
      <c r="R714" s="23"/>
      <c r="S714" s="23"/>
      <c r="T714" s="23"/>
      <c r="U714" s="23"/>
      <c r="V714" s="23"/>
      <c r="W714" s="23"/>
      <c r="X714" s="23"/>
      <c r="Y714" s="23"/>
      <c r="Z714" s="23"/>
    </row>
    <row r="715">
      <c r="A715" s="2"/>
      <c r="B715" s="2"/>
      <c r="C715" s="2"/>
      <c r="D715" s="2"/>
      <c r="E715" s="2"/>
      <c r="F715" s="2"/>
      <c r="G715" s="2"/>
      <c r="H715" s="2"/>
      <c r="I715" s="2"/>
      <c r="J715" s="2"/>
      <c r="K715" s="2"/>
      <c r="L715" s="2"/>
      <c r="M715" s="2"/>
      <c r="N715" s="2"/>
      <c r="O715" s="2"/>
      <c r="P715" s="2"/>
      <c r="Q715" s="23"/>
      <c r="R715" s="23"/>
      <c r="S715" s="23"/>
      <c r="T715" s="23"/>
      <c r="U715" s="23"/>
      <c r="V715" s="23"/>
      <c r="W715" s="23"/>
      <c r="X715" s="23"/>
      <c r="Y715" s="23"/>
      <c r="Z715" s="23"/>
    </row>
    <row r="716">
      <c r="A716" s="2"/>
      <c r="B716" s="2"/>
      <c r="C716" s="2"/>
      <c r="D716" s="2"/>
      <c r="E716" s="2"/>
      <c r="F716" s="2"/>
      <c r="G716" s="2"/>
      <c r="H716" s="2"/>
      <c r="I716" s="2"/>
      <c r="J716" s="2"/>
      <c r="K716" s="2"/>
      <c r="L716" s="2"/>
      <c r="M716" s="2"/>
      <c r="N716" s="2"/>
      <c r="O716" s="2"/>
      <c r="P716" s="2"/>
      <c r="Q716" s="23"/>
      <c r="R716" s="23"/>
      <c r="S716" s="23"/>
      <c r="T716" s="23"/>
      <c r="U716" s="23"/>
      <c r="V716" s="23"/>
      <c r="W716" s="23"/>
      <c r="X716" s="23"/>
      <c r="Y716" s="23"/>
      <c r="Z716" s="23"/>
    </row>
    <row r="717">
      <c r="A717" s="2"/>
      <c r="B717" s="2"/>
      <c r="C717" s="2"/>
      <c r="D717" s="2"/>
      <c r="E717" s="2"/>
      <c r="F717" s="2"/>
      <c r="G717" s="2"/>
      <c r="H717" s="2"/>
      <c r="I717" s="2"/>
      <c r="J717" s="2"/>
      <c r="K717" s="2"/>
      <c r="L717" s="2"/>
      <c r="M717" s="2"/>
      <c r="N717" s="2"/>
      <c r="O717" s="2"/>
      <c r="P717" s="2"/>
      <c r="Q717" s="23"/>
      <c r="R717" s="23"/>
      <c r="S717" s="23"/>
      <c r="T717" s="23"/>
      <c r="U717" s="23"/>
      <c r="V717" s="23"/>
      <c r="W717" s="23"/>
      <c r="X717" s="23"/>
      <c r="Y717" s="23"/>
      <c r="Z717" s="23"/>
    </row>
    <row r="718">
      <c r="A718" s="2"/>
      <c r="B718" s="2"/>
      <c r="C718" s="2"/>
      <c r="D718" s="2"/>
      <c r="E718" s="2"/>
      <c r="F718" s="2"/>
      <c r="G718" s="2"/>
      <c r="H718" s="2"/>
      <c r="I718" s="2"/>
      <c r="J718" s="2"/>
      <c r="K718" s="2"/>
      <c r="L718" s="2"/>
      <c r="M718" s="2"/>
      <c r="N718" s="2"/>
      <c r="O718" s="2"/>
      <c r="P718" s="2"/>
      <c r="Q718" s="23"/>
      <c r="R718" s="23"/>
      <c r="S718" s="23"/>
      <c r="T718" s="23"/>
      <c r="U718" s="23"/>
      <c r="V718" s="23"/>
      <c r="W718" s="23"/>
      <c r="X718" s="23"/>
      <c r="Y718" s="23"/>
      <c r="Z718" s="23"/>
    </row>
    <row r="719">
      <c r="A719" s="2"/>
      <c r="B719" s="2"/>
      <c r="C719" s="2"/>
      <c r="D719" s="2"/>
      <c r="E719" s="2"/>
      <c r="F719" s="2"/>
      <c r="G719" s="2"/>
      <c r="H719" s="2"/>
      <c r="I719" s="2"/>
      <c r="J719" s="2"/>
      <c r="K719" s="2"/>
      <c r="L719" s="2"/>
      <c r="M719" s="2"/>
      <c r="N719" s="2"/>
      <c r="O719" s="2"/>
      <c r="P719" s="2"/>
      <c r="Q719" s="23"/>
      <c r="R719" s="23"/>
      <c r="S719" s="23"/>
      <c r="T719" s="23"/>
      <c r="U719" s="23"/>
      <c r="V719" s="23"/>
      <c r="W719" s="23"/>
      <c r="X719" s="23"/>
      <c r="Y719" s="23"/>
      <c r="Z719" s="23"/>
    </row>
    <row r="720">
      <c r="A720" s="2"/>
      <c r="B720" s="2"/>
      <c r="C720" s="2"/>
      <c r="D720" s="2"/>
      <c r="E720" s="2"/>
      <c r="F720" s="2"/>
      <c r="G720" s="2"/>
      <c r="H720" s="2"/>
      <c r="I720" s="2"/>
      <c r="J720" s="2"/>
      <c r="K720" s="2"/>
      <c r="L720" s="2"/>
      <c r="M720" s="2"/>
      <c r="N720" s="2"/>
      <c r="O720" s="2"/>
      <c r="P720" s="2"/>
      <c r="Q720" s="23"/>
      <c r="R720" s="23"/>
      <c r="S720" s="23"/>
      <c r="T720" s="23"/>
      <c r="U720" s="23"/>
      <c r="V720" s="23"/>
      <c r="W720" s="23"/>
      <c r="X720" s="23"/>
      <c r="Y720" s="23"/>
      <c r="Z720" s="23"/>
    </row>
    <row r="721">
      <c r="A721" s="2"/>
      <c r="B721" s="2"/>
      <c r="C721" s="2"/>
      <c r="D721" s="2"/>
      <c r="E721" s="2"/>
      <c r="F721" s="2"/>
      <c r="G721" s="2"/>
      <c r="H721" s="2"/>
      <c r="I721" s="2"/>
      <c r="J721" s="2"/>
      <c r="K721" s="2"/>
      <c r="L721" s="2"/>
      <c r="M721" s="2"/>
      <c r="N721" s="2"/>
      <c r="O721" s="2"/>
      <c r="P721" s="2"/>
      <c r="Q721" s="23"/>
      <c r="R721" s="23"/>
      <c r="S721" s="23"/>
      <c r="T721" s="23"/>
      <c r="U721" s="23"/>
      <c r="V721" s="23"/>
      <c r="W721" s="23"/>
      <c r="X721" s="23"/>
      <c r="Y721" s="23"/>
      <c r="Z721" s="23"/>
    </row>
    <row r="722">
      <c r="A722" s="2"/>
      <c r="B722" s="2"/>
      <c r="C722" s="2"/>
      <c r="D722" s="2"/>
      <c r="E722" s="2"/>
      <c r="F722" s="2"/>
      <c r="G722" s="2"/>
      <c r="H722" s="2"/>
      <c r="I722" s="2"/>
      <c r="J722" s="2"/>
      <c r="K722" s="2"/>
      <c r="L722" s="2"/>
      <c r="M722" s="2"/>
      <c r="N722" s="2"/>
      <c r="O722" s="2"/>
      <c r="P722" s="2"/>
      <c r="Q722" s="23"/>
      <c r="R722" s="23"/>
      <c r="S722" s="23"/>
      <c r="T722" s="23"/>
      <c r="U722" s="23"/>
      <c r="V722" s="23"/>
      <c r="W722" s="23"/>
      <c r="X722" s="23"/>
      <c r="Y722" s="23"/>
      <c r="Z722" s="23"/>
    </row>
    <row r="723">
      <c r="A723" s="2"/>
      <c r="B723" s="2"/>
      <c r="C723" s="2"/>
      <c r="D723" s="2"/>
      <c r="E723" s="2"/>
      <c r="F723" s="2"/>
      <c r="G723" s="2"/>
      <c r="H723" s="2"/>
      <c r="I723" s="2"/>
      <c r="J723" s="2"/>
      <c r="K723" s="2"/>
      <c r="L723" s="2"/>
      <c r="M723" s="2"/>
      <c r="N723" s="2"/>
      <c r="O723" s="2"/>
      <c r="P723" s="2"/>
      <c r="Q723" s="23"/>
      <c r="R723" s="23"/>
      <c r="S723" s="23"/>
      <c r="T723" s="23"/>
      <c r="U723" s="23"/>
      <c r="V723" s="23"/>
      <c r="W723" s="23"/>
      <c r="X723" s="23"/>
      <c r="Y723" s="23"/>
      <c r="Z723" s="23"/>
    </row>
    <row r="724">
      <c r="A724" s="2"/>
      <c r="B724" s="2"/>
      <c r="C724" s="2"/>
      <c r="D724" s="2"/>
      <c r="E724" s="2"/>
      <c r="F724" s="2"/>
      <c r="G724" s="2"/>
      <c r="H724" s="2"/>
      <c r="I724" s="2"/>
      <c r="J724" s="2"/>
      <c r="K724" s="2"/>
      <c r="L724" s="2"/>
      <c r="M724" s="2"/>
      <c r="N724" s="2"/>
      <c r="O724" s="2"/>
      <c r="P724" s="2"/>
      <c r="Q724" s="23"/>
      <c r="R724" s="23"/>
      <c r="S724" s="23"/>
      <c r="T724" s="23"/>
      <c r="U724" s="23"/>
      <c r="V724" s="23"/>
      <c r="W724" s="23"/>
      <c r="X724" s="23"/>
      <c r="Y724" s="23"/>
      <c r="Z724" s="23"/>
    </row>
    <row r="725">
      <c r="A725" s="2"/>
      <c r="B725" s="2"/>
      <c r="C725" s="2"/>
      <c r="D725" s="2"/>
      <c r="E725" s="2"/>
      <c r="F725" s="2"/>
      <c r="G725" s="2"/>
      <c r="H725" s="2"/>
      <c r="I725" s="2"/>
      <c r="J725" s="2"/>
      <c r="K725" s="2"/>
      <c r="L725" s="2"/>
      <c r="M725" s="2"/>
      <c r="N725" s="2"/>
      <c r="O725" s="2"/>
      <c r="P725" s="2"/>
      <c r="Q725" s="23"/>
      <c r="R725" s="23"/>
      <c r="S725" s="23"/>
      <c r="T725" s="23"/>
      <c r="U725" s="23"/>
      <c r="V725" s="23"/>
      <c r="W725" s="23"/>
      <c r="X725" s="23"/>
      <c r="Y725" s="23"/>
      <c r="Z725" s="23"/>
    </row>
    <row r="726">
      <c r="A726" s="2"/>
      <c r="B726" s="2"/>
      <c r="C726" s="2"/>
      <c r="D726" s="2"/>
      <c r="E726" s="2"/>
      <c r="F726" s="2"/>
      <c r="G726" s="2"/>
      <c r="H726" s="2"/>
      <c r="I726" s="2"/>
      <c r="J726" s="2"/>
      <c r="K726" s="2"/>
      <c r="L726" s="2"/>
      <c r="M726" s="2"/>
      <c r="N726" s="2"/>
      <c r="O726" s="2"/>
      <c r="P726" s="2"/>
      <c r="Q726" s="23"/>
      <c r="R726" s="23"/>
      <c r="S726" s="23"/>
      <c r="T726" s="23"/>
      <c r="U726" s="23"/>
      <c r="V726" s="23"/>
      <c r="W726" s="23"/>
      <c r="X726" s="23"/>
      <c r="Y726" s="23"/>
      <c r="Z726" s="23"/>
    </row>
    <row r="727">
      <c r="A727" s="2"/>
      <c r="B727" s="2"/>
      <c r="C727" s="2"/>
      <c r="D727" s="2"/>
      <c r="E727" s="2"/>
      <c r="F727" s="2"/>
      <c r="G727" s="2"/>
      <c r="H727" s="2"/>
      <c r="I727" s="2"/>
      <c r="J727" s="2"/>
      <c r="K727" s="2"/>
      <c r="L727" s="2"/>
      <c r="M727" s="2"/>
      <c r="N727" s="2"/>
      <c r="O727" s="2"/>
      <c r="P727" s="2"/>
      <c r="Q727" s="23"/>
      <c r="R727" s="23"/>
      <c r="S727" s="23"/>
      <c r="T727" s="23"/>
      <c r="U727" s="23"/>
      <c r="V727" s="23"/>
      <c r="W727" s="23"/>
      <c r="X727" s="23"/>
      <c r="Y727" s="23"/>
      <c r="Z727" s="23"/>
    </row>
    <row r="728">
      <c r="A728" s="2"/>
      <c r="B728" s="2"/>
      <c r="C728" s="2"/>
      <c r="D728" s="2"/>
      <c r="E728" s="2"/>
      <c r="F728" s="2"/>
      <c r="G728" s="2"/>
      <c r="H728" s="2"/>
      <c r="I728" s="2"/>
      <c r="J728" s="2"/>
      <c r="K728" s="2"/>
      <c r="L728" s="2"/>
      <c r="M728" s="2"/>
      <c r="N728" s="2"/>
      <c r="O728" s="2"/>
      <c r="P728" s="2"/>
      <c r="Q728" s="23"/>
      <c r="R728" s="23"/>
      <c r="S728" s="23"/>
      <c r="T728" s="23"/>
      <c r="U728" s="23"/>
      <c r="V728" s="23"/>
      <c r="W728" s="23"/>
      <c r="X728" s="23"/>
      <c r="Y728" s="23"/>
      <c r="Z728" s="23"/>
    </row>
    <row r="729">
      <c r="A729" s="2"/>
      <c r="B729" s="2"/>
      <c r="C729" s="2"/>
      <c r="D729" s="2"/>
      <c r="E729" s="2"/>
      <c r="F729" s="2"/>
      <c r="G729" s="2"/>
      <c r="H729" s="2"/>
      <c r="I729" s="2"/>
      <c r="J729" s="2"/>
      <c r="K729" s="2"/>
      <c r="L729" s="2"/>
      <c r="M729" s="2"/>
      <c r="N729" s="2"/>
      <c r="O729" s="2"/>
      <c r="P729" s="2"/>
      <c r="Q729" s="23"/>
      <c r="R729" s="23"/>
      <c r="S729" s="23"/>
      <c r="T729" s="23"/>
      <c r="U729" s="23"/>
      <c r="V729" s="23"/>
      <c r="W729" s="23"/>
      <c r="X729" s="23"/>
      <c r="Y729" s="23"/>
      <c r="Z729" s="23"/>
    </row>
    <row r="730">
      <c r="A730" s="2"/>
      <c r="B730" s="2"/>
      <c r="C730" s="2"/>
      <c r="D730" s="2"/>
      <c r="E730" s="2"/>
      <c r="F730" s="2"/>
      <c r="G730" s="2"/>
      <c r="H730" s="2"/>
      <c r="I730" s="2"/>
      <c r="J730" s="2"/>
      <c r="K730" s="2"/>
      <c r="L730" s="2"/>
      <c r="M730" s="2"/>
      <c r="N730" s="2"/>
      <c r="O730" s="2"/>
      <c r="P730" s="2"/>
      <c r="Q730" s="23"/>
      <c r="R730" s="23"/>
      <c r="S730" s="23"/>
      <c r="T730" s="23"/>
      <c r="U730" s="23"/>
      <c r="V730" s="23"/>
      <c r="W730" s="23"/>
      <c r="X730" s="23"/>
      <c r="Y730" s="23"/>
      <c r="Z730" s="23"/>
    </row>
    <row r="731">
      <c r="A731" s="2"/>
      <c r="B731" s="2"/>
      <c r="C731" s="2"/>
      <c r="D731" s="2"/>
      <c r="E731" s="2"/>
      <c r="F731" s="2"/>
      <c r="G731" s="2"/>
      <c r="H731" s="2"/>
      <c r="I731" s="2"/>
      <c r="J731" s="2"/>
      <c r="K731" s="2"/>
      <c r="L731" s="2"/>
      <c r="M731" s="2"/>
      <c r="N731" s="2"/>
      <c r="O731" s="2"/>
      <c r="P731" s="2"/>
      <c r="Q731" s="23"/>
      <c r="R731" s="23"/>
      <c r="S731" s="23"/>
      <c r="T731" s="23"/>
      <c r="U731" s="23"/>
      <c r="V731" s="23"/>
      <c r="W731" s="23"/>
      <c r="X731" s="23"/>
      <c r="Y731" s="23"/>
      <c r="Z731" s="23"/>
    </row>
    <row r="732">
      <c r="A732" s="2"/>
      <c r="B732" s="2"/>
      <c r="C732" s="2"/>
      <c r="D732" s="2"/>
      <c r="E732" s="2"/>
      <c r="F732" s="2"/>
      <c r="G732" s="2"/>
      <c r="H732" s="2"/>
      <c r="I732" s="2"/>
      <c r="J732" s="2"/>
      <c r="K732" s="2"/>
      <c r="L732" s="2"/>
      <c r="M732" s="2"/>
      <c r="N732" s="2"/>
      <c r="O732" s="2"/>
      <c r="P732" s="2"/>
      <c r="Q732" s="23"/>
      <c r="R732" s="23"/>
      <c r="S732" s="23"/>
      <c r="T732" s="23"/>
      <c r="U732" s="23"/>
      <c r="V732" s="23"/>
      <c r="W732" s="23"/>
      <c r="X732" s="23"/>
      <c r="Y732" s="23"/>
      <c r="Z732" s="23"/>
    </row>
    <row r="733">
      <c r="A733" s="2"/>
      <c r="B733" s="2"/>
      <c r="C733" s="2"/>
      <c r="D733" s="2"/>
      <c r="E733" s="2"/>
      <c r="F733" s="2"/>
      <c r="G733" s="2"/>
      <c r="H733" s="2"/>
      <c r="I733" s="2"/>
      <c r="J733" s="2"/>
      <c r="K733" s="2"/>
      <c r="L733" s="2"/>
      <c r="M733" s="2"/>
      <c r="N733" s="2"/>
      <c r="O733" s="2"/>
      <c r="P733" s="2"/>
      <c r="Q733" s="23"/>
      <c r="R733" s="23"/>
      <c r="S733" s="23"/>
      <c r="T733" s="23"/>
      <c r="U733" s="23"/>
      <c r="V733" s="23"/>
      <c r="W733" s="23"/>
      <c r="X733" s="23"/>
      <c r="Y733" s="23"/>
      <c r="Z733" s="23"/>
    </row>
    <row r="734">
      <c r="A734" s="2"/>
      <c r="B734" s="2"/>
      <c r="C734" s="2"/>
      <c r="D734" s="2"/>
      <c r="E734" s="2"/>
      <c r="F734" s="2"/>
      <c r="G734" s="2"/>
      <c r="H734" s="2"/>
      <c r="I734" s="2"/>
      <c r="J734" s="2"/>
      <c r="K734" s="2"/>
      <c r="L734" s="2"/>
      <c r="M734" s="2"/>
      <c r="N734" s="2"/>
      <c r="O734" s="2"/>
      <c r="P734" s="2"/>
      <c r="Q734" s="23"/>
      <c r="R734" s="23"/>
      <c r="S734" s="23"/>
      <c r="T734" s="23"/>
      <c r="U734" s="23"/>
      <c r="V734" s="23"/>
      <c r="W734" s="23"/>
      <c r="X734" s="23"/>
      <c r="Y734" s="23"/>
      <c r="Z734" s="23"/>
    </row>
    <row r="735">
      <c r="A735" s="2"/>
      <c r="B735" s="2"/>
      <c r="C735" s="2"/>
      <c r="D735" s="2"/>
      <c r="E735" s="2"/>
      <c r="F735" s="2"/>
      <c r="G735" s="2"/>
      <c r="H735" s="2"/>
      <c r="I735" s="2"/>
      <c r="J735" s="2"/>
      <c r="K735" s="2"/>
      <c r="L735" s="2"/>
      <c r="M735" s="2"/>
      <c r="N735" s="2"/>
      <c r="O735" s="2"/>
      <c r="P735" s="2"/>
      <c r="Q735" s="23"/>
      <c r="R735" s="23"/>
      <c r="S735" s="23"/>
      <c r="T735" s="23"/>
      <c r="U735" s="23"/>
      <c r="V735" s="23"/>
      <c r="W735" s="23"/>
      <c r="X735" s="23"/>
      <c r="Y735" s="23"/>
      <c r="Z735" s="23"/>
    </row>
    <row r="736">
      <c r="A736" s="2"/>
      <c r="B736" s="2"/>
      <c r="C736" s="2"/>
      <c r="D736" s="2"/>
      <c r="E736" s="2"/>
      <c r="F736" s="2"/>
      <c r="G736" s="2"/>
      <c r="H736" s="2"/>
      <c r="I736" s="2"/>
      <c r="J736" s="2"/>
      <c r="K736" s="2"/>
      <c r="L736" s="2"/>
      <c r="M736" s="2"/>
      <c r="N736" s="2"/>
      <c r="O736" s="2"/>
      <c r="P736" s="2"/>
      <c r="Q736" s="23"/>
      <c r="R736" s="23"/>
      <c r="S736" s="23"/>
      <c r="T736" s="23"/>
      <c r="U736" s="23"/>
      <c r="V736" s="23"/>
      <c r="W736" s="23"/>
      <c r="X736" s="23"/>
      <c r="Y736" s="23"/>
      <c r="Z736" s="23"/>
    </row>
    <row r="737">
      <c r="A737" s="2"/>
      <c r="B737" s="2"/>
      <c r="C737" s="2"/>
      <c r="D737" s="2"/>
      <c r="E737" s="2"/>
      <c r="F737" s="2"/>
      <c r="G737" s="2"/>
      <c r="H737" s="2"/>
      <c r="I737" s="2"/>
      <c r="J737" s="2"/>
      <c r="K737" s="2"/>
      <c r="L737" s="2"/>
      <c r="M737" s="2"/>
      <c r="N737" s="2"/>
      <c r="O737" s="2"/>
      <c r="P737" s="2"/>
      <c r="Q737" s="23"/>
      <c r="R737" s="23"/>
      <c r="S737" s="23"/>
      <c r="T737" s="23"/>
      <c r="U737" s="23"/>
      <c r="V737" s="23"/>
      <c r="W737" s="23"/>
      <c r="X737" s="23"/>
      <c r="Y737" s="23"/>
      <c r="Z737" s="23"/>
    </row>
    <row r="738">
      <c r="A738" s="2"/>
      <c r="B738" s="2"/>
      <c r="C738" s="2"/>
      <c r="D738" s="2"/>
      <c r="E738" s="2"/>
      <c r="F738" s="2"/>
      <c r="G738" s="2"/>
      <c r="H738" s="2"/>
      <c r="I738" s="2"/>
      <c r="J738" s="2"/>
      <c r="K738" s="2"/>
      <c r="L738" s="2"/>
      <c r="M738" s="2"/>
      <c r="N738" s="2"/>
      <c r="O738" s="2"/>
      <c r="P738" s="2"/>
      <c r="Q738" s="23"/>
      <c r="R738" s="23"/>
      <c r="S738" s="23"/>
      <c r="T738" s="23"/>
      <c r="U738" s="23"/>
      <c r="V738" s="23"/>
      <c r="W738" s="23"/>
      <c r="X738" s="23"/>
      <c r="Y738" s="23"/>
      <c r="Z738" s="23"/>
    </row>
    <row r="739">
      <c r="A739" s="2"/>
      <c r="B739" s="2"/>
      <c r="C739" s="2"/>
      <c r="D739" s="2"/>
      <c r="E739" s="2"/>
      <c r="F739" s="2"/>
      <c r="G739" s="2"/>
      <c r="H739" s="2"/>
      <c r="I739" s="2"/>
      <c r="J739" s="2"/>
      <c r="K739" s="2"/>
      <c r="L739" s="2"/>
      <c r="M739" s="2"/>
      <c r="N739" s="2"/>
      <c r="O739" s="2"/>
      <c r="P739" s="2"/>
      <c r="Q739" s="23"/>
      <c r="R739" s="23"/>
      <c r="S739" s="23"/>
      <c r="T739" s="23"/>
      <c r="U739" s="23"/>
      <c r="V739" s="23"/>
      <c r="W739" s="23"/>
      <c r="X739" s="23"/>
      <c r="Y739" s="23"/>
      <c r="Z739" s="23"/>
    </row>
    <row r="740">
      <c r="A740" s="2"/>
      <c r="B740" s="2"/>
      <c r="C740" s="2"/>
      <c r="D740" s="2"/>
      <c r="E740" s="2"/>
      <c r="F740" s="2"/>
      <c r="G740" s="2"/>
      <c r="H740" s="2"/>
      <c r="I740" s="2"/>
      <c r="J740" s="2"/>
      <c r="K740" s="2"/>
      <c r="L740" s="2"/>
      <c r="M740" s="2"/>
      <c r="N740" s="2"/>
      <c r="O740" s="2"/>
      <c r="P740" s="2"/>
      <c r="Q740" s="23"/>
      <c r="R740" s="23"/>
      <c r="S740" s="23"/>
      <c r="T740" s="23"/>
      <c r="U740" s="23"/>
      <c r="V740" s="23"/>
      <c r="W740" s="23"/>
      <c r="X740" s="23"/>
      <c r="Y740" s="23"/>
      <c r="Z740" s="23"/>
    </row>
    <row r="741">
      <c r="A741" s="2"/>
      <c r="B741" s="2"/>
      <c r="C741" s="2"/>
      <c r="D741" s="2"/>
      <c r="E741" s="2"/>
      <c r="F741" s="2"/>
      <c r="G741" s="2"/>
      <c r="H741" s="2"/>
      <c r="I741" s="2"/>
      <c r="J741" s="2"/>
      <c r="K741" s="2"/>
      <c r="L741" s="2"/>
      <c r="M741" s="2"/>
      <c r="N741" s="2"/>
      <c r="O741" s="2"/>
      <c r="P741" s="2"/>
      <c r="Q741" s="23"/>
      <c r="R741" s="23"/>
      <c r="S741" s="23"/>
      <c r="T741" s="23"/>
      <c r="U741" s="23"/>
      <c r="V741" s="23"/>
      <c r="W741" s="23"/>
      <c r="X741" s="23"/>
      <c r="Y741" s="23"/>
      <c r="Z741" s="23"/>
    </row>
    <row r="742">
      <c r="A742" s="2"/>
      <c r="B742" s="2"/>
      <c r="C742" s="2"/>
      <c r="D742" s="2"/>
      <c r="E742" s="2"/>
      <c r="F742" s="2"/>
      <c r="G742" s="2"/>
      <c r="H742" s="2"/>
      <c r="I742" s="2"/>
      <c r="J742" s="2"/>
      <c r="K742" s="2"/>
      <c r="L742" s="2"/>
      <c r="M742" s="2"/>
      <c r="N742" s="2"/>
      <c r="O742" s="2"/>
      <c r="P742" s="2"/>
      <c r="Q742" s="23"/>
      <c r="R742" s="23"/>
      <c r="S742" s="23"/>
      <c r="T742" s="23"/>
      <c r="U742" s="23"/>
      <c r="V742" s="23"/>
      <c r="W742" s="23"/>
      <c r="X742" s="23"/>
      <c r="Y742" s="23"/>
      <c r="Z742" s="23"/>
    </row>
    <row r="743">
      <c r="A743" s="2"/>
      <c r="B743" s="2"/>
      <c r="C743" s="2"/>
      <c r="D743" s="2"/>
      <c r="E743" s="2"/>
      <c r="F743" s="2"/>
      <c r="G743" s="2"/>
      <c r="H743" s="2"/>
      <c r="I743" s="2"/>
      <c r="J743" s="2"/>
      <c r="K743" s="2"/>
      <c r="L743" s="2"/>
      <c r="M743" s="2"/>
      <c r="N743" s="2"/>
      <c r="O743" s="2"/>
      <c r="P743" s="2"/>
      <c r="Q743" s="23"/>
      <c r="R743" s="23"/>
      <c r="S743" s="23"/>
      <c r="T743" s="23"/>
      <c r="U743" s="23"/>
      <c r="V743" s="23"/>
      <c r="W743" s="23"/>
      <c r="X743" s="23"/>
      <c r="Y743" s="23"/>
      <c r="Z743" s="23"/>
    </row>
    <row r="744">
      <c r="A744" s="2"/>
      <c r="B744" s="2"/>
      <c r="C744" s="2"/>
      <c r="D744" s="2"/>
      <c r="E744" s="2"/>
      <c r="F744" s="2"/>
      <c r="G744" s="2"/>
      <c r="H744" s="2"/>
      <c r="I744" s="2"/>
      <c r="J744" s="2"/>
      <c r="K744" s="2"/>
      <c r="L744" s="2"/>
      <c r="M744" s="2"/>
      <c r="N744" s="2"/>
      <c r="O744" s="2"/>
      <c r="P744" s="2"/>
      <c r="Q744" s="23"/>
      <c r="R744" s="23"/>
      <c r="S744" s="23"/>
      <c r="T744" s="23"/>
      <c r="U744" s="23"/>
      <c r="V744" s="23"/>
      <c r="W744" s="23"/>
      <c r="X744" s="23"/>
      <c r="Y744" s="23"/>
      <c r="Z744" s="23"/>
    </row>
    <row r="745">
      <c r="A745" s="2"/>
      <c r="B745" s="2"/>
      <c r="C745" s="2"/>
      <c r="D745" s="2"/>
      <c r="E745" s="2"/>
      <c r="F745" s="2"/>
      <c r="G745" s="2"/>
      <c r="H745" s="2"/>
      <c r="I745" s="2"/>
      <c r="J745" s="2"/>
      <c r="K745" s="2"/>
      <c r="L745" s="2"/>
      <c r="M745" s="2"/>
      <c r="N745" s="2"/>
      <c r="O745" s="2"/>
      <c r="P745" s="2"/>
      <c r="Q745" s="23"/>
      <c r="R745" s="23"/>
      <c r="S745" s="23"/>
      <c r="T745" s="23"/>
      <c r="U745" s="23"/>
      <c r="V745" s="23"/>
      <c r="W745" s="23"/>
      <c r="X745" s="23"/>
      <c r="Y745" s="23"/>
      <c r="Z745" s="23"/>
    </row>
    <row r="746">
      <c r="A746" s="2"/>
      <c r="B746" s="2"/>
      <c r="C746" s="2"/>
      <c r="D746" s="2"/>
      <c r="E746" s="2"/>
      <c r="F746" s="2"/>
      <c r="G746" s="2"/>
      <c r="H746" s="2"/>
      <c r="I746" s="2"/>
      <c r="J746" s="2"/>
      <c r="K746" s="2"/>
      <c r="L746" s="2"/>
      <c r="M746" s="2"/>
      <c r="N746" s="2"/>
      <c r="O746" s="2"/>
      <c r="P746" s="2"/>
      <c r="Q746" s="23"/>
      <c r="R746" s="23"/>
      <c r="S746" s="23"/>
      <c r="T746" s="23"/>
      <c r="U746" s="23"/>
      <c r="V746" s="23"/>
      <c r="W746" s="23"/>
      <c r="X746" s="23"/>
      <c r="Y746" s="23"/>
      <c r="Z746" s="23"/>
    </row>
    <row r="747">
      <c r="A747" s="2"/>
      <c r="B747" s="2"/>
      <c r="C747" s="2"/>
      <c r="D747" s="2"/>
      <c r="E747" s="2"/>
      <c r="F747" s="2"/>
      <c r="G747" s="2"/>
      <c r="H747" s="2"/>
      <c r="I747" s="2"/>
      <c r="J747" s="2"/>
      <c r="K747" s="2"/>
      <c r="L747" s="2"/>
      <c r="M747" s="2"/>
      <c r="N747" s="2"/>
      <c r="O747" s="2"/>
      <c r="P747" s="2"/>
      <c r="Q747" s="23"/>
      <c r="R747" s="23"/>
      <c r="S747" s="23"/>
      <c r="T747" s="23"/>
      <c r="U747" s="23"/>
      <c r="V747" s="23"/>
      <c r="W747" s="23"/>
      <c r="X747" s="23"/>
      <c r="Y747" s="23"/>
      <c r="Z747" s="23"/>
    </row>
    <row r="748">
      <c r="A748" s="2"/>
      <c r="B748" s="2"/>
      <c r="C748" s="2"/>
      <c r="D748" s="2"/>
      <c r="E748" s="2"/>
      <c r="F748" s="2"/>
      <c r="G748" s="2"/>
      <c r="H748" s="2"/>
      <c r="I748" s="2"/>
      <c r="J748" s="2"/>
      <c r="K748" s="2"/>
      <c r="L748" s="2"/>
      <c r="M748" s="2"/>
      <c r="N748" s="2"/>
      <c r="O748" s="2"/>
      <c r="P748" s="2"/>
      <c r="Q748" s="23"/>
      <c r="R748" s="23"/>
      <c r="S748" s="23"/>
      <c r="T748" s="23"/>
      <c r="U748" s="23"/>
      <c r="V748" s="23"/>
      <c r="W748" s="23"/>
      <c r="X748" s="23"/>
      <c r="Y748" s="23"/>
      <c r="Z748" s="23"/>
    </row>
    <row r="749">
      <c r="A749" s="2"/>
      <c r="B749" s="2"/>
      <c r="C749" s="2"/>
      <c r="D749" s="2"/>
      <c r="E749" s="2"/>
      <c r="F749" s="2"/>
      <c r="G749" s="2"/>
      <c r="H749" s="2"/>
      <c r="I749" s="2"/>
      <c r="J749" s="2"/>
      <c r="K749" s="2"/>
      <c r="L749" s="2"/>
      <c r="M749" s="2"/>
      <c r="N749" s="2"/>
      <c r="O749" s="2"/>
      <c r="P749" s="2"/>
      <c r="Q749" s="23"/>
      <c r="R749" s="23"/>
      <c r="S749" s="23"/>
      <c r="T749" s="23"/>
      <c r="U749" s="23"/>
      <c r="V749" s="23"/>
      <c r="W749" s="23"/>
      <c r="X749" s="23"/>
      <c r="Y749" s="23"/>
      <c r="Z749" s="23"/>
    </row>
    <row r="750">
      <c r="A750" s="2"/>
      <c r="B750" s="2"/>
      <c r="C750" s="2"/>
      <c r="D750" s="2"/>
      <c r="E750" s="2"/>
      <c r="F750" s="2"/>
      <c r="G750" s="2"/>
      <c r="H750" s="2"/>
      <c r="I750" s="2"/>
      <c r="J750" s="2"/>
      <c r="K750" s="2"/>
      <c r="L750" s="2"/>
      <c r="M750" s="2"/>
      <c r="N750" s="2"/>
      <c r="O750" s="2"/>
      <c r="P750" s="2"/>
      <c r="Q750" s="23"/>
      <c r="R750" s="23"/>
      <c r="S750" s="23"/>
      <c r="T750" s="23"/>
      <c r="U750" s="23"/>
      <c r="V750" s="23"/>
      <c r="W750" s="23"/>
      <c r="X750" s="23"/>
      <c r="Y750" s="23"/>
      <c r="Z750" s="23"/>
    </row>
    <row r="751">
      <c r="A751" s="2"/>
      <c r="B751" s="2"/>
      <c r="C751" s="2"/>
      <c r="D751" s="2"/>
      <c r="E751" s="2"/>
      <c r="F751" s="2"/>
      <c r="G751" s="2"/>
      <c r="H751" s="2"/>
      <c r="I751" s="2"/>
      <c r="J751" s="2"/>
      <c r="K751" s="2"/>
      <c r="L751" s="2"/>
      <c r="M751" s="2"/>
      <c r="N751" s="2"/>
      <c r="O751" s="2"/>
      <c r="P751" s="2"/>
      <c r="Q751" s="23"/>
      <c r="R751" s="23"/>
      <c r="S751" s="23"/>
      <c r="T751" s="23"/>
      <c r="U751" s="23"/>
      <c r="V751" s="23"/>
      <c r="W751" s="23"/>
      <c r="X751" s="23"/>
      <c r="Y751" s="23"/>
      <c r="Z751" s="23"/>
    </row>
    <row r="752">
      <c r="A752" s="2"/>
      <c r="B752" s="2"/>
      <c r="C752" s="2"/>
      <c r="D752" s="2"/>
      <c r="E752" s="2"/>
      <c r="F752" s="2"/>
      <c r="G752" s="2"/>
      <c r="H752" s="2"/>
      <c r="I752" s="2"/>
      <c r="J752" s="2"/>
      <c r="K752" s="2"/>
      <c r="L752" s="2"/>
      <c r="M752" s="2"/>
      <c r="N752" s="2"/>
      <c r="O752" s="2"/>
      <c r="P752" s="2"/>
      <c r="Q752" s="23"/>
      <c r="R752" s="23"/>
      <c r="S752" s="23"/>
      <c r="T752" s="23"/>
      <c r="U752" s="23"/>
      <c r="V752" s="23"/>
      <c r="W752" s="23"/>
      <c r="X752" s="23"/>
      <c r="Y752" s="23"/>
      <c r="Z752" s="23"/>
    </row>
    <row r="753">
      <c r="A753" s="2"/>
      <c r="B753" s="2"/>
      <c r="C753" s="2"/>
      <c r="D753" s="2"/>
      <c r="E753" s="2"/>
      <c r="F753" s="2"/>
      <c r="G753" s="2"/>
      <c r="H753" s="2"/>
      <c r="I753" s="2"/>
      <c r="J753" s="2"/>
      <c r="K753" s="2"/>
      <c r="L753" s="2"/>
      <c r="M753" s="2"/>
      <c r="N753" s="2"/>
      <c r="O753" s="2"/>
      <c r="P753" s="2"/>
      <c r="Q753" s="23"/>
      <c r="R753" s="23"/>
      <c r="S753" s="23"/>
      <c r="T753" s="23"/>
      <c r="U753" s="23"/>
      <c r="V753" s="23"/>
      <c r="W753" s="23"/>
      <c r="X753" s="23"/>
      <c r="Y753" s="23"/>
      <c r="Z753" s="23"/>
    </row>
    <row r="754">
      <c r="A754" s="2"/>
      <c r="B754" s="2"/>
      <c r="C754" s="2"/>
      <c r="D754" s="2"/>
      <c r="E754" s="2"/>
      <c r="F754" s="2"/>
      <c r="G754" s="2"/>
      <c r="H754" s="2"/>
      <c r="I754" s="2"/>
      <c r="J754" s="2"/>
      <c r="K754" s="2"/>
      <c r="L754" s="2"/>
      <c r="M754" s="2"/>
      <c r="N754" s="2"/>
      <c r="O754" s="2"/>
      <c r="P754" s="2"/>
      <c r="Q754" s="23"/>
      <c r="R754" s="23"/>
      <c r="S754" s="23"/>
      <c r="T754" s="23"/>
      <c r="U754" s="23"/>
      <c r="V754" s="23"/>
      <c r="W754" s="23"/>
      <c r="X754" s="23"/>
      <c r="Y754" s="23"/>
      <c r="Z754" s="23"/>
    </row>
    <row r="755">
      <c r="A755" s="2"/>
      <c r="B755" s="2"/>
      <c r="C755" s="2"/>
      <c r="D755" s="2"/>
      <c r="E755" s="2"/>
      <c r="F755" s="2"/>
      <c r="G755" s="2"/>
      <c r="H755" s="2"/>
      <c r="I755" s="2"/>
      <c r="J755" s="2"/>
      <c r="K755" s="2"/>
      <c r="L755" s="2"/>
      <c r="M755" s="2"/>
      <c r="N755" s="2"/>
      <c r="O755" s="2"/>
      <c r="P755" s="2"/>
      <c r="Q755" s="23"/>
      <c r="R755" s="23"/>
      <c r="S755" s="23"/>
      <c r="T755" s="23"/>
      <c r="U755" s="23"/>
      <c r="V755" s="23"/>
      <c r="W755" s="23"/>
      <c r="X755" s="23"/>
      <c r="Y755" s="23"/>
      <c r="Z755" s="23"/>
    </row>
    <row r="756">
      <c r="A756" s="2"/>
      <c r="B756" s="2"/>
      <c r="C756" s="2"/>
      <c r="D756" s="2"/>
      <c r="E756" s="2"/>
      <c r="F756" s="2"/>
      <c r="G756" s="2"/>
      <c r="H756" s="2"/>
      <c r="I756" s="2"/>
      <c r="J756" s="2"/>
      <c r="K756" s="2"/>
      <c r="L756" s="2"/>
      <c r="M756" s="2"/>
      <c r="N756" s="2"/>
      <c r="O756" s="2"/>
      <c r="P756" s="2"/>
      <c r="Q756" s="23"/>
      <c r="R756" s="23"/>
      <c r="S756" s="23"/>
      <c r="T756" s="23"/>
      <c r="U756" s="23"/>
      <c r="V756" s="23"/>
      <c r="W756" s="23"/>
      <c r="X756" s="23"/>
      <c r="Y756" s="23"/>
      <c r="Z756" s="23"/>
    </row>
    <row r="757">
      <c r="A757" s="2"/>
      <c r="B757" s="2"/>
      <c r="C757" s="2"/>
      <c r="D757" s="2"/>
      <c r="E757" s="2"/>
      <c r="F757" s="2"/>
      <c r="G757" s="2"/>
      <c r="H757" s="2"/>
      <c r="I757" s="2"/>
      <c r="J757" s="2"/>
      <c r="K757" s="2"/>
      <c r="L757" s="2"/>
      <c r="M757" s="2"/>
      <c r="N757" s="2"/>
      <c r="O757" s="2"/>
      <c r="P757" s="2"/>
      <c r="Q757" s="23"/>
      <c r="R757" s="23"/>
      <c r="S757" s="23"/>
      <c r="T757" s="23"/>
      <c r="U757" s="23"/>
      <c r="V757" s="23"/>
      <c r="W757" s="23"/>
      <c r="X757" s="23"/>
      <c r="Y757" s="23"/>
      <c r="Z757" s="23"/>
    </row>
    <row r="758">
      <c r="A758" s="2"/>
      <c r="B758" s="2"/>
      <c r="C758" s="2"/>
      <c r="D758" s="2"/>
      <c r="E758" s="2"/>
      <c r="F758" s="2"/>
      <c r="G758" s="2"/>
      <c r="H758" s="2"/>
      <c r="I758" s="2"/>
      <c r="J758" s="2"/>
      <c r="K758" s="2"/>
      <c r="L758" s="2"/>
      <c r="M758" s="2"/>
      <c r="N758" s="2"/>
      <c r="O758" s="2"/>
      <c r="P758" s="2"/>
      <c r="Q758" s="23"/>
      <c r="R758" s="23"/>
      <c r="S758" s="23"/>
      <c r="T758" s="23"/>
      <c r="U758" s="23"/>
      <c r="V758" s="23"/>
      <c r="W758" s="23"/>
      <c r="X758" s="23"/>
      <c r="Y758" s="23"/>
      <c r="Z758" s="23"/>
    </row>
    <row r="759">
      <c r="A759" s="2"/>
      <c r="B759" s="2"/>
      <c r="C759" s="2"/>
      <c r="D759" s="2"/>
      <c r="E759" s="2"/>
      <c r="F759" s="2"/>
      <c r="G759" s="2"/>
      <c r="H759" s="2"/>
      <c r="I759" s="2"/>
      <c r="J759" s="2"/>
      <c r="K759" s="2"/>
      <c r="L759" s="2"/>
      <c r="M759" s="2"/>
      <c r="N759" s="2"/>
      <c r="O759" s="2"/>
      <c r="P759" s="2"/>
      <c r="Q759" s="23"/>
      <c r="R759" s="23"/>
      <c r="S759" s="23"/>
      <c r="T759" s="23"/>
      <c r="U759" s="23"/>
      <c r="V759" s="23"/>
      <c r="W759" s="23"/>
      <c r="X759" s="23"/>
      <c r="Y759" s="23"/>
      <c r="Z759" s="23"/>
    </row>
    <row r="760">
      <c r="A760" s="2"/>
      <c r="B760" s="2"/>
      <c r="C760" s="2"/>
      <c r="D760" s="2"/>
      <c r="E760" s="2"/>
      <c r="F760" s="2"/>
      <c r="G760" s="2"/>
      <c r="H760" s="2"/>
      <c r="I760" s="2"/>
      <c r="J760" s="2"/>
      <c r="K760" s="2"/>
      <c r="L760" s="2"/>
      <c r="M760" s="2"/>
      <c r="N760" s="2"/>
      <c r="O760" s="2"/>
      <c r="P760" s="2"/>
      <c r="Q760" s="23"/>
      <c r="R760" s="23"/>
      <c r="S760" s="23"/>
      <c r="T760" s="23"/>
      <c r="U760" s="23"/>
      <c r="V760" s="23"/>
      <c r="W760" s="23"/>
      <c r="X760" s="23"/>
      <c r="Y760" s="23"/>
      <c r="Z760" s="23"/>
    </row>
    <row r="761">
      <c r="A761" s="2"/>
      <c r="B761" s="2"/>
      <c r="C761" s="2"/>
      <c r="D761" s="2"/>
      <c r="E761" s="2"/>
      <c r="F761" s="2"/>
      <c r="G761" s="2"/>
      <c r="H761" s="2"/>
      <c r="I761" s="2"/>
      <c r="J761" s="2"/>
      <c r="K761" s="2"/>
      <c r="L761" s="2"/>
      <c r="M761" s="2"/>
      <c r="N761" s="2"/>
      <c r="O761" s="2"/>
      <c r="P761" s="2"/>
      <c r="Q761" s="23"/>
      <c r="R761" s="23"/>
      <c r="S761" s="23"/>
      <c r="T761" s="23"/>
      <c r="U761" s="23"/>
      <c r="V761" s="23"/>
      <c r="W761" s="23"/>
      <c r="X761" s="23"/>
      <c r="Y761" s="23"/>
      <c r="Z761" s="23"/>
    </row>
    <row r="762">
      <c r="A762" s="2"/>
      <c r="B762" s="2"/>
      <c r="C762" s="2"/>
      <c r="D762" s="2"/>
      <c r="E762" s="2"/>
      <c r="F762" s="2"/>
      <c r="G762" s="2"/>
      <c r="H762" s="2"/>
      <c r="I762" s="2"/>
      <c r="J762" s="2"/>
      <c r="K762" s="2"/>
      <c r="L762" s="2"/>
      <c r="M762" s="2"/>
      <c r="N762" s="2"/>
      <c r="O762" s="2"/>
      <c r="P762" s="2"/>
      <c r="Q762" s="23"/>
      <c r="R762" s="23"/>
      <c r="S762" s="23"/>
      <c r="T762" s="23"/>
      <c r="U762" s="23"/>
      <c r="V762" s="23"/>
      <c r="W762" s="23"/>
      <c r="X762" s="23"/>
      <c r="Y762" s="23"/>
      <c r="Z762" s="23"/>
    </row>
    <row r="763">
      <c r="A763" s="2"/>
      <c r="B763" s="2"/>
      <c r="C763" s="2"/>
      <c r="D763" s="2"/>
      <c r="E763" s="2"/>
      <c r="F763" s="2"/>
      <c r="G763" s="2"/>
      <c r="H763" s="2"/>
      <c r="I763" s="2"/>
      <c r="J763" s="2"/>
      <c r="K763" s="2"/>
      <c r="L763" s="2"/>
      <c r="M763" s="2"/>
      <c r="N763" s="2"/>
      <c r="O763" s="2"/>
      <c r="P763" s="2"/>
      <c r="Q763" s="23"/>
      <c r="R763" s="23"/>
      <c r="S763" s="23"/>
      <c r="T763" s="23"/>
      <c r="U763" s="23"/>
      <c r="V763" s="23"/>
      <c r="W763" s="23"/>
      <c r="X763" s="23"/>
      <c r="Y763" s="23"/>
      <c r="Z763" s="23"/>
    </row>
    <row r="764">
      <c r="A764" s="2"/>
      <c r="B764" s="2"/>
      <c r="C764" s="2"/>
      <c r="D764" s="2"/>
      <c r="E764" s="2"/>
      <c r="F764" s="2"/>
      <c r="G764" s="2"/>
      <c r="H764" s="2"/>
      <c r="I764" s="2"/>
      <c r="J764" s="2"/>
      <c r="K764" s="2"/>
      <c r="L764" s="2"/>
      <c r="M764" s="2"/>
      <c r="N764" s="2"/>
      <c r="O764" s="2"/>
      <c r="P764" s="2"/>
      <c r="Q764" s="23"/>
      <c r="R764" s="23"/>
      <c r="S764" s="23"/>
      <c r="T764" s="23"/>
      <c r="U764" s="23"/>
      <c r="V764" s="23"/>
      <c r="W764" s="23"/>
      <c r="X764" s="23"/>
      <c r="Y764" s="23"/>
      <c r="Z764" s="23"/>
    </row>
    <row r="765">
      <c r="A765" s="2"/>
      <c r="B765" s="2"/>
      <c r="C765" s="2"/>
      <c r="D765" s="2"/>
      <c r="E765" s="2"/>
      <c r="F765" s="2"/>
      <c r="G765" s="2"/>
      <c r="H765" s="2"/>
      <c r="I765" s="2"/>
      <c r="J765" s="2"/>
      <c r="K765" s="2"/>
      <c r="L765" s="2"/>
      <c r="M765" s="2"/>
      <c r="N765" s="2"/>
      <c r="O765" s="2"/>
      <c r="P765" s="2"/>
      <c r="Q765" s="23"/>
      <c r="R765" s="23"/>
      <c r="S765" s="23"/>
      <c r="T765" s="23"/>
      <c r="U765" s="23"/>
      <c r="V765" s="23"/>
      <c r="W765" s="23"/>
      <c r="X765" s="23"/>
      <c r="Y765" s="23"/>
      <c r="Z765" s="23"/>
    </row>
    <row r="766">
      <c r="A766" s="2"/>
      <c r="B766" s="2"/>
      <c r="C766" s="2"/>
      <c r="D766" s="2"/>
      <c r="E766" s="2"/>
      <c r="F766" s="2"/>
      <c r="G766" s="2"/>
      <c r="H766" s="2"/>
      <c r="I766" s="2"/>
      <c r="J766" s="2"/>
      <c r="K766" s="2"/>
      <c r="L766" s="2"/>
      <c r="M766" s="2"/>
      <c r="N766" s="2"/>
      <c r="O766" s="2"/>
      <c r="P766" s="2"/>
      <c r="Q766" s="23"/>
      <c r="R766" s="23"/>
      <c r="S766" s="23"/>
      <c r="T766" s="23"/>
      <c r="U766" s="23"/>
      <c r="V766" s="23"/>
      <c r="W766" s="23"/>
      <c r="X766" s="23"/>
      <c r="Y766" s="23"/>
      <c r="Z766" s="23"/>
    </row>
    <row r="767">
      <c r="A767" s="2"/>
      <c r="B767" s="2"/>
      <c r="C767" s="2"/>
      <c r="D767" s="2"/>
      <c r="E767" s="2"/>
      <c r="F767" s="2"/>
      <c r="G767" s="2"/>
      <c r="H767" s="2"/>
      <c r="I767" s="2"/>
      <c r="J767" s="2"/>
      <c r="K767" s="2"/>
      <c r="L767" s="2"/>
      <c r="M767" s="2"/>
      <c r="N767" s="2"/>
      <c r="O767" s="2"/>
      <c r="P767" s="2"/>
      <c r="Q767" s="23"/>
      <c r="R767" s="23"/>
      <c r="S767" s="23"/>
      <c r="T767" s="23"/>
      <c r="U767" s="23"/>
      <c r="V767" s="23"/>
      <c r="W767" s="23"/>
      <c r="X767" s="23"/>
      <c r="Y767" s="23"/>
      <c r="Z767" s="23"/>
    </row>
    <row r="768">
      <c r="A768" s="2"/>
      <c r="B768" s="2"/>
      <c r="C768" s="2"/>
      <c r="D768" s="2"/>
      <c r="E768" s="2"/>
      <c r="F768" s="2"/>
      <c r="G768" s="2"/>
      <c r="H768" s="2"/>
      <c r="I768" s="2"/>
      <c r="J768" s="2"/>
      <c r="K768" s="2"/>
      <c r="L768" s="2"/>
      <c r="M768" s="2"/>
      <c r="N768" s="2"/>
      <c r="O768" s="2"/>
      <c r="P768" s="2"/>
      <c r="Q768" s="23"/>
      <c r="R768" s="23"/>
      <c r="S768" s="23"/>
      <c r="T768" s="23"/>
      <c r="U768" s="23"/>
      <c r="V768" s="23"/>
      <c r="W768" s="23"/>
      <c r="X768" s="23"/>
      <c r="Y768" s="23"/>
      <c r="Z768" s="23"/>
    </row>
    <row r="769">
      <c r="A769" s="2"/>
      <c r="B769" s="2"/>
      <c r="C769" s="2"/>
      <c r="D769" s="2"/>
      <c r="E769" s="2"/>
      <c r="F769" s="2"/>
      <c r="G769" s="2"/>
      <c r="H769" s="2"/>
      <c r="I769" s="2"/>
      <c r="J769" s="2"/>
      <c r="K769" s="2"/>
      <c r="L769" s="2"/>
      <c r="M769" s="2"/>
      <c r="N769" s="2"/>
      <c r="O769" s="2"/>
      <c r="P769" s="2"/>
      <c r="Q769" s="23"/>
      <c r="R769" s="23"/>
      <c r="S769" s="23"/>
      <c r="T769" s="23"/>
      <c r="U769" s="23"/>
      <c r="V769" s="23"/>
      <c r="W769" s="23"/>
      <c r="X769" s="23"/>
      <c r="Y769" s="23"/>
      <c r="Z769" s="23"/>
    </row>
    <row r="770">
      <c r="A770" s="2"/>
      <c r="B770" s="2"/>
      <c r="C770" s="2"/>
      <c r="D770" s="2"/>
      <c r="E770" s="2"/>
      <c r="F770" s="2"/>
      <c r="G770" s="2"/>
      <c r="H770" s="2"/>
      <c r="I770" s="2"/>
      <c r="J770" s="2"/>
      <c r="K770" s="2"/>
      <c r="L770" s="2"/>
      <c r="M770" s="2"/>
      <c r="N770" s="2"/>
      <c r="O770" s="2"/>
      <c r="P770" s="2"/>
      <c r="Q770" s="23"/>
      <c r="R770" s="23"/>
      <c r="S770" s="23"/>
      <c r="T770" s="23"/>
      <c r="U770" s="23"/>
      <c r="V770" s="23"/>
      <c r="W770" s="23"/>
      <c r="X770" s="23"/>
      <c r="Y770" s="23"/>
      <c r="Z770" s="23"/>
    </row>
    <row r="771">
      <c r="A771" s="2"/>
      <c r="B771" s="2"/>
      <c r="C771" s="2"/>
      <c r="D771" s="2"/>
      <c r="E771" s="2"/>
      <c r="F771" s="2"/>
      <c r="G771" s="2"/>
      <c r="H771" s="2"/>
      <c r="I771" s="2"/>
      <c r="J771" s="2"/>
      <c r="K771" s="2"/>
      <c r="L771" s="2"/>
      <c r="M771" s="2"/>
      <c r="N771" s="2"/>
      <c r="O771" s="2"/>
      <c r="P771" s="2"/>
      <c r="Q771" s="23"/>
      <c r="R771" s="23"/>
      <c r="S771" s="23"/>
      <c r="T771" s="23"/>
      <c r="U771" s="23"/>
      <c r="V771" s="23"/>
      <c r="W771" s="23"/>
      <c r="X771" s="23"/>
      <c r="Y771" s="23"/>
      <c r="Z771" s="23"/>
    </row>
    <row r="772">
      <c r="A772" s="2"/>
      <c r="B772" s="2"/>
      <c r="C772" s="2"/>
      <c r="D772" s="2"/>
      <c r="E772" s="2"/>
      <c r="F772" s="2"/>
      <c r="G772" s="2"/>
      <c r="H772" s="2"/>
      <c r="I772" s="2"/>
      <c r="J772" s="2"/>
      <c r="K772" s="2"/>
      <c r="L772" s="2"/>
      <c r="M772" s="2"/>
      <c r="N772" s="2"/>
      <c r="O772" s="2"/>
      <c r="P772" s="2"/>
      <c r="Q772" s="23"/>
      <c r="R772" s="23"/>
      <c r="S772" s="23"/>
      <c r="T772" s="23"/>
      <c r="U772" s="23"/>
      <c r="V772" s="23"/>
      <c r="W772" s="23"/>
      <c r="X772" s="23"/>
      <c r="Y772" s="23"/>
      <c r="Z772" s="23"/>
    </row>
    <row r="773">
      <c r="A773" s="2"/>
      <c r="B773" s="2"/>
      <c r="C773" s="2"/>
      <c r="D773" s="2"/>
      <c r="E773" s="2"/>
      <c r="F773" s="2"/>
      <c r="G773" s="2"/>
      <c r="H773" s="2"/>
      <c r="I773" s="2"/>
      <c r="J773" s="2"/>
      <c r="K773" s="2"/>
      <c r="L773" s="2"/>
      <c r="M773" s="2"/>
      <c r="N773" s="2"/>
      <c r="O773" s="2"/>
      <c r="P773" s="2"/>
      <c r="Q773" s="23"/>
      <c r="R773" s="23"/>
      <c r="S773" s="23"/>
      <c r="T773" s="23"/>
      <c r="U773" s="23"/>
      <c r="V773" s="23"/>
      <c r="W773" s="23"/>
      <c r="X773" s="23"/>
      <c r="Y773" s="23"/>
      <c r="Z773" s="23"/>
    </row>
    <row r="774">
      <c r="A774" s="2"/>
      <c r="B774" s="2"/>
      <c r="C774" s="2"/>
      <c r="D774" s="2"/>
      <c r="E774" s="2"/>
      <c r="F774" s="2"/>
      <c r="G774" s="2"/>
      <c r="H774" s="2"/>
      <c r="I774" s="2"/>
      <c r="J774" s="2"/>
      <c r="K774" s="2"/>
      <c r="L774" s="2"/>
      <c r="M774" s="2"/>
      <c r="N774" s="2"/>
      <c r="O774" s="2"/>
      <c r="P774" s="2"/>
      <c r="Q774" s="23"/>
      <c r="R774" s="23"/>
      <c r="S774" s="23"/>
      <c r="T774" s="23"/>
      <c r="U774" s="23"/>
      <c r="V774" s="23"/>
      <c r="W774" s="23"/>
      <c r="X774" s="23"/>
      <c r="Y774" s="23"/>
      <c r="Z774" s="23"/>
    </row>
    <row r="775">
      <c r="A775" s="2"/>
      <c r="B775" s="2"/>
      <c r="C775" s="2"/>
      <c r="D775" s="2"/>
      <c r="E775" s="2"/>
      <c r="F775" s="2"/>
      <c r="G775" s="2"/>
      <c r="H775" s="2"/>
      <c r="I775" s="2"/>
      <c r="J775" s="2"/>
      <c r="K775" s="2"/>
      <c r="L775" s="2"/>
      <c r="M775" s="2"/>
      <c r="N775" s="2"/>
      <c r="O775" s="2"/>
      <c r="P775" s="2"/>
      <c r="Q775" s="23"/>
      <c r="R775" s="23"/>
      <c r="S775" s="23"/>
      <c r="T775" s="23"/>
      <c r="U775" s="23"/>
      <c r="V775" s="23"/>
      <c r="W775" s="23"/>
      <c r="X775" s="23"/>
      <c r="Y775" s="23"/>
      <c r="Z775" s="23"/>
    </row>
    <row r="776">
      <c r="A776" s="2"/>
      <c r="B776" s="2"/>
      <c r="C776" s="2"/>
      <c r="D776" s="2"/>
      <c r="E776" s="2"/>
      <c r="F776" s="2"/>
      <c r="G776" s="2"/>
      <c r="H776" s="2"/>
      <c r="I776" s="2"/>
      <c r="J776" s="2"/>
      <c r="K776" s="2"/>
      <c r="L776" s="2"/>
      <c r="M776" s="2"/>
      <c r="N776" s="2"/>
      <c r="O776" s="2"/>
      <c r="P776" s="2"/>
      <c r="Q776" s="23"/>
      <c r="R776" s="23"/>
      <c r="S776" s="23"/>
      <c r="T776" s="23"/>
      <c r="U776" s="23"/>
      <c r="V776" s="23"/>
      <c r="W776" s="23"/>
      <c r="X776" s="23"/>
      <c r="Y776" s="23"/>
      <c r="Z776" s="23"/>
    </row>
    <row r="777">
      <c r="A777" s="2"/>
      <c r="B777" s="2"/>
      <c r="C777" s="2"/>
      <c r="D777" s="2"/>
      <c r="E777" s="2"/>
      <c r="F777" s="2"/>
      <c r="G777" s="2"/>
      <c r="H777" s="2"/>
      <c r="I777" s="2"/>
      <c r="J777" s="2"/>
      <c r="K777" s="2"/>
      <c r="L777" s="2"/>
      <c r="M777" s="2"/>
      <c r="N777" s="2"/>
      <c r="O777" s="2"/>
      <c r="P777" s="2"/>
      <c r="Q777" s="23"/>
      <c r="R777" s="23"/>
      <c r="S777" s="23"/>
      <c r="T777" s="23"/>
      <c r="U777" s="23"/>
      <c r="V777" s="23"/>
      <c r="W777" s="23"/>
      <c r="X777" s="23"/>
      <c r="Y777" s="23"/>
      <c r="Z777" s="23"/>
    </row>
    <row r="778">
      <c r="A778" s="2"/>
      <c r="B778" s="2"/>
      <c r="C778" s="2"/>
      <c r="D778" s="2"/>
      <c r="E778" s="2"/>
      <c r="F778" s="2"/>
      <c r="G778" s="2"/>
      <c r="H778" s="2"/>
      <c r="I778" s="2"/>
      <c r="J778" s="2"/>
      <c r="K778" s="2"/>
      <c r="L778" s="2"/>
      <c r="M778" s="2"/>
      <c r="N778" s="2"/>
      <c r="O778" s="2"/>
      <c r="P778" s="2"/>
      <c r="Q778" s="23"/>
      <c r="R778" s="23"/>
      <c r="S778" s="23"/>
      <c r="T778" s="23"/>
      <c r="U778" s="23"/>
      <c r="V778" s="23"/>
      <c r="W778" s="23"/>
      <c r="X778" s="23"/>
      <c r="Y778" s="23"/>
      <c r="Z778" s="23"/>
    </row>
    <row r="779">
      <c r="A779" s="2"/>
      <c r="B779" s="2"/>
      <c r="C779" s="2"/>
      <c r="D779" s="2"/>
      <c r="E779" s="2"/>
      <c r="F779" s="2"/>
      <c r="G779" s="2"/>
      <c r="H779" s="2"/>
      <c r="I779" s="2"/>
      <c r="J779" s="2"/>
      <c r="K779" s="2"/>
      <c r="L779" s="2"/>
      <c r="M779" s="2"/>
      <c r="N779" s="2"/>
      <c r="O779" s="2"/>
      <c r="P779" s="2"/>
      <c r="Q779" s="23"/>
      <c r="R779" s="23"/>
      <c r="S779" s="23"/>
      <c r="T779" s="23"/>
      <c r="U779" s="23"/>
      <c r="V779" s="23"/>
      <c r="W779" s="23"/>
      <c r="X779" s="23"/>
      <c r="Y779" s="23"/>
      <c r="Z779" s="23"/>
    </row>
    <row r="780">
      <c r="A780" s="2"/>
      <c r="B780" s="2"/>
      <c r="C780" s="2"/>
      <c r="D780" s="2"/>
      <c r="E780" s="2"/>
      <c r="F780" s="2"/>
      <c r="G780" s="2"/>
      <c r="H780" s="2"/>
      <c r="I780" s="2"/>
      <c r="J780" s="2"/>
      <c r="K780" s="2"/>
      <c r="L780" s="2"/>
      <c r="M780" s="2"/>
      <c r="N780" s="2"/>
      <c r="O780" s="2"/>
      <c r="P780" s="2"/>
      <c r="Q780" s="23"/>
      <c r="R780" s="23"/>
      <c r="S780" s="23"/>
      <c r="T780" s="23"/>
      <c r="U780" s="23"/>
      <c r="V780" s="23"/>
      <c r="W780" s="23"/>
      <c r="X780" s="23"/>
      <c r="Y780" s="23"/>
      <c r="Z780" s="23"/>
    </row>
    <row r="781">
      <c r="A781" s="2"/>
      <c r="B781" s="2"/>
      <c r="C781" s="2"/>
      <c r="D781" s="2"/>
      <c r="E781" s="2"/>
      <c r="F781" s="2"/>
      <c r="G781" s="2"/>
      <c r="H781" s="2"/>
      <c r="I781" s="2"/>
      <c r="J781" s="2"/>
      <c r="K781" s="2"/>
      <c r="L781" s="2"/>
      <c r="M781" s="2"/>
      <c r="N781" s="2"/>
      <c r="O781" s="2"/>
      <c r="P781" s="2"/>
      <c r="Q781" s="23"/>
      <c r="R781" s="23"/>
      <c r="S781" s="23"/>
      <c r="T781" s="23"/>
      <c r="U781" s="23"/>
      <c r="V781" s="23"/>
      <c r="W781" s="23"/>
      <c r="X781" s="23"/>
      <c r="Y781" s="23"/>
      <c r="Z781" s="23"/>
    </row>
    <row r="782">
      <c r="A782" s="2"/>
      <c r="B782" s="2"/>
      <c r="C782" s="2"/>
      <c r="D782" s="2"/>
      <c r="E782" s="2"/>
      <c r="F782" s="2"/>
      <c r="G782" s="2"/>
      <c r="H782" s="2"/>
      <c r="I782" s="2"/>
      <c r="J782" s="2"/>
      <c r="K782" s="2"/>
      <c r="L782" s="2"/>
      <c r="M782" s="2"/>
      <c r="N782" s="2"/>
      <c r="O782" s="2"/>
      <c r="P782" s="2"/>
      <c r="Q782" s="23"/>
      <c r="R782" s="23"/>
      <c r="S782" s="23"/>
      <c r="T782" s="23"/>
      <c r="U782" s="23"/>
      <c r="V782" s="23"/>
      <c r="W782" s="23"/>
      <c r="X782" s="23"/>
      <c r="Y782" s="23"/>
      <c r="Z782" s="23"/>
    </row>
    <row r="783">
      <c r="A783" s="2"/>
      <c r="B783" s="2"/>
      <c r="C783" s="2"/>
      <c r="D783" s="2"/>
      <c r="E783" s="2"/>
      <c r="F783" s="2"/>
      <c r="G783" s="2"/>
      <c r="H783" s="2"/>
      <c r="I783" s="2"/>
      <c r="J783" s="2"/>
      <c r="K783" s="2"/>
      <c r="L783" s="2"/>
      <c r="M783" s="2"/>
      <c r="N783" s="2"/>
      <c r="O783" s="2"/>
      <c r="P783" s="2"/>
      <c r="Q783" s="23"/>
      <c r="R783" s="23"/>
      <c r="S783" s="23"/>
      <c r="T783" s="23"/>
      <c r="U783" s="23"/>
      <c r="V783" s="23"/>
      <c r="W783" s="23"/>
      <c r="X783" s="23"/>
      <c r="Y783" s="23"/>
      <c r="Z783" s="23"/>
    </row>
    <row r="784">
      <c r="A784" s="2"/>
      <c r="B784" s="2"/>
      <c r="C784" s="2"/>
      <c r="D784" s="2"/>
      <c r="E784" s="2"/>
      <c r="F784" s="2"/>
      <c r="G784" s="2"/>
      <c r="H784" s="2"/>
      <c r="I784" s="2"/>
      <c r="J784" s="2"/>
      <c r="K784" s="2"/>
      <c r="L784" s="2"/>
      <c r="M784" s="2"/>
      <c r="N784" s="2"/>
      <c r="O784" s="2"/>
      <c r="P784" s="2"/>
      <c r="Q784" s="23"/>
      <c r="R784" s="23"/>
      <c r="S784" s="23"/>
      <c r="T784" s="23"/>
      <c r="U784" s="23"/>
      <c r="V784" s="23"/>
      <c r="W784" s="23"/>
      <c r="X784" s="23"/>
      <c r="Y784" s="23"/>
      <c r="Z784" s="23"/>
    </row>
    <row r="785">
      <c r="A785" s="2"/>
      <c r="B785" s="2"/>
      <c r="C785" s="2"/>
      <c r="D785" s="2"/>
      <c r="E785" s="2"/>
      <c r="F785" s="2"/>
      <c r="G785" s="2"/>
      <c r="H785" s="2"/>
      <c r="I785" s="2"/>
      <c r="J785" s="2"/>
      <c r="K785" s="2"/>
      <c r="L785" s="2"/>
      <c r="M785" s="2"/>
      <c r="N785" s="2"/>
      <c r="O785" s="2"/>
      <c r="P785" s="2"/>
      <c r="Q785" s="23"/>
      <c r="R785" s="23"/>
      <c r="S785" s="23"/>
      <c r="T785" s="23"/>
      <c r="U785" s="23"/>
      <c r="V785" s="23"/>
      <c r="W785" s="23"/>
      <c r="X785" s="23"/>
      <c r="Y785" s="23"/>
      <c r="Z785" s="23"/>
    </row>
    <row r="786">
      <c r="A786" s="2"/>
      <c r="B786" s="2"/>
      <c r="C786" s="2"/>
      <c r="D786" s="2"/>
      <c r="E786" s="2"/>
      <c r="F786" s="2"/>
      <c r="G786" s="2"/>
      <c r="H786" s="2"/>
      <c r="I786" s="2"/>
      <c r="J786" s="2"/>
      <c r="K786" s="2"/>
      <c r="L786" s="2"/>
      <c r="M786" s="2"/>
      <c r="N786" s="2"/>
      <c r="O786" s="2"/>
      <c r="P786" s="2"/>
      <c r="Q786" s="23"/>
      <c r="R786" s="23"/>
      <c r="S786" s="23"/>
      <c r="T786" s="23"/>
      <c r="U786" s="23"/>
      <c r="V786" s="23"/>
      <c r="W786" s="23"/>
      <c r="X786" s="23"/>
      <c r="Y786" s="23"/>
      <c r="Z786" s="23"/>
    </row>
    <row r="787">
      <c r="A787" s="2"/>
      <c r="B787" s="2"/>
      <c r="C787" s="2"/>
      <c r="D787" s="2"/>
      <c r="E787" s="2"/>
      <c r="F787" s="2"/>
      <c r="G787" s="2"/>
      <c r="H787" s="2"/>
      <c r="I787" s="2"/>
      <c r="J787" s="2"/>
      <c r="K787" s="2"/>
      <c r="L787" s="2"/>
      <c r="M787" s="2"/>
      <c r="N787" s="2"/>
      <c r="O787" s="2"/>
      <c r="P787" s="2"/>
      <c r="Q787" s="23"/>
      <c r="R787" s="23"/>
      <c r="S787" s="23"/>
      <c r="T787" s="23"/>
      <c r="U787" s="23"/>
      <c r="V787" s="23"/>
      <c r="W787" s="23"/>
      <c r="X787" s="23"/>
      <c r="Y787" s="23"/>
      <c r="Z787" s="23"/>
    </row>
    <row r="788">
      <c r="A788" s="2"/>
      <c r="B788" s="2"/>
      <c r="C788" s="2"/>
      <c r="D788" s="2"/>
      <c r="E788" s="2"/>
      <c r="F788" s="2"/>
      <c r="G788" s="2"/>
      <c r="H788" s="2"/>
      <c r="I788" s="2"/>
      <c r="J788" s="2"/>
      <c r="K788" s="2"/>
      <c r="L788" s="2"/>
      <c r="M788" s="2"/>
      <c r="N788" s="2"/>
      <c r="O788" s="2"/>
      <c r="P788" s="2"/>
      <c r="Q788" s="23"/>
      <c r="R788" s="23"/>
      <c r="S788" s="23"/>
      <c r="T788" s="23"/>
      <c r="U788" s="23"/>
      <c r="V788" s="23"/>
      <c r="W788" s="23"/>
      <c r="X788" s="23"/>
      <c r="Y788" s="23"/>
      <c r="Z788" s="23"/>
    </row>
    <row r="789">
      <c r="A789" s="2"/>
      <c r="B789" s="2"/>
      <c r="C789" s="2"/>
      <c r="D789" s="2"/>
      <c r="E789" s="2"/>
      <c r="F789" s="2"/>
      <c r="G789" s="2"/>
      <c r="H789" s="2"/>
      <c r="I789" s="2"/>
      <c r="J789" s="2"/>
      <c r="K789" s="2"/>
      <c r="L789" s="2"/>
      <c r="M789" s="2"/>
      <c r="N789" s="2"/>
      <c r="O789" s="2"/>
      <c r="P789" s="2"/>
      <c r="Q789" s="23"/>
      <c r="R789" s="23"/>
      <c r="S789" s="23"/>
      <c r="T789" s="23"/>
      <c r="U789" s="23"/>
      <c r="V789" s="23"/>
      <c r="W789" s="23"/>
      <c r="X789" s="23"/>
      <c r="Y789" s="23"/>
      <c r="Z789" s="23"/>
    </row>
    <row r="790">
      <c r="A790" s="2"/>
      <c r="B790" s="2"/>
      <c r="C790" s="2"/>
      <c r="D790" s="2"/>
      <c r="E790" s="2"/>
      <c r="F790" s="2"/>
      <c r="G790" s="2"/>
      <c r="H790" s="2"/>
      <c r="I790" s="2"/>
      <c r="J790" s="2"/>
      <c r="K790" s="2"/>
      <c r="L790" s="2"/>
      <c r="M790" s="2"/>
      <c r="N790" s="2"/>
      <c r="O790" s="2"/>
      <c r="P790" s="2"/>
      <c r="Q790" s="23"/>
      <c r="R790" s="23"/>
      <c r="S790" s="23"/>
      <c r="T790" s="23"/>
      <c r="U790" s="23"/>
      <c r="V790" s="23"/>
      <c r="W790" s="23"/>
      <c r="X790" s="23"/>
      <c r="Y790" s="23"/>
      <c r="Z790" s="23"/>
    </row>
    <row r="791">
      <c r="A791" s="2"/>
      <c r="B791" s="2"/>
      <c r="C791" s="2"/>
      <c r="D791" s="2"/>
      <c r="E791" s="2"/>
      <c r="F791" s="2"/>
      <c r="G791" s="2"/>
      <c r="H791" s="2"/>
      <c r="I791" s="2"/>
      <c r="J791" s="2"/>
      <c r="K791" s="2"/>
      <c r="L791" s="2"/>
      <c r="M791" s="2"/>
      <c r="N791" s="2"/>
      <c r="O791" s="2"/>
      <c r="P791" s="2"/>
      <c r="Q791" s="23"/>
      <c r="R791" s="23"/>
      <c r="S791" s="23"/>
      <c r="T791" s="23"/>
      <c r="U791" s="23"/>
      <c r="V791" s="23"/>
      <c r="W791" s="23"/>
      <c r="X791" s="23"/>
      <c r="Y791" s="23"/>
      <c r="Z791" s="23"/>
    </row>
    <row r="792">
      <c r="A792" s="2"/>
      <c r="B792" s="2"/>
      <c r="C792" s="2"/>
      <c r="D792" s="2"/>
      <c r="E792" s="2"/>
      <c r="F792" s="2"/>
      <c r="G792" s="2"/>
      <c r="H792" s="2"/>
      <c r="I792" s="2"/>
      <c r="J792" s="2"/>
      <c r="K792" s="2"/>
      <c r="L792" s="2"/>
      <c r="M792" s="2"/>
      <c r="N792" s="2"/>
      <c r="O792" s="2"/>
      <c r="P792" s="2"/>
      <c r="Q792" s="23"/>
      <c r="R792" s="23"/>
      <c r="S792" s="23"/>
      <c r="T792" s="23"/>
      <c r="U792" s="23"/>
      <c r="V792" s="23"/>
      <c r="W792" s="23"/>
      <c r="X792" s="23"/>
      <c r="Y792" s="23"/>
      <c r="Z792" s="23"/>
    </row>
    <row r="793">
      <c r="A793" s="2"/>
      <c r="B793" s="2"/>
      <c r="C793" s="2"/>
      <c r="D793" s="2"/>
      <c r="E793" s="2"/>
      <c r="F793" s="2"/>
      <c r="G793" s="2"/>
      <c r="H793" s="2"/>
      <c r="I793" s="2"/>
      <c r="J793" s="2"/>
      <c r="K793" s="2"/>
      <c r="L793" s="2"/>
      <c r="M793" s="2"/>
      <c r="N793" s="2"/>
      <c r="O793" s="2"/>
      <c r="P793" s="2"/>
      <c r="Q793" s="23"/>
      <c r="R793" s="23"/>
      <c r="S793" s="23"/>
      <c r="T793" s="23"/>
      <c r="U793" s="23"/>
      <c r="V793" s="23"/>
      <c r="W793" s="23"/>
      <c r="X793" s="23"/>
      <c r="Y793" s="23"/>
      <c r="Z793" s="23"/>
    </row>
    <row r="794">
      <c r="A794" s="2"/>
      <c r="B794" s="2"/>
      <c r="C794" s="2"/>
      <c r="D794" s="2"/>
      <c r="E794" s="2"/>
      <c r="F794" s="2"/>
      <c r="G794" s="2"/>
      <c r="H794" s="2"/>
      <c r="I794" s="2"/>
      <c r="J794" s="2"/>
      <c r="K794" s="2"/>
      <c r="L794" s="2"/>
      <c r="M794" s="2"/>
      <c r="N794" s="2"/>
      <c r="O794" s="2"/>
      <c r="P794" s="2"/>
      <c r="Q794" s="23"/>
      <c r="R794" s="23"/>
      <c r="S794" s="23"/>
      <c r="T794" s="23"/>
      <c r="U794" s="23"/>
      <c r="V794" s="23"/>
      <c r="W794" s="23"/>
      <c r="X794" s="23"/>
      <c r="Y794" s="23"/>
      <c r="Z794" s="23"/>
    </row>
    <row r="795">
      <c r="A795" s="2"/>
      <c r="B795" s="2"/>
      <c r="C795" s="2"/>
      <c r="D795" s="2"/>
      <c r="E795" s="2"/>
      <c r="F795" s="2"/>
      <c r="G795" s="2"/>
      <c r="H795" s="2"/>
      <c r="I795" s="2"/>
      <c r="J795" s="2"/>
      <c r="K795" s="2"/>
      <c r="L795" s="2"/>
      <c r="M795" s="2"/>
      <c r="N795" s="2"/>
      <c r="O795" s="2"/>
      <c r="P795" s="2"/>
      <c r="Q795" s="23"/>
      <c r="R795" s="23"/>
      <c r="S795" s="23"/>
      <c r="T795" s="23"/>
      <c r="U795" s="23"/>
      <c r="V795" s="23"/>
      <c r="W795" s="23"/>
      <c r="X795" s="23"/>
      <c r="Y795" s="23"/>
      <c r="Z795" s="23"/>
    </row>
    <row r="796">
      <c r="A796" s="2"/>
      <c r="B796" s="2"/>
      <c r="C796" s="2"/>
      <c r="D796" s="2"/>
      <c r="E796" s="2"/>
      <c r="F796" s="2"/>
      <c r="G796" s="2"/>
      <c r="H796" s="2"/>
      <c r="I796" s="2"/>
      <c r="J796" s="2"/>
      <c r="K796" s="2"/>
      <c r="L796" s="2"/>
      <c r="M796" s="2"/>
      <c r="N796" s="2"/>
      <c r="O796" s="2"/>
      <c r="P796" s="2"/>
      <c r="Q796" s="23"/>
      <c r="R796" s="23"/>
      <c r="S796" s="23"/>
      <c r="T796" s="23"/>
      <c r="U796" s="23"/>
      <c r="V796" s="23"/>
      <c r="W796" s="23"/>
      <c r="X796" s="23"/>
      <c r="Y796" s="23"/>
      <c r="Z796" s="23"/>
    </row>
    <row r="797">
      <c r="A797" s="2"/>
      <c r="B797" s="2"/>
      <c r="C797" s="2"/>
      <c r="D797" s="2"/>
      <c r="E797" s="2"/>
      <c r="F797" s="2"/>
      <c r="G797" s="2"/>
      <c r="H797" s="2"/>
      <c r="I797" s="2"/>
      <c r="J797" s="2"/>
      <c r="K797" s="2"/>
      <c r="L797" s="2"/>
      <c r="M797" s="2"/>
      <c r="N797" s="2"/>
      <c r="O797" s="2"/>
      <c r="P797" s="2"/>
      <c r="Q797" s="23"/>
      <c r="R797" s="23"/>
      <c r="S797" s="23"/>
      <c r="T797" s="23"/>
      <c r="U797" s="23"/>
      <c r="V797" s="23"/>
      <c r="W797" s="23"/>
      <c r="X797" s="23"/>
      <c r="Y797" s="23"/>
      <c r="Z797" s="23"/>
    </row>
    <row r="798">
      <c r="A798" s="2"/>
      <c r="B798" s="2"/>
      <c r="C798" s="2"/>
      <c r="D798" s="2"/>
      <c r="E798" s="2"/>
      <c r="F798" s="2"/>
      <c r="G798" s="2"/>
      <c r="H798" s="2"/>
      <c r="I798" s="2"/>
      <c r="J798" s="2"/>
      <c r="K798" s="2"/>
      <c r="L798" s="2"/>
      <c r="M798" s="2"/>
      <c r="N798" s="2"/>
      <c r="O798" s="2"/>
      <c r="P798" s="2"/>
      <c r="Q798" s="23"/>
      <c r="R798" s="23"/>
      <c r="S798" s="23"/>
      <c r="T798" s="23"/>
      <c r="U798" s="23"/>
      <c r="V798" s="23"/>
      <c r="W798" s="23"/>
      <c r="X798" s="23"/>
      <c r="Y798" s="23"/>
      <c r="Z798" s="23"/>
    </row>
    <row r="799">
      <c r="A799" s="2"/>
      <c r="B799" s="2"/>
      <c r="C799" s="2"/>
      <c r="D799" s="2"/>
      <c r="E799" s="2"/>
      <c r="F799" s="2"/>
      <c r="G799" s="2"/>
      <c r="H799" s="2"/>
      <c r="I799" s="2"/>
      <c r="J799" s="2"/>
      <c r="K799" s="2"/>
      <c r="L799" s="2"/>
      <c r="M799" s="2"/>
      <c r="N799" s="2"/>
      <c r="O799" s="2"/>
      <c r="P799" s="2"/>
      <c r="Q799" s="23"/>
      <c r="R799" s="23"/>
      <c r="S799" s="23"/>
      <c r="T799" s="23"/>
      <c r="U799" s="23"/>
      <c r="V799" s="23"/>
      <c r="W799" s="23"/>
      <c r="X799" s="23"/>
      <c r="Y799" s="23"/>
      <c r="Z799" s="23"/>
    </row>
    <row r="800">
      <c r="A800" s="2"/>
      <c r="B800" s="2"/>
      <c r="C800" s="2"/>
      <c r="D800" s="2"/>
      <c r="E800" s="2"/>
      <c r="F800" s="2"/>
      <c r="G800" s="2"/>
      <c r="H800" s="2"/>
      <c r="I800" s="2"/>
      <c r="J800" s="2"/>
      <c r="K800" s="2"/>
      <c r="L800" s="2"/>
      <c r="M800" s="2"/>
      <c r="N800" s="2"/>
      <c r="O800" s="2"/>
      <c r="P800" s="2"/>
      <c r="Q800" s="23"/>
      <c r="R800" s="23"/>
      <c r="S800" s="23"/>
      <c r="T800" s="23"/>
      <c r="U800" s="23"/>
      <c r="V800" s="23"/>
      <c r="W800" s="23"/>
      <c r="X800" s="23"/>
      <c r="Y800" s="23"/>
      <c r="Z800" s="23"/>
    </row>
    <row r="801">
      <c r="A801" s="2"/>
      <c r="B801" s="2"/>
      <c r="C801" s="2"/>
      <c r="D801" s="2"/>
      <c r="E801" s="2"/>
      <c r="F801" s="2"/>
      <c r="G801" s="2"/>
      <c r="H801" s="2"/>
      <c r="I801" s="2"/>
      <c r="J801" s="2"/>
      <c r="K801" s="2"/>
      <c r="L801" s="2"/>
      <c r="M801" s="2"/>
      <c r="N801" s="2"/>
      <c r="O801" s="2"/>
      <c r="P801" s="2"/>
      <c r="Q801" s="23"/>
      <c r="R801" s="23"/>
      <c r="S801" s="23"/>
      <c r="T801" s="23"/>
      <c r="U801" s="23"/>
      <c r="V801" s="23"/>
      <c r="W801" s="23"/>
      <c r="X801" s="23"/>
      <c r="Y801" s="23"/>
      <c r="Z801" s="23"/>
    </row>
    <row r="802">
      <c r="A802" s="2"/>
      <c r="B802" s="2"/>
      <c r="C802" s="2"/>
      <c r="D802" s="2"/>
      <c r="E802" s="2"/>
      <c r="F802" s="2"/>
      <c r="G802" s="2"/>
      <c r="H802" s="2"/>
      <c r="I802" s="2"/>
      <c r="J802" s="2"/>
      <c r="K802" s="2"/>
      <c r="L802" s="2"/>
      <c r="M802" s="2"/>
      <c r="N802" s="2"/>
      <c r="O802" s="2"/>
      <c r="P802" s="2"/>
      <c r="Q802" s="23"/>
      <c r="R802" s="23"/>
      <c r="S802" s="23"/>
      <c r="T802" s="23"/>
      <c r="U802" s="23"/>
      <c r="V802" s="23"/>
      <c r="W802" s="23"/>
      <c r="X802" s="23"/>
      <c r="Y802" s="23"/>
      <c r="Z802" s="23"/>
    </row>
    <row r="803">
      <c r="A803" s="2"/>
      <c r="B803" s="2"/>
      <c r="C803" s="2"/>
      <c r="D803" s="2"/>
      <c r="E803" s="2"/>
      <c r="F803" s="2"/>
      <c r="G803" s="2"/>
      <c r="H803" s="2"/>
      <c r="I803" s="2"/>
      <c r="J803" s="2"/>
      <c r="K803" s="2"/>
      <c r="L803" s="2"/>
      <c r="M803" s="2"/>
      <c r="N803" s="2"/>
      <c r="O803" s="2"/>
      <c r="P803" s="2"/>
      <c r="Q803" s="23"/>
      <c r="R803" s="23"/>
      <c r="S803" s="23"/>
      <c r="T803" s="23"/>
      <c r="U803" s="23"/>
      <c r="V803" s="23"/>
      <c r="W803" s="23"/>
      <c r="X803" s="23"/>
      <c r="Y803" s="23"/>
      <c r="Z803" s="23"/>
    </row>
    <row r="804">
      <c r="A804" s="2"/>
      <c r="B804" s="2"/>
      <c r="C804" s="2"/>
      <c r="D804" s="2"/>
      <c r="E804" s="2"/>
      <c r="F804" s="2"/>
      <c r="G804" s="2"/>
      <c r="H804" s="2"/>
      <c r="I804" s="2"/>
      <c r="J804" s="2"/>
      <c r="K804" s="2"/>
      <c r="L804" s="2"/>
      <c r="M804" s="2"/>
      <c r="N804" s="2"/>
      <c r="O804" s="2"/>
      <c r="P804" s="2"/>
      <c r="Q804" s="23"/>
      <c r="R804" s="23"/>
      <c r="S804" s="23"/>
      <c r="T804" s="23"/>
      <c r="U804" s="23"/>
      <c r="V804" s="23"/>
      <c r="W804" s="23"/>
      <c r="X804" s="23"/>
      <c r="Y804" s="23"/>
      <c r="Z804" s="23"/>
    </row>
    <row r="805">
      <c r="A805" s="2"/>
      <c r="B805" s="2"/>
      <c r="C805" s="2"/>
      <c r="D805" s="2"/>
      <c r="E805" s="2"/>
      <c r="F805" s="2"/>
      <c r="G805" s="2"/>
      <c r="H805" s="2"/>
      <c r="I805" s="2"/>
      <c r="J805" s="2"/>
      <c r="K805" s="2"/>
      <c r="L805" s="2"/>
      <c r="M805" s="2"/>
      <c r="N805" s="2"/>
      <c r="O805" s="2"/>
      <c r="P805" s="2"/>
      <c r="Q805" s="23"/>
      <c r="R805" s="23"/>
      <c r="S805" s="23"/>
      <c r="T805" s="23"/>
      <c r="U805" s="23"/>
      <c r="V805" s="23"/>
      <c r="W805" s="23"/>
      <c r="X805" s="23"/>
      <c r="Y805" s="23"/>
      <c r="Z805" s="23"/>
    </row>
    <row r="806">
      <c r="A806" s="2"/>
      <c r="B806" s="2"/>
      <c r="C806" s="2"/>
      <c r="D806" s="2"/>
      <c r="E806" s="2"/>
      <c r="F806" s="2"/>
      <c r="G806" s="2"/>
      <c r="H806" s="2"/>
      <c r="I806" s="2"/>
      <c r="J806" s="2"/>
      <c r="K806" s="2"/>
      <c r="L806" s="2"/>
      <c r="M806" s="2"/>
      <c r="N806" s="2"/>
      <c r="O806" s="2"/>
      <c r="P806" s="2"/>
      <c r="Q806" s="23"/>
      <c r="R806" s="23"/>
      <c r="S806" s="23"/>
      <c r="T806" s="23"/>
      <c r="U806" s="23"/>
      <c r="V806" s="23"/>
      <c r="W806" s="23"/>
      <c r="X806" s="23"/>
      <c r="Y806" s="23"/>
      <c r="Z806" s="23"/>
    </row>
    <row r="807">
      <c r="A807" s="2"/>
      <c r="B807" s="2"/>
      <c r="C807" s="2"/>
      <c r="D807" s="2"/>
      <c r="E807" s="2"/>
      <c r="F807" s="2"/>
      <c r="G807" s="2"/>
      <c r="H807" s="2"/>
      <c r="I807" s="2"/>
      <c r="J807" s="2"/>
      <c r="K807" s="2"/>
      <c r="L807" s="2"/>
      <c r="M807" s="2"/>
      <c r="N807" s="2"/>
      <c r="O807" s="2"/>
      <c r="P807" s="2"/>
      <c r="Q807" s="23"/>
      <c r="R807" s="23"/>
      <c r="S807" s="23"/>
      <c r="T807" s="23"/>
      <c r="U807" s="23"/>
      <c r="V807" s="23"/>
      <c r="W807" s="23"/>
      <c r="X807" s="23"/>
      <c r="Y807" s="23"/>
      <c r="Z807" s="23"/>
    </row>
    <row r="808">
      <c r="A808" s="2"/>
      <c r="B808" s="2"/>
      <c r="C808" s="2"/>
      <c r="D808" s="2"/>
      <c r="E808" s="2"/>
      <c r="F808" s="2"/>
      <c r="G808" s="2"/>
      <c r="H808" s="2"/>
      <c r="I808" s="2"/>
      <c r="J808" s="2"/>
      <c r="K808" s="2"/>
      <c r="L808" s="2"/>
      <c r="M808" s="2"/>
      <c r="N808" s="2"/>
      <c r="O808" s="2"/>
      <c r="P808" s="2"/>
      <c r="Q808" s="23"/>
      <c r="R808" s="23"/>
      <c r="S808" s="23"/>
      <c r="T808" s="23"/>
      <c r="U808" s="23"/>
      <c r="V808" s="23"/>
      <c r="W808" s="23"/>
      <c r="X808" s="23"/>
      <c r="Y808" s="23"/>
      <c r="Z808" s="23"/>
    </row>
    <row r="809">
      <c r="A809" s="2"/>
      <c r="B809" s="2"/>
      <c r="C809" s="2"/>
      <c r="D809" s="2"/>
      <c r="E809" s="2"/>
      <c r="F809" s="2"/>
      <c r="G809" s="2"/>
      <c r="H809" s="2"/>
      <c r="I809" s="2"/>
      <c r="J809" s="2"/>
      <c r="K809" s="2"/>
      <c r="L809" s="2"/>
      <c r="M809" s="2"/>
      <c r="N809" s="2"/>
      <c r="O809" s="2"/>
      <c r="P809" s="2"/>
      <c r="Q809" s="23"/>
      <c r="R809" s="23"/>
      <c r="S809" s="23"/>
      <c r="T809" s="23"/>
      <c r="U809" s="23"/>
      <c r="V809" s="23"/>
      <c r="W809" s="23"/>
      <c r="X809" s="23"/>
      <c r="Y809" s="23"/>
      <c r="Z809" s="23"/>
    </row>
    <row r="810">
      <c r="A810" s="2"/>
      <c r="B810" s="2"/>
      <c r="C810" s="2"/>
      <c r="D810" s="2"/>
      <c r="E810" s="2"/>
      <c r="F810" s="2"/>
      <c r="G810" s="2"/>
      <c r="H810" s="2"/>
      <c r="I810" s="2"/>
      <c r="J810" s="2"/>
      <c r="K810" s="2"/>
      <c r="L810" s="2"/>
      <c r="M810" s="2"/>
      <c r="N810" s="2"/>
      <c r="O810" s="2"/>
      <c r="P810" s="2"/>
      <c r="Q810" s="23"/>
      <c r="R810" s="23"/>
      <c r="S810" s="23"/>
      <c r="T810" s="23"/>
      <c r="U810" s="23"/>
      <c r="V810" s="23"/>
      <c r="W810" s="23"/>
      <c r="X810" s="23"/>
      <c r="Y810" s="23"/>
      <c r="Z810" s="23"/>
    </row>
    <row r="811">
      <c r="A811" s="2"/>
      <c r="B811" s="2"/>
      <c r="C811" s="2"/>
      <c r="D811" s="2"/>
      <c r="E811" s="2"/>
      <c r="F811" s="2"/>
      <c r="G811" s="2"/>
      <c r="H811" s="2"/>
      <c r="I811" s="2"/>
      <c r="J811" s="2"/>
      <c r="K811" s="2"/>
      <c r="L811" s="2"/>
      <c r="M811" s="2"/>
      <c r="N811" s="2"/>
      <c r="O811" s="2"/>
      <c r="P811" s="2"/>
      <c r="Q811" s="23"/>
      <c r="R811" s="23"/>
      <c r="S811" s="23"/>
      <c r="T811" s="23"/>
      <c r="U811" s="23"/>
      <c r="V811" s="23"/>
      <c r="W811" s="23"/>
      <c r="X811" s="23"/>
      <c r="Y811" s="23"/>
      <c r="Z811" s="23"/>
    </row>
    <row r="812">
      <c r="A812" s="2"/>
      <c r="B812" s="2"/>
      <c r="C812" s="2"/>
      <c r="D812" s="2"/>
      <c r="E812" s="2"/>
      <c r="F812" s="2"/>
      <c r="G812" s="2"/>
      <c r="H812" s="2"/>
      <c r="I812" s="2"/>
      <c r="J812" s="2"/>
      <c r="K812" s="2"/>
      <c r="L812" s="2"/>
      <c r="M812" s="2"/>
      <c r="N812" s="2"/>
      <c r="O812" s="2"/>
      <c r="P812" s="2"/>
      <c r="Q812" s="23"/>
      <c r="R812" s="23"/>
      <c r="S812" s="23"/>
      <c r="T812" s="23"/>
      <c r="U812" s="23"/>
      <c r="V812" s="23"/>
      <c r="W812" s="23"/>
      <c r="X812" s="23"/>
      <c r="Y812" s="23"/>
      <c r="Z812" s="23"/>
    </row>
    <row r="813">
      <c r="A813" s="2"/>
      <c r="B813" s="2"/>
      <c r="C813" s="2"/>
      <c r="D813" s="2"/>
      <c r="E813" s="2"/>
      <c r="F813" s="2"/>
      <c r="G813" s="2"/>
      <c r="H813" s="2"/>
      <c r="I813" s="2"/>
      <c r="J813" s="2"/>
      <c r="K813" s="2"/>
      <c r="L813" s="2"/>
      <c r="M813" s="2"/>
      <c r="N813" s="2"/>
      <c r="O813" s="2"/>
      <c r="P813" s="2"/>
      <c r="Q813" s="23"/>
      <c r="R813" s="23"/>
      <c r="S813" s="23"/>
      <c r="T813" s="23"/>
      <c r="U813" s="23"/>
      <c r="V813" s="23"/>
      <c r="W813" s="23"/>
      <c r="X813" s="23"/>
      <c r="Y813" s="23"/>
      <c r="Z813" s="23"/>
    </row>
    <row r="814">
      <c r="A814" s="2"/>
      <c r="B814" s="2"/>
      <c r="C814" s="2"/>
      <c r="D814" s="2"/>
      <c r="E814" s="2"/>
      <c r="F814" s="2"/>
      <c r="G814" s="2"/>
      <c r="H814" s="2"/>
      <c r="I814" s="2"/>
      <c r="J814" s="2"/>
      <c r="K814" s="2"/>
      <c r="L814" s="2"/>
      <c r="M814" s="2"/>
      <c r="N814" s="2"/>
      <c r="O814" s="2"/>
      <c r="P814" s="2"/>
      <c r="Q814" s="23"/>
      <c r="R814" s="23"/>
      <c r="S814" s="23"/>
      <c r="T814" s="23"/>
      <c r="U814" s="23"/>
      <c r="V814" s="23"/>
      <c r="W814" s="23"/>
      <c r="X814" s="23"/>
      <c r="Y814" s="23"/>
      <c r="Z814" s="23"/>
    </row>
    <row r="815">
      <c r="A815" s="2"/>
      <c r="B815" s="2"/>
      <c r="C815" s="2"/>
      <c r="D815" s="2"/>
      <c r="E815" s="2"/>
      <c r="F815" s="2"/>
      <c r="G815" s="2"/>
      <c r="H815" s="2"/>
      <c r="I815" s="2"/>
      <c r="J815" s="2"/>
      <c r="K815" s="2"/>
      <c r="L815" s="2"/>
      <c r="M815" s="2"/>
      <c r="N815" s="2"/>
      <c r="O815" s="2"/>
      <c r="P815" s="2"/>
      <c r="Q815" s="23"/>
      <c r="R815" s="23"/>
      <c r="S815" s="23"/>
      <c r="T815" s="23"/>
      <c r="U815" s="23"/>
      <c r="V815" s="23"/>
      <c r="W815" s="23"/>
      <c r="X815" s="23"/>
      <c r="Y815" s="23"/>
      <c r="Z815" s="23"/>
    </row>
    <row r="816">
      <c r="A816" s="2"/>
      <c r="B816" s="2"/>
      <c r="C816" s="2"/>
      <c r="D816" s="2"/>
      <c r="E816" s="2"/>
      <c r="F816" s="2"/>
      <c r="G816" s="2"/>
      <c r="H816" s="2"/>
      <c r="I816" s="2"/>
      <c r="J816" s="2"/>
      <c r="K816" s="2"/>
      <c r="L816" s="2"/>
      <c r="M816" s="2"/>
      <c r="N816" s="2"/>
      <c r="O816" s="2"/>
      <c r="P816" s="2"/>
      <c r="Q816" s="23"/>
      <c r="R816" s="23"/>
      <c r="S816" s="23"/>
      <c r="T816" s="23"/>
      <c r="U816" s="23"/>
      <c r="V816" s="23"/>
      <c r="W816" s="23"/>
      <c r="X816" s="23"/>
      <c r="Y816" s="23"/>
      <c r="Z816" s="23"/>
    </row>
    <row r="817">
      <c r="A817" s="2"/>
      <c r="B817" s="2"/>
      <c r="C817" s="2"/>
      <c r="D817" s="2"/>
      <c r="E817" s="2"/>
      <c r="F817" s="2"/>
      <c r="G817" s="2"/>
      <c r="H817" s="2"/>
      <c r="I817" s="2"/>
      <c r="J817" s="2"/>
      <c r="K817" s="2"/>
      <c r="L817" s="2"/>
      <c r="M817" s="2"/>
      <c r="N817" s="2"/>
      <c r="O817" s="2"/>
      <c r="P817" s="2"/>
      <c r="Q817" s="23"/>
      <c r="R817" s="23"/>
      <c r="S817" s="23"/>
      <c r="T817" s="23"/>
      <c r="U817" s="23"/>
      <c r="V817" s="23"/>
      <c r="W817" s="23"/>
      <c r="X817" s="23"/>
      <c r="Y817" s="23"/>
      <c r="Z817" s="23"/>
    </row>
    <row r="818">
      <c r="A818" s="2"/>
      <c r="B818" s="2"/>
      <c r="C818" s="2"/>
      <c r="D818" s="2"/>
      <c r="E818" s="2"/>
      <c r="F818" s="2"/>
      <c r="G818" s="2"/>
      <c r="H818" s="2"/>
      <c r="I818" s="2"/>
      <c r="J818" s="2"/>
      <c r="K818" s="2"/>
      <c r="L818" s="2"/>
      <c r="M818" s="2"/>
      <c r="N818" s="2"/>
      <c r="O818" s="2"/>
      <c r="P818" s="2"/>
      <c r="Q818" s="23"/>
      <c r="R818" s="23"/>
      <c r="S818" s="23"/>
      <c r="T818" s="23"/>
      <c r="U818" s="23"/>
      <c r="V818" s="23"/>
      <c r="W818" s="23"/>
      <c r="X818" s="23"/>
      <c r="Y818" s="23"/>
      <c r="Z818" s="23"/>
    </row>
    <row r="819">
      <c r="A819" s="2"/>
      <c r="B819" s="2"/>
      <c r="C819" s="2"/>
      <c r="D819" s="2"/>
      <c r="E819" s="2"/>
      <c r="F819" s="2"/>
      <c r="G819" s="2"/>
      <c r="H819" s="2"/>
      <c r="I819" s="2"/>
      <c r="J819" s="2"/>
      <c r="K819" s="2"/>
      <c r="L819" s="2"/>
      <c r="M819" s="2"/>
      <c r="N819" s="2"/>
      <c r="O819" s="2"/>
      <c r="P819" s="2"/>
      <c r="Q819" s="23"/>
      <c r="R819" s="23"/>
      <c r="S819" s="23"/>
      <c r="T819" s="23"/>
      <c r="U819" s="23"/>
      <c r="V819" s="23"/>
      <c r="W819" s="23"/>
      <c r="X819" s="23"/>
      <c r="Y819" s="23"/>
      <c r="Z819" s="23"/>
    </row>
    <row r="820">
      <c r="A820" s="2"/>
      <c r="B820" s="2"/>
      <c r="C820" s="2"/>
      <c r="D820" s="2"/>
      <c r="E820" s="2"/>
      <c r="F820" s="2"/>
      <c r="G820" s="2"/>
      <c r="H820" s="2"/>
      <c r="I820" s="2"/>
      <c r="J820" s="2"/>
      <c r="K820" s="2"/>
      <c r="L820" s="2"/>
      <c r="M820" s="2"/>
      <c r="N820" s="2"/>
      <c r="O820" s="2"/>
      <c r="P820" s="2"/>
      <c r="Q820" s="23"/>
      <c r="R820" s="23"/>
      <c r="S820" s="23"/>
      <c r="T820" s="23"/>
      <c r="U820" s="23"/>
      <c r="V820" s="23"/>
      <c r="W820" s="23"/>
      <c r="X820" s="23"/>
      <c r="Y820" s="23"/>
      <c r="Z820" s="23"/>
    </row>
    <row r="821">
      <c r="A821" s="2"/>
      <c r="B821" s="2"/>
      <c r="C821" s="2"/>
      <c r="D821" s="2"/>
      <c r="E821" s="2"/>
      <c r="F821" s="2"/>
      <c r="G821" s="2"/>
      <c r="H821" s="2"/>
      <c r="I821" s="2"/>
      <c r="J821" s="2"/>
      <c r="K821" s="2"/>
      <c r="L821" s="2"/>
      <c r="M821" s="2"/>
      <c r="N821" s="2"/>
      <c r="O821" s="2"/>
      <c r="P821" s="2"/>
      <c r="Q821" s="23"/>
      <c r="R821" s="23"/>
      <c r="S821" s="23"/>
      <c r="T821" s="23"/>
      <c r="U821" s="23"/>
      <c r="V821" s="23"/>
      <c r="W821" s="23"/>
      <c r="X821" s="23"/>
      <c r="Y821" s="23"/>
      <c r="Z821" s="23"/>
    </row>
    <row r="822">
      <c r="A822" s="2"/>
      <c r="B822" s="2"/>
      <c r="C822" s="2"/>
      <c r="D822" s="2"/>
      <c r="E822" s="2"/>
      <c r="F822" s="2"/>
      <c r="G822" s="2"/>
      <c r="H822" s="2"/>
      <c r="I822" s="2"/>
      <c r="J822" s="2"/>
      <c r="K822" s="2"/>
      <c r="L822" s="2"/>
      <c r="M822" s="2"/>
      <c r="N822" s="2"/>
      <c r="O822" s="2"/>
      <c r="P822" s="2"/>
      <c r="Q822" s="23"/>
      <c r="R822" s="23"/>
      <c r="S822" s="23"/>
      <c r="T822" s="23"/>
      <c r="U822" s="23"/>
      <c r="V822" s="23"/>
      <c r="W822" s="23"/>
      <c r="X822" s="23"/>
      <c r="Y822" s="23"/>
      <c r="Z822" s="23"/>
    </row>
    <row r="823">
      <c r="A823" s="2"/>
      <c r="B823" s="2"/>
      <c r="C823" s="2"/>
      <c r="D823" s="2"/>
      <c r="E823" s="2"/>
      <c r="F823" s="2"/>
      <c r="G823" s="2"/>
      <c r="H823" s="2"/>
      <c r="I823" s="2"/>
      <c r="J823" s="2"/>
      <c r="K823" s="2"/>
      <c r="L823" s="2"/>
      <c r="M823" s="2"/>
      <c r="N823" s="2"/>
      <c r="O823" s="2"/>
      <c r="P823" s="2"/>
      <c r="Q823" s="23"/>
      <c r="R823" s="23"/>
      <c r="S823" s="23"/>
      <c r="T823" s="23"/>
      <c r="U823" s="23"/>
      <c r="V823" s="23"/>
      <c r="W823" s="23"/>
      <c r="X823" s="23"/>
      <c r="Y823" s="23"/>
      <c r="Z823" s="23"/>
    </row>
    <row r="824">
      <c r="A824" s="2"/>
      <c r="B824" s="2"/>
      <c r="C824" s="2"/>
      <c r="D824" s="2"/>
      <c r="E824" s="2"/>
      <c r="F824" s="2"/>
      <c r="G824" s="2"/>
      <c r="H824" s="2"/>
      <c r="I824" s="2"/>
      <c r="J824" s="2"/>
      <c r="K824" s="2"/>
      <c r="L824" s="2"/>
      <c r="M824" s="2"/>
      <c r="N824" s="2"/>
      <c r="O824" s="2"/>
      <c r="P824" s="2"/>
      <c r="Q824" s="23"/>
      <c r="R824" s="23"/>
      <c r="S824" s="23"/>
      <c r="T824" s="23"/>
      <c r="U824" s="23"/>
      <c r="V824" s="23"/>
      <c r="W824" s="23"/>
      <c r="X824" s="23"/>
      <c r="Y824" s="23"/>
      <c r="Z824" s="23"/>
    </row>
    <row r="825">
      <c r="A825" s="2"/>
      <c r="B825" s="2"/>
      <c r="C825" s="2"/>
      <c r="D825" s="2"/>
      <c r="E825" s="2"/>
      <c r="F825" s="2"/>
      <c r="G825" s="2"/>
      <c r="H825" s="2"/>
      <c r="I825" s="2"/>
      <c r="J825" s="2"/>
      <c r="K825" s="2"/>
      <c r="L825" s="2"/>
      <c r="M825" s="2"/>
      <c r="N825" s="2"/>
      <c r="O825" s="2"/>
      <c r="P825" s="2"/>
      <c r="Q825" s="23"/>
      <c r="R825" s="23"/>
      <c r="S825" s="23"/>
      <c r="T825" s="23"/>
      <c r="U825" s="23"/>
      <c r="V825" s="23"/>
      <c r="W825" s="23"/>
      <c r="X825" s="23"/>
      <c r="Y825" s="23"/>
      <c r="Z825" s="23"/>
    </row>
    <row r="826">
      <c r="A826" s="2"/>
      <c r="B826" s="2"/>
      <c r="C826" s="2"/>
      <c r="D826" s="2"/>
      <c r="E826" s="2"/>
      <c r="F826" s="2"/>
      <c r="G826" s="2"/>
      <c r="H826" s="2"/>
      <c r="I826" s="2"/>
      <c r="J826" s="2"/>
      <c r="K826" s="2"/>
      <c r="L826" s="2"/>
      <c r="M826" s="2"/>
      <c r="N826" s="2"/>
      <c r="O826" s="2"/>
      <c r="P826" s="2"/>
      <c r="Q826" s="23"/>
      <c r="R826" s="23"/>
      <c r="S826" s="23"/>
      <c r="T826" s="23"/>
      <c r="U826" s="23"/>
      <c r="V826" s="23"/>
      <c r="W826" s="23"/>
      <c r="X826" s="23"/>
      <c r="Y826" s="23"/>
      <c r="Z826" s="23"/>
    </row>
    <row r="827">
      <c r="A827" s="2"/>
      <c r="B827" s="2"/>
      <c r="C827" s="2"/>
      <c r="D827" s="2"/>
      <c r="E827" s="2"/>
      <c r="F827" s="2"/>
      <c r="G827" s="2"/>
      <c r="H827" s="2"/>
      <c r="I827" s="2"/>
      <c r="J827" s="2"/>
      <c r="K827" s="2"/>
      <c r="L827" s="2"/>
      <c r="M827" s="2"/>
      <c r="N827" s="2"/>
      <c r="O827" s="2"/>
      <c r="P827" s="2"/>
      <c r="Q827" s="23"/>
      <c r="R827" s="23"/>
      <c r="S827" s="23"/>
      <c r="T827" s="23"/>
      <c r="U827" s="23"/>
      <c r="V827" s="23"/>
      <c r="W827" s="23"/>
      <c r="X827" s="23"/>
      <c r="Y827" s="23"/>
      <c r="Z827" s="23"/>
    </row>
    <row r="828">
      <c r="A828" s="2"/>
      <c r="B828" s="2"/>
      <c r="C828" s="2"/>
      <c r="D828" s="2"/>
      <c r="E828" s="2"/>
      <c r="F828" s="2"/>
      <c r="G828" s="2"/>
      <c r="H828" s="2"/>
      <c r="I828" s="2"/>
      <c r="J828" s="2"/>
      <c r="K828" s="2"/>
      <c r="L828" s="2"/>
      <c r="M828" s="2"/>
      <c r="N828" s="2"/>
      <c r="O828" s="2"/>
      <c r="P828" s="2"/>
      <c r="Q828" s="23"/>
      <c r="R828" s="23"/>
      <c r="S828" s="23"/>
      <c r="T828" s="23"/>
      <c r="U828" s="23"/>
      <c r="V828" s="23"/>
      <c r="W828" s="23"/>
      <c r="X828" s="23"/>
      <c r="Y828" s="23"/>
      <c r="Z828" s="23"/>
    </row>
    <row r="829">
      <c r="A829" s="2"/>
      <c r="B829" s="2"/>
      <c r="C829" s="2"/>
      <c r="D829" s="2"/>
      <c r="E829" s="2"/>
      <c r="F829" s="2"/>
      <c r="G829" s="2"/>
      <c r="H829" s="2"/>
      <c r="I829" s="2"/>
      <c r="J829" s="2"/>
      <c r="K829" s="2"/>
      <c r="L829" s="2"/>
      <c r="M829" s="2"/>
      <c r="N829" s="2"/>
      <c r="O829" s="2"/>
      <c r="P829" s="2"/>
      <c r="Q829" s="23"/>
      <c r="R829" s="23"/>
      <c r="S829" s="23"/>
      <c r="T829" s="23"/>
      <c r="U829" s="23"/>
      <c r="V829" s="23"/>
      <c r="W829" s="23"/>
      <c r="X829" s="23"/>
      <c r="Y829" s="23"/>
      <c r="Z829" s="23"/>
    </row>
    <row r="830">
      <c r="A830" s="2"/>
      <c r="B830" s="2"/>
      <c r="C830" s="2"/>
      <c r="D830" s="2"/>
      <c r="E830" s="2"/>
      <c r="F830" s="2"/>
      <c r="G830" s="2"/>
      <c r="H830" s="2"/>
      <c r="I830" s="2"/>
      <c r="J830" s="2"/>
      <c r="K830" s="2"/>
      <c r="L830" s="2"/>
      <c r="M830" s="2"/>
      <c r="N830" s="2"/>
      <c r="O830" s="2"/>
      <c r="P830" s="2"/>
      <c r="Q830" s="23"/>
      <c r="R830" s="23"/>
      <c r="S830" s="23"/>
      <c r="T830" s="23"/>
      <c r="U830" s="23"/>
      <c r="V830" s="23"/>
      <c r="W830" s="23"/>
      <c r="X830" s="23"/>
      <c r="Y830" s="23"/>
      <c r="Z830" s="23"/>
    </row>
    <row r="831">
      <c r="A831" s="2"/>
      <c r="B831" s="2"/>
      <c r="C831" s="2"/>
      <c r="D831" s="2"/>
      <c r="E831" s="2"/>
      <c r="F831" s="2"/>
      <c r="G831" s="2"/>
      <c r="H831" s="2"/>
      <c r="I831" s="2"/>
      <c r="J831" s="2"/>
      <c r="K831" s="2"/>
      <c r="L831" s="2"/>
      <c r="M831" s="2"/>
      <c r="N831" s="2"/>
      <c r="O831" s="2"/>
      <c r="P831" s="2"/>
      <c r="Q831" s="23"/>
      <c r="R831" s="23"/>
      <c r="S831" s="23"/>
      <c r="T831" s="23"/>
      <c r="U831" s="23"/>
      <c r="V831" s="23"/>
      <c r="W831" s="23"/>
      <c r="X831" s="23"/>
      <c r="Y831" s="23"/>
      <c r="Z831" s="23"/>
    </row>
    <row r="832">
      <c r="A832" s="2"/>
      <c r="B832" s="2"/>
      <c r="C832" s="2"/>
      <c r="D832" s="2"/>
      <c r="E832" s="2"/>
      <c r="F832" s="2"/>
      <c r="G832" s="2"/>
      <c r="H832" s="2"/>
      <c r="I832" s="2"/>
      <c r="J832" s="2"/>
      <c r="K832" s="2"/>
      <c r="L832" s="2"/>
      <c r="M832" s="2"/>
      <c r="N832" s="2"/>
      <c r="O832" s="2"/>
      <c r="P832" s="2"/>
      <c r="Q832" s="23"/>
      <c r="R832" s="23"/>
      <c r="S832" s="23"/>
      <c r="T832" s="23"/>
      <c r="U832" s="23"/>
      <c r="V832" s="23"/>
      <c r="W832" s="23"/>
      <c r="X832" s="23"/>
      <c r="Y832" s="23"/>
      <c r="Z832" s="23"/>
    </row>
    <row r="833">
      <c r="A833" s="2"/>
      <c r="B833" s="2"/>
      <c r="C833" s="2"/>
      <c r="D833" s="2"/>
      <c r="E833" s="2"/>
      <c r="F833" s="2"/>
      <c r="G833" s="2"/>
      <c r="H833" s="2"/>
      <c r="I833" s="2"/>
      <c r="J833" s="2"/>
      <c r="K833" s="2"/>
      <c r="L833" s="2"/>
      <c r="M833" s="2"/>
      <c r="N833" s="2"/>
      <c r="O833" s="2"/>
      <c r="P833" s="2"/>
      <c r="Q833" s="23"/>
      <c r="R833" s="23"/>
      <c r="S833" s="23"/>
      <c r="T833" s="23"/>
      <c r="U833" s="23"/>
      <c r="V833" s="23"/>
      <c r="W833" s="23"/>
      <c r="X833" s="23"/>
      <c r="Y833" s="23"/>
      <c r="Z833" s="23"/>
    </row>
    <row r="834">
      <c r="A834" s="2"/>
      <c r="B834" s="2"/>
      <c r="C834" s="2"/>
      <c r="D834" s="2"/>
      <c r="E834" s="2"/>
      <c r="F834" s="2"/>
      <c r="G834" s="2"/>
      <c r="H834" s="2"/>
      <c r="I834" s="2"/>
      <c r="J834" s="2"/>
      <c r="K834" s="2"/>
      <c r="L834" s="2"/>
      <c r="M834" s="2"/>
      <c r="N834" s="2"/>
      <c r="O834" s="2"/>
      <c r="P834" s="2"/>
      <c r="Q834" s="23"/>
      <c r="R834" s="23"/>
      <c r="S834" s="23"/>
      <c r="T834" s="23"/>
      <c r="U834" s="23"/>
      <c r="V834" s="23"/>
      <c r="W834" s="23"/>
      <c r="X834" s="23"/>
      <c r="Y834" s="23"/>
      <c r="Z834" s="23"/>
    </row>
    <row r="835">
      <c r="A835" s="2"/>
      <c r="B835" s="2"/>
      <c r="C835" s="2"/>
      <c r="D835" s="2"/>
      <c r="E835" s="2"/>
      <c r="F835" s="2"/>
      <c r="G835" s="2"/>
      <c r="H835" s="2"/>
      <c r="I835" s="2"/>
      <c r="J835" s="2"/>
      <c r="K835" s="2"/>
      <c r="L835" s="2"/>
      <c r="M835" s="2"/>
      <c r="N835" s="2"/>
      <c r="O835" s="2"/>
      <c r="P835" s="2"/>
      <c r="Q835" s="23"/>
      <c r="R835" s="23"/>
      <c r="S835" s="23"/>
      <c r="T835" s="23"/>
      <c r="U835" s="23"/>
      <c r="V835" s="23"/>
      <c r="W835" s="23"/>
      <c r="X835" s="23"/>
      <c r="Y835" s="23"/>
      <c r="Z835" s="23"/>
    </row>
    <row r="836">
      <c r="A836" s="2"/>
      <c r="B836" s="2"/>
      <c r="C836" s="2"/>
      <c r="D836" s="2"/>
      <c r="E836" s="2"/>
      <c r="F836" s="2"/>
      <c r="G836" s="2"/>
      <c r="H836" s="2"/>
      <c r="I836" s="2"/>
      <c r="J836" s="2"/>
      <c r="K836" s="2"/>
      <c r="L836" s="2"/>
      <c r="M836" s="2"/>
      <c r="N836" s="2"/>
      <c r="O836" s="2"/>
      <c r="P836" s="2"/>
      <c r="Q836" s="23"/>
      <c r="R836" s="23"/>
      <c r="S836" s="23"/>
      <c r="T836" s="23"/>
      <c r="U836" s="23"/>
      <c r="V836" s="23"/>
      <c r="W836" s="23"/>
      <c r="X836" s="23"/>
      <c r="Y836" s="23"/>
      <c r="Z836" s="23"/>
    </row>
    <row r="837">
      <c r="A837" s="2"/>
      <c r="B837" s="2"/>
      <c r="C837" s="2"/>
      <c r="D837" s="2"/>
      <c r="E837" s="2"/>
      <c r="F837" s="2"/>
      <c r="G837" s="2"/>
      <c r="H837" s="2"/>
      <c r="I837" s="2"/>
      <c r="J837" s="2"/>
      <c r="K837" s="2"/>
      <c r="L837" s="2"/>
      <c r="M837" s="2"/>
      <c r="N837" s="2"/>
      <c r="O837" s="2"/>
      <c r="P837" s="2"/>
      <c r="Q837" s="23"/>
      <c r="R837" s="23"/>
      <c r="S837" s="23"/>
      <c r="T837" s="23"/>
      <c r="U837" s="23"/>
      <c r="V837" s="23"/>
      <c r="W837" s="23"/>
      <c r="X837" s="23"/>
      <c r="Y837" s="23"/>
      <c r="Z837" s="23"/>
    </row>
    <row r="838">
      <c r="A838" s="2"/>
      <c r="B838" s="2"/>
      <c r="C838" s="2"/>
      <c r="D838" s="2"/>
      <c r="E838" s="2"/>
      <c r="F838" s="2"/>
      <c r="G838" s="2"/>
      <c r="H838" s="2"/>
      <c r="I838" s="2"/>
      <c r="J838" s="2"/>
      <c r="K838" s="2"/>
      <c r="L838" s="2"/>
      <c r="M838" s="2"/>
      <c r="N838" s="2"/>
      <c r="O838" s="2"/>
      <c r="P838" s="2"/>
      <c r="Q838" s="23"/>
      <c r="R838" s="23"/>
      <c r="S838" s="23"/>
      <c r="T838" s="23"/>
      <c r="U838" s="23"/>
      <c r="V838" s="23"/>
      <c r="W838" s="23"/>
      <c r="X838" s="23"/>
      <c r="Y838" s="23"/>
      <c r="Z838" s="23"/>
    </row>
    <row r="839">
      <c r="A839" s="2"/>
      <c r="B839" s="2"/>
      <c r="C839" s="2"/>
      <c r="D839" s="2"/>
      <c r="E839" s="2"/>
      <c r="F839" s="2"/>
      <c r="G839" s="2"/>
      <c r="H839" s="2"/>
      <c r="I839" s="2"/>
      <c r="J839" s="2"/>
      <c r="K839" s="2"/>
      <c r="L839" s="2"/>
      <c r="M839" s="2"/>
      <c r="N839" s="2"/>
      <c r="O839" s="2"/>
      <c r="P839" s="2"/>
      <c r="Q839" s="23"/>
      <c r="R839" s="23"/>
      <c r="S839" s="23"/>
      <c r="T839" s="23"/>
      <c r="U839" s="23"/>
      <c r="V839" s="23"/>
      <c r="W839" s="23"/>
      <c r="X839" s="23"/>
      <c r="Y839" s="23"/>
      <c r="Z839" s="23"/>
    </row>
    <row r="840">
      <c r="A840" s="2"/>
      <c r="B840" s="2"/>
      <c r="C840" s="2"/>
      <c r="D840" s="2"/>
      <c r="E840" s="2"/>
      <c r="F840" s="2"/>
      <c r="G840" s="2"/>
      <c r="H840" s="2"/>
      <c r="I840" s="2"/>
      <c r="J840" s="2"/>
      <c r="K840" s="2"/>
      <c r="L840" s="2"/>
      <c r="M840" s="2"/>
      <c r="N840" s="2"/>
      <c r="O840" s="2"/>
      <c r="P840" s="2"/>
      <c r="Q840" s="23"/>
      <c r="R840" s="23"/>
      <c r="S840" s="23"/>
      <c r="T840" s="23"/>
      <c r="U840" s="23"/>
      <c r="V840" s="23"/>
      <c r="W840" s="23"/>
      <c r="X840" s="23"/>
      <c r="Y840" s="23"/>
      <c r="Z840" s="23"/>
    </row>
    <row r="841">
      <c r="A841" s="2"/>
      <c r="B841" s="2"/>
      <c r="C841" s="2"/>
      <c r="D841" s="2"/>
      <c r="E841" s="2"/>
      <c r="F841" s="2"/>
      <c r="G841" s="2"/>
      <c r="H841" s="2"/>
      <c r="I841" s="2"/>
      <c r="J841" s="2"/>
      <c r="K841" s="2"/>
      <c r="L841" s="2"/>
      <c r="M841" s="2"/>
      <c r="N841" s="2"/>
      <c r="O841" s="2"/>
      <c r="P841" s="2"/>
      <c r="Q841" s="23"/>
      <c r="R841" s="23"/>
      <c r="S841" s="23"/>
      <c r="T841" s="23"/>
      <c r="U841" s="23"/>
      <c r="V841" s="23"/>
      <c r="W841" s="23"/>
      <c r="X841" s="23"/>
      <c r="Y841" s="23"/>
      <c r="Z841" s="23"/>
    </row>
    <row r="842">
      <c r="A842" s="2"/>
      <c r="B842" s="2"/>
      <c r="C842" s="2"/>
      <c r="D842" s="2"/>
      <c r="E842" s="2"/>
      <c r="F842" s="2"/>
      <c r="G842" s="2"/>
      <c r="H842" s="2"/>
      <c r="I842" s="2"/>
      <c r="J842" s="2"/>
      <c r="K842" s="2"/>
      <c r="L842" s="2"/>
      <c r="M842" s="2"/>
      <c r="N842" s="2"/>
      <c r="O842" s="2"/>
      <c r="P842" s="2"/>
      <c r="Q842" s="23"/>
      <c r="R842" s="23"/>
      <c r="S842" s="23"/>
      <c r="T842" s="23"/>
      <c r="U842" s="23"/>
      <c r="V842" s="23"/>
      <c r="W842" s="23"/>
      <c r="X842" s="23"/>
      <c r="Y842" s="23"/>
      <c r="Z842" s="23"/>
    </row>
    <row r="843">
      <c r="A843" s="2"/>
      <c r="B843" s="2"/>
      <c r="C843" s="2"/>
      <c r="D843" s="2"/>
      <c r="E843" s="2"/>
      <c r="F843" s="2"/>
      <c r="G843" s="2"/>
      <c r="H843" s="2"/>
      <c r="I843" s="2"/>
      <c r="J843" s="2"/>
      <c r="K843" s="2"/>
      <c r="L843" s="2"/>
      <c r="M843" s="2"/>
      <c r="N843" s="2"/>
      <c r="O843" s="2"/>
      <c r="P843" s="2"/>
      <c r="Q843" s="23"/>
      <c r="R843" s="23"/>
      <c r="S843" s="23"/>
      <c r="T843" s="23"/>
      <c r="U843" s="23"/>
      <c r="V843" s="23"/>
      <c r="W843" s="23"/>
      <c r="X843" s="23"/>
      <c r="Y843" s="23"/>
      <c r="Z843" s="23"/>
    </row>
    <row r="844">
      <c r="A844" s="2"/>
      <c r="B844" s="2"/>
      <c r="C844" s="2"/>
      <c r="D844" s="2"/>
      <c r="E844" s="2"/>
      <c r="F844" s="2"/>
      <c r="G844" s="2"/>
      <c r="H844" s="2"/>
      <c r="I844" s="2"/>
      <c r="J844" s="2"/>
      <c r="K844" s="2"/>
      <c r="L844" s="2"/>
      <c r="M844" s="2"/>
      <c r="N844" s="2"/>
      <c r="O844" s="2"/>
      <c r="P844" s="2"/>
      <c r="Q844" s="23"/>
      <c r="R844" s="23"/>
      <c r="S844" s="23"/>
      <c r="T844" s="23"/>
      <c r="U844" s="23"/>
      <c r="V844" s="23"/>
      <c r="W844" s="23"/>
      <c r="X844" s="23"/>
      <c r="Y844" s="23"/>
      <c r="Z844" s="23"/>
    </row>
    <row r="845">
      <c r="A845" s="2"/>
      <c r="B845" s="2"/>
      <c r="C845" s="2"/>
      <c r="D845" s="2"/>
      <c r="E845" s="2"/>
      <c r="F845" s="2"/>
      <c r="G845" s="2"/>
      <c r="H845" s="2"/>
      <c r="I845" s="2"/>
      <c r="J845" s="2"/>
      <c r="K845" s="2"/>
      <c r="L845" s="2"/>
      <c r="M845" s="2"/>
      <c r="N845" s="2"/>
      <c r="O845" s="2"/>
      <c r="P845" s="2"/>
      <c r="Q845" s="23"/>
      <c r="R845" s="23"/>
      <c r="S845" s="23"/>
      <c r="T845" s="23"/>
      <c r="U845" s="23"/>
      <c r="V845" s="23"/>
      <c r="W845" s="23"/>
      <c r="X845" s="23"/>
      <c r="Y845" s="23"/>
      <c r="Z845" s="23"/>
    </row>
    <row r="846">
      <c r="A846" s="2"/>
      <c r="B846" s="2"/>
      <c r="C846" s="2"/>
      <c r="D846" s="2"/>
      <c r="E846" s="2"/>
      <c r="F846" s="2"/>
      <c r="G846" s="2"/>
      <c r="H846" s="2"/>
      <c r="I846" s="2"/>
      <c r="J846" s="2"/>
      <c r="K846" s="2"/>
      <c r="L846" s="2"/>
      <c r="M846" s="2"/>
      <c r="N846" s="2"/>
      <c r="O846" s="2"/>
      <c r="P846" s="2"/>
      <c r="Q846" s="23"/>
      <c r="R846" s="23"/>
      <c r="S846" s="23"/>
      <c r="T846" s="23"/>
      <c r="U846" s="23"/>
      <c r="V846" s="23"/>
      <c r="W846" s="23"/>
      <c r="X846" s="23"/>
      <c r="Y846" s="23"/>
      <c r="Z846" s="23"/>
    </row>
    <row r="847">
      <c r="A847" s="2"/>
      <c r="B847" s="2"/>
      <c r="C847" s="2"/>
      <c r="D847" s="2"/>
      <c r="E847" s="2"/>
      <c r="F847" s="2"/>
      <c r="G847" s="2"/>
      <c r="H847" s="2"/>
      <c r="I847" s="2"/>
      <c r="J847" s="2"/>
      <c r="K847" s="2"/>
      <c r="L847" s="2"/>
      <c r="M847" s="2"/>
      <c r="N847" s="2"/>
      <c r="O847" s="2"/>
      <c r="P847" s="2"/>
      <c r="Q847" s="23"/>
      <c r="R847" s="23"/>
      <c r="S847" s="23"/>
      <c r="T847" s="23"/>
      <c r="U847" s="23"/>
      <c r="V847" s="23"/>
      <c r="W847" s="23"/>
      <c r="X847" s="23"/>
      <c r="Y847" s="23"/>
      <c r="Z847" s="23"/>
    </row>
    <row r="848">
      <c r="A848" s="2"/>
      <c r="B848" s="2"/>
      <c r="C848" s="2"/>
      <c r="D848" s="2"/>
      <c r="E848" s="2"/>
      <c r="F848" s="2"/>
      <c r="G848" s="2"/>
      <c r="H848" s="2"/>
      <c r="I848" s="2"/>
      <c r="J848" s="2"/>
      <c r="K848" s="2"/>
      <c r="L848" s="2"/>
      <c r="M848" s="2"/>
      <c r="N848" s="2"/>
      <c r="O848" s="2"/>
      <c r="P848" s="2"/>
      <c r="Q848" s="23"/>
      <c r="R848" s="23"/>
      <c r="S848" s="23"/>
      <c r="T848" s="23"/>
      <c r="U848" s="23"/>
      <c r="V848" s="23"/>
      <c r="W848" s="23"/>
      <c r="X848" s="23"/>
      <c r="Y848" s="23"/>
      <c r="Z848" s="23"/>
    </row>
    <row r="849">
      <c r="A849" s="2"/>
      <c r="B849" s="2"/>
      <c r="C849" s="2"/>
      <c r="D849" s="2"/>
      <c r="E849" s="2"/>
      <c r="F849" s="2"/>
      <c r="G849" s="2"/>
      <c r="H849" s="2"/>
      <c r="I849" s="2"/>
      <c r="J849" s="2"/>
      <c r="K849" s="2"/>
      <c r="L849" s="2"/>
      <c r="M849" s="2"/>
      <c r="N849" s="2"/>
      <c r="O849" s="2"/>
      <c r="P849" s="2"/>
      <c r="Q849" s="23"/>
      <c r="R849" s="23"/>
      <c r="S849" s="23"/>
      <c r="T849" s="23"/>
      <c r="U849" s="23"/>
      <c r="V849" s="23"/>
      <c r="W849" s="23"/>
      <c r="X849" s="23"/>
      <c r="Y849" s="23"/>
      <c r="Z849" s="23"/>
    </row>
    <row r="850">
      <c r="A850" s="2"/>
      <c r="B850" s="2"/>
      <c r="C850" s="2"/>
      <c r="D850" s="2"/>
      <c r="E850" s="2"/>
      <c r="F850" s="2"/>
      <c r="G850" s="2"/>
      <c r="H850" s="2"/>
      <c r="I850" s="2"/>
      <c r="J850" s="2"/>
      <c r="K850" s="2"/>
      <c r="L850" s="2"/>
      <c r="M850" s="2"/>
      <c r="N850" s="2"/>
      <c r="O850" s="2"/>
      <c r="P850" s="2"/>
      <c r="Q850" s="23"/>
      <c r="R850" s="23"/>
      <c r="S850" s="23"/>
      <c r="T850" s="23"/>
      <c r="U850" s="23"/>
      <c r="V850" s="23"/>
      <c r="W850" s="23"/>
      <c r="X850" s="23"/>
      <c r="Y850" s="23"/>
      <c r="Z850" s="23"/>
    </row>
    <row r="851">
      <c r="A851" s="2"/>
      <c r="B851" s="2"/>
      <c r="C851" s="2"/>
      <c r="D851" s="2"/>
      <c r="E851" s="2"/>
      <c r="F851" s="2"/>
      <c r="G851" s="2"/>
      <c r="H851" s="2"/>
      <c r="I851" s="2"/>
      <c r="J851" s="2"/>
      <c r="K851" s="2"/>
      <c r="L851" s="2"/>
      <c r="M851" s="2"/>
      <c r="N851" s="2"/>
      <c r="O851" s="2"/>
      <c r="P851" s="2"/>
      <c r="Q851" s="23"/>
      <c r="R851" s="23"/>
      <c r="S851" s="23"/>
      <c r="T851" s="23"/>
      <c r="U851" s="23"/>
      <c r="V851" s="23"/>
      <c r="W851" s="23"/>
      <c r="X851" s="23"/>
      <c r="Y851" s="23"/>
      <c r="Z851" s="23"/>
    </row>
    <row r="852">
      <c r="A852" s="2"/>
      <c r="B852" s="2"/>
      <c r="C852" s="2"/>
      <c r="D852" s="2"/>
      <c r="E852" s="2"/>
      <c r="F852" s="2"/>
      <c r="G852" s="2"/>
      <c r="H852" s="2"/>
      <c r="I852" s="2"/>
      <c r="J852" s="2"/>
      <c r="K852" s="2"/>
      <c r="L852" s="2"/>
      <c r="M852" s="2"/>
      <c r="N852" s="2"/>
      <c r="O852" s="2"/>
      <c r="P852" s="2"/>
      <c r="Q852" s="23"/>
      <c r="R852" s="23"/>
      <c r="S852" s="23"/>
      <c r="T852" s="23"/>
      <c r="U852" s="23"/>
      <c r="V852" s="23"/>
      <c r="W852" s="23"/>
      <c r="X852" s="23"/>
      <c r="Y852" s="23"/>
      <c r="Z852" s="23"/>
    </row>
    <row r="853">
      <c r="A853" s="2"/>
      <c r="B853" s="2"/>
      <c r="C853" s="2"/>
      <c r="D853" s="2"/>
      <c r="E853" s="2"/>
      <c r="F853" s="2"/>
      <c r="G853" s="2"/>
      <c r="H853" s="2"/>
      <c r="I853" s="2"/>
      <c r="J853" s="2"/>
      <c r="K853" s="2"/>
      <c r="L853" s="2"/>
      <c r="M853" s="2"/>
      <c r="N853" s="2"/>
      <c r="O853" s="2"/>
      <c r="P853" s="2"/>
      <c r="Q853" s="23"/>
      <c r="R853" s="23"/>
      <c r="S853" s="23"/>
      <c r="T853" s="23"/>
      <c r="U853" s="23"/>
      <c r="V853" s="23"/>
      <c r="W853" s="23"/>
      <c r="X853" s="23"/>
      <c r="Y853" s="23"/>
      <c r="Z853" s="23"/>
    </row>
    <row r="854">
      <c r="A854" s="2"/>
      <c r="B854" s="2"/>
      <c r="C854" s="2"/>
      <c r="D854" s="2"/>
      <c r="E854" s="2"/>
      <c r="F854" s="2"/>
      <c r="G854" s="2"/>
      <c r="H854" s="2"/>
      <c r="I854" s="2"/>
      <c r="J854" s="2"/>
      <c r="K854" s="2"/>
      <c r="L854" s="2"/>
      <c r="M854" s="2"/>
      <c r="N854" s="2"/>
      <c r="O854" s="2"/>
      <c r="P854" s="2"/>
      <c r="Q854" s="23"/>
      <c r="R854" s="23"/>
      <c r="S854" s="23"/>
      <c r="T854" s="23"/>
      <c r="U854" s="23"/>
      <c r="V854" s="23"/>
      <c r="W854" s="23"/>
      <c r="X854" s="23"/>
      <c r="Y854" s="23"/>
      <c r="Z854" s="23"/>
    </row>
    <row r="855">
      <c r="A855" s="2"/>
      <c r="B855" s="2"/>
      <c r="C855" s="2"/>
      <c r="D855" s="2"/>
      <c r="E855" s="2"/>
      <c r="F855" s="2"/>
      <c r="G855" s="2"/>
      <c r="H855" s="2"/>
      <c r="I855" s="2"/>
      <c r="J855" s="2"/>
      <c r="K855" s="2"/>
      <c r="L855" s="2"/>
      <c r="M855" s="2"/>
      <c r="N855" s="2"/>
      <c r="O855" s="2"/>
      <c r="P855" s="2"/>
      <c r="Q855" s="23"/>
      <c r="R855" s="23"/>
      <c r="S855" s="23"/>
      <c r="T855" s="23"/>
      <c r="U855" s="23"/>
      <c r="V855" s="23"/>
      <c r="W855" s="23"/>
      <c r="X855" s="23"/>
      <c r="Y855" s="23"/>
      <c r="Z855" s="23"/>
    </row>
    <row r="856">
      <c r="A856" s="2"/>
      <c r="B856" s="2"/>
      <c r="C856" s="2"/>
      <c r="D856" s="2"/>
      <c r="E856" s="2"/>
      <c r="F856" s="2"/>
      <c r="G856" s="2"/>
      <c r="H856" s="2"/>
      <c r="I856" s="2"/>
      <c r="J856" s="2"/>
      <c r="K856" s="2"/>
      <c r="L856" s="2"/>
      <c r="M856" s="2"/>
      <c r="N856" s="2"/>
      <c r="O856" s="2"/>
      <c r="P856" s="2"/>
      <c r="Q856" s="23"/>
      <c r="R856" s="23"/>
      <c r="S856" s="23"/>
      <c r="T856" s="23"/>
      <c r="U856" s="23"/>
      <c r="V856" s="23"/>
      <c r="W856" s="23"/>
      <c r="X856" s="23"/>
      <c r="Y856" s="23"/>
      <c r="Z856" s="23"/>
    </row>
    <row r="857">
      <c r="A857" s="2"/>
      <c r="B857" s="2"/>
      <c r="C857" s="2"/>
      <c r="D857" s="2"/>
      <c r="E857" s="2"/>
      <c r="F857" s="2"/>
      <c r="G857" s="2"/>
      <c r="H857" s="2"/>
      <c r="I857" s="2"/>
      <c r="J857" s="2"/>
      <c r="K857" s="2"/>
      <c r="L857" s="2"/>
      <c r="M857" s="2"/>
      <c r="N857" s="2"/>
      <c r="O857" s="2"/>
      <c r="P857" s="2"/>
      <c r="Q857" s="23"/>
      <c r="R857" s="23"/>
      <c r="S857" s="23"/>
      <c r="T857" s="23"/>
      <c r="U857" s="23"/>
      <c r="V857" s="23"/>
      <c r="W857" s="23"/>
      <c r="X857" s="23"/>
      <c r="Y857" s="23"/>
      <c r="Z857" s="23"/>
    </row>
    <row r="858">
      <c r="A858" s="2"/>
      <c r="B858" s="2"/>
      <c r="C858" s="2"/>
      <c r="D858" s="2"/>
      <c r="E858" s="2"/>
      <c r="F858" s="2"/>
      <c r="G858" s="2"/>
      <c r="H858" s="2"/>
      <c r="I858" s="2"/>
      <c r="J858" s="2"/>
      <c r="K858" s="2"/>
      <c r="L858" s="2"/>
      <c r="M858" s="2"/>
      <c r="N858" s="2"/>
      <c r="O858" s="2"/>
      <c r="P858" s="2"/>
      <c r="Q858" s="23"/>
      <c r="R858" s="23"/>
      <c r="S858" s="23"/>
      <c r="T858" s="23"/>
      <c r="U858" s="23"/>
      <c r="V858" s="23"/>
      <c r="W858" s="23"/>
      <c r="X858" s="23"/>
      <c r="Y858" s="23"/>
      <c r="Z858" s="23"/>
    </row>
    <row r="859">
      <c r="A859" s="2"/>
      <c r="B859" s="2"/>
      <c r="C859" s="2"/>
      <c r="D859" s="2"/>
      <c r="E859" s="2"/>
      <c r="F859" s="2"/>
      <c r="G859" s="2"/>
      <c r="H859" s="2"/>
      <c r="I859" s="2"/>
      <c r="J859" s="2"/>
      <c r="K859" s="2"/>
      <c r="L859" s="2"/>
      <c r="M859" s="2"/>
      <c r="N859" s="2"/>
      <c r="O859" s="2"/>
      <c r="P859" s="2"/>
      <c r="Q859" s="23"/>
      <c r="R859" s="23"/>
      <c r="S859" s="23"/>
      <c r="T859" s="23"/>
      <c r="U859" s="23"/>
      <c r="V859" s="23"/>
      <c r="W859" s="23"/>
      <c r="X859" s="23"/>
      <c r="Y859" s="23"/>
      <c r="Z859" s="23"/>
    </row>
    <row r="860">
      <c r="A860" s="2"/>
      <c r="B860" s="2"/>
      <c r="C860" s="2"/>
      <c r="D860" s="2"/>
      <c r="E860" s="2"/>
      <c r="F860" s="2"/>
      <c r="G860" s="2"/>
      <c r="H860" s="2"/>
      <c r="I860" s="2"/>
      <c r="J860" s="2"/>
      <c r="K860" s="2"/>
      <c r="L860" s="2"/>
      <c r="M860" s="2"/>
      <c r="N860" s="2"/>
      <c r="O860" s="2"/>
      <c r="P860" s="2"/>
      <c r="Q860" s="23"/>
      <c r="R860" s="23"/>
      <c r="S860" s="23"/>
      <c r="T860" s="23"/>
      <c r="U860" s="23"/>
      <c r="V860" s="23"/>
      <c r="W860" s="23"/>
      <c r="X860" s="23"/>
      <c r="Y860" s="23"/>
      <c r="Z860" s="23"/>
    </row>
    <row r="861">
      <c r="A861" s="2"/>
      <c r="B861" s="2"/>
      <c r="C861" s="2"/>
      <c r="D861" s="2"/>
      <c r="E861" s="2"/>
      <c r="F861" s="2"/>
      <c r="G861" s="2"/>
      <c r="H861" s="2"/>
      <c r="I861" s="2"/>
      <c r="J861" s="2"/>
      <c r="K861" s="2"/>
      <c r="L861" s="2"/>
      <c r="M861" s="2"/>
      <c r="N861" s="2"/>
      <c r="O861" s="2"/>
      <c r="P861" s="2"/>
      <c r="Q861" s="23"/>
      <c r="R861" s="23"/>
      <c r="S861" s="23"/>
      <c r="T861" s="23"/>
      <c r="U861" s="23"/>
      <c r="V861" s="23"/>
      <c r="W861" s="23"/>
      <c r="X861" s="23"/>
      <c r="Y861" s="23"/>
      <c r="Z861" s="23"/>
    </row>
    <row r="862">
      <c r="A862" s="2"/>
      <c r="B862" s="2"/>
      <c r="C862" s="2"/>
      <c r="D862" s="2"/>
      <c r="E862" s="2"/>
      <c r="F862" s="2"/>
      <c r="G862" s="2"/>
      <c r="H862" s="2"/>
      <c r="I862" s="2"/>
      <c r="J862" s="2"/>
      <c r="K862" s="2"/>
      <c r="L862" s="2"/>
      <c r="M862" s="2"/>
      <c r="N862" s="2"/>
      <c r="O862" s="2"/>
      <c r="P862" s="2"/>
      <c r="Q862" s="23"/>
      <c r="R862" s="23"/>
      <c r="S862" s="23"/>
      <c r="T862" s="23"/>
      <c r="U862" s="23"/>
      <c r="V862" s="23"/>
      <c r="W862" s="23"/>
      <c r="X862" s="23"/>
      <c r="Y862" s="23"/>
      <c r="Z862" s="23"/>
    </row>
    <row r="863">
      <c r="A863" s="2"/>
      <c r="B863" s="2"/>
      <c r="C863" s="2"/>
      <c r="D863" s="2"/>
      <c r="E863" s="2"/>
      <c r="F863" s="2"/>
      <c r="G863" s="2"/>
      <c r="H863" s="2"/>
      <c r="I863" s="2"/>
      <c r="J863" s="2"/>
      <c r="K863" s="2"/>
      <c r="L863" s="2"/>
      <c r="M863" s="2"/>
      <c r="N863" s="2"/>
      <c r="O863" s="2"/>
      <c r="P863" s="2"/>
      <c r="Q863" s="23"/>
      <c r="R863" s="23"/>
      <c r="S863" s="23"/>
      <c r="T863" s="23"/>
      <c r="U863" s="23"/>
      <c r="V863" s="23"/>
      <c r="W863" s="23"/>
      <c r="X863" s="23"/>
      <c r="Y863" s="23"/>
      <c r="Z863" s="23"/>
    </row>
    <row r="864">
      <c r="A864" s="2"/>
      <c r="B864" s="2"/>
      <c r="C864" s="2"/>
      <c r="D864" s="2"/>
      <c r="E864" s="2"/>
      <c r="F864" s="2"/>
      <c r="G864" s="2"/>
      <c r="H864" s="2"/>
      <c r="I864" s="2"/>
      <c r="J864" s="2"/>
      <c r="K864" s="2"/>
      <c r="L864" s="2"/>
      <c r="M864" s="2"/>
      <c r="N864" s="2"/>
      <c r="O864" s="2"/>
      <c r="P864" s="2"/>
      <c r="Q864" s="23"/>
      <c r="R864" s="23"/>
      <c r="S864" s="23"/>
      <c r="T864" s="23"/>
      <c r="U864" s="23"/>
      <c r="V864" s="23"/>
      <c r="W864" s="23"/>
      <c r="X864" s="23"/>
      <c r="Y864" s="23"/>
      <c r="Z864" s="23"/>
    </row>
    <row r="865">
      <c r="A865" s="2"/>
      <c r="B865" s="2"/>
      <c r="C865" s="2"/>
      <c r="D865" s="2"/>
      <c r="E865" s="2"/>
      <c r="F865" s="2"/>
      <c r="G865" s="2"/>
      <c r="H865" s="2"/>
      <c r="I865" s="2"/>
      <c r="J865" s="2"/>
      <c r="K865" s="2"/>
      <c r="L865" s="2"/>
      <c r="M865" s="2"/>
      <c r="N865" s="2"/>
      <c r="O865" s="2"/>
      <c r="P865" s="2"/>
      <c r="Q865" s="23"/>
      <c r="R865" s="23"/>
      <c r="S865" s="23"/>
      <c r="T865" s="23"/>
      <c r="U865" s="23"/>
      <c r="V865" s="23"/>
      <c r="W865" s="23"/>
      <c r="X865" s="23"/>
      <c r="Y865" s="23"/>
      <c r="Z865" s="23"/>
    </row>
    <row r="866">
      <c r="A866" s="2"/>
      <c r="B866" s="2"/>
      <c r="C866" s="2"/>
      <c r="D866" s="2"/>
      <c r="E866" s="2"/>
      <c r="F866" s="2"/>
      <c r="G866" s="2"/>
      <c r="H866" s="2"/>
      <c r="I866" s="2"/>
      <c r="J866" s="2"/>
      <c r="K866" s="2"/>
      <c r="L866" s="2"/>
      <c r="M866" s="2"/>
      <c r="N866" s="2"/>
      <c r="O866" s="2"/>
      <c r="P866" s="2"/>
      <c r="Q866" s="23"/>
      <c r="R866" s="23"/>
      <c r="S866" s="23"/>
      <c r="T866" s="23"/>
      <c r="U866" s="23"/>
      <c r="V866" s="23"/>
      <c r="W866" s="23"/>
      <c r="X866" s="23"/>
      <c r="Y866" s="23"/>
      <c r="Z866" s="23"/>
    </row>
    <row r="867">
      <c r="A867" s="2"/>
      <c r="B867" s="2"/>
      <c r="C867" s="2"/>
      <c r="D867" s="2"/>
      <c r="E867" s="2"/>
      <c r="F867" s="2"/>
      <c r="G867" s="2"/>
      <c r="H867" s="2"/>
      <c r="I867" s="2"/>
      <c r="J867" s="2"/>
      <c r="K867" s="2"/>
      <c r="L867" s="2"/>
      <c r="M867" s="2"/>
      <c r="N867" s="2"/>
      <c r="O867" s="2"/>
      <c r="P867" s="2"/>
      <c r="Q867" s="23"/>
      <c r="R867" s="23"/>
      <c r="S867" s="23"/>
      <c r="T867" s="23"/>
      <c r="U867" s="23"/>
      <c r="V867" s="23"/>
      <c r="W867" s="23"/>
      <c r="X867" s="23"/>
      <c r="Y867" s="23"/>
      <c r="Z867" s="23"/>
    </row>
    <row r="868">
      <c r="A868" s="2"/>
      <c r="B868" s="2"/>
      <c r="C868" s="2"/>
      <c r="D868" s="2"/>
      <c r="E868" s="2"/>
      <c r="F868" s="2"/>
      <c r="G868" s="2"/>
      <c r="H868" s="2"/>
      <c r="I868" s="2"/>
      <c r="J868" s="2"/>
      <c r="K868" s="2"/>
      <c r="L868" s="2"/>
      <c r="M868" s="2"/>
      <c r="N868" s="2"/>
      <c r="O868" s="2"/>
      <c r="P868" s="2"/>
      <c r="Q868" s="23"/>
      <c r="R868" s="23"/>
      <c r="S868" s="23"/>
      <c r="T868" s="23"/>
      <c r="U868" s="23"/>
      <c r="V868" s="23"/>
      <c r="W868" s="23"/>
      <c r="X868" s="23"/>
      <c r="Y868" s="23"/>
      <c r="Z868" s="23"/>
    </row>
    <row r="869">
      <c r="A869" s="2"/>
      <c r="B869" s="2"/>
      <c r="C869" s="2"/>
      <c r="D869" s="2"/>
      <c r="E869" s="2"/>
      <c r="F869" s="2"/>
      <c r="G869" s="2"/>
      <c r="H869" s="2"/>
      <c r="I869" s="2"/>
      <c r="J869" s="2"/>
      <c r="K869" s="2"/>
      <c r="L869" s="2"/>
      <c r="M869" s="2"/>
      <c r="N869" s="2"/>
      <c r="O869" s="2"/>
      <c r="P869" s="2"/>
      <c r="Q869" s="23"/>
      <c r="R869" s="23"/>
      <c r="S869" s="23"/>
      <c r="T869" s="23"/>
      <c r="U869" s="23"/>
      <c r="V869" s="23"/>
      <c r="W869" s="23"/>
      <c r="X869" s="23"/>
      <c r="Y869" s="23"/>
      <c r="Z869" s="23"/>
    </row>
    <row r="870">
      <c r="A870" s="2"/>
      <c r="B870" s="2"/>
      <c r="C870" s="2"/>
      <c r="D870" s="2"/>
      <c r="E870" s="2"/>
      <c r="F870" s="2"/>
      <c r="G870" s="2"/>
      <c r="H870" s="2"/>
      <c r="I870" s="2"/>
      <c r="J870" s="2"/>
      <c r="K870" s="2"/>
      <c r="L870" s="2"/>
      <c r="M870" s="2"/>
      <c r="N870" s="2"/>
      <c r="O870" s="2"/>
      <c r="P870" s="2"/>
      <c r="Q870" s="23"/>
      <c r="R870" s="23"/>
      <c r="S870" s="23"/>
      <c r="T870" s="23"/>
      <c r="U870" s="23"/>
      <c r="V870" s="23"/>
      <c r="W870" s="23"/>
      <c r="X870" s="23"/>
      <c r="Y870" s="23"/>
      <c r="Z870" s="23"/>
    </row>
    <row r="871">
      <c r="A871" s="2"/>
      <c r="B871" s="2"/>
      <c r="C871" s="2"/>
      <c r="D871" s="2"/>
      <c r="E871" s="2"/>
      <c r="F871" s="2"/>
      <c r="G871" s="2"/>
      <c r="H871" s="2"/>
      <c r="I871" s="2"/>
      <c r="J871" s="2"/>
      <c r="K871" s="2"/>
      <c r="L871" s="2"/>
      <c r="M871" s="2"/>
      <c r="N871" s="2"/>
      <c r="O871" s="2"/>
      <c r="P871" s="2"/>
      <c r="Q871" s="23"/>
      <c r="R871" s="23"/>
      <c r="S871" s="23"/>
      <c r="T871" s="23"/>
      <c r="U871" s="23"/>
      <c r="V871" s="23"/>
      <c r="W871" s="23"/>
      <c r="X871" s="23"/>
      <c r="Y871" s="23"/>
      <c r="Z871" s="23"/>
    </row>
    <row r="872">
      <c r="A872" s="2"/>
      <c r="B872" s="2"/>
      <c r="C872" s="2"/>
      <c r="D872" s="2"/>
      <c r="E872" s="2"/>
      <c r="F872" s="2"/>
      <c r="G872" s="2"/>
      <c r="H872" s="2"/>
      <c r="I872" s="2"/>
      <c r="J872" s="2"/>
      <c r="K872" s="2"/>
      <c r="L872" s="2"/>
      <c r="M872" s="2"/>
      <c r="N872" s="2"/>
      <c r="O872" s="2"/>
      <c r="P872" s="2"/>
      <c r="Q872" s="23"/>
      <c r="R872" s="23"/>
      <c r="S872" s="23"/>
      <c r="T872" s="23"/>
      <c r="U872" s="23"/>
      <c r="V872" s="23"/>
      <c r="W872" s="23"/>
      <c r="X872" s="23"/>
      <c r="Y872" s="23"/>
      <c r="Z872" s="23"/>
    </row>
    <row r="873">
      <c r="A873" s="2"/>
      <c r="B873" s="2"/>
      <c r="C873" s="2"/>
      <c r="D873" s="2"/>
      <c r="E873" s="2"/>
      <c r="F873" s="2"/>
      <c r="G873" s="2"/>
      <c r="H873" s="2"/>
      <c r="I873" s="2"/>
      <c r="J873" s="2"/>
      <c r="K873" s="2"/>
      <c r="L873" s="2"/>
      <c r="M873" s="2"/>
      <c r="N873" s="2"/>
      <c r="O873" s="2"/>
      <c r="P873" s="2"/>
      <c r="Q873" s="23"/>
      <c r="R873" s="23"/>
      <c r="S873" s="23"/>
      <c r="T873" s="23"/>
      <c r="U873" s="23"/>
      <c r="V873" s="23"/>
      <c r="W873" s="23"/>
      <c r="X873" s="23"/>
      <c r="Y873" s="23"/>
      <c r="Z873" s="23"/>
    </row>
    <row r="874">
      <c r="A874" s="2"/>
      <c r="B874" s="2"/>
      <c r="C874" s="2"/>
      <c r="D874" s="2"/>
      <c r="E874" s="2"/>
      <c r="F874" s="2"/>
      <c r="G874" s="2"/>
      <c r="H874" s="2"/>
      <c r="I874" s="2"/>
      <c r="J874" s="2"/>
      <c r="K874" s="2"/>
      <c r="L874" s="2"/>
      <c r="M874" s="2"/>
      <c r="N874" s="2"/>
      <c r="O874" s="2"/>
      <c r="P874" s="2"/>
      <c r="Q874" s="23"/>
      <c r="R874" s="23"/>
      <c r="S874" s="23"/>
      <c r="T874" s="23"/>
      <c r="U874" s="23"/>
      <c r="V874" s="23"/>
      <c r="W874" s="23"/>
      <c r="X874" s="23"/>
      <c r="Y874" s="23"/>
      <c r="Z874" s="23"/>
    </row>
    <row r="875">
      <c r="A875" s="2"/>
      <c r="B875" s="2"/>
      <c r="C875" s="2"/>
      <c r="D875" s="2"/>
      <c r="E875" s="2"/>
      <c r="F875" s="2"/>
      <c r="G875" s="2"/>
      <c r="H875" s="2"/>
      <c r="I875" s="2"/>
      <c r="J875" s="2"/>
      <c r="K875" s="2"/>
      <c r="L875" s="2"/>
      <c r="M875" s="2"/>
      <c r="N875" s="2"/>
      <c r="O875" s="2"/>
      <c r="P875" s="2"/>
      <c r="Q875" s="23"/>
      <c r="R875" s="23"/>
      <c r="S875" s="23"/>
      <c r="T875" s="23"/>
      <c r="U875" s="23"/>
      <c r="V875" s="23"/>
      <c r="W875" s="23"/>
      <c r="X875" s="23"/>
      <c r="Y875" s="23"/>
      <c r="Z875" s="23"/>
    </row>
    <row r="876">
      <c r="A876" s="2"/>
      <c r="B876" s="2"/>
      <c r="C876" s="2"/>
      <c r="D876" s="2"/>
      <c r="E876" s="2"/>
      <c r="F876" s="2"/>
      <c r="G876" s="2"/>
      <c r="H876" s="2"/>
      <c r="I876" s="2"/>
      <c r="J876" s="2"/>
      <c r="K876" s="2"/>
      <c r="L876" s="2"/>
      <c r="M876" s="2"/>
      <c r="N876" s="2"/>
      <c r="O876" s="2"/>
      <c r="P876" s="2"/>
      <c r="Q876" s="23"/>
      <c r="R876" s="23"/>
      <c r="S876" s="23"/>
      <c r="T876" s="23"/>
      <c r="U876" s="23"/>
      <c r="V876" s="23"/>
      <c r="W876" s="23"/>
      <c r="X876" s="23"/>
      <c r="Y876" s="23"/>
      <c r="Z876" s="23"/>
    </row>
    <row r="877">
      <c r="A877" s="2"/>
      <c r="B877" s="2"/>
      <c r="C877" s="2"/>
      <c r="D877" s="2"/>
      <c r="E877" s="2"/>
      <c r="F877" s="2"/>
      <c r="G877" s="2"/>
      <c r="H877" s="2"/>
      <c r="I877" s="2"/>
      <c r="J877" s="2"/>
      <c r="K877" s="2"/>
      <c r="L877" s="2"/>
      <c r="M877" s="2"/>
      <c r="N877" s="2"/>
      <c r="O877" s="2"/>
      <c r="P877" s="2"/>
      <c r="Q877" s="23"/>
      <c r="R877" s="23"/>
      <c r="S877" s="23"/>
      <c r="T877" s="23"/>
      <c r="U877" s="23"/>
      <c r="V877" s="23"/>
      <c r="W877" s="23"/>
      <c r="X877" s="23"/>
      <c r="Y877" s="23"/>
      <c r="Z877" s="23"/>
    </row>
    <row r="878">
      <c r="A878" s="2"/>
      <c r="B878" s="2"/>
      <c r="C878" s="2"/>
      <c r="D878" s="2"/>
      <c r="E878" s="2"/>
      <c r="F878" s="2"/>
      <c r="G878" s="2"/>
      <c r="H878" s="2"/>
      <c r="I878" s="2"/>
      <c r="J878" s="2"/>
      <c r="K878" s="2"/>
      <c r="L878" s="2"/>
      <c r="M878" s="2"/>
      <c r="N878" s="2"/>
      <c r="O878" s="2"/>
      <c r="P878" s="2"/>
      <c r="Q878" s="23"/>
      <c r="R878" s="23"/>
      <c r="S878" s="23"/>
      <c r="T878" s="23"/>
      <c r="U878" s="23"/>
      <c r="V878" s="23"/>
      <c r="W878" s="23"/>
      <c r="X878" s="23"/>
      <c r="Y878" s="23"/>
      <c r="Z878" s="23"/>
    </row>
    <row r="879">
      <c r="A879" s="2"/>
      <c r="B879" s="2"/>
      <c r="C879" s="2"/>
      <c r="D879" s="2"/>
      <c r="E879" s="2"/>
      <c r="F879" s="2"/>
      <c r="G879" s="2"/>
      <c r="H879" s="2"/>
      <c r="I879" s="2"/>
      <c r="J879" s="2"/>
      <c r="K879" s="2"/>
      <c r="L879" s="2"/>
      <c r="M879" s="2"/>
      <c r="N879" s="2"/>
      <c r="O879" s="2"/>
      <c r="P879" s="2"/>
      <c r="Q879" s="23"/>
      <c r="R879" s="23"/>
      <c r="S879" s="23"/>
      <c r="T879" s="23"/>
      <c r="U879" s="23"/>
      <c r="V879" s="23"/>
      <c r="W879" s="23"/>
      <c r="X879" s="23"/>
      <c r="Y879" s="23"/>
      <c r="Z879" s="23"/>
    </row>
    <row r="880">
      <c r="A880" s="2"/>
      <c r="B880" s="2"/>
      <c r="C880" s="2"/>
      <c r="D880" s="2"/>
      <c r="E880" s="2"/>
      <c r="F880" s="2"/>
      <c r="G880" s="2"/>
      <c r="H880" s="2"/>
      <c r="I880" s="2"/>
      <c r="J880" s="2"/>
      <c r="K880" s="2"/>
      <c r="L880" s="2"/>
      <c r="M880" s="2"/>
      <c r="N880" s="2"/>
      <c r="O880" s="2"/>
      <c r="P880" s="2"/>
      <c r="Q880" s="23"/>
      <c r="R880" s="23"/>
      <c r="S880" s="23"/>
      <c r="T880" s="23"/>
      <c r="U880" s="23"/>
      <c r="V880" s="23"/>
      <c r="W880" s="23"/>
      <c r="X880" s="23"/>
      <c r="Y880" s="23"/>
      <c r="Z880" s="23"/>
    </row>
    <row r="881">
      <c r="A881" s="2"/>
      <c r="B881" s="2"/>
      <c r="C881" s="2"/>
      <c r="D881" s="2"/>
      <c r="E881" s="2"/>
      <c r="F881" s="2"/>
      <c r="G881" s="2"/>
      <c r="H881" s="2"/>
      <c r="I881" s="2"/>
      <c r="J881" s="2"/>
      <c r="K881" s="2"/>
      <c r="L881" s="2"/>
      <c r="M881" s="2"/>
      <c r="N881" s="2"/>
      <c r="O881" s="2"/>
      <c r="P881" s="2"/>
      <c r="Q881" s="23"/>
      <c r="R881" s="23"/>
      <c r="S881" s="23"/>
      <c r="T881" s="23"/>
      <c r="U881" s="23"/>
      <c r="V881" s="23"/>
      <c r="W881" s="23"/>
      <c r="X881" s="23"/>
      <c r="Y881" s="23"/>
      <c r="Z881" s="23"/>
    </row>
    <row r="882">
      <c r="A882" s="2"/>
      <c r="B882" s="2"/>
      <c r="C882" s="2"/>
      <c r="D882" s="2"/>
      <c r="E882" s="2"/>
      <c r="F882" s="2"/>
      <c r="G882" s="2"/>
      <c r="H882" s="2"/>
      <c r="I882" s="2"/>
      <c r="J882" s="2"/>
      <c r="K882" s="2"/>
      <c r="L882" s="2"/>
      <c r="M882" s="2"/>
      <c r="N882" s="2"/>
      <c r="O882" s="2"/>
      <c r="P882" s="2"/>
      <c r="Q882" s="23"/>
      <c r="R882" s="23"/>
      <c r="S882" s="23"/>
      <c r="T882" s="23"/>
      <c r="U882" s="23"/>
      <c r="V882" s="23"/>
      <c r="W882" s="23"/>
      <c r="X882" s="23"/>
      <c r="Y882" s="23"/>
      <c r="Z882" s="23"/>
    </row>
    <row r="883">
      <c r="A883" s="2"/>
      <c r="B883" s="2"/>
      <c r="C883" s="2"/>
      <c r="D883" s="2"/>
      <c r="E883" s="2"/>
      <c r="F883" s="2"/>
      <c r="G883" s="2"/>
      <c r="H883" s="2"/>
      <c r="I883" s="2"/>
      <c r="J883" s="2"/>
      <c r="K883" s="2"/>
      <c r="L883" s="2"/>
      <c r="M883" s="2"/>
      <c r="N883" s="2"/>
      <c r="O883" s="2"/>
      <c r="P883" s="2"/>
      <c r="Q883" s="23"/>
      <c r="R883" s="23"/>
      <c r="S883" s="23"/>
      <c r="T883" s="23"/>
      <c r="U883" s="23"/>
      <c r="V883" s="23"/>
      <c r="W883" s="23"/>
      <c r="X883" s="23"/>
      <c r="Y883" s="23"/>
      <c r="Z883" s="23"/>
    </row>
    <row r="884">
      <c r="A884" s="2"/>
      <c r="B884" s="2"/>
      <c r="C884" s="2"/>
      <c r="D884" s="2"/>
      <c r="E884" s="2"/>
      <c r="F884" s="2"/>
      <c r="G884" s="2"/>
      <c r="H884" s="2"/>
      <c r="I884" s="2"/>
      <c r="J884" s="2"/>
      <c r="K884" s="2"/>
      <c r="L884" s="2"/>
      <c r="M884" s="2"/>
      <c r="N884" s="2"/>
      <c r="O884" s="2"/>
      <c r="P884" s="2"/>
      <c r="Q884" s="23"/>
      <c r="R884" s="23"/>
      <c r="S884" s="23"/>
      <c r="T884" s="23"/>
      <c r="U884" s="23"/>
      <c r="V884" s="23"/>
      <c r="W884" s="23"/>
      <c r="X884" s="23"/>
      <c r="Y884" s="23"/>
      <c r="Z884" s="23"/>
    </row>
    <row r="885">
      <c r="A885" s="2"/>
      <c r="B885" s="2"/>
      <c r="C885" s="2"/>
      <c r="D885" s="2"/>
      <c r="E885" s="2"/>
      <c r="F885" s="2"/>
      <c r="G885" s="2"/>
      <c r="H885" s="2"/>
      <c r="I885" s="2"/>
      <c r="J885" s="2"/>
      <c r="K885" s="2"/>
      <c r="L885" s="2"/>
      <c r="M885" s="2"/>
      <c r="N885" s="2"/>
      <c r="O885" s="2"/>
      <c r="P885" s="2"/>
      <c r="Q885" s="23"/>
      <c r="R885" s="23"/>
      <c r="S885" s="23"/>
      <c r="T885" s="23"/>
      <c r="U885" s="23"/>
      <c r="V885" s="23"/>
      <c r="W885" s="23"/>
      <c r="X885" s="23"/>
      <c r="Y885" s="23"/>
      <c r="Z885" s="23"/>
    </row>
    <row r="886">
      <c r="A886" s="2"/>
      <c r="B886" s="2"/>
      <c r="C886" s="2"/>
      <c r="D886" s="2"/>
      <c r="E886" s="2"/>
      <c r="F886" s="2"/>
      <c r="G886" s="2"/>
      <c r="H886" s="2"/>
      <c r="I886" s="2"/>
      <c r="J886" s="2"/>
      <c r="K886" s="2"/>
      <c r="L886" s="2"/>
      <c r="M886" s="2"/>
      <c r="N886" s="2"/>
      <c r="O886" s="2"/>
      <c r="P886" s="2"/>
      <c r="Q886" s="23"/>
      <c r="R886" s="23"/>
      <c r="S886" s="23"/>
      <c r="T886" s="23"/>
      <c r="U886" s="23"/>
      <c r="V886" s="23"/>
      <c r="W886" s="23"/>
      <c r="X886" s="23"/>
      <c r="Y886" s="23"/>
      <c r="Z886" s="23"/>
    </row>
    <row r="887">
      <c r="A887" s="2"/>
      <c r="B887" s="2"/>
      <c r="C887" s="2"/>
      <c r="D887" s="2"/>
      <c r="E887" s="2"/>
      <c r="F887" s="2"/>
      <c r="G887" s="2"/>
      <c r="H887" s="2"/>
      <c r="I887" s="2"/>
      <c r="J887" s="2"/>
      <c r="K887" s="2"/>
      <c r="L887" s="2"/>
      <c r="M887" s="2"/>
      <c r="N887" s="2"/>
      <c r="O887" s="2"/>
      <c r="P887" s="2"/>
      <c r="Q887" s="23"/>
      <c r="R887" s="23"/>
      <c r="S887" s="23"/>
      <c r="T887" s="23"/>
      <c r="U887" s="23"/>
      <c r="V887" s="23"/>
      <c r="W887" s="23"/>
      <c r="X887" s="23"/>
      <c r="Y887" s="23"/>
      <c r="Z887" s="23"/>
    </row>
    <row r="888">
      <c r="A888" s="2"/>
      <c r="B888" s="2"/>
      <c r="C888" s="2"/>
      <c r="D888" s="2"/>
      <c r="E888" s="2"/>
      <c r="F888" s="2"/>
      <c r="G888" s="2"/>
      <c r="H888" s="2"/>
      <c r="I888" s="2"/>
      <c r="J888" s="2"/>
      <c r="K888" s="2"/>
      <c r="L888" s="2"/>
      <c r="M888" s="2"/>
      <c r="N888" s="2"/>
      <c r="O888" s="2"/>
      <c r="P888" s="2"/>
      <c r="Q888" s="23"/>
      <c r="R888" s="23"/>
      <c r="S888" s="23"/>
      <c r="T888" s="23"/>
      <c r="U888" s="23"/>
      <c r="V888" s="23"/>
      <c r="W888" s="23"/>
      <c r="X888" s="23"/>
      <c r="Y888" s="23"/>
      <c r="Z888" s="23"/>
    </row>
    <row r="889">
      <c r="A889" s="2"/>
      <c r="B889" s="2"/>
      <c r="C889" s="2"/>
      <c r="D889" s="2"/>
      <c r="E889" s="2"/>
      <c r="F889" s="2"/>
      <c r="G889" s="2"/>
      <c r="H889" s="2"/>
      <c r="I889" s="2"/>
      <c r="J889" s="2"/>
      <c r="K889" s="2"/>
      <c r="L889" s="2"/>
      <c r="M889" s="2"/>
      <c r="N889" s="2"/>
      <c r="O889" s="2"/>
      <c r="P889" s="2"/>
      <c r="Q889" s="23"/>
      <c r="R889" s="23"/>
      <c r="S889" s="23"/>
      <c r="T889" s="23"/>
      <c r="U889" s="23"/>
      <c r="V889" s="23"/>
      <c r="W889" s="23"/>
      <c r="X889" s="23"/>
      <c r="Y889" s="23"/>
      <c r="Z889" s="23"/>
    </row>
    <row r="890">
      <c r="A890" s="2"/>
      <c r="B890" s="2"/>
      <c r="C890" s="2"/>
      <c r="D890" s="2"/>
      <c r="E890" s="2"/>
      <c r="F890" s="2"/>
      <c r="G890" s="2"/>
      <c r="H890" s="2"/>
      <c r="I890" s="2"/>
      <c r="J890" s="2"/>
      <c r="K890" s="2"/>
      <c r="L890" s="2"/>
      <c r="M890" s="2"/>
      <c r="N890" s="2"/>
      <c r="O890" s="2"/>
      <c r="P890" s="2"/>
      <c r="Q890" s="23"/>
      <c r="R890" s="23"/>
      <c r="S890" s="23"/>
      <c r="T890" s="23"/>
      <c r="U890" s="23"/>
      <c r="V890" s="23"/>
      <c r="W890" s="23"/>
      <c r="X890" s="23"/>
      <c r="Y890" s="23"/>
      <c r="Z890" s="23"/>
    </row>
    <row r="891">
      <c r="A891" s="2"/>
      <c r="B891" s="2"/>
      <c r="C891" s="2"/>
      <c r="D891" s="2"/>
      <c r="E891" s="2"/>
      <c r="F891" s="2"/>
      <c r="G891" s="2"/>
      <c r="H891" s="2"/>
      <c r="I891" s="2"/>
      <c r="J891" s="2"/>
      <c r="K891" s="2"/>
      <c r="L891" s="2"/>
      <c r="M891" s="2"/>
      <c r="N891" s="2"/>
      <c r="O891" s="2"/>
      <c r="P891" s="2"/>
      <c r="Q891" s="23"/>
      <c r="R891" s="23"/>
      <c r="S891" s="23"/>
      <c r="T891" s="23"/>
      <c r="U891" s="23"/>
      <c r="V891" s="23"/>
      <c r="W891" s="23"/>
      <c r="X891" s="23"/>
      <c r="Y891" s="23"/>
      <c r="Z891" s="23"/>
    </row>
    <row r="892">
      <c r="A892" s="2"/>
      <c r="B892" s="2"/>
      <c r="C892" s="2"/>
      <c r="D892" s="2"/>
      <c r="E892" s="2"/>
      <c r="F892" s="2"/>
      <c r="G892" s="2"/>
      <c r="H892" s="2"/>
      <c r="I892" s="2"/>
      <c r="J892" s="2"/>
      <c r="K892" s="2"/>
      <c r="L892" s="2"/>
      <c r="M892" s="2"/>
      <c r="N892" s="2"/>
      <c r="O892" s="2"/>
      <c r="P892" s="2"/>
      <c r="Q892" s="23"/>
      <c r="R892" s="23"/>
      <c r="S892" s="23"/>
      <c r="T892" s="23"/>
      <c r="U892" s="23"/>
      <c r="V892" s="23"/>
      <c r="W892" s="23"/>
      <c r="X892" s="23"/>
      <c r="Y892" s="23"/>
      <c r="Z892" s="23"/>
    </row>
    <row r="893">
      <c r="A893" s="2"/>
      <c r="B893" s="2"/>
      <c r="C893" s="2"/>
      <c r="D893" s="2"/>
      <c r="E893" s="2"/>
      <c r="F893" s="2"/>
      <c r="G893" s="2"/>
      <c r="H893" s="2"/>
      <c r="I893" s="2"/>
      <c r="J893" s="2"/>
      <c r="K893" s="2"/>
      <c r="L893" s="2"/>
      <c r="M893" s="2"/>
      <c r="N893" s="2"/>
      <c r="O893" s="2"/>
      <c r="P893" s="2"/>
      <c r="Q893" s="23"/>
      <c r="R893" s="23"/>
      <c r="S893" s="23"/>
      <c r="T893" s="23"/>
      <c r="U893" s="23"/>
      <c r="V893" s="23"/>
      <c r="W893" s="23"/>
      <c r="X893" s="23"/>
      <c r="Y893" s="23"/>
      <c r="Z893" s="23"/>
    </row>
    <row r="894">
      <c r="A894" s="2"/>
      <c r="B894" s="2"/>
      <c r="C894" s="2"/>
      <c r="D894" s="2"/>
      <c r="E894" s="2"/>
      <c r="F894" s="2"/>
      <c r="G894" s="2"/>
      <c r="H894" s="2"/>
      <c r="I894" s="2"/>
      <c r="J894" s="2"/>
      <c r="K894" s="2"/>
      <c r="L894" s="2"/>
      <c r="M894" s="2"/>
      <c r="N894" s="2"/>
      <c r="O894" s="2"/>
      <c r="P894" s="2"/>
      <c r="Q894" s="23"/>
      <c r="R894" s="23"/>
      <c r="S894" s="23"/>
      <c r="T894" s="23"/>
      <c r="U894" s="23"/>
      <c r="V894" s="23"/>
      <c r="W894" s="23"/>
      <c r="X894" s="23"/>
      <c r="Y894" s="23"/>
      <c r="Z894" s="23"/>
    </row>
    <row r="895">
      <c r="A895" s="2"/>
      <c r="B895" s="2"/>
      <c r="C895" s="2"/>
      <c r="D895" s="2"/>
      <c r="E895" s="2"/>
      <c r="F895" s="2"/>
      <c r="G895" s="2"/>
      <c r="H895" s="2"/>
      <c r="I895" s="2"/>
      <c r="J895" s="2"/>
      <c r="K895" s="2"/>
      <c r="L895" s="2"/>
      <c r="M895" s="2"/>
      <c r="N895" s="2"/>
      <c r="O895" s="2"/>
      <c r="P895" s="2"/>
      <c r="Q895" s="23"/>
      <c r="R895" s="23"/>
      <c r="S895" s="23"/>
      <c r="T895" s="23"/>
      <c r="U895" s="23"/>
      <c r="V895" s="23"/>
      <c r="W895" s="23"/>
      <c r="X895" s="23"/>
      <c r="Y895" s="23"/>
      <c r="Z895" s="23"/>
    </row>
    <row r="896">
      <c r="A896" s="2"/>
      <c r="B896" s="2"/>
      <c r="C896" s="2"/>
      <c r="D896" s="2"/>
      <c r="E896" s="2"/>
      <c r="F896" s="2"/>
      <c r="G896" s="2"/>
      <c r="H896" s="2"/>
      <c r="I896" s="2"/>
      <c r="J896" s="2"/>
      <c r="K896" s="2"/>
      <c r="L896" s="2"/>
      <c r="M896" s="2"/>
      <c r="N896" s="2"/>
      <c r="O896" s="2"/>
      <c r="P896" s="2"/>
      <c r="Q896" s="23"/>
      <c r="R896" s="23"/>
      <c r="S896" s="23"/>
      <c r="T896" s="23"/>
      <c r="U896" s="23"/>
      <c r="V896" s="23"/>
      <c r="W896" s="23"/>
      <c r="X896" s="23"/>
      <c r="Y896" s="23"/>
      <c r="Z896" s="23"/>
    </row>
    <row r="897">
      <c r="A897" s="2"/>
      <c r="B897" s="2"/>
      <c r="C897" s="2"/>
      <c r="D897" s="2"/>
      <c r="E897" s="2"/>
      <c r="F897" s="2"/>
      <c r="G897" s="2"/>
      <c r="H897" s="2"/>
      <c r="I897" s="2"/>
      <c r="J897" s="2"/>
      <c r="K897" s="2"/>
      <c r="L897" s="2"/>
      <c r="M897" s="2"/>
      <c r="N897" s="2"/>
      <c r="O897" s="2"/>
      <c r="P897" s="2"/>
      <c r="Q897" s="23"/>
      <c r="R897" s="23"/>
      <c r="S897" s="23"/>
      <c r="T897" s="23"/>
      <c r="U897" s="23"/>
      <c r="V897" s="23"/>
      <c r="W897" s="23"/>
      <c r="X897" s="23"/>
      <c r="Y897" s="23"/>
      <c r="Z897" s="23"/>
    </row>
    <row r="898">
      <c r="A898" s="2"/>
      <c r="B898" s="2"/>
      <c r="C898" s="2"/>
      <c r="D898" s="2"/>
      <c r="E898" s="2"/>
      <c r="F898" s="2"/>
      <c r="G898" s="2"/>
      <c r="H898" s="2"/>
      <c r="I898" s="2"/>
      <c r="J898" s="2"/>
      <c r="K898" s="2"/>
      <c r="L898" s="2"/>
      <c r="M898" s="2"/>
      <c r="N898" s="2"/>
      <c r="O898" s="2"/>
      <c r="P898" s="2"/>
      <c r="Q898" s="23"/>
      <c r="R898" s="23"/>
      <c r="S898" s="23"/>
      <c r="T898" s="23"/>
      <c r="U898" s="23"/>
      <c r="V898" s="23"/>
      <c r="W898" s="23"/>
      <c r="X898" s="23"/>
      <c r="Y898" s="23"/>
      <c r="Z898" s="23"/>
    </row>
    <row r="899">
      <c r="A899" s="2"/>
      <c r="B899" s="2"/>
      <c r="C899" s="2"/>
      <c r="D899" s="2"/>
      <c r="E899" s="2"/>
      <c r="F899" s="2"/>
      <c r="G899" s="2"/>
      <c r="H899" s="2"/>
      <c r="I899" s="2"/>
      <c r="J899" s="2"/>
      <c r="K899" s="2"/>
      <c r="L899" s="2"/>
      <c r="M899" s="2"/>
      <c r="N899" s="2"/>
      <c r="O899" s="2"/>
      <c r="P899" s="2"/>
      <c r="Q899" s="23"/>
      <c r="R899" s="23"/>
      <c r="S899" s="23"/>
      <c r="T899" s="23"/>
      <c r="U899" s="23"/>
      <c r="V899" s="23"/>
      <c r="W899" s="23"/>
      <c r="X899" s="23"/>
      <c r="Y899" s="23"/>
      <c r="Z899" s="23"/>
    </row>
    <row r="900">
      <c r="A900" s="2"/>
      <c r="B900" s="2"/>
      <c r="C900" s="2"/>
      <c r="D900" s="2"/>
      <c r="E900" s="2"/>
      <c r="F900" s="2"/>
      <c r="G900" s="2"/>
      <c r="H900" s="2"/>
      <c r="I900" s="2"/>
      <c r="J900" s="2"/>
      <c r="K900" s="2"/>
      <c r="L900" s="2"/>
      <c r="M900" s="2"/>
      <c r="N900" s="2"/>
      <c r="O900" s="2"/>
      <c r="P900" s="2"/>
      <c r="Q900" s="23"/>
      <c r="R900" s="23"/>
      <c r="S900" s="23"/>
      <c r="T900" s="23"/>
      <c r="U900" s="23"/>
      <c r="V900" s="23"/>
      <c r="W900" s="23"/>
      <c r="X900" s="23"/>
      <c r="Y900" s="23"/>
      <c r="Z900" s="23"/>
    </row>
    <row r="901">
      <c r="A901" s="2"/>
      <c r="B901" s="2"/>
      <c r="C901" s="2"/>
      <c r="D901" s="2"/>
      <c r="E901" s="2"/>
      <c r="F901" s="2"/>
      <c r="G901" s="2"/>
      <c r="H901" s="2"/>
      <c r="I901" s="2"/>
      <c r="J901" s="2"/>
      <c r="K901" s="2"/>
      <c r="L901" s="2"/>
      <c r="M901" s="2"/>
      <c r="N901" s="2"/>
      <c r="O901" s="2"/>
      <c r="P901" s="2"/>
      <c r="Q901" s="23"/>
      <c r="R901" s="23"/>
      <c r="S901" s="23"/>
      <c r="T901" s="23"/>
      <c r="U901" s="23"/>
      <c r="V901" s="23"/>
      <c r="W901" s="23"/>
      <c r="X901" s="23"/>
      <c r="Y901" s="23"/>
      <c r="Z901" s="23"/>
    </row>
    <row r="902">
      <c r="A902" s="2"/>
      <c r="B902" s="2"/>
      <c r="C902" s="2"/>
      <c r="D902" s="2"/>
      <c r="E902" s="2"/>
      <c r="F902" s="2"/>
      <c r="G902" s="2"/>
      <c r="H902" s="2"/>
      <c r="I902" s="2"/>
      <c r="J902" s="2"/>
      <c r="K902" s="2"/>
      <c r="L902" s="2"/>
      <c r="M902" s="2"/>
      <c r="N902" s="2"/>
      <c r="O902" s="2"/>
      <c r="P902" s="2"/>
      <c r="Q902" s="23"/>
      <c r="R902" s="23"/>
      <c r="S902" s="23"/>
      <c r="T902" s="23"/>
      <c r="U902" s="23"/>
      <c r="V902" s="23"/>
      <c r="W902" s="23"/>
      <c r="X902" s="23"/>
      <c r="Y902" s="23"/>
      <c r="Z902" s="23"/>
    </row>
    <row r="903">
      <c r="A903" s="2"/>
      <c r="B903" s="2"/>
      <c r="C903" s="2"/>
      <c r="D903" s="2"/>
      <c r="E903" s="2"/>
      <c r="F903" s="2"/>
      <c r="G903" s="2"/>
      <c r="H903" s="2"/>
      <c r="I903" s="2"/>
      <c r="J903" s="2"/>
      <c r="K903" s="2"/>
      <c r="L903" s="2"/>
      <c r="M903" s="2"/>
      <c r="N903" s="2"/>
      <c r="O903" s="2"/>
      <c r="P903" s="2"/>
      <c r="Q903" s="23"/>
      <c r="R903" s="23"/>
      <c r="S903" s="23"/>
      <c r="T903" s="23"/>
      <c r="U903" s="23"/>
      <c r="V903" s="23"/>
      <c r="W903" s="23"/>
      <c r="X903" s="23"/>
      <c r="Y903" s="23"/>
      <c r="Z903" s="23"/>
    </row>
    <row r="904">
      <c r="A904" s="2"/>
      <c r="B904" s="2"/>
      <c r="C904" s="2"/>
      <c r="D904" s="2"/>
      <c r="E904" s="2"/>
      <c r="F904" s="2"/>
      <c r="G904" s="2"/>
      <c r="H904" s="2"/>
      <c r="I904" s="2"/>
      <c r="J904" s="2"/>
      <c r="K904" s="2"/>
      <c r="L904" s="2"/>
      <c r="M904" s="2"/>
      <c r="N904" s="2"/>
      <c r="O904" s="2"/>
      <c r="P904" s="2"/>
      <c r="Q904" s="23"/>
      <c r="R904" s="23"/>
      <c r="S904" s="23"/>
      <c r="T904" s="23"/>
      <c r="U904" s="23"/>
      <c r="V904" s="23"/>
      <c r="W904" s="23"/>
      <c r="X904" s="23"/>
      <c r="Y904" s="23"/>
      <c r="Z904" s="23"/>
    </row>
    <row r="905">
      <c r="A905" s="2"/>
      <c r="B905" s="2"/>
      <c r="C905" s="2"/>
      <c r="D905" s="2"/>
      <c r="E905" s="2"/>
      <c r="F905" s="2"/>
      <c r="G905" s="2"/>
      <c r="H905" s="2"/>
      <c r="I905" s="2"/>
      <c r="J905" s="2"/>
      <c r="K905" s="2"/>
      <c r="L905" s="2"/>
      <c r="M905" s="2"/>
      <c r="N905" s="2"/>
      <c r="O905" s="2"/>
      <c r="P905" s="2"/>
      <c r="Q905" s="23"/>
      <c r="R905" s="23"/>
      <c r="S905" s="23"/>
      <c r="T905" s="23"/>
      <c r="U905" s="23"/>
      <c r="V905" s="23"/>
      <c r="W905" s="23"/>
      <c r="X905" s="23"/>
      <c r="Y905" s="23"/>
      <c r="Z905" s="23"/>
    </row>
    <row r="906">
      <c r="A906" s="2"/>
      <c r="B906" s="2"/>
      <c r="C906" s="2"/>
      <c r="D906" s="2"/>
      <c r="E906" s="2"/>
      <c r="F906" s="2"/>
      <c r="G906" s="2"/>
      <c r="H906" s="2"/>
      <c r="I906" s="2"/>
      <c r="J906" s="2"/>
      <c r="K906" s="2"/>
      <c r="L906" s="2"/>
      <c r="M906" s="2"/>
      <c r="N906" s="2"/>
      <c r="O906" s="2"/>
      <c r="P906" s="2"/>
      <c r="Q906" s="23"/>
      <c r="R906" s="23"/>
      <c r="S906" s="23"/>
      <c r="T906" s="23"/>
      <c r="U906" s="23"/>
      <c r="V906" s="23"/>
      <c r="W906" s="23"/>
      <c r="X906" s="23"/>
      <c r="Y906" s="23"/>
      <c r="Z906" s="23"/>
    </row>
    <row r="907">
      <c r="A907" s="2"/>
      <c r="B907" s="2"/>
      <c r="C907" s="2"/>
      <c r="D907" s="2"/>
      <c r="E907" s="2"/>
      <c r="F907" s="2"/>
      <c r="G907" s="2"/>
      <c r="H907" s="2"/>
      <c r="I907" s="2"/>
      <c r="J907" s="2"/>
      <c r="K907" s="2"/>
      <c r="L907" s="2"/>
      <c r="M907" s="2"/>
      <c r="N907" s="2"/>
      <c r="O907" s="2"/>
      <c r="P907" s="2"/>
      <c r="Q907" s="23"/>
      <c r="R907" s="23"/>
      <c r="S907" s="23"/>
      <c r="T907" s="23"/>
      <c r="U907" s="23"/>
      <c r="V907" s="23"/>
      <c r="W907" s="23"/>
      <c r="X907" s="23"/>
      <c r="Y907" s="23"/>
      <c r="Z907" s="23"/>
    </row>
    <row r="908">
      <c r="A908" s="2"/>
      <c r="B908" s="2"/>
      <c r="C908" s="2"/>
      <c r="D908" s="2"/>
      <c r="E908" s="2"/>
      <c r="F908" s="2"/>
      <c r="G908" s="2"/>
      <c r="H908" s="2"/>
      <c r="I908" s="2"/>
      <c r="J908" s="2"/>
      <c r="K908" s="2"/>
      <c r="L908" s="2"/>
      <c r="M908" s="2"/>
      <c r="N908" s="2"/>
      <c r="O908" s="2"/>
      <c r="P908" s="2"/>
      <c r="Q908" s="23"/>
      <c r="R908" s="23"/>
      <c r="S908" s="23"/>
      <c r="T908" s="23"/>
      <c r="U908" s="23"/>
      <c r="V908" s="23"/>
      <c r="W908" s="23"/>
      <c r="X908" s="23"/>
      <c r="Y908" s="23"/>
      <c r="Z908" s="23"/>
    </row>
    <row r="909">
      <c r="A909" s="2"/>
      <c r="B909" s="2"/>
      <c r="C909" s="2"/>
      <c r="D909" s="2"/>
      <c r="E909" s="2"/>
      <c r="F909" s="2"/>
      <c r="G909" s="2"/>
      <c r="H909" s="2"/>
      <c r="I909" s="2"/>
      <c r="J909" s="2"/>
      <c r="K909" s="2"/>
      <c r="L909" s="2"/>
      <c r="M909" s="2"/>
      <c r="N909" s="2"/>
      <c r="O909" s="2"/>
      <c r="P909" s="2"/>
      <c r="Q909" s="23"/>
      <c r="R909" s="23"/>
      <c r="S909" s="23"/>
      <c r="T909" s="23"/>
      <c r="U909" s="23"/>
      <c r="V909" s="23"/>
      <c r="W909" s="23"/>
      <c r="X909" s="23"/>
      <c r="Y909" s="23"/>
      <c r="Z909" s="23"/>
    </row>
    <row r="910">
      <c r="A910" s="2"/>
      <c r="B910" s="2"/>
      <c r="C910" s="2"/>
      <c r="D910" s="2"/>
      <c r="E910" s="2"/>
      <c r="F910" s="2"/>
      <c r="G910" s="2"/>
      <c r="H910" s="2"/>
      <c r="I910" s="2"/>
      <c r="J910" s="2"/>
      <c r="K910" s="2"/>
      <c r="L910" s="2"/>
      <c r="M910" s="2"/>
      <c r="N910" s="2"/>
      <c r="O910" s="2"/>
      <c r="P910" s="2"/>
      <c r="Q910" s="23"/>
      <c r="R910" s="23"/>
      <c r="S910" s="23"/>
      <c r="T910" s="23"/>
      <c r="U910" s="23"/>
      <c r="V910" s="23"/>
      <c r="W910" s="23"/>
      <c r="X910" s="23"/>
      <c r="Y910" s="23"/>
      <c r="Z910" s="23"/>
    </row>
    <row r="911">
      <c r="A911" s="2"/>
      <c r="B911" s="2"/>
      <c r="C911" s="2"/>
      <c r="D911" s="2"/>
      <c r="E911" s="2"/>
      <c r="F911" s="2"/>
      <c r="G911" s="2"/>
      <c r="H911" s="2"/>
      <c r="I911" s="2"/>
      <c r="J911" s="2"/>
      <c r="K911" s="2"/>
      <c r="L911" s="2"/>
      <c r="M911" s="2"/>
      <c r="N911" s="2"/>
      <c r="O911" s="2"/>
      <c r="P911" s="2"/>
      <c r="Q911" s="23"/>
      <c r="R911" s="23"/>
      <c r="S911" s="23"/>
      <c r="T911" s="23"/>
      <c r="U911" s="23"/>
      <c r="V911" s="23"/>
      <c r="W911" s="23"/>
      <c r="X911" s="23"/>
      <c r="Y911" s="23"/>
      <c r="Z911" s="23"/>
    </row>
    <row r="912">
      <c r="A912" s="2"/>
      <c r="B912" s="2"/>
      <c r="C912" s="2"/>
      <c r="D912" s="2"/>
      <c r="E912" s="2"/>
      <c r="F912" s="2"/>
      <c r="G912" s="2"/>
      <c r="H912" s="2"/>
      <c r="I912" s="2"/>
      <c r="J912" s="2"/>
      <c r="K912" s="2"/>
      <c r="L912" s="2"/>
      <c r="M912" s="2"/>
      <c r="N912" s="2"/>
      <c r="O912" s="2"/>
      <c r="P912" s="2"/>
      <c r="Q912" s="23"/>
      <c r="R912" s="23"/>
      <c r="S912" s="23"/>
      <c r="T912" s="23"/>
      <c r="U912" s="23"/>
      <c r="V912" s="23"/>
      <c r="W912" s="23"/>
      <c r="X912" s="23"/>
      <c r="Y912" s="23"/>
      <c r="Z912" s="23"/>
    </row>
    <row r="913">
      <c r="A913" s="2"/>
      <c r="B913" s="2"/>
      <c r="C913" s="2"/>
      <c r="D913" s="2"/>
      <c r="E913" s="2"/>
      <c r="F913" s="2"/>
      <c r="G913" s="2"/>
      <c r="H913" s="2"/>
      <c r="I913" s="2"/>
      <c r="J913" s="2"/>
      <c r="K913" s="2"/>
      <c r="L913" s="2"/>
      <c r="M913" s="2"/>
      <c r="N913" s="2"/>
      <c r="O913" s="2"/>
      <c r="P913" s="2"/>
      <c r="Q913" s="23"/>
      <c r="R913" s="23"/>
      <c r="S913" s="23"/>
      <c r="T913" s="23"/>
      <c r="U913" s="23"/>
      <c r="V913" s="23"/>
      <c r="W913" s="23"/>
      <c r="X913" s="23"/>
      <c r="Y913" s="23"/>
      <c r="Z913" s="23"/>
    </row>
    <row r="914">
      <c r="A914" s="2"/>
      <c r="B914" s="2"/>
      <c r="C914" s="2"/>
      <c r="D914" s="2"/>
      <c r="E914" s="2"/>
      <c r="F914" s="2"/>
      <c r="G914" s="2"/>
      <c r="H914" s="2"/>
      <c r="I914" s="2"/>
      <c r="J914" s="2"/>
      <c r="K914" s="2"/>
      <c r="L914" s="2"/>
      <c r="M914" s="2"/>
      <c r="N914" s="2"/>
      <c r="O914" s="2"/>
      <c r="P914" s="2"/>
      <c r="Q914" s="23"/>
      <c r="R914" s="23"/>
      <c r="S914" s="23"/>
      <c r="T914" s="23"/>
      <c r="U914" s="23"/>
      <c r="V914" s="23"/>
      <c r="W914" s="23"/>
      <c r="X914" s="23"/>
      <c r="Y914" s="23"/>
      <c r="Z914" s="23"/>
    </row>
    <row r="915">
      <c r="A915" s="2"/>
      <c r="B915" s="2"/>
      <c r="C915" s="2"/>
      <c r="D915" s="2"/>
      <c r="E915" s="2"/>
      <c r="F915" s="2"/>
      <c r="G915" s="2"/>
      <c r="H915" s="2"/>
      <c r="I915" s="2"/>
      <c r="J915" s="2"/>
      <c r="K915" s="2"/>
      <c r="L915" s="2"/>
      <c r="M915" s="2"/>
      <c r="N915" s="2"/>
      <c r="O915" s="2"/>
      <c r="P915" s="2"/>
      <c r="Q915" s="23"/>
      <c r="R915" s="23"/>
      <c r="S915" s="23"/>
      <c r="T915" s="23"/>
      <c r="U915" s="23"/>
      <c r="V915" s="23"/>
      <c r="W915" s="23"/>
      <c r="X915" s="23"/>
      <c r="Y915" s="23"/>
      <c r="Z915" s="23"/>
    </row>
    <row r="916">
      <c r="A916" s="2"/>
      <c r="B916" s="2"/>
      <c r="C916" s="2"/>
      <c r="D916" s="2"/>
      <c r="E916" s="2"/>
      <c r="F916" s="2"/>
      <c r="G916" s="2"/>
      <c r="H916" s="2"/>
      <c r="I916" s="2"/>
      <c r="J916" s="2"/>
      <c r="K916" s="2"/>
      <c r="L916" s="2"/>
      <c r="M916" s="2"/>
      <c r="N916" s="2"/>
      <c r="O916" s="2"/>
      <c r="P916" s="2"/>
      <c r="Q916" s="23"/>
      <c r="R916" s="23"/>
      <c r="S916" s="23"/>
      <c r="T916" s="23"/>
      <c r="U916" s="23"/>
      <c r="V916" s="23"/>
      <c r="W916" s="23"/>
      <c r="X916" s="23"/>
      <c r="Y916" s="23"/>
      <c r="Z916" s="23"/>
    </row>
    <row r="917">
      <c r="A917" s="2"/>
      <c r="B917" s="2"/>
      <c r="C917" s="2"/>
      <c r="D917" s="2"/>
      <c r="E917" s="2"/>
      <c r="F917" s="2"/>
      <c r="G917" s="2"/>
      <c r="H917" s="2"/>
      <c r="I917" s="2"/>
      <c r="J917" s="2"/>
      <c r="K917" s="2"/>
      <c r="L917" s="2"/>
      <c r="M917" s="2"/>
      <c r="N917" s="2"/>
      <c r="O917" s="2"/>
      <c r="P917" s="2"/>
      <c r="Q917" s="23"/>
      <c r="R917" s="23"/>
      <c r="S917" s="23"/>
      <c r="T917" s="23"/>
      <c r="U917" s="23"/>
      <c r="V917" s="23"/>
      <c r="W917" s="23"/>
      <c r="X917" s="23"/>
      <c r="Y917" s="23"/>
      <c r="Z917" s="23"/>
    </row>
    <row r="918">
      <c r="A918" s="2"/>
      <c r="B918" s="2"/>
      <c r="C918" s="2"/>
      <c r="D918" s="2"/>
      <c r="E918" s="2"/>
      <c r="F918" s="2"/>
      <c r="G918" s="2"/>
      <c r="H918" s="2"/>
      <c r="I918" s="2"/>
      <c r="J918" s="2"/>
      <c r="K918" s="2"/>
      <c r="L918" s="2"/>
      <c r="M918" s="2"/>
      <c r="N918" s="2"/>
      <c r="O918" s="2"/>
      <c r="P918" s="2"/>
      <c r="Q918" s="23"/>
      <c r="R918" s="23"/>
      <c r="S918" s="23"/>
      <c r="T918" s="23"/>
      <c r="U918" s="23"/>
      <c r="V918" s="23"/>
      <c r="W918" s="23"/>
      <c r="X918" s="23"/>
      <c r="Y918" s="23"/>
      <c r="Z918" s="23"/>
    </row>
    <row r="919">
      <c r="A919" s="2"/>
      <c r="B919" s="2"/>
      <c r="C919" s="2"/>
      <c r="D919" s="2"/>
      <c r="E919" s="2"/>
      <c r="F919" s="2"/>
      <c r="G919" s="2"/>
      <c r="H919" s="2"/>
      <c r="I919" s="2"/>
      <c r="J919" s="2"/>
      <c r="K919" s="2"/>
      <c r="L919" s="2"/>
      <c r="M919" s="2"/>
      <c r="N919" s="2"/>
      <c r="O919" s="2"/>
      <c r="P919" s="2"/>
      <c r="Q919" s="23"/>
      <c r="R919" s="23"/>
      <c r="S919" s="23"/>
      <c r="T919" s="23"/>
      <c r="U919" s="23"/>
      <c r="V919" s="23"/>
      <c r="W919" s="23"/>
      <c r="X919" s="23"/>
      <c r="Y919" s="23"/>
      <c r="Z919" s="23"/>
    </row>
    <row r="920">
      <c r="A920" s="2"/>
      <c r="B920" s="2"/>
      <c r="C920" s="2"/>
      <c r="D920" s="2"/>
      <c r="E920" s="2"/>
      <c r="F920" s="2"/>
      <c r="G920" s="2"/>
      <c r="H920" s="2"/>
      <c r="I920" s="2"/>
      <c r="J920" s="2"/>
      <c r="K920" s="2"/>
      <c r="L920" s="2"/>
      <c r="M920" s="2"/>
      <c r="N920" s="2"/>
      <c r="O920" s="2"/>
      <c r="P920" s="2"/>
      <c r="Q920" s="23"/>
      <c r="R920" s="23"/>
      <c r="S920" s="23"/>
      <c r="T920" s="23"/>
      <c r="U920" s="23"/>
      <c r="V920" s="23"/>
      <c r="W920" s="23"/>
      <c r="X920" s="23"/>
      <c r="Y920" s="23"/>
      <c r="Z920" s="23"/>
    </row>
    <row r="921">
      <c r="A921" s="2"/>
      <c r="B921" s="2"/>
      <c r="C921" s="2"/>
      <c r="D921" s="2"/>
      <c r="E921" s="2"/>
      <c r="F921" s="2"/>
      <c r="G921" s="2"/>
      <c r="H921" s="2"/>
      <c r="I921" s="2"/>
      <c r="J921" s="2"/>
      <c r="K921" s="2"/>
      <c r="L921" s="2"/>
      <c r="M921" s="2"/>
      <c r="N921" s="2"/>
      <c r="O921" s="2"/>
      <c r="P921" s="2"/>
      <c r="Q921" s="23"/>
      <c r="R921" s="23"/>
      <c r="S921" s="23"/>
      <c r="T921" s="23"/>
      <c r="U921" s="23"/>
      <c r="V921" s="23"/>
      <c r="W921" s="23"/>
      <c r="X921" s="23"/>
      <c r="Y921" s="23"/>
      <c r="Z921" s="23"/>
    </row>
    <row r="922">
      <c r="A922" s="2"/>
      <c r="B922" s="2"/>
      <c r="C922" s="2"/>
      <c r="D922" s="2"/>
      <c r="E922" s="2"/>
      <c r="F922" s="2"/>
      <c r="G922" s="2"/>
      <c r="H922" s="2"/>
      <c r="I922" s="2"/>
      <c r="J922" s="2"/>
      <c r="K922" s="2"/>
      <c r="L922" s="2"/>
      <c r="M922" s="2"/>
      <c r="N922" s="2"/>
      <c r="O922" s="2"/>
      <c r="P922" s="2"/>
      <c r="Q922" s="23"/>
      <c r="R922" s="23"/>
      <c r="S922" s="23"/>
      <c r="T922" s="23"/>
      <c r="U922" s="23"/>
      <c r="V922" s="23"/>
      <c r="W922" s="23"/>
      <c r="X922" s="23"/>
      <c r="Y922" s="23"/>
      <c r="Z922" s="23"/>
    </row>
    <row r="923">
      <c r="A923" s="2"/>
      <c r="B923" s="2"/>
      <c r="C923" s="2"/>
      <c r="D923" s="2"/>
      <c r="E923" s="2"/>
      <c r="F923" s="2"/>
      <c r="G923" s="2"/>
      <c r="H923" s="2"/>
      <c r="I923" s="2"/>
      <c r="J923" s="2"/>
      <c r="K923" s="2"/>
      <c r="L923" s="2"/>
      <c r="M923" s="2"/>
      <c r="N923" s="2"/>
      <c r="O923" s="2"/>
      <c r="P923" s="2"/>
      <c r="Q923" s="23"/>
      <c r="R923" s="23"/>
      <c r="S923" s="23"/>
      <c r="T923" s="23"/>
      <c r="U923" s="23"/>
      <c r="V923" s="23"/>
      <c r="W923" s="23"/>
      <c r="X923" s="23"/>
      <c r="Y923" s="23"/>
      <c r="Z923" s="23"/>
    </row>
    <row r="924">
      <c r="A924" s="2"/>
      <c r="B924" s="2"/>
      <c r="C924" s="2"/>
      <c r="D924" s="2"/>
      <c r="E924" s="2"/>
      <c r="F924" s="2"/>
      <c r="G924" s="2"/>
      <c r="H924" s="2"/>
      <c r="I924" s="2"/>
      <c r="J924" s="2"/>
      <c r="K924" s="2"/>
      <c r="L924" s="2"/>
      <c r="M924" s="2"/>
      <c r="N924" s="2"/>
      <c r="O924" s="2"/>
      <c r="P924" s="2"/>
      <c r="Q924" s="23"/>
      <c r="R924" s="23"/>
      <c r="S924" s="23"/>
      <c r="T924" s="23"/>
      <c r="U924" s="23"/>
      <c r="V924" s="23"/>
      <c r="W924" s="23"/>
      <c r="X924" s="23"/>
      <c r="Y924" s="23"/>
      <c r="Z924" s="23"/>
    </row>
    <row r="925">
      <c r="A925" s="2"/>
      <c r="B925" s="2"/>
      <c r="C925" s="2"/>
      <c r="D925" s="2"/>
      <c r="E925" s="2"/>
      <c r="F925" s="2"/>
      <c r="G925" s="2"/>
      <c r="H925" s="2"/>
      <c r="I925" s="2"/>
      <c r="J925" s="2"/>
      <c r="K925" s="2"/>
      <c r="L925" s="2"/>
      <c r="M925" s="2"/>
      <c r="N925" s="2"/>
      <c r="O925" s="2"/>
      <c r="P925" s="2"/>
      <c r="Q925" s="23"/>
      <c r="R925" s="23"/>
      <c r="S925" s="23"/>
      <c r="T925" s="23"/>
      <c r="U925" s="23"/>
      <c r="V925" s="23"/>
      <c r="W925" s="23"/>
      <c r="X925" s="23"/>
      <c r="Y925" s="23"/>
      <c r="Z925" s="23"/>
    </row>
    <row r="926">
      <c r="A926" s="2"/>
      <c r="B926" s="2"/>
      <c r="C926" s="2"/>
      <c r="D926" s="2"/>
      <c r="E926" s="2"/>
      <c r="F926" s="2"/>
      <c r="G926" s="2"/>
      <c r="H926" s="2"/>
      <c r="I926" s="2"/>
      <c r="J926" s="2"/>
      <c r="K926" s="2"/>
      <c r="L926" s="2"/>
      <c r="M926" s="2"/>
      <c r="N926" s="2"/>
      <c r="O926" s="2"/>
      <c r="P926" s="2"/>
      <c r="Q926" s="23"/>
      <c r="R926" s="23"/>
      <c r="S926" s="23"/>
      <c r="T926" s="23"/>
      <c r="U926" s="23"/>
      <c r="V926" s="23"/>
      <c r="W926" s="23"/>
      <c r="X926" s="23"/>
      <c r="Y926" s="23"/>
      <c r="Z926" s="23"/>
    </row>
    <row r="927">
      <c r="A927" s="2"/>
      <c r="B927" s="2"/>
      <c r="C927" s="2"/>
      <c r="D927" s="2"/>
      <c r="E927" s="2"/>
      <c r="F927" s="2"/>
      <c r="G927" s="2"/>
      <c r="H927" s="2"/>
      <c r="I927" s="2"/>
      <c r="J927" s="2"/>
      <c r="K927" s="2"/>
      <c r="L927" s="2"/>
      <c r="M927" s="2"/>
      <c r="N927" s="2"/>
      <c r="O927" s="2"/>
      <c r="P927" s="2"/>
      <c r="Q927" s="23"/>
      <c r="R927" s="23"/>
      <c r="S927" s="23"/>
      <c r="T927" s="23"/>
      <c r="U927" s="23"/>
      <c r="V927" s="23"/>
      <c r="W927" s="23"/>
      <c r="X927" s="23"/>
      <c r="Y927" s="23"/>
      <c r="Z927" s="23"/>
    </row>
    <row r="928">
      <c r="A928" s="2"/>
      <c r="B928" s="2"/>
      <c r="C928" s="2"/>
      <c r="D928" s="2"/>
      <c r="E928" s="2"/>
      <c r="F928" s="2"/>
      <c r="G928" s="2"/>
      <c r="H928" s="2"/>
      <c r="I928" s="2"/>
      <c r="J928" s="2"/>
      <c r="K928" s="2"/>
      <c r="L928" s="2"/>
      <c r="M928" s="2"/>
      <c r="N928" s="2"/>
      <c r="O928" s="2"/>
      <c r="P928" s="2"/>
      <c r="Q928" s="23"/>
      <c r="R928" s="23"/>
      <c r="S928" s="23"/>
      <c r="T928" s="23"/>
      <c r="U928" s="23"/>
      <c r="V928" s="23"/>
      <c r="W928" s="23"/>
      <c r="X928" s="23"/>
      <c r="Y928" s="23"/>
      <c r="Z928" s="23"/>
    </row>
    <row r="929">
      <c r="A929" s="2"/>
      <c r="B929" s="2"/>
      <c r="C929" s="2"/>
      <c r="D929" s="2"/>
      <c r="E929" s="2"/>
      <c r="F929" s="2"/>
      <c r="G929" s="2"/>
      <c r="H929" s="2"/>
      <c r="I929" s="2"/>
      <c r="J929" s="2"/>
      <c r="K929" s="2"/>
      <c r="L929" s="2"/>
      <c r="M929" s="2"/>
      <c r="N929" s="2"/>
      <c r="O929" s="2"/>
      <c r="P929" s="2"/>
      <c r="Q929" s="23"/>
      <c r="R929" s="23"/>
      <c r="S929" s="23"/>
      <c r="T929" s="23"/>
      <c r="U929" s="23"/>
      <c r="V929" s="23"/>
      <c r="W929" s="23"/>
      <c r="X929" s="23"/>
      <c r="Y929" s="23"/>
      <c r="Z929" s="23"/>
    </row>
    <row r="930">
      <c r="A930" s="2"/>
      <c r="B930" s="2"/>
      <c r="C930" s="2"/>
      <c r="D930" s="2"/>
      <c r="E930" s="2"/>
      <c r="F930" s="2"/>
      <c r="G930" s="2"/>
      <c r="H930" s="2"/>
      <c r="I930" s="2"/>
      <c r="J930" s="2"/>
      <c r="K930" s="2"/>
      <c r="L930" s="2"/>
      <c r="M930" s="2"/>
      <c r="N930" s="2"/>
      <c r="O930" s="2"/>
      <c r="P930" s="2"/>
      <c r="Q930" s="23"/>
      <c r="R930" s="23"/>
      <c r="S930" s="23"/>
      <c r="T930" s="23"/>
      <c r="U930" s="23"/>
      <c r="V930" s="23"/>
      <c r="W930" s="23"/>
      <c r="X930" s="23"/>
      <c r="Y930" s="23"/>
      <c r="Z930" s="23"/>
    </row>
    <row r="931">
      <c r="A931" s="2"/>
      <c r="B931" s="2"/>
      <c r="C931" s="2"/>
      <c r="D931" s="2"/>
      <c r="E931" s="2"/>
      <c r="F931" s="2"/>
      <c r="G931" s="2"/>
      <c r="H931" s="2"/>
      <c r="I931" s="2"/>
      <c r="J931" s="2"/>
      <c r="K931" s="2"/>
      <c r="L931" s="2"/>
      <c r="M931" s="2"/>
      <c r="N931" s="2"/>
      <c r="O931" s="2"/>
      <c r="P931" s="2"/>
      <c r="Q931" s="23"/>
      <c r="R931" s="23"/>
      <c r="S931" s="23"/>
      <c r="T931" s="23"/>
      <c r="U931" s="23"/>
      <c r="V931" s="23"/>
      <c r="W931" s="23"/>
      <c r="X931" s="23"/>
      <c r="Y931" s="23"/>
      <c r="Z931" s="23"/>
    </row>
    <row r="932">
      <c r="A932" s="2"/>
      <c r="B932" s="2"/>
      <c r="C932" s="2"/>
      <c r="D932" s="2"/>
      <c r="E932" s="2"/>
      <c r="F932" s="2"/>
      <c r="G932" s="2"/>
      <c r="H932" s="2"/>
      <c r="I932" s="2"/>
      <c r="J932" s="2"/>
      <c r="K932" s="2"/>
      <c r="L932" s="2"/>
      <c r="M932" s="2"/>
      <c r="N932" s="2"/>
      <c r="O932" s="2"/>
      <c r="P932" s="2"/>
      <c r="Q932" s="23"/>
      <c r="R932" s="23"/>
      <c r="S932" s="23"/>
      <c r="T932" s="23"/>
      <c r="U932" s="23"/>
      <c r="V932" s="23"/>
      <c r="W932" s="23"/>
      <c r="X932" s="23"/>
      <c r="Y932" s="23"/>
      <c r="Z932" s="23"/>
    </row>
    <row r="933">
      <c r="A933" s="2"/>
      <c r="B933" s="2"/>
      <c r="C933" s="2"/>
      <c r="D933" s="2"/>
      <c r="E933" s="2"/>
      <c r="F933" s="2"/>
      <c r="G933" s="2"/>
      <c r="H933" s="2"/>
      <c r="I933" s="2"/>
      <c r="J933" s="2"/>
      <c r="K933" s="2"/>
      <c r="L933" s="2"/>
      <c r="M933" s="2"/>
      <c r="N933" s="2"/>
      <c r="O933" s="2"/>
      <c r="P933" s="2"/>
      <c r="Q933" s="23"/>
      <c r="R933" s="23"/>
      <c r="S933" s="23"/>
      <c r="T933" s="23"/>
      <c r="U933" s="23"/>
      <c r="V933" s="23"/>
      <c r="W933" s="23"/>
      <c r="X933" s="23"/>
      <c r="Y933" s="23"/>
      <c r="Z933" s="23"/>
    </row>
    <row r="934">
      <c r="A934" s="2"/>
      <c r="B934" s="2"/>
      <c r="C934" s="2"/>
      <c r="D934" s="2"/>
      <c r="E934" s="2"/>
      <c r="F934" s="2"/>
      <c r="G934" s="2"/>
      <c r="H934" s="2"/>
      <c r="I934" s="2"/>
      <c r="J934" s="2"/>
      <c r="K934" s="2"/>
      <c r="L934" s="2"/>
      <c r="M934" s="2"/>
      <c r="N934" s="2"/>
      <c r="O934" s="2"/>
      <c r="P934" s="2"/>
      <c r="Q934" s="23"/>
      <c r="R934" s="23"/>
      <c r="S934" s="23"/>
      <c r="T934" s="23"/>
      <c r="U934" s="23"/>
      <c r="V934" s="23"/>
      <c r="W934" s="23"/>
      <c r="X934" s="23"/>
      <c r="Y934" s="23"/>
      <c r="Z934" s="23"/>
    </row>
    <row r="935">
      <c r="A935" s="2"/>
      <c r="B935" s="2"/>
      <c r="C935" s="2"/>
      <c r="D935" s="2"/>
      <c r="E935" s="2"/>
      <c r="F935" s="2"/>
      <c r="G935" s="2"/>
      <c r="H935" s="2"/>
      <c r="I935" s="2"/>
      <c r="J935" s="2"/>
      <c r="K935" s="2"/>
      <c r="L935" s="2"/>
      <c r="M935" s="2"/>
      <c r="N935" s="2"/>
      <c r="O935" s="2"/>
      <c r="P935" s="2"/>
      <c r="Q935" s="23"/>
      <c r="R935" s="23"/>
      <c r="S935" s="23"/>
      <c r="T935" s="23"/>
      <c r="U935" s="23"/>
      <c r="V935" s="23"/>
      <c r="W935" s="23"/>
      <c r="X935" s="23"/>
      <c r="Y935" s="23"/>
      <c r="Z935" s="23"/>
    </row>
    <row r="936">
      <c r="A936" s="2"/>
      <c r="B936" s="2"/>
      <c r="C936" s="2"/>
      <c r="D936" s="2"/>
      <c r="E936" s="2"/>
      <c r="F936" s="2"/>
      <c r="G936" s="2"/>
      <c r="H936" s="2"/>
      <c r="I936" s="2"/>
      <c r="J936" s="2"/>
      <c r="K936" s="2"/>
      <c r="L936" s="2"/>
      <c r="M936" s="2"/>
      <c r="N936" s="2"/>
      <c r="O936" s="2"/>
      <c r="P936" s="2"/>
      <c r="Q936" s="23"/>
      <c r="R936" s="23"/>
      <c r="S936" s="23"/>
      <c r="T936" s="23"/>
      <c r="U936" s="23"/>
      <c r="V936" s="23"/>
      <c r="W936" s="23"/>
      <c r="X936" s="23"/>
      <c r="Y936" s="23"/>
      <c r="Z936" s="23"/>
    </row>
    <row r="937">
      <c r="A937" s="2"/>
      <c r="B937" s="2"/>
      <c r="C937" s="2"/>
      <c r="D937" s="2"/>
      <c r="E937" s="2"/>
      <c r="F937" s="2"/>
      <c r="G937" s="2"/>
      <c r="H937" s="2"/>
      <c r="I937" s="2"/>
      <c r="J937" s="2"/>
      <c r="K937" s="2"/>
      <c r="L937" s="2"/>
      <c r="M937" s="2"/>
      <c r="N937" s="2"/>
      <c r="O937" s="2"/>
      <c r="P937" s="2"/>
      <c r="Q937" s="23"/>
      <c r="R937" s="23"/>
      <c r="S937" s="23"/>
      <c r="T937" s="23"/>
      <c r="U937" s="23"/>
      <c r="V937" s="23"/>
      <c r="W937" s="23"/>
      <c r="X937" s="23"/>
      <c r="Y937" s="23"/>
      <c r="Z937" s="23"/>
    </row>
    <row r="938">
      <c r="A938" s="2"/>
      <c r="B938" s="2"/>
      <c r="C938" s="2"/>
      <c r="D938" s="2"/>
      <c r="E938" s="2"/>
      <c r="F938" s="2"/>
      <c r="G938" s="2"/>
      <c r="H938" s="2"/>
      <c r="I938" s="2"/>
      <c r="J938" s="2"/>
      <c r="K938" s="2"/>
      <c r="L938" s="2"/>
      <c r="M938" s="2"/>
      <c r="N938" s="2"/>
      <c r="O938" s="2"/>
      <c r="P938" s="2"/>
      <c r="Q938" s="23"/>
      <c r="R938" s="23"/>
      <c r="S938" s="23"/>
      <c r="T938" s="23"/>
      <c r="U938" s="23"/>
      <c r="V938" s="23"/>
      <c r="W938" s="23"/>
      <c r="X938" s="23"/>
      <c r="Y938" s="23"/>
      <c r="Z938" s="23"/>
    </row>
    <row r="939">
      <c r="A939" s="2"/>
      <c r="B939" s="2"/>
      <c r="C939" s="2"/>
      <c r="D939" s="2"/>
      <c r="E939" s="2"/>
      <c r="F939" s="2"/>
      <c r="G939" s="2"/>
      <c r="H939" s="2"/>
      <c r="I939" s="2"/>
      <c r="J939" s="2"/>
      <c r="K939" s="2"/>
      <c r="L939" s="2"/>
      <c r="M939" s="2"/>
      <c r="N939" s="2"/>
      <c r="O939" s="2"/>
      <c r="P939" s="2"/>
      <c r="Q939" s="23"/>
      <c r="R939" s="23"/>
      <c r="S939" s="23"/>
      <c r="T939" s="23"/>
      <c r="U939" s="23"/>
      <c r="V939" s="23"/>
      <c r="W939" s="23"/>
      <c r="X939" s="23"/>
      <c r="Y939" s="23"/>
      <c r="Z939" s="23"/>
    </row>
    <row r="940">
      <c r="A940" s="2"/>
      <c r="B940" s="2"/>
      <c r="C940" s="2"/>
      <c r="D940" s="2"/>
      <c r="E940" s="2"/>
      <c r="F940" s="2"/>
      <c r="G940" s="2"/>
      <c r="H940" s="2"/>
      <c r="I940" s="2"/>
      <c r="J940" s="2"/>
      <c r="K940" s="2"/>
      <c r="L940" s="2"/>
      <c r="M940" s="2"/>
      <c r="N940" s="2"/>
      <c r="O940" s="2"/>
      <c r="P940" s="2"/>
      <c r="Q940" s="23"/>
      <c r="R940" s="23"/>
      <c r="S940" s="23"/>
      <c r="T940" s="23"/>
      <c r="U940" s="23"/>
      <c r="V940" s="23"/>
      <c r="W940" s="23"/>
      <c r="X940" s="23"/>
      <c r="Y940" s="23"/>
      <c r="Z940" s="23"/>
    </row>
    <row r="941">
      <c r="A941" s="2"/>
      <c r="B941" s="2"/>
      <c r="C941" s="2"/>
      <c r="D941" s="2"/>
      <c r="E941" s="2"/>
      <c r="F941" s="2"/>
      <c r="G941" s="2"/>
      <c r="H941" s="2"/>
      <c r="I941" s="2"/>
      <c r="J941" s="2"/>
      <c r="K941" s="2"/>
      <c r="L941" s="2"/>
      <c r="M941" s="2"/>
      <c r="N941" s="2"/>
      <c r="O941" s="2"/>
      <c r="P941" s="2"/>
      <c r="Q941" s="23"/>
      <c r="R941" s="23"/>
      <c r="S941" s="23"/>
      <c r="T941" s="23"/>
      <c r="U941" s="23"/>
      <c r="V941" s="23"/>
      <c r="W941" s="23"/>
      <c r="X941" s="23"/>
      <c r="Y941" s="23"/>
      <c r="Z941" s="23"/>
    </row>
    <row r="942">
      <c r="A942" s="2"/>
      <c r="B942" s="2"/>
      <c r="C942" s="2"/>
      <c r="D942" s="2"/>
      <c r="E942" s="2"/>
      <c r="F942" s="2"/>
      <c r="G942" s="2"/>
      <c r="H942" s="2"/>
      <c r="I942" s="2"/>
      <c r="J942" s="2"/>
      <c r="K942" s="2"/>
      <c r="L942" s="2"/>
      <c r="M942" s="2"/>
      <c r="N942" s="2"/>
      <c r="O942" s="2"/>
      <c r="P942" s="2"/>
      <c r="Q942" s="23"/>
      <c r="R942" s="23"/>
      <c r="S942" s="23"/>
      <c r="T942" s="23"/>
      <c r="U942" s="23"/>
      <c r="V942" s="23"/>
      <c r="W942" s="23"/>
      <c r="X942" s="23"/>
      <c r="Y942" s="23"/>
      <c r="Z942" s="23"/>
    </row>
    <row r="943">
      <c r="A943" s="2"/>
      <c r="B943" s="2"/>
      <c r="C943" s="2"/>
      <c r="D943" s="2"/>
      <c r="E943" s="2"/>
      <c r="F943" s="2"/>
      <c r="G943" s="2"/>
      <c r="H943" s="2"/>
      <c r="I943" s="2"/>
      <c r="J943" s="2"/>
      <c r="K943" s="2"/>
      <c r="L943" s="2"/>
      <c r="M943" s="2"/>
      <c r="N943" s="2"/>
      <c r="O943" s="2"/>
      <c r="P943" s="2"/>
      <c r="Q943" s="23"/>
      <c r="R943" s="23"/>
      <c r="S943" s="23"/>
      <c r="T943" s="23"/>
      <c r="U943" s="23"/>
      <c r="V943" s="23"/>
      <c r="W943" s="23"/>
      <c r="X943" s="23"/>
      <c r="Y943" s="23"/>
      <c r="Z943" s="23"/>
    </row>
    <row r="944">
      <c r="A944" s="2"/>
      <c r="B944" s="2"/>
      <c r="C944" s="2"/>
      <c r="D944" s="2"/>
      <c r="E944" s="2"/>
      <c r="F944" s="2"/>
      <c r="G944" s="2"/>
      <c r="H944" s="2"/>
      <c r="I944" s="2"/>
      <c r="J944" s="2"/>
      <c r="K944" s="2"/>
      <c r="L944" s="2"/>
      <c r="M944" s="2"/>
      <c r="N944" s="2"/>
      <c r="O944" s="2"/>
      <c r="P944" s="2"/>
      <c r="Q944" s="23"/>
      <c r="R944" s="23"/>
      <c r="S944" s="23"/>
      <c r="T944" s="23"/>
      <c r="U944" s="23"/>
      <c r="V944" s="23"/>
      <c r="W944" s="23"/>
      <c r="X944" s="23"/>
      <c r="Y944" s="23"/>
      <c r="Z944" s="23"/>
    </row>
    <row r="945">
      <c r="A945" s="2"/>
      <c r="B945" s="2"/>
      <c r="C945" s="2"/>
      <c r="D945" s="2"/>
      <c r="E945" s="2"/>
      <c r="F945" s="2"/>
      <c r="G945" s="2"/>
      <c r="H945" s="2"/>
      <c r="I945" s="2"/>
      <c r="J945" s="2"/>
      <c r="K945" s="2"/>
      <c r="L945" s="2"/>
      <c r="M945" s="2"/>
      <c r="N945" s="2"/>
      <c r="O945" s="2"/>
      <c r="P945" s="2"/>
      <c r="Q945" s="23"/>
      <c r="R945" s="23"/>
      <c r="S945" s="23"/>
      <c r="T945" s="23"/>
      <c r="U945" s="23"/>
      <c r="V945" s="23"/>
      <c r="W945" s="23"/>
      <c r="X945" s="23"/>
      <c r="Y945" s="23"/>
      <c r="Z945" s="23"/>
    </row>
    <row r="946">
      <c r="A946" s="2"/>
      <c r="B946" s="2"/>
      <c r="C946" s="2"/>
      <c r="D946" s="2"/>
      <c r="E946" s="2"/>
      <c r="F946" s="2"/>
      <c r="G946" s="2"/>
      <c r="H946" s="2"/>
      <c r="I946" s="2"/>
      <c r="J946" s="2"/>
      <c r="K946" s="2"/>
      <c r="L946" s="2"/>
      <c r="M946" s="2"/>
      <c r="N946" s="2"/>
      <c r="O946" s="2"/>
      <c r="P946" s="2"/>
      <c r="Q946" s="23"/>
      <c r="R946" s="23"/>
      <c r="S946" s="23"/>
      <c r="T946" s="23"/>
      <c r="U946" s="23"/>
      <c r="V946" s="23"/>
      <c r="W946" s="23"/>
      <c r="X946" s="23"/>
      <c r="Y946" s="23"/>
      <c r="Z946" s="23"/>
    </row>
    <row r="947">
      <c r="A947" s="2"/>
      <c r="B947" s="2"/>
      <c r="C947" s="2"/>
      <c r="D947" s="2"/>
      <c r="E947" s="2"/>
      <c r="F947" s="2"/>
      <c r="G947" s="2"/>
      <c r="H947" s="2"/>
      <c r="I947" s="2"/>
      <c r="J947" s="2"/>
      <c r="K947" s="2"/>
      <c r="L947" s="2"/>
      <c r="M947" s="2"/>
      <c r="N947" s="2"/>
      <c r="O947" s="2"/>
      <c r="P947" s="2"/>
      <c r="Q947" s="23"/>
      <c r="R947" s="23"/>
      <c r="S947" s="23"/>
      <c r="T947" s="23"/>
      <c r="U947" s="23"/>
      <c r="V947" s="23"/>
      <c r="W947" s="23"/>
      <c r="X947" s="23"/>
      <c r="Y947" s="23"/>
      <c r="Z947" s="23"/>
    </row>
    <row r="948">
      <c r="A948" s="2"/>
      <c r="B948" s="2"/>
      <c r="C948" s="2"/>
      <c r="D948" s="2"/>
      <c r="E948" s="2"/>
      <c r="F948" s="2"/>
      <c r="G948" s="2"/>
      <c r="H948" s="2"/>
      <c r="I948" s="2"/>
      <c r="J948" s="2"/>
      <c r="K948" s="2"/>
      <c r="L948" s="2"/>
      <c r="M948" s="2"/>
      <c r="N948" s="2"/>
      <c r="O948" s="2"/>
      <c r="P948" s="2"/>
      <c r="Q948" s="23"/>
      <c r="R948" s="23"/>
      <c r="S948" s="23"/>
      <c r="T948" s="23"/>
      <c r="U948" s="23"/>
      <c r="V948" s="23"/>
      <c r="W948" s="23"/>
      <c r="X948" s="23"/>
      <c r="Y948" s="23"/>
      <c r="Z948" s="23"/>
    </row>
    <row r="949">
      <c r="A949" s="2"/>
      <c r="B949" s="2"/>
      <c r="C949" s="2"/>
      <c r="D949" s="2"/>
      <c r="E949" s="2"/>
      <c r="F949" s="2"/>
      <c r="G949" s="2"/>
      <c r="H949" s="2"/>
      <c r="I949" s="2"/>
      <c r="J949" s="2"/>
      <c r="K949" s="2"/>
      <c r="L949" s="2"/>
      <c r="M949" s="2"/>
      <c r="N949" s="2"/>
      <c r="O949" s="2"/>
      <c r="P949" s="2"/>
      <c r="Q949" s="23"/>
      <c r="R949" s="23"/>
      <c r="S949" s="23"/>
      <c r="T949" s="23"/>
      <c r="U949" s="23"/>
      <c r="V949" s="23"/>
      <c r="W949" s="23"/>
      <c r="X949" s="23"/>
      <c r="Y949" s="23"/>
      <c r="Z949" s="23"/>
    </row>
    <row r="950">
      <c r="A950" s="2"/>
      <c r="B950" s="2"/>
      <c r="C950" s="2"/>
      <c r="D950" s="2"/>
      <c r="E950" s="2"/>
      <c r="F950" s="2"/>
      <c r="G950" s="2"/>
      <c r="H950" s="2"/>
      <c r="I950" s="2"/>
      <c r="J950" s="2"/>
      <c r="K950" s="2"/>
      <c r="L950" s="2"/>
      <c r="M950" s="2"/>
      <c r="N950" s="2"/>
      <c r="O950" s="2"/>
      <c r="P950" s="2"/>
      <c r="Q950" s="23"/>
      <c r="R950" s="23"/>
      <c r="S950" s="23"/>
      <c r="T950" s="23"/>
      <c r="U950" s="23"/>
      <c r="V950" s="23"/>
      <c r="W950" s="23"/>
      <c r="X950" s="23"/>
      <c r="Y950" s="23"/>
      <c r="Z950" s="23"/>
    </row>
    <row r="951">
      <c r="A951" s="2"/>
      <c r="B951" s="2"/>
      <c r="C951" s="2"/>
      <c r="D951" s="2"/>
      <c r="E951" s="2"/>
      <c r="F951" s="2"/>
      <c r="G951" s="2"/>
      <c r="H951" s="2"/>
      <c r="I951" s="2"/>
      <c r="J951" s="2"/>
      <c r="K951" s="2"/>
      <c r="L951" s="2"/>
      <c r="M951" s="2"/>
      <c r="N951" s="2"/>
      <c r="O951" s="2"/>
      <c r="P951" s="2"/>
      <c r="Q951" s="23"/>
      <c r="R951" s="23"/>
      <c r="S951" s="23"/>
      <c r="T951" s="23"/>
      <c r="U951" s="23"/>
      <c r="V951" s="23"/>
      <c r="W951" s="23"/>
      <c r="X951" s="23"/>
      <c r="Y951" s="23"/>
      <c r="Z951" s="23"/>
    </row>
    <row r="952">
      <c r="A952" s="2"/>
      <c r="B952" s="2"/>
      <c r="C952" s="2"/>
      <c r="D952" s="2"/>
      <c r="E952" s="2"/>
      <c r="F952" s="2"/>
      <c r="G952" s="2"/>
      <c r="H952" s="2"/>
      <c r="I952" s="2"/>
      <c r="J952" s="2"/>
      <c r="K952" s="2"/>
      <c r="L952" s="2"/>
      <c r="M952" s="2"/>
      <c r="N952" s="2"/>
      <c r="O952" s="2"/>
      <c r="P952" s="2"/>
      <c r="Q952" s="23"/>
      <c r="R952" s="23"/>
      <c r="S952" s="23"/>
      <c r="T952" s="23"/>
      <c r="U952" s="23"/>
      <c r="V952" s="23"/>
      <c r="W952" s="23"/>
      <c r="X952" s="23"/>
      <c r="Y952" s="23"/>
      <c r="Z952" s="23"/>
    </row>
    <row r="953">
      <c r="A953" s="2"/>
      <c r="B953" s="2"/>
      <c r="C953" s="2"/>
      <c r="D953" s="2"/>
      <c r="E953" s="2"/>
      <c r="F953" s="2"/>
      <c r="G953" s="2"/>
      <c r="H953" s="2"/>
      <c r="I953" s="2"/>
      <c r="J953" s="2"/>
      <c r="K953" s="2"/>
      <c r="L953" s="2"/>
      <c r="M953" s="2"/>
      <c r="N953" s="2"/>
      <c r="O953" s="2"/>
      <c r="P953" s="2"/>
      <c r="Q953" s="23"/>
      <c r="R953" s="23"/>
      <c r="S953" s="23"/>
      <c r="T953" s="23"/>
      <c r="U953" s="23"/>
      <c r="V953" s="23"/>
      <c r="W953" s="23"/>
      <c r="X953" s="23"/>
      <c r="Y953" s="23"/>
      <c r="Z953" s="23"/>
    </row>
    <row r="954">
      <c r="A954" s="2"/>
      <c r="B954" s="2"/>
      <c r="C954" s="2"/>
      <c r="D954" s="2"/>
      <c r="E954" s="2"/>
      <c r="F954" s="2"/>
      <c r="G954" s="2"/>
      <c r="H954" s="2"/>
      <c r="I954" s="2"/>
      <c r="J954" s="2"/>
      <c r="K954" s="2"/>
      <c r="L954" s="2"/>
      <c r="M954" s="2"/>
      <c r="N954" s="2"/>
      <c r="O954" s="2"/>
      <c r="P954" s="2"/>
      <c r="Q954" s="23"/>
      <c r="R954" s="23"/>
      <c r="S954" s="23"/>
      <c r="T954" s="23"/>
      <c r="U954" s="23"/>
      <c r="V954" s="23"/>
      <c r="W954" s="23"/>
      <c r="X954" s="23"/>
      <c r="Y954" s="23"/>
      <c r="Z954" s="23"/>
    </row>
    <row r="955">
      <c r="A955" s="2"/>
      <c r="B955" s="2"/>
      <c r="C955" s="2"/>
      <c r="D955" s="2"/>
      <c r="E955" s="2"/>
      <c r="F955" s="2"/>
      <c r="G955" s="2"/>
      <c r="H955" s="2"/>
      <c r="I955" s="2"/>
      <c r="J955" s="2"/>
      <c r="K955" s="2"/>
      <c r="L955" s="2"/>
      <c r="M955" s="2"/>
      <c r="N955" s="2"/>
      <c r="O955" s="2"/>
      <c r="P955" s="2"/>
      <c r="Q955" s="23"/>
      <c r="R955" s="23"/>
      <c r="S955" s="23"/>
      <c r="T955" s="23"/>
      <c r="U955" s="23"/>
      <c r="V955" s="23"/>
      <c r="W955" s="23"/>
      <c r="X955" s="23"/>
      <c r="Y955" s="23"/>
      <c r="Z955" s="23"/>
    </row>
    <row r="956">
      <c r="A956" s="2"/>
      <c r="B956" s="2"/>
      <c r="C956" s="2"/>
      <c r="D956" s="2"/>
      <c r="E956" s="2"/>
      <c r="F956" s="2"/>
      <c r="G956" s="2"/>
      <c r="H956" s="2"/>
      <c r="I956" s="2"/>
      <c r="J956" s="2"/>
      <c r="K956" s="2"/>
      <c r="L956" s="2"/>
      <c r="M956" s="2"/>
      <c r="N956" s="2"/>
      <c r="O956" s="2"/>
      <c r="P956" s="2"/>
      <c r="Q956" s="23"/>
      <c r="R956" s="23"/>
      <c r="S956" s="23"/>
      <c r="T956" s="23"/>
      <c r="U956" s="23"/>
      <c r="V956" s="23"/>
      <c r="W956" s="23"/>
      <c r="X956" s="23"/>
      <c r="Y956" s="23"/>
      <c r="Z956" s="23"/>
    </row>
    <row r="957">
      <c r="A957" s="2"/>
      <c r="B957" s="2"/>
      <c r="C957" s="2"/>
      <c r="D957" s="2"/>
      <c r="E957" s="2"/>
      <c r="F957" s="2"/>
      <c r="G957" s="2"/>
      <c r="H957" s="2"/>
      <c r="I957" s="2"/>
      <c r="J957" s="2"/>
      <c r="K957" s="2"/>
      <c r="L957" s="2"/>
      <c r="M957" s="2"/>
      <c r="N957" s="2"/>
      <c r="O957" s="2"/>
      <c r="P957" s="2"/>
      <c r="Q957" s="23"/>
      <c r="R957" s="23"/>
      <c r="S957" s="23"/>
      <c r="T957" s="23"/>
      <c r="U957" s="23"/>
      <c r="V957" s="23"/>
      <c r="W957" s="23"/>
      <c r="X957" s="23"/>
      <c r="Y957" s="23"/>
      <c r="Z957" s="23"/>
    </row>
    <row r="958">
      <c r="A958" s="2"/>
      <c r="B958" s="2"/>
      <c r="C958" s="2"/>
      <c r="D958" s="2"/>
      <c r="E958" s="2"/>
      <c r="F958" s="2"/>
      <c r="G958" s="2"/>
      <c r="H958" s="2"/>
      <c r="I958" s="2"/>
      <c r="J958" s="2"/>
      <c r="K958" s="2"/>
      <c r="L958" s="2"/>
      <c r="M958" s="2"/>
      <c r="N958" s="2"/>
      <c r="O958" s="2"/>
      <c r="P958" s="2"/>
      <c r="Q958" s="23"/>
      <c r="R958" s="23"/>
      <c r="S958" s="23"/>
      <c r="T958" s="23"/>
      <c r="U958" s="23"/>
      <c r="V958" s="23"/>
      <c r="W958" s="23"/>
      <c r="X958" s="23"/>
      <c r="Y958" s="23"/>
      <c r="Z958" s="23"/>
    </row>
    <row r="959">
      <c r="A959" s="2"/>
      <c r="B959" s="2"/>
      <c r="C959" s="2"/>
      <c r="D959" s="2"/>
      <c r="E959" s="2"/>
      <c r="F959" s="2"/>
      <c r="G959" s="2"/>
      <c r="H959" s="2"/>
      <c r="I959" s="2"/>
      <c r="J959" s="2"/>
      <c r="K959" s="2"/>
      <c r="L959" s="2"/>
      <c r="M959" s="2"/>
      <c r="N959" s="2"/>
      <c r="O959" s="2"/>
      <c r="P959" s="2"/>
      <c r="Q959" s="23"/>
      <c r="R959" s="23"/>
      <c r="S959" s="23"/>
      <c r="T959" s="23"/>
      <c r="U959" s="23"/>
      <c r="V959" s="23"/>
      <c r="W959" s="23"/>
      <c r="X959" s="23"/>
      <c r="Y959" s="23"/>
      <c r="Z959" s="23"/>
    </row>
    <row r="960">
      <c r="A960" s="2"/>
      <c r="B960" s="2"/>
      <c r="C960" s="2"/>
      <c r="D960" s="2"/>
      <c r="E960" s="2"/>
      <c r="F960" s="2"/>
      <c r="G960" s="2"/>
      <c r="H960" s="2"/>
      <c r="I960" s="2"/>
      <c r="J960" s="2"/>
      <c r="K960" s="2"/>
      <c r="L960" s="2"/>
      <c r="M960" s="2"/>
      <c r="N960" s="2"/>
      <c r="O960" s="2"/>
      <c r="P960" s="2"/>
      <c r="Q960" s="23"/>
      <c r="R960" s="23"/>
      <c r="S960" s="23"/>
      <c r="T960" s="23"/>
      <c r="U960" s="23"/>
      <c r="V960" s="23"/>
      <c r="W960" s="23"/>
      <c r="X960" s="23"/>
      <c r="Y960" s="23"/>
      <c r="Z960" s="23"/>
    </row>
    <row r="961">
      <c r="A961" s="2"/>
      <c r="B961" s="2"/>
      <c r="C961" s="2"/>
      <c r="D961" s="2"/>
      <c r="E961" s="2"/>
      <c r="F961" s="2"/>
      <c r="G961" s="2"/>
      <c r="H961" s="2"/>
      <c r="I961" s="2"/>
      <c r="J961" s="2"/>
      <c r="K961" s="2"/>
      <c r="L961" s="2"/>
      <c r="M961" s="2"/>
      <c r="N961" s="2"/>
      <c r="O961" s="2"/>
      <c r="P961" s="2"/>
      <c r="Q961" s="23"/>
      <c r="R961" s="23"/>
      <c r="S961" s="23"/>
      <c r="T961" s="23"/>
      <c r="U961" s="23"/>
      <c r="V961" s="23"/>
      <c r="W961" s="23"/>
      <c r="X961" s="23"/>
      <c r="Y961" s="23"/>
      <c r="Z961" s="23"/>
    </row>
    <row r="962">
      <c r="A962" s="2"/>
      <c r="B962" s="2"/>
      <c r="C962" s="2"/>
      <c r="D962" s="2"/>
      <c r="E962" s="2"/>
      <c r="F962" s="2"/>
      <c r="G962" s="2"/>
      <c r="H962" s="2"/>
      <c r="I962" s="2"/>
      <c r="J962" s="2"/>
      <c r="K962" s="2"/>
      <c r="L962" s="2"/>
      <c r="M962" s="2"/>
      <c r="N962" s="2"/>
      <c r="O962" s="2"/>
      <c r="P962" s="2"/>
      <c r="Q962" s="23"/>
      <c r="R962" s="23"/>
      <c r="S962" s="23"/>
      <c r="T962" s="23"/>
      <c r="U962" s="23"/>
      <c r="V962" s="23"/>
      <c r="W962" s="23"/>
      <c r="X962" s="23"/>
      <c r="Y962" s="23"/>
      <c r="Z962" s="23"/>
    </row>
    <row r="963">
      <c r="A963" s="2"/>
      <c r="B963" s="2"/>
      <c r="C963" s="2"/>
      <c r="D963" s="2"/>
      <c r="E963" s="2"/>
      <c r="F963" s="2"/>
      <c r="G963" s="2"/>
      <c r="H963" s="2"/>
      <c r="I963" s="2"/>
      <c r="J963" s="2"/>
      <c r="K963" s="2"/>
      <c r="L963" s="2"/>
      <c r="M963" s="2"/>
      <c r="N963" s="2"/>
      <c r="O963" s="2"/>
      <c r="P963" s="2"/>
      <c r="Q963" s="23"/>
      <c r="R963" s="23"/>
      <c r="S963" s="23"/>
      <c r="T963" s="23"/>
      <c r="U963" s="23"/>
      <c r="V963" s="23"/>
      <c r="W963" s="23"/>
      <c r="X963" s="23"/>
      <c r="Y963" s="23"/>
      <c r="Z963" s="23"/>
    </row>
    <row r="964">
      <c r="A964" s="2"/>
      <c r="B964" s="2"/>
      <c r="C964" s="2"/>
      <c r="D964" s="2"/>
      <c r="E964" s="2"/>
      <c r="F964" s="2"/>
      <c r="G964" s="2"/>
      <c r="H964" s="2"/>
      <c r="I964" s="2"/>
      <c r="J964" s="2"/>
      <c r="K964" s="2"/>
      <c r="L964" s="2"/>
      <c r="M964" s="2"/>
      <c r="N964" s="2"/>
      <c r="O964" s="2"/>
      <c r="P964" s="2"/>
      <c r="Q964" s="23"/>
      <c r="R964" s="23"/>
      <c r="S964" s="23"/>
      <c r="T964" s="23"/>
      <c r="U964" s="23"/>
      <c r="V964" s="23"/>
      <c r="W964" s="23"/>
      <c r="X964" s="23"/>
      <c r="Y964" s="23"/>
      <c r="Z964" s="23"/>
    </row>
    <row r="965">
      <c r="A965" s="2"/>
      <c r="B965" s="2"/>
      <c r="C965" s="2"/>
      <c r="D965" s="2"/>
      <c r="E965" s="2"/>
      <c r="F965" s="2"/>
      <c r="G965" s="2"/>
      <c r="H965" s="2"/>
      <c r="I965" s="2"/>
      <c r="J965" s="2"/>
      <c r="K965" s="2"/>
      <c r="L965" s="2"/>
      <c r="M965" s="2"/>
      <c r="N965" s="2"/>
      <c r="O965" s="2"/>
      <c r="P965" s="2"/>
      <c r="Q965" s="23"/>
      <c r="R965" s="23"/>
      <c r="S965" s="23"/>
      <c r="T965" s="23"/>
      <c r="U965" s="23"/>
      <c r="V965" s="23"/>
      <c r="W965" s="23"/>
      <c r="X965" s="23"/>
      <c r="Y965" s="23"/>
      <c r="Z965" s="23"/>
    </row>
    <row r="966">
      <c r="A966" s="2"/>
      <c r="B966" s="2"/>
      <c r="C966" s="2"/>
      <c r="D966" s="2"/>
      <c r="E966" s="2"/>
      <c r="F966" s="2"/>
      <c r="G966" s="2"/>
      <c r="H966" s="2"/>
      <c r="I966" s="2"/>
      <c r="J966" s="2"/>
      <c r="K966" s="2"/>
      <c r="L966" s="2"/>
      <c r="M966" s="2"/>
      <c r="N966" s="2"/>
      <c r="O966" s="2"/>
      <c r="P966" s="2"/>
      <c r="Q966" s="23"/>
      <c r="R966" s="23"/>
      <c r="S966" s="23"/>
      <c r="T966" s="23"/>
      <c r="U966" s="23"/>
      <c r="V966" s="23"/>
      <c r="W966" s="23"/>
      <c r="X966" s="23"/>
      <c r="Y966" s="23"/>
      <c r="Z966" s="23"/>
    </row>
    <row r="967">
      <c r="A967" s="2"/>
      <c r="B967" s="2"/>
      <c r="C967" s="2"/>
      <c r="D967" s="2"/>
      <c r="E967" s="2"/>
      <c r="F967" s="2"/>
      <c r="G967" s="2"/>
      <c r="H967" s="2"/>
      <c r="I967" s="2"/>
      <c r="J967" s="2"/>
      <c r="K967" s="2"/>
      <c r="L967" s="2"/>
      <c r="M967" s="2"/>
      <c r="N967" s="2"/>
      <c r="O967" s="2"/>
      <c r="P967" s="2"/>
      <c r="Q967" s="23"/>
      <c r="R967" s="23"/>
      <c r="S967" s="23"/>
      <c r="T967" s="23"/>
      <c r="U967" s="23"/>
      <c r="V967" s="23"/>
      <c r="W967" s="23"/>
      <c r="X967" s="23"/>
      <c r="Y967" s="23"/>
      <c r="Z967" s="23"/>
    </row>
    <row r="968">
      <c r="A968" s="2"/>
      <c r="B968" s="2"/>
      <c r="C968" s="2"/>
      <c r="D968" s="2"/>
      <c r="E968" s="2"/>
      <c r="F968" s="2"/>
      <c r="G968" s="2"/>
      <c r="H968" s="2"/>
      <c r="I968" s="2"/>
      <c r="J968" s="2"/>
      <c r="K968" s="2"/>
      <c r="L968" s="2"/>
      <c r="M968" s="2"/>
      <c r="N968" s="2"/>
      <c r="O968" s="2"/>
      <c r="P968" s="2"/>
      <c r="Q968" s="23"/>
      <c r="R968" s="23"/>
      <c r="S968" s="23"/>
      <c r="T968" s="23"/>
      <c r="U968" s="23"/>
      <c r="V968" s="23"/>
      <c r="W968" s="23"/>
      <c r="X968" s="23"/>
      <c r="Y968" s="23"/>
      <c r="Z968" s="23"/>
    </row>
    <row r="969">
      <c r="A969" s="2"/>
      <c r="B969" s="2"/>
      <c r="C969" s="2"/>
      <c r="D969" s="2"/>
      <c r="E969" s="2"/>
      <c r="F969" s="2"/>
      <c r="G969" s="2"/>
      <c r="H969" s="2"/>
      <c r="I969" s="2"/>
      <c r="J969" s="2"/>
      <c r="K969" s="2"/>
      <c r="L969" s="2"/>
      <c r="M969" s="2"/>
      <c r="N969" s="2"/>
      <c r="O969" s="2"/>
      <c r="P969" s="2"/>
      <c r="Q969" s="23"/>
      <c r="R969" s="23"/>
      <c r="S969" s="23"/>
      <c r="T969" s="23"/>
      <c r="U969" s="23"/>
      <c r="V969" s="23"/>
      <c r="W969" s="23"/>
      <c r="X969" s="23"/>
      <c r="Y969" s="23"/>
      <c r="Z969" s="23"/>
    </row>
    <row r="970">
      <c r="A970" s="2"/>
      <c r="B970" s="2"/>
      <c r="C970" s="2"/>
      <c r="D970" s="2"/>
      <c r="E970" s="2"/>
      <c r="F970" s="2"/>
      <c r="G970" s="2"/>
      <c r="H970" s="2"/>
      <c r="I970" s="2"/>
      <c r="J970" s="2"/>
      <c r="K970" s="2"/>
      <c r="L970" s="2"/>
      <c r="M970" s="2"/>
      <c r="N970" s="2"/>
      <c r="O970" s="2"/>
      <c r="P970" s="2"/>
      <c r="Q970" s="23"/>
      <c r="R970" s="23"/>
      <c r="S970" s="23"/>
      <c r="T970" s="23"/>
      <c r="U970" s="23"/>
      <c r="V970" s="23"/>
      <c r="W970" s="23"/>
      <c r="X970" s="23"/>
      <c r="Y970" s="23"/>
      <c r="Z970" s="23"/>
    </row>
    <row r="971">
      <c r="A971" s="2"/>
      <c r="B971" s="2"/>
      <c r="C971" s="2"/>
      <c r="D971" s="2"/>
      <c r="E971" s="2"/>
      <c r="F971" s="2"/>
      <c r="G971" s="2"/>
      <c r="H971" s="2"/>
      <c r="I971" s="2"/>
      <c r="J971" s="2"/>
      <c r="K971" s="2"/>
      <c r="L971" s="2"/>
      <c r="M971" s="2"/>
      <c r="N971" s="2"/>
      <c r="O971" s="2"/>
      <c r="P971" s="2"/>
      <c r="Q971" s="23"/>
      <c r="R971" s="23"/>
      <c r="S971" s="23"/>
      <c r="T971" s="23"/>
      <c r="U971" s="23"/>
      <c r="V971" s="23"/>
      <c r="W971" s="23"/>
      <c r="X971" s="23"/>
      <c r="Y971" s="23"/>
      <c r="Z971" s="23"/>
    </row>
    <row r="972">
      <c r="A972" s="2"/>
      <c r="B972" s="2"/>
      <c r="C972" s="2"/>
      <c r="D972" s="2"/>
      <c r="E972" s="2"/>
      <c r="F972" s="2"/>
      <c r="G972" s="2"/>
      <c r="H972" s="2"/>
      <c r="I972" s="2"/>
      <c r="J972" s="2"/>
      <c r="K972" s="2"/>
      <c r="L972" s="2"/>
      <c r="M972" s="2"/>
      <c r="N972" s="2"/>
      <c r="O972" s="2"/>
      <c r="P972" s="2"/>
      <c r="Q972" s="23"/>
      <c r="R972" s="23"/>
      <c r="S972" s="23"/>
      <c r="T972" s="23"/>
      <c r="U972" s="23"/>
      <c r="V972" s="23"/>
      <c r="W972" s="23"/>
      <c r="X972" s="23"/>
      <c r="Y972" s="23"/>
      <c r="Z972" s="23"/>
    </row>
    <row r="973">
      <c r="A973" s="2"/>
      <c r="B973" s="2"/>
      <c r="C973" s="2"/>
      <c r="D973" s="2"/>
      <c r="E973" s="2"/>
      <c r="F973" s="2"/>
      <c r="G973" s="2"/>
      <c r="H973" s="2"/>
      <c r="I973" s="2"/>
      <c r="J973" s="2"/>
      <c r="K973" s="2"/>
      <c r="L973" s="2"/>
      <c r="M973" s="2"/>
      <c r="N973" s="2"/>
      <c r="O973" s="2"/>
      <c r="P973" s="2"/>
      <c r="Q973" s="23"/>
      <c r="R973" s="23"/>
      <c r="S973" s="23"/>
      <c r="T973" s="23"/>
      <c r="U973" s="23"/>
      <c r="V973" s="23"/>
      <c r="W973" s="23"/>
      <c r="X973" s="23"/>
      <c r="Y973" s="23"/>
      <c r="Z973" s="23"/>
    </row>
    <row r="974">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sheetData>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3" width="12.75"/>
    <col customWidth="1" min="5" max="5" width="12.75"/>
    <col customWidth="1" min="10" max="11" width="12.75"/>
  </cols>
  <sheetData>
    <row r="1">
      <c r="A1" s="1" t="s">
        <v>0</v>
      </c>
      <c r="B1" s="1" t="s">
        <v>1</v>
      </c>
      <c r="C1" s="1" t="s">
        <v>2</v>
      </c>
      <c r="D1" s="1" t="s">
        <v>3</v>
      </c>
      <c r="E1" s="1" t="s">
        <v>4</v>
      </c>
      <c r="F1" s="2"/>
      <c r="G1" s="2"/>
      <c r="H1" s="3"/>
      <c r="I1" s="1" t="s">
        <v>5</v>
      </c>
      <c r="J1" s="1" t="s">
        <v>6</v>
      </c>
      <c r="K1" s="1" t="s">
        <v>7</v>
      </c>
      <c r="L1" s="1" t="s">
        <v>4</v>
      </c>
      <c r="M1" s="3"/>
      <c r="N1" s="3"/>
      <c r="O1" s="3"/>
      <c r="P1" s="3"/>
      <c r="Q1" s="23"/>
      <c r="R1" s="23"/>
      <c r="S1" s="23"/>
      <c r="T1" s="23"/>
      <c r="U1" s="23"/>
      <c r="V1" s="23"/>
      <c r="W1" s="23"/>
      <c r="X1" s="23"/>
      <c r="Y1" s="23"/>
      <c r="Z1" s="23"/>
    </row>
    <row r="2">
      <c r="A2" s="4">
        <v>1.0</v>
      </c>
      <c r="B2" s="5" t="s">
        <v>918</v>
      </c>
      <c r="C2" s="5" t="s">
        <v>919</v>
      </c>
      <c r="D2" s="5" t="s">
        <v>920</v>
      </c>
      <c r="E2" s="5" t="s">
        <v>921</v>
      </c>
      <c r="F2" s="2"/>
      <c r="G2" s="2"/>
      <c r="H2" s="25"/>
      <c r="I2" s="5" t="str">
        <f>IFERROR(__xludf.DUMMYFUNCTION("GOOGLETRANSLATE(B2, ""en"", ""zh"")"),"围棋中有多少种棋子？")</f>
        <v>围棋中有多少种棋子？</v>
      </c>
      <c r="J2" s="5" t="str">
        <f>IFERROR(__xludf.DUMMYFUNCTION("GOOGLETRANSLATE(C2, ""en"", ""zh"")"),"A) 1，B) 2，C) 3，D) 4")</f>
        <v>A) 1，B) 2，C) 3，D) 4</v>
      </c>
      <c r="K2" s="5" t="str">
        <f>IFERROR(__xludf.DUMMYFUNCTION("GOOGLETRANSLATE(D2, ""en"", ""zh"")"),"B) 2")</f>
        <v>B) 2</v>
      </c>
      <c r="L2" s="5" t="str">
        <f>IFERROR(__xludf.DUMMYFUNCTION("GOOGLETRANSLATE(E2, ""en"", ""zh"")"),"围棋使用两种棋子：黑棋和白棋。")</f>
        <v>围棋使用两种棋子：黑棋和白棋。</v>
      </c>
      <c r="M2" s="3"/>
      <c r="N2" s="3"/>
      <c r="O2" s="3"/>
      <c r="P2" s="2"/>
      <c r="Q2" s="23"/>
      <c r="R2" s="23"/>
      <c r="S2" s="23"/>
      <c r="T2" s="23"/>
      <c r="U2" s="23"/>
      <c r="V2" s="23"/>
      <c r="W2" s="23"/>
      <c r="X2" s="23"/>
      <c r="Y2" s="23"/>
      <c r="Z2" s="23"/>
    </row>
    <row r="3">
      <c r="A3" s="4">
        <v>2.0</v>
      </c>
      <c r="B3" s="5" t="s">
        <v>922</v>
      </c>
      <c r="C3" s="5" t="s">
        <v>923</v>
      </c>
      <c r="D3" s="5" t="s">
        <v>924</v>
      </c>
      <c r="E3" s="5" t="s">
        <v>925</v>
      </c>
      <c r="F3" s="2"/>
      <c r="G3" s="2"/>
      <c r="H3" s="25"/>
      <c r="I3" s="5" t="str">
        <f>IFERROR(__xludf.DUMMYFUNCTION("GOOGLETRANSLATE(B3, ""en"", ""zh"")"),"围棋的主要目标是什么？")</f>
        <v>围棋的主要目标是什么？</v>
      </c>
      <c r="J3" s="5" t="str">
        <f>IFERROR(__xludf.DUMMYFUNCTION("GOOGLETRANSLATE(C3, ""en"", ""zh"")"),"A) 吃掉对方的棋子，B) 占据最大的领地，C) 消灭对方的棋子，D) 创建最多的棋组")</f>
        <v>A) 吃掉对方的棋子，B) 占据最大的领地，C) 消灭对方的棋子，D) 创建最多的棋组</v>
      </c>
      <c r="K3" s="5" t="str">
        <f>IFERROR(__xludf.DUMMYFUNCTION("GOOGLETRANSLATE(D3, ""en"", ""zh"")"),"B) 创建最大面积的领土")</f>
        <v>B) 创建最大面积的领土</v>
      </c>
      <c r="L3" s="5" t="str">
        <f>IFERROR(__xludf.DUMMYFUNCTION("GOOGLETRANSLATE(E3, ""en"", ""zh"")"),"围棋的主要目标是控制棋盘上最大的区域。")</f>
        <v>围棋的主要目标是控制棋盘上最大的区域。</v>
      </c>
      <c r="M3" s="3"/>
      <c r="N3" s="3"/>
      <c r="O3" s="3"/>
      <c r="P3" s="3"/>
      <c r="Q3" s="23"/>
      <c r="R3" s="23"/>
      <c r="S3" s="23"/>
      <c r="T3" s="23"/>
      <c r="U3" s="23"/>
      <c r="V3" s="23"/>
      <c r="W3" s="23"/>
      <c r="X3" s="23"/>
      <c r="Y3" s="23"/>
      <c r="Z3" s="23"/>
    </row>
    <row r="4">
      <c r="A4" s="4">
        <v>3.0</v>
      </c>
      <c r="B4" s="5" t="s">
        <v>926</v>
      </c>
      <c r="C4" s="5" t="s">
        <v>927</v>
      </c>
      <c r="D4" s="5" t="s">
        <v>928</v>
      </c>
      <c r="E4" s="5" t="s">
        <v>929</v>
      </c>
      <c r="F4" s="2"/>
      <c r="G4" s="2"/>
      <c r="H4" s="25"/>
      <c r="I4" s="5" t="str">
        <f>IFERROR(__xludf.DUMMYFUNCTION("GOOGLETRANSLATE(B4, ""en"", ""zh"")"),"标准围棋棋盘是什么形状？")</f>
        <v>标准围棋棋盘是什么形状？</v>
      </c>
      <c r="J4" s="5" t="str">
        <f>IFERROR(__xludf.DUMMYFUNCTION("GOOGLETRANSLATE(C4, ""en"", ""zh"")"),"A) 正方形，B) 圆形，C) 三角形，D) 长方形")</f>
        <v>A) 正方形，B) 圆形，C) 三角形，D) 长方形</v>
      </c>
      <c r="K4" s="5" t="str">
        <f>IFERROR(__xludf.DUMMYFUNCTION("GOOGLETRANSLATE(D4, ""en"", ""zh"")"),"A) 正方形")</f>
        <v>A) 正方形</v>
      </c>
      <c r="L4" s="5" t="str">
        <f>IFERROR(__xludf.DUMMYFUNCTION("GOOGLETRANSLATE(E4, ""en"", ""zh"")"),"标准的围棋棋盘是正方形的，通常是 19x19 的方格。")</f>
        <v>标准的围棋棋盘是正方形的，通常是 19x19 的方格。</v>
      </c>
      <c r="M4" s="3"/>
      <c r="N4" s="2"/>
      <c r="O4" s="3"/>
      <c r="P4" s="3"/>
      <c r="Q4" s="23"/>
      <c r="R4" s="23"/>
      <c r="S4" s="23"/>
      <c r="T4" s="23"/>
      <c r="U4" s="23"/>
      <c r="V4" s="23"/>
      <c r="W4" s="23"/>
      <c r="X4" s="23"/>
      <c r="Y4" s="23"/>
      <c r="Z4" s="23"/>
    </row>
    <row r="5">
      <c r="A5" s="4">
        <v>4.0</v>
      </c>
      <c r="B5" s="5" t="s">
        <v>930</v>
      </c>
      <c r="C5" s="5" t="s">
        <v>931</v>
      </c>
      <c r="D5" s="5" t="s">
        <v>932</v>
      </c>
      <c r="E5" s="5" t="s">
        <v>933</v>
      </c>
      <c r="F5" s="2"/>
      <c r="G5" s="2"/>
      <c r="H5" s="25"/>
      <c r="I5" s="5" t="str">
        <f>IFERROR(__xludf.DUMMYFUNCTION("GOOGLETRANSLATE(B5, ""en"", ""zh"")"),"在围棋中，被对方棋子包围的单个棋子或一组棋子被称为？")</f>
        <v>在围棋中，被对方棋子包围的单个棋子或一组棋子被称为？</v>
      </c>
      <c r="J5" s="5" t="str">
        <f>IFERROR(__xludf.DUMMYFUNCTION("GOOGLETRANSLATE(C5, ""en"", ""zh"")"),"A) Liberty，B) Group，C) Territory，D) Atari")</f>
        <v>A) Liberty，B) Group，C) Territory，D) Atari</v>
      </c>
      <c r="K5" s="5" t="str">
        <f>IFERROR(__xludf.DUMMYFUNCTION("GOOGLETRANSLATE(D5, ""en"", ""zh"")"),"D) 雅达利")</f>
        <v>D) 雅达利</v>
      </c>
      <c r="L5" s="5" t="str">
        <f>IFERROR(__xludf.DUMMYFUNCTION("GOOGLETRANSLATE(E5, ""en"", ""zh"")"),"“Atari”是指距离被吃掉只差一步之遥的一组棋子。")</f>
        <v>“Atari”是指距离被吃掉只差一步之遥的一组棋子。</v>
      </c>
      <c r="M5" s="3"/>
      <c r="N5" s="3"/>
      <c r="O5" s="3"/>
      <c r="P5" s="3"/>
      <c r="Q5" s="23"/>
      <c r="R5" s="23"/>
      <c r="S5" s="23"/>
      <c r="T5" s="23"/>
      <c r="U5" s="23"/>
      <c r="V5" s="23"/>
      <c r="W5" s="23"/>
      <c r="X5" s="23"/>
      <c r="Y5" s="23"/>
      <c r="Z5" s="23"/>
    </row>
    <row r="6">
      <c r="A6" s="4">
        <v>5.0</v>
      </c>
      <c r="B6" s="5" t="s">
        <v>934</v>
      </c>
      <c r="C6" s="5" t="s">
        <v>935</v>
      </c>
      <c r="D6" s="5" t="s">
        <v>936</v>
      </c>
      <c r="E6" s="5" t="s">
        <v>937</v>
      </c>
      <c r="F6" s="2"/>
      <c r="G6" s="2"/>
      <c r="H6" s="25"/>
      <c r="I6" s="5" t="str">
        <f>IFERROR(__xludf.DUMMYFUNCTION("GOOGLETRANSLATE(B6, ""en"", ""zh"")"),"围棋中的“ko”指的是什么？")</f>
        <v>围棋中的“ko”指的是什么？</v>
      </c>
      <c r="J6" s="5" t="str">
        <f>IFERROR(__xludf.DUMMYFUNCTION("GOOGLETRANSLATE(C6, ""en"", ""zh"")"),"A) 被俘虏的群体，B) 一块死石，C) 反复被俘虏的情况，D) 制胜策略")</f>
        <v>A) 被俘虏的群体，B) 一块死石，C) 反复被俘虏的情况，D) 制胜策略</v>
      </c>
      <c r="K6" s="5" t="str">
        <f>IFERROR(__xludf.DUMMYFUNCTION("GOOGLETRANSLATE(D6, ""en"", ""zh"")"),"C) 重复捕获情况")</f>
        <v>C) 重复捕获情况</v>
      </c>
      <c r="L6" s="5" t="str">
        <f>IFERROR(__xludf.DUMMYFUNCTION("GOOGLETRANSLATE(E6, ""en"", ""zh"")"),"“劫”指的是一种局面，即一方的走法可以立即被另一方逆转，除非阻止，否则就会形成无限循环。")</f>
        <v>“劫”指的是一种局面，即一方的走法可以立即被另一方逆转，除非阻止，否则就会形成无限循环。</v>
      </c>
      <c r="M6" s="3"/>
      <c r="N6" s="3"/>
      <c r="O6" s="3"/>
      <c r="P6" s="3"/>
      <c r="Q6" s="23"/>
      <c r="R6" s="23"/>
      <c r="S6" s="23"/>
      <c r="T6" s="23"/>
      <c r="U6" s="23"/>
      <c r="V6" s="23"/>
      <c r="W6" s="23"/>
      <c r="X6" s="23"/>
      <c r="Y6" s="23"/>
      <c r="Z6" s="23"/>
    </row>
    <row r="7">
      <c r="A7" s="4">
        <v>6.0</v>
      </c>
      <c r="B7" s="5" t="s">
        <v>938</v>
      </c>
      <c r="C7" s="5" t="s">
        <v>939</v>
      </c>
      <c r="D7" s="5" t="s">
        <v>940</v>
      </c>
      <c r="E7" s="5" t="s">
        <v>941</v>
      </c>
      <c r="F7" s="2"/>
      <c r="G7" s="2"/>
      <c r="H7" s="25"/>
      <c r="I7" s="5" t="str">
        <f>IFERROR(__xludf.DUMMYFUNCTION("GOOGLETRANSLATE(B7, ""en"", ""zh"")"),"在围棋中，用什么术语来指代一方棋子控制的区域？")</f>
        <v>在围棋中，用什么术语来指代一方棋子控制的区域？</v>
      </c>
      <c r="J7" s="5" t="str">
        <f>IFERROR(__xludf.DUMMYFUNCTION("GOOGLETRANSLATE(C7, ""en"", ""zh"")"),"A) 眼睛，B) 群体，C) 领地，D) 捕获")</f>
        <v>A) 眼睛，B) 群体，C) 领地，D) 捕获</v>
      </c>
      <c r="K7" s="5" t="str">
        <f>IFERROR(__xludf.DUMMYFUNCTION("GOOGLETRANSLATE(D7, ""en"", ""zh"")"),"C）领土")</f>
        <v>C）领土</v>
      </c>
      <c r="L7" s="5" t="str">
        <f>IFERROR(__xludf.DUMMYFUNCTION("GOOGLETRANSLATE(E7, ""en"", ""zh"")"),"领地是指玩家棋子周围的空地。")</f>
        <v>领地是指玩家棋子周围的空地。</v>
      </c>
      <c r="M7" s="3"/>
      <c r="N7" s="3"/>
      <c r="O7" s="3"/>
      <c r="P7" s="3"/>
      <c r="Q7" s="23"/>
      <c r="R7" s="23"/>
      <c r="S7" s="23"/>
      <c r="T7" s="23"/>
      <c r="U7" s="23"/>
      <c r="V7" s="23"/>
      <c r="W7" s="23"/>
      <c r="X7" s="23"/>
      <c r="Y7" s="23"/>
      <c r="Z7" s="23"/>
    </row>
    <row r="8">
      <c r="A8" s="4">
        <v>7.0</v>
      </c>
      <c r="B8" s="5" t="s">
        <v>942</v>
      </c>
      <c r="C8" s="5" t="s">
        <v>943</v>
      </c>
      <c r="D8" s="5" t="s">
        <v>944</v>
      </c>
      <c r="E8" s="5" t="s">
        <v>945</v>
      </c>
      <c r="F8" s="2"/>
      <c r="G8" s="2"/>
      <c r="H8" s="25"/>
      <c r="I8" s="5" t="str">
        <f>IFERROR(__xludf.DUMMYFUNCTION("GOOGLETRANSLATE(B8, ""en"", ""zh"")"),"如何判定围棋的胜负？")</f>
        <v>如何判定围棋的胜负？</v>
      </c>
      <c r="J8" s="5" t="str">
        <f>IFERROR(__xludf.DUMMYFUNCTION("GOOGLETRANSLATE(C8, ""en"", ""zh"")"),"A) 吃掉最多棋子的玩家，B) 拥有最多领地的玩家，C) 拥有最多棋组的玩家，D) 完成最多步数的玩家")</f>
        <v>A) 吃掉最多棋子的玩家，B) 拥有最多领地的玩家，C) 拥有最多棋组的玩家，D) 完成最多步数的玩家</v>
      </c>
      <c r="K8" s="5" t="str">
        <f>IFERROR(__xludf.DUMMYFUNCTION("GOOGLETRANSLATE(D8, ""en"", ""zh"")"),"B) 拥有最多领土的玩家")</f>
        <v>B) 拥有最多领土的玩家</v>
      </c>
      <c r="L8" s="5" t="str">
        <f>IFERROR(__xludf.DUMMYFUNCTION("GOOGLETRANSLATE(E8, ""en"", ""zh"")"),"游戏结束时，控制领土最多的玩家获胜。")</f>
        <v>游戏结束时，控制领土最多的玩家获胜。</v>
      </c>
      <c r="M8" s="3"/>
      <c r="N8" s="3"/>
      <c r="O8" s="3"/>
      <c r="P8" s="3"/>
      <c r="Q8" s="23"/>
      <c r="R8" s="23"/>
      <c r="S8" s="23"/>
      <c r="T8" s="23"/>
      <c r="U8" s="23"/>
      <c r="V8" s="23"/>
      <c r="W8" s="23"/>
      <c r="X8" s="23"/>
      <c r="Y8" s="23"/>
      <c r="Z8" s="23"/>
    </row>
    <row r="9">
      <c r="A9" s="4">
        <v>8.0</v>
      </c>
      <c r="B9" s="5" t="s">
        <v>946</v>
      </c>
      <c r="C9" s="5" t="s">
        <v>947</v>
      </c>
      <c r="D9" s="5" t="s">
        <v>948</v>
      </c>
      <c r="E9" s="5" t="s">
        <v>949</v>
      </c>
      <c r="F9" s="2"/>
      <c r="G9" s="2"/>
      <c r="H9" s="25"/>
      <c r="I9" s="5" t="str">
        <f>IFERROR(__xludf.DUMMYFUNCTION("GOOGLETRANSLATE(B9, ""en"", ""zh"")"),"在 Go 语言中，“填充自由”是什么意思？")</f>
        <v>在 Go 语言中，“填充自由”是什么意思？</v>
      </c>
      <c r="J9" s="5" t="str">
        <f>IFERROR(__xludf.DUMMYFUNCTION("GOOGLETRANSLATE(C9, ""en"", ""zh"")"),"A) 将棋子放入对方棋子组中，B) 将棋子从棋盘上移走，C) 将棋子放在对方棋子组旁边，D) 移除对方棋子上的自由石")</f>
        <v>A) 将棋子放入对方棋子组中，B) 将棋子从棋盘上移走，C) 将棋子放在对方棋子组旁边，D) 移除对方棋子上的自由石</v>
      </c>
      <c r="K9" s="5" t="str">
        <f>IFERROR(__xludf.DUMMYFUNCTION("GOOGLETRANSLATE(D9, ""en"", ""zh"")"),"C) 将一颗石子放在对方石子堆旁边。")</f>
        <v>C) 将一颗石子放在对方石子堆旁边。</v>
      </c>
      <c r="L9" s="5" t="str">
        <f>IFERROR(__xludf.DUMMYFUNCTION("GOOGLETRANSLATE(E9, ""en"", ""zh"")"),"填满自由区是指将棋子放置在对手棋子旁边，以减少对手的自由区。")</f>
        <v>填满自由区是指将棋子放置在对手棋子旁边，以减少对手的自由区。</v>
      </c>
      <c r="M9" s="3"/>
      <c r="N9" s="3"/>
      <c r="O9" s="3"/>
      <c r="P9" s="3"/>
      <c r="Q9" s="23"/>
      <c r="R9" s="23"/>
      <c r="S9" s="23"/>
      <c r="T9" s="23"/>
      <c r="U9" s="23"/>
      <c r="V9" s="23"/>
      <c r="W9" s="23"/>
      <c r="X9" s="23"/>
      <c r="Y9" s="23"/>
      <c r="Z9" s="23"/>
    </row>
    <row r="10">
      <c r="A10" s="4">
        <v>9.0</v>
      </c>
      <c r="B10" s="5" t="s">
        <v>950</v>
      </c>
      <c r="C10" s="5" t="s">
        <v>919</v>
      </c>
      <c r="D10" s="5" t="s">
        <v>920</v>
      </c>
      <c r="E10" s="5" t="s">
        <v>951</v>
      </c>
      <c r="F10" s="2"/>
      <c r="G10" s="2"/>
      <c r="H10" s="25"/>
      <c r="I10" s="5" t="str">
        <f>IFERROR(__xludf.DUMMYFUNCTION("GOOGLETRANSLATE(B10, ""en"", ""zh"")"),"在围棋中，组成一个棋组最少需要多少颗棋子？")</f>
        <v>在围棋中，组成一个棋组最少需要多少颗棋子？</v>
      </c>
      <c r="J10" s="5" t="str">
        <f>IFERROR(__xludf.DUMMYFUNCTION("GOOGLETRANSLATE(C10, ""en"", ""zh"")"),"A) 1，B) 2，C) 3，D) 4")</f>
        <v>A) 1，B) 2，C) 3，D) 4</v>
      </c>
      <c r="K10" s="5" t="str">
        <f>IFERROR(__xludf.DUMMYFUNCTION("GOOGLETRANSLATE(D10, ""en"", ""zh"")"),"B) 2")</f>
        <v>B) 2</v>
      </c>
      <c r="L10" s="5" t="str">
        <f>IFERROR(__xludf.DUMMYFUNCTION("GOOGLETRANSLATE(E10, ""en"", ""zh"")"),"一组石头是由两块或多块石头水平或垂直连接而成的。")</f>
        <v>一组石头是由两块或多块石头水平或垂直连接而成的。</v>
      </c>
      <c r="M10" s="3"/>
      <c r="N10" s="3"/>
      <c r="O10" s="3"/>
      <c r="P10" s="3"/>
      <c r="Q10" s="23"/>
      <c r="R10" s="23"/>
      <c r="S10" s="23"/>
      <c r="T10" s="23"/>
      <c r="U10" s="23"/>
      <c r="V10" s="23"/>
      <c r="W10" s="23"/>
      <c r="X10" s="23"/>
      <c r="Y10" s="23"/>
      <c r="Z10" s="23"/>
    </row>
    <row r="11">
      <c r="A11" s="4">
        <v>10.0</v>
      </c>
      <c r="B11" s="5" t="s">
        <v>952</v>
      </c>
      <c r="C11" s="5" t="s">
        <v>953</v>
      </c>
      <c r="D11" s="5" t="s">
        <v>954</v>
      </c>
      <c r="E11" s="5" t="s">
        <v>955</v>
      </c>
      <c r="F11" s="2"/>
      <c r="G11" s="2"/>
      <c r="H11" s="25"/>
      <c r="I11" s="5" t="str">
        <f>IFERROR(__xludf.DUMMYFUNCTION("GOOGLETRANSLATE(B11, ""en"", ""zh"")"),"Go 语言中的“sente”指的是什么？")</f>
        <v>Go 语言中的“sente”指的是什么？</v>
      </c>
      <c r="J11" s="5" t="str">
        <f>IFERROR(__xludf.DUMMYFUNCTION("GOOGLETRANSLATE(C11, ""en"", ""zh"")"),"A) 被吃掉的棋子，B) 先手玩家，C) 防守走法，D) 控制游戏的玩家")</f>
        <v>A) 被吃掉的棋子，B) 先手玩家，C) 防守走法，D) 控制游戏的玩家</v>
      </c>
      <c r="K11" s="5" t="str">
        <f>IFERROR(__xludf.DUMMYFUNCTION("GOOGLETRANSLATE(D11, ""en"", ""zh"")"),"D) 掌控游戏的玩家")</f>
        <v>D) 掌控游戏的玩家</v>
      </c>
      <c r="L11" s="5" t="str">
        <f>IFERROR(__xludf.DUMMYFUNCTION("GOOGLETRANSLATE(E11, ""en"", ""zh"")"),"Sente指的是掌握主动权并迫使对手做出反应的玩家。")</f>
        <v>Sente指的是掌握主动权并迫使对手做出反应的玩家。</v>
      </c>
      <c r="M11" s="3"/>
      <c r="N11" s="3"/>
      <c r="O11" s="3"/>
      <c r="P11" s="3"/>
      <c r="Q11" s="23"/>
      <c r="R11" s="23"/>
      <c r="S11" s="23"/>
      <c r="T11" s="23"/>
      <c r="U11" s="23"/>
      <c r="V11" s="23"/>
      <c r="W11" s="23"/>
      <c r="X11" s="23"/>
      <c r="Y11" s="23"/>
      <c r="Z11" s="23"/>
    </row>
    <row r="12">
      <c r="A12" s="4">
        <v>11.0</v>
      </c>
      <c r="B12" s="5" t="s">
        <v>956</v>
      </c>
      <c r="C12" s="5" t="s">
        <v>957</v>
      </c>
      <c r="D12" s="5" t="s">
        <v>958</v>
      </c>
      <c r="E12" s="5" t="s">
        <v>959</v>
      </c>
      <c r="F12" s="2"/>
      <c r="G12" s="2"/>
      <c r="H12" s="25"/>
      <c r="I12" s="5" t="str">
        <f>IFERROR(__xludf.DUMMYFUNCTION("GOOGLETRANSLATE(B12, ""en"", ""zh"")"),"围棋中的“击倒”是什么意思？")</f>
        <v>围棋中的“击倒”是什么意思？</v>
      </c>
      <c r="J12" s="5" t="str">
        <f>IFERROR(__xludf.DUMMYFUNCTION("GOOGLETRANSLATE(C12, ""en"", ""zh"")"),"A) 争夺一大群敌人的竞赛，B) 一系列重复夺取敌人的行动，C) 领土争端，D) 一系列强制行动")</f>
        <v>A) 争夺一大群敌人的竞赛，B) 一系列重复夺取敌人的行动，C) 领土争端，D) 一系列强制行动</v>
      </c>
      <c r="K12" s="5" t="str">
        <f>IFERROR(__xludf.DUMMYFUNCTION("GOOGLETRANSLATE(D12, ""en"", ""zh"")"),"B) 一系列涉及重复吃子的动作")</f>
        <v>B) 一系列涉及重复吃子的动作</v>
      </c>
      <c r="L12" s="5" t="str">
        <f>IFERROR(__xludf.DUMMYFUNCTION("GOOGLETRANSLATE(E12, ""en"", ""zh"")"),"当一次捕获操作造成可以反复进行相同捕获操作的情况时，就会发生 ko 战。")</f>
        <v>当一次捕获操作造成可以反复进行相同捕获操作的情况时，就会发生 ko 战。</v>
      </c>
      <c r="M12" s="3"/>
      <c r="N12" s="3"/>
      <c r="O12" s="3"/>
      <c r="P12" s="3"/>
      <c r="Q12" s="23"/>
      <c r="R12" s="23"/>
      <c r="S12" s="23"/>
      <c r="T12" s="23"/>
      <c r="U12" s="23"/>
      <c r="V12" s="23"/>
      <c r="W12" s="23"/>
      <c r="X12" s="23"/>
      <c r="Y12" s="23"/>
      <c r="Z12" s="23"/>
    </row>
    <row r="13">
      <c r="A13" s="4">
        <v>12.0</v>
      </c>
      <c r="B13" s="5" t="s">
        <v>960</v>
      </c>
      <c r="C13" s="5" t="s">
        <v>961</v>
      </c>
      <c r="D13" s="5" t="s">
        <v>962</v>
      </c>
      <c r="E13" s="5" t="s">
        <v>963</v>
      </c>
      <c r="F13" s="2"/>
      <c r="G13" s="2"/>
      <c r="H13" s="25"/>
      <c r="I13" s="5" t="str">
        <f>IFERROR(__xludf.DUMMYFUNCTION("GOOGLETRANSLATE(B13, ""en"", ""zh"")"),"围棋中的“眼睛”是什么？")</f>
        <v>围棋中的“眼睛”是什么？</v>
      </c>
      <c r="J13" s="5" t="str">
        <f>IFERROR(__xludf.DUMMYFUNCTION("GOOGLETRANSLATE(C13, ""en"", ""zh"")"),"A) 一块单独的石头，B) 一群没有自由的人，C) 被石头包围的空间，D) 雅达利游戏中的一块石头")</f>
        <v>A) 一块单独的石头，B) 一群没有自由的人，C) 被石头包围的空间，D) 雅达利游戏中的一块石头</v>
      </c>
      <c r="K13" s="5" t="str">
        <f>IFERROR(__xludf.DUMMYFUNCTION("GOOGLETRANSLATE(D13, ""en"", ""zh"")"),"C) 被石头环绕的空间")</f>
        <v>C) 被石头环绕的空间</v>
      </c>
      <c r="L13" s="5" t="str">
        <f>IFERROR(__xludf.DUMMYFUNCTION("GOOGLETRANSLATE(E13, ""en"", ""zh"")"),"眼睛是玩家周围由玩家自己的石头围成的空隙，对于团队的生存至关重要。")</f>
        <v>眼睛是玩家周围由玩家自己的石头围成的空隙，对于团队的生存至关重要。</v>
      </c>
      <c r="M13" s="3"/>
      <c r="N13" s="3"/>
      <c r="O13" s="3"/>
      <c r="P13" s="3"/>
      <c r="Q13" s="23"/>
      <c r="R13" s="23"/>
      <c r="S13" s="23"/>
      <c r="T13" s="23"/>
      <c r="U13" s="23"/>
      <c r="V13" s="23"/>
      <c r="W13" s="23"/>
      <c r="X13" s="23"/>
      <c r="Y13" s="23"/>
      <c r="Z13" s="23"/>
    </row>
    <row r="14">
      <c r="A14" s="4">
        <v>13.0</v>
      </c>
      <c r="B14" s="5" t="s">
        <v>964</v>
      </c>
      <c r="C14" s="5" t="s">
        <v>965</v>
      </c>
      <c r="D14" s="5" t="s">
        <v>966</v>
      </c>
      <c r="E14" s="5" t="s">
        <v>967</v>
      </c>
      <c r="F14" s="2"/>
      <c r="G14" s="2"/>
      <c r="H14" s="25"/>
      <c r="I14" s="5" t="str">
        <f>IFERROR(__xludf.DUMMYFUNCTION("GOOGLETRANSLATE(B14, ""en"", ""zh"")"),"Go 语言中的“生命”是什么？")</f>
        <v>Go 语言中的“生命”是什么？</v>
      </c>
      <c r="J14" s="5" t="str">
        <f>IFERROR(__xludf.DUMMYFUNCTION("GOOGLETRANSLATE(C14, ""en"", ""zh"")"),"A) 一组单独的棋子，B) 一组无法被吃掉的棋子，C) 一块领土，D) 确保胜利的一步棋")</f>
        <v>A) 一组单独的棋子，B) 一组无法被吃掉的棋子，C) 一块领土，D) 确保胜利的一步棋</v>
      </c>
      <c r="K14" s="5" t="str">
        <f>IFERROR(__xludf.DUMMYFUNCTION("GOOGLETRANSLATE(D14, ""en"", ""zh"")"),"B) 一组无法被捕获的石头")</f>
        <v>B) 一组无法被捕获的石头</v>
      </c>
      <c r="L14" s="5" t="str">
        <f>IFERROR(__xludf.DUMMYFUNCTION("GOOGLETRANSLATE(E14, ""en"", ""zh"")"),"生命是一个至少有两只眼睛的群体，因此不可能被捕捉。")</f>
        <v>生命是一个至少有两只眼睛的群体，因此不可能被捕捉。</v>
      </c>
      <c r="M14" s="3"/>
      <c r="N14" s="3"/>
      <c r="O14" s="3"/>
      <c r="P14" s="3"/>
      <c r="Q14" s="23"/>
      <c r="R14" s="23"/>
      <c r="S14" s="23"/>
      <c r="T14" s="23"/>
      <c r="U14" s="23"/>
      <c r="V14" s="23"/>
      <c r="W14" s="23"/>
      <c r="X14" s="23"/>
      <c r="Y14" s="23"/>
      <c r="Z14" s="23"/>
    </row>
    <row r="15">
      <c r="A15" s="4">
        <v>14.0</v>
      </c>
      <c r="B15" s="5" t="s">
        <v>968</v>
      </c>
      <c r="C15" s="5" t="s">
        <v>969</v>
      </c>
      <c r="D15" s="5" t="s">
        <v>970</v>
      </c>
      <c r="E15" s="5" t="s">
        <v>971</v>
      </c>
      <c r="F15" s="2"/>
      <c r="G15" s="2"/>
      <c r="H15" s="25"/>
      <c r="I15" s="5" t="str">
        <f>IFERROR(__xludf.DUMMYFUNCTION("GOOGLETRANSLATE(B15, ""en"", ""zh"")"),"在围棋中，死子如何处理？")</f>
        <v>在围棋中，死子如何处理？</v>
      </c>
      <c r="J15" s="5" t="str">
        <f>IFERROR(__xludf.DUMMYFUNCTION("GOOGLETRANSLATE(C15, ""en"", ""zh"")"),"A) 它留在棋盘上，B) 它被捕获并从棋盘上移除，C) 它成为领土的一部分，D) 它变成一个活的群体")</f>
        <v>A) 它留在棋盘上，B) 它被捕获并从棋盘上移除，C) 它成为领土的一部分，D) 它变成一个活的群体</v>
      </c>
      <c r="K15" s="5" t="str">
        <f>IFERROR(__xludf.DUMMYFUNCTION("GOOGLETRANSLATE(D15, ""en"", ""zh"")"),"B) 它被捕获并从电路板上移除。")</f>
        <v>B) 它被捕获并从电路板上移除。</v>
      </c>
      <c r="L15" s="5" t="str">
        <f>IFERROR(__xludf.DUMMYFUNCTION("GOOGLETRANSLATE(E15, ""en"", ""zh"")"),"死棋会被对手在确定无法避免被吃掉后吃掉。")</f>
        <v>死棋会被对手在确定无法避免被吃掉后吃掉。</v>
      </c>
      <c r="M15" s="3"/>
      <c r="N15" s="3"/>
      <c r="O15" s="3"/>
      <c r="P15" s="3"/>
      <c r="Q15" s="23"/>
      <c r="R15" s="23"/>
      <c r="S15" s="23"/>
      <c r="T15" s="23"/>
      <c r="U15" s="23"/>
      <c r="V15" s="23"/>
      <c r="W15" s="23"/>
      <c r="X15" s="23"/>
      <c r="Y15" s="23"/>
      <c r="Z15" s="23"/>
    </row>
    <row r="16">
      <c r="A16" s="4">
        <v>15.0</v>
      </c>
      <c r="B16" s="5" t="s">
        <v>972</v>
      </c>
      <c r="C16" s="5" t="s">
        <v>973</v>
      </c>
      <c r="D16" s="5" t="s">
        <v>974</v>
      </c>
      <c r="E16" s="5" t="s">
        <v>975</v>
      </c>
      <c r="F16" s="2"/>
      <c r="G16" s="2"/>
      <c r="H16" s="25"/>
      <c r="I16" s="5" t="str">
        <f>IFERROR(__xludf.DUMMYFUNCTION("GOOGLETRANSLATE(B16, ""en"", ""zh"")"),"下列哪一步是有效的围棋走法？")</f>
        <v>下列哪一步是有效的围棋走法？</v>
      </c>
      <c r="J16" s="5" t="str">
        <f>IFERROR(__xludf.DUMMYFUNCTION("GOOGLETRANSLATE(C16, ""en"", ""zh"")"),"A) 将石头放在已被其他石头占据的位置上；B) 将石头放在没有自由区域的地方；C) 将石头放在空的十字路口上；D) 将石头放在已被占领的区域内。")</f>
        <v>A) 将石头放在已被其他石头占据的位置上；B) 将石头放在没有自由区域的地方；C) 将石头放在空的十字路口上；D) 将石头放在已被占领的区域内。</v>
      </c>
      <c r="K16" s="5" t="str">
        <f>IFERROR(__xludf.DUMMYFUNCTION("GOOGLETRANSLATE(D16, ""en"", ""zh"")"),"C) 在空旷的十字路口放置一块石头")</f>
        <v>C) 在空旷的十字路口放置一块石头</v>
      </c>
      <c r="L16" s="5" t="str">
        <f>IFERROR(__xludf.DUMMYFUNCTION("GOOGLETRANSLATE(E16, ""en"", ""zh"")"),"一块石头被放置在一个不违反占先规则的空路口上。")</f>
        <v>一块石头被放置在一个不违反占先规则的空路口上。</v>
      </c>
      <c r="M16" s="3"/>
      <c r="N16" s="3"/>
      <c r="O16" s="3"/>
      <c r="P16" s="3"/>
      <c r="Q16" s="23"/>
      <c r="R16" s="23"/>
      <c r="S16" s="23"/>
      <c r="T16" s="23"/>
      <c r="U16" s="23"/>
      <c r="V16" s="23"/>
      <c r="W16" s="23"/>
      <c r="X16" s="23"/>
      <c r="Y16" s="23"/>
      <c r="Z16" s="23"/>
    </row>
    <row r="17">
      <c r="A17" s="4">
        <v>16.0</v>
      </c>
      <c r="B17" s="5" t="s">
        <v>976</v>
      </c>
      <c r="C17" s="5" t="s">
        <v>977</v>
      </c>
      <c r="D17" s="5" t="s">
        <v>978</v>
      </c>
      <c r="E17" s="5" t="s">
        <v>979</v>
      </c>
      <c r="F17" s="2"/>
      <c r="G17" s="2"/>
      <c r="H17" s="25"/>
      <c r="I17" s="5" t="str">
        <f>IFERROR(__xludf.DUMMYFUNCTION("GOOGLETRANSLATE(B17, ""en"", ""zh"")"),"在 Go 语言中，“gote”指的是什么？")</f>
        <v>在 Go 语言中，“gote”指的是什么？</v>
      </c>
      <c r="J17" s="5" t="str">
        <f>IFERROR(__xludf.DUMMYFUNCTION("GOOGLETRANSLATE(C17, ""en"", ""zh"")"),"A) 后手棋手，B) 已无行动余地的棋手，C) 对手的强制走棋，D) 控制比赛的一系列走法")</f>
        <v>A) 后手棋手，B) 已无行动余地的棋手，C) 对手的强制走棋，D) 控制比赛的一系列走法</v>
      </c>
      <c r="K17" s="5" t="str">
        <f>IFERROR(__xludf.DUMMYFUNCTION("GOOGLETRANSLATE(D17, ""en"", ""zh"")"),"A) 后手玩家")</f>
        <v>A) 后手玩家</v>
      </c>
      <c r="L17" s="5" t="str">
        <f>IFERROR(__xludf.DUMMYFUNCTION("GOOGLETRANSLATE(E17, ""en"", ""zh"")"),"后手是指被迫对对手的走法做出反应的棋手。")</f>
        <v>后手是指被迫对对手的走法做出反应的棋手。</v>
      </c>
      <c r="M17" s="3"/>
      <c r="N17" s="3"/>
      <c r="O17" s="3"/>
      <c r="P17" s="3"/>
      <c r="Q17" s="23"/>
      <c r="R17" s="23"/>
      <c r="S17" s="23"/>
      <c r="T17" s="23"/>
      <c r="U17" s="23"/>
      <c r="V17" s="23"/>
      <c r="W17" s="23"/>
      <c r="X17" s="23"/>
      <c r="Y17" s="23"/>
      <c r="Z17" s="23"/>
    </row>
    <row r="18">
      <c r="A18" s="4">
        <v>17.0</v>
      </c>
      <c r="B18" s="5" t="s">
        <v>980</v>
      </c>
      <c r="C18" s="5" t="s">
        <v>981</v>
      </c>
      <c r="D18" s="5" t="s">
        <v>982</v>
      </c>
      <c r="E18" s="5" t="s">
        <v>983</v>
      </c>
      <c r="F18" s="2"/>
      <c r="G18" s="2"/>
      <c r="H18" s="25"/>
      <c r="I18" s="5" t="str">
        <f>IFERROR(__xludf.DUMMYFUNCTION("GOOGLETRANSLATE(B18, ""en"", ""zh"")"),"日本职业围棋组织的名称是什么？")</f>
        <v>日本职业围棋组织的名称是什么？</v>
      </c>
      <c r="J18" s="5" t="str">
        <f>IFERROR(__xludf.DUMMYFUNCTION("GOOGLETRANSLATE(C18, ""en"", ""zh"")"),"A) 日本棋院，B) 围棋协会，C) 棋生俱乐部，D) 围棋大师")</f>
        <v>A) 日本棋院，B) 围棋协会，C) 棋生俱乐部，D) 围棋大师</v>
      </c>
      <c r="K18" s="5" t="str">
        <f>IFERROR(__xludf.DUMMYFUNCTION("GOOGLETRANSLATE(D18, ""en"", ""zh"")"),"A) 日本气印")</f>
        <v>A) 日本气印</v>
      </c>
      <c r="L18" s="5" t="str">
        <f>IFERROR(__xludf.DUMMYFUNCTION("GOOGLETRANSLATE(E18, ""en"", ""zh"")"),"日本棋院是日本主要的职业围棋组织。")</f>
        <v>日本棋院是日本主要的职业围棋组织。</v>
      </c>
      <c r="M18" s="3"/>
      <c r="N18" s="2"/>
      <c r="O18" s="3"/>
      <c r="P18" s="2"/>
      <c r="Q18" s="23"/>
      <c r="R18" s="23"/>
      <c r="S18" s="23"/>
      <c r="T18" s="23"/>
      <c r="U18" s="23"/>
      <c r="V18" s="23"/>
      <c r="W18" s="23"/>
      <c r="X18" s="23"/>
      <c r="Y18" s="23"/>
      <c r="Z18" s="23"/>
    </row>
    <row r="19">
      <c r="A19" s="4">
        <v>18.0</v>
      </c>
      <c r="B19" s="5" t="s">
        <v>984</v>
      </c>
      <c r="C19" s="5" t="s">
        <v>985</v>
      </c>
      <c r="D19" s="5" t="s">
        <v>986</v>
      </c>
      <c r="E19" s="5" t="s">
        <v>987</v>
      </c>
      <c r="F19" s="2"/>
      <c r="G19" s="2"/>
      <c r="H19" s="25"/>
      <c r="I19" s="5" t="str">
        <f>IFERROR(__xludf.DUMMYFUNCTION("GOOGLETRANSLATE(B19, ""en"", ""zh"")"),"在Go语言中，“dan”指的是什么？")</f>
        <v>在Go语言中，“dan”指的是什么？</v>
      </c>
      <c r="J19" s="5" t="str">
        <f>IFERROR(__xludf.DUMMYFUNCTION("GOOGLETRANSLATE(C19, ""en"", ""zh"")"),"A) 最高等级，B) 最低等级，C) 专业头衔，D) 一种动作类型")</f>
        <v>A) 最高等级，B) 最低等级，C) 专业头衔，D) 一种动作类型</v>
      </c>
      <c r="K19" s="5" t="str">
        <f>IFERROR(__xludf.DUMMYFUNCTION("GOOGLETRANSLATE(D19, ""en"", ""zh"")"),"A）最高等级")</f>
        <v>A）最高等级</v>
      </c>
      <c r="L19" s="5" t="str">
        <f>IFERROR(__xludf.DUMMYFUNCTION("GOOGLETRANSLATE(E19, ""en"", ""zh"")"),"段（Dan）是围棋中对高段位棋手的称呼，高于级位（kyu）。")</f>
        <v>段（Dan）是围棋中对高段位棋手的称呼，高于级位（kyu）。</v>
      </c>
      <c r="M19" s="3"/>
      <c r="N19" s="2"/>
      <c r="O19" s="3"/>
      <c r="P19" s="3"/>
      <c r="Q19" s="23"/>
      <c r="R19" s="23"/>
      <c r="S19" s="23"/>
      <c r="T19" s="23"/>
      <c r="U19" s="23"/>
      <c r="V19" s="23"/>
      <c r="W19" s="23"/>
      <c r="X19" s="23"/>
      <c r="Y19" s="23"/>
      <c r="Z19" s="23"/>
    </row>
    <row r="20">
      <c r="A20" s="4">
        <v>19.0</v>
      </c>
      <c r="B20" s="5" t="s">
        <v>988</v>
      </c>
      <c r="C20" s="5" t="s">
        <v>989</v>
      </c>
      <c r="D20" s="5" t="s">
        <v>990</v>
      </c>
      <c r="E20" s="5" t="s">
        <v>991</v>
      </c>
      <c r="F20" s="2"/>
      <c r="G20" s="2"/>
      <c r="H20" s="25"/>
      <c r="I20" s="5" t="str">
        <f>IFERROR(__xludf.DUMMYFUNCTION("GOOGLETRANSLATE(B20, ""en"", ""zh"")"),"对于初学者来说，围棋棋盘的典型尺寸是多少？")</f>
        <v>对于初学者来说，围棋棋盘的典型尺寸是多少？</v>
      </c>
      <c r="J20" s="5" t="str">
        <f>IFERROR(__xludf.DUMMYFUNCTION("GOOGLETRANSLATE(C20, ""en"", ""zh"")"),"A) 9x9，B) 13x13，C) 19x19，D) 25x25")</f>
        <v>A) 9x9，B) 13x13，C) 19x19，D) 25x25</v>
      </c>
      <c r="K20" s="5" t="str">
        <f>IFERROR(__xludf.DUMMYFUNCTION("GOOGLETRANSLATE(D20, ""en"", ""zh"")"),"A) 9x9")</f>
        <v>A) 9x9</v>
      </c>
      <c r="L20" s="5" t="str">
        <f>IFERROR(__xludf.DUMMYFUNCTION("GOOGLETRANSLATE(E20, ""en"", ""zh"")"),"初学者通常使用 9x9 的棋盘，以便更容易学习和更快地进行游戏。")</f>
        <v>初学者通常使用 9x9 的棋盘，以便更容易学习和更快地进行游戏。</v>
      </c>
      <c r="M20" s="3"/>
      <c r="N20" s="2"/>
      <c r="O20" s="3"/>
      <c r="P20" s="3"/>
      <c r="Q20" s="23"/>
      <c r="R20" s="23"/>
      <c r="S20" s="23"/>
      <c r="T20" s="23"/>
      <c r="U20" s="23"/>
      <c r="V20" s="23"/>
      <c r="W20" s="23"/>
      <c r="X20" s="23"/>
      <c r="Y20" s="23"/>
      <c r="Z20" s="23"/>
    </row>
    <row r="21">
      <c r="A21" s="4">
        <v>20.0</v>
      </c>
      <c r="B21" s="5" t="s">
        <v>992</v>
      </c>
      <c r="C21" s="5" t="s">
        <v>993</v>
      </c>
      <c r="D21" s="5" t="s">
        <v>994</v>
      </c>
      <c r="E21" s="5" t="s">
        <v>995</v>
      </c>
      <c r="F21" s="2"/>
      <c r="G21" s="2"/>
      <c r="H21" s="25"/>
      <c r="I21" s="5" t="str">
        <f>IFERROR(__xludf.DUMMYFUNCTION("GOOGLETRANSLATE(B21, ""en"", ""zh"")"),"在 Go 语言中，“捕获”一词是什么意思？")</f>
        <v>在 Go 语言中，“捕获”一词是什么意思？</v>
      </c>
      <c r="J21" s="5" t="str">
        <f>IFERROR(__xludf.DUMMYFUNCTION("GOOGLETRANSLATE(C21, ""en"", ""zh"")"),"A) 移除被包围的石头，B) 控制一块区域，C) 获得分数，D) 将石头移动到另一个地方")</f>
        <v>A) 移除被包围的石头，B) 控制一块区域，C) 获得分数，D) 将石头移动到另一个地方</v>
      </c>
      <c r="K21" s="5" t="str">
        <f>IFERROR(__xludf.DUMMYFUNCTION("GOOGLETRANSLATE(D21, ""en"", ""zh"")"),"A) 移除被包围的石头")</f>
        <v>A) 移除被包围的石头</v>
      </c>
      <c r="L21" s="5" t="str">
        <f>IFERROR(__xludf.DUMMYFUNCTION("GOOGLETRANSLATE(E21, ""en"", ""zh"")"),"当一群石头被包围且没有丝毫自由时，就会发生俘虏，导致它们被移走。")</f>
        <v>当一群石头被包围且没有丝毫自由时，就会发生俘虏，导致它们被移走。</v>
      </c>
      <c r="M21" s="3"/>
      <c r="N21" s="3"/>
      <c r="O21" s="3"/>
      <c r="P21" s="3"/>
      <c r="Q21" s="23"/>
      <c r="R21" s="23"/>
      <c r="S21" s="23"/>
      <c r="T21" s="23"/>
      <c r="U21" s="23"/>
      <c r="V21" s="23"/>
      <c r="W21" s="23"/>
      <c r="X21" s="23"/>
      <c r="Y21" s="23"/>
      <c r="Z21" s="23"/>
    </row>
    <row r="22">
      <c r="A22" s="4">
        <v>21.0</v>
      </c>
      <c r="B22" s="5" t="s">
        <v>996</v>
      </c>
      <c r="C22" s="5" t="s">
        <v>997</v>
      </c>
      <c r="D22" s="5" t="s">
        <v>998</v>
      </c>
      <c r="E22" s="5" t="s">
        <v>999</v>
      </c>
      <c r="F22" s="2"/>
      <c r="G22" s="2"/>
      <c r="H22" s="25"/>
      <c r="I22" s="5" t="str">
        <f>IFERROR(__xludf.DUMMYFUNCTION("GOOGLETRANSLATE(B22, ""en"", ""zh"")"),"下列哪一步是围棋中禁止的走法？")</f>
        <v>下列哪一步是围棋中禁止的走法？</v>
      </c>
      <c r="J22" s="5" t="str">
        <f>IFERROR(__xludf.DUMMYFUNCTION("GOOGLETRANSLATE(C22, ""en"", ""zh"")"),"A) 放置一颗重复上一步的棋子，B) 在空十字路口放置一颗棋子，C) 吃掉一组棋子，D) 在空位上添加一颗棋子")</f>
        <v>A) 放置一颗重复上一步的棋子，B) 在空十字路口放置一颗棋子，C) 吃掉一组棋子，D) 在空位上添加一颗棋子</v>
      </c>
      <c r="K22" s="5" t="str">
        <f>IFERROR(__xludf.DUMMYFUNCTION("GOOGLETRANSLATE(D22, ""en"", ""zh"")"),"A) 放置一颗重复上一步的棋子")</f>
        <v>A) 放置一颗重复上一步的棋子</v>
      </c>
      <c r="L22" s="5" t="str">
        <f>IFERROR(__xludf.DUMMYFUNCTION("GOOGLETRANSLATE(E22, ""en"", ""zh"")"),"在围棋中，为了避免无限循环，禁止走与前一步棋棋盘位置相同的棋。")</f>
        <v>在围棋中，为了避免无限循环，禁止走与前一步棋棋盘位置相同的棋。</v>
      </c>
      <c r="M22" s="3"/>
      <c r="N22" s="3"/>
      <c r="O22" s="3"/>
      <c r="P22" s="3"/>
      <c r="Q22" s="23"/>
      <c r="R22" s="23"/>
      <c r="S22" s="23"/>
      <c r="T22" s="23"/>
      <c r="U22" s="23"/>
      <c r="V22" s="23"/>
      <c r="W22" s="23"/>
      <c r="X22" s="23"/>
      <c r="Y22" s="23"/>
      <c r="Z22" s="23"/>
    </row>
    <row r="23">
      <c r="A23" s="4">
        <v>22.0</v>
      </c>
      <c r="B23" s="5" t="s">
        <v>1000</v>
      </c>
      <c r="C23" s="5" t="s">
        <v>1001</v>
      </c>
      <c r="D23" s="5" t="s">
        <v>1002</v>
      </c>
      <c r="E23" s="5" t="s">
        <v>1003</v>
      </c>
      <c r="F23" s="2"/>
      <c r="G23" s="2"/>
      <c r="H23" s="25"/>
      <c r="I23" s="5" t="str">
        <f>IFERROR(__xludf.DUMMYFUNCTION("GOOGLETRANSLATE(B23, ""en"", ""zh"")"),"围棋中的“伏石”是什么？")</f>
        <v>围棋中的“伏石”是什么？</v>
      </c>
      <c r="J23" s="5" t="str">
        <f>IFERROR(__xludf.DUMMYFUNCTION("GOOGLETRANSLATE(C23, ""en"", ""zh"")"),"A) 一种群体类型，B) 残局的术语，C) 游戏的开局阶段，D) 一种防御策略")</f>
        <v>A) 一种群体类型，B) 残局的术语，C) 游戏的开局阶段，D) 一种防御策略</v>
      </c>
      <c r="K23" s="5" t="str">
        <f>IFERROR(__xludf.DUMMYFUNCTION("GOOGLETRANSLATE(D23, ""en"", ""zh"")"),"C) 游戏的开局阶段")</f>
        <v>C) 游戏的开局阶段</v>
      </c>
      <c r="L23" s="5" t="str">
        <f>IFERROR(__xludf.DUMMYFUNCTION("GOOGLETRANSLATE(E23, ""en"", ""zh"")"),"铺序是指围棋比赛的开局阶段，玩家在其中摆放棋子。")</f>
        <v>铺序是指围棋比赛的开局阶段，玩家在其中摆放棋子。</v>
      </c>
      <c r="M23" s="3"/>
      <c r="N23" s="3"/>
      <c r="O23" s="3"/>
      <c r="P23" s="3"/>
      <c r="Q23" s="23"/>
      <c r="R23" s="23"/>
      <c r="S23" s="23"/>
      <c r="T23" s="23"/>
      <c r="U23" s="23"/>
      <c r="V23" s="23"/>
      <c r="W23" s="23"/>
      <c r="X23" s="23"/>
      <c r="Y23" s="23"/>
      <c r="Z23" s="23"/>
    </row>
    <row r="24">
      <c r="A24" s="4">
        <v>23.0</v>
      </c>
      <c r="B24" s="5" t="s">
        <v>1004</v>
      </c>
      <c r="C24" s="5" t="s">
        <v>1005</v>
      </c>
      <c r="D24" s="5" t="s">
        <v>1006</v>
      </c>
      <c r="E24" s="5" t="s">
        <v>1007</v>
      </c>
      <c r="F24" s="2"/>
      <c r="G24" s="2"/>
      <c r="H24" s="25"/>
      <c r="I24" s="5" t="str">
        <f>IFERROR(__xludf.DUMMYFUNCTION("GOOGLETRANSLATE(B24, ""en"", ""zh"")"),"在围棋中，“中局”是什么？")</f>
        <v>在围棋中，“中局”是什么？</v>
      </c>
      <c r="J24" s="5" t="str">
        <f>IFERROR(__xludf.DUMMYFUNCTION("GOOGLETRANSLATE(C24, ""en"", ""zh"")"),"A) 游戏的最后阶段，B) 无法再进行占领的阶段，C) 玩家争夺领土的阶段，D) 游戏开始前的阶段")</f>
        <v>A) 游戏的最后阶段，B) 无法再进行占领的阶段，C) 玩家争夺领土的阶段，D) 游戏开始前的阶段</v>
      </c>
      <c r="K24" s="5" t="str">
        <f>IFERROR(__xludf.DUMMYFUNCTION("GOOGLETRANSLATE(D24, ""en"", ""zh"")"),"C) 玩家争夺领土的阶段")</f>
        <v>C) 玩家争夺领土的阶段</v>
      </c>
      <c r="L24" s="5" t="str">
        <f>IFERROR(__xludf.DUMMYFUNCTION("GOOGLETRANSLATE(E24, ""en"", ""zh"")"),"游戏中期阶段包括争夺领土控制权和俘虏敌方单位。")</f>
        <v>游戏中期阶段包括争夺领土控制权和俘虏敌方单位。</v>
      </c>
      <c r="M24" s="3"/>
      <c r="N24" s="3"/>
      <c r="O24" s="3"/>
      <c r="P24" s="3"/>
      <c r="Q24" s="23"/>
      <c r="R24" s="23"/>
      <c r="S24" s="23"/>
      <c r="T24" s="23"/>
      <c r="U24" s="23"/>
      <c r="V24" s="23"/>
      <c r="W24" s="23"/>
      <c r="X24" s="23"/>
      <c r="Y24" s="23"/>
      <c r="Z24" s="23"/>
    </row>
    <row r="25">
      <c r="A25" s="4">
        <v>24.0</v>
      </c>
      <c r="B25" s="5" t="s">
        <v>1008</v>
      </c>
      <c r="C25" s="5" t="s">
        <v>1009</v>
      </c>
      <c r="D25" s="5" t="s">
        <v>1010</v>
      </c>
      <c r="E25" s="5" t="s">
        <v>1011</v>
      </c>
      <c r="F25" s="2"/>
      <c r="G25" s="2"/>
      <c r="H25" s="25"/>
      <c r="I25" s="5" t="str">
        <f>IFERROR(__xludf.DUMMYFUNCTION("GOOGLETRANSLATE(B25, ""en"", ""zh"")"),"围棋中的“双劫”是什么？")</f>
        <v>围棋中的“双劫”是什么？</v>
      </c>
      <c r="J25" s="5" t="str">
        <f>IFERROR(__xludf.DUMMYFUNCTION("GOOGLETRANSLATE(C25, ""en"", ""zh"")"),"A) 双方玩家同时占领一个区域的情形；B) 涉及两个区域的重复占领情形；C) 双方玩家同时采取的一种移动方式；D) 一种得分策略")</f>
        <v>A) 双方玩家同时占领一个区域的情形；B) 涉及两个区域的重复占领情形；C) 双方玩家同时采取的一种移动方式；D) 一种得分策略</v>
      </c>
      <c r="K25" s="5" t="str">
        <f>IFERROR(__xludf.DUMMYFUNCTION("GOOGLETRANSLATE(D25, ""en"", ""zh"")"),"B) 涉及两组的重复捕获情况")</f>
        <v>B) 涉及两组的重复捕获情况</v>
      </c>
      <c r="L25" s="5" t="str">
        <f>IFERROR(__xludf.DUMMYFUNCTION("GOOGLETRANSLATE(E25, ""en"", ""zh"")"),"当同时出现两种 ko 情况时，就会发生双重 ko，每种情况都会导致重复捕获循环。")</f>
        <v>当同时出现两种 ko 情况时，就会发生双重 ko，每种情况都会导致重复捕获循环。</v>
      </c>
      <c r="M25" s="3"/>
      <c r="N25" s="3"/>
      <c r="O25" s="3"/>
      <c r="P25" s="3"/>
      <c r="Q25" s="23"/>
      <c r="R25" s="23"/>
      <c r="S25" s="23"/>
      <c r="T25" s="23"/>
      <c r="U25" s="23"/>
      <c r="V25" s="23"/>
      <c r="W25" s="23"/>
      <c r="X25" s="23"/>
      <c r="Y25" s="23"/>
      <c r="Z25" s="23"/>
    </row>
    <row r="26">
      <c r="A26" s="4">
        <v>25.0</v>
      </c>
      <c r="B26" s="5" t="s">
        <v>1012</v>
      </c>
      <c r="C26" s="5" t="s">
        <v>1013</v>
      </c>
      <c r="D26" s="5" t="s">
        <v>1014</v>
      </c>
      <c r="E26" s="5" t="s">
        <v>1015</v>
      </c>
      <c r="F26" s="2"/>
      <c r="G26" s="2"/>
      <c r="H26" s="25"/>
      <c r="I26" s="5" t="str">
        <f>IFERROR(__xludf.DUMMYFUNCTION("GOOGLETRANSLATE(B26, ""en"", ""zh"")"),"围棋中判断棋子是否被吃掉的主要规则是什么？")</f>
        <v>围棋中判断棋子是否被吃掉的主要规则是什么？</v>
      </c>
      <c r="J26" s="5" t="str">
        <f>IFERROR(__xludf.DUMMYFUNCTION("GOOGLETRANSLATE(C26, ""en"", ""zh"")"),"A) 如果石子周围没有空隙，B) 如果石子在角落里，C) 如果石子周围都是同色石子，D) 如果石子移动距离原位太远")</f>
        <v>A) 如果石子周围没有空隙，B) 如果石子在角落里，C) 如果石子周围都是同色石子，D) 如果石子移动距离原位太远</v>
      </c>
      <c r="K26" s="5" t="str">
        <f>IFERROR(__xludf.DUMMYFUNCTION("GOOGLETRANSLATE(D26, ""en"", ""zh"")"),"A) 如果石头周围没有任何自由余地")</f>
        <v>A) 如果石头周围没有任何自由余地</v>
      </c>
      <c r="L26" s="5" t="str">
        <f>IFERROR(__xludf.DUMMYFUNCTION("GOOGLETRANSLATE(E26, ""en"", ""zh"")"),"一块石头被包围，毫无自由可言，就被俘虏了。")</f>
        <v>一块石头被包围，毫无自由可言，就被俘虏了。</v>
      </c>
      <c r="M26" s="3"/>
      <c r="N26" s="3"/>
      <c r="O26" s="3"/>
      <c r="P26" s="3"/>
      <c r="Q26" s="23"/>
      <c r="R26" s="23"/>
      <c r="S26" s="23"/>
      <c r="T26" s="23"/>
      <c r="U26" s="23"/>
      <c r="V26" s="23"/>
      <c r="W26" s="23"/>
      <c r="X26" s="23"/>
      <c r="Y26" s="23"/>
      <c r="Z26" s="23"/>
    </row>
    <row r="27">
      <c r="A27" s="4">
        <v>26.0</v>
      </c>
      <c r="B27" s="5" t="s">
        <v>1016</v>
      </c>
      <c r="C27" s="5" t="s">
        <v>1017</v>
      </c>
      <c r="D27" s="5" t="s">
        <v>1018</v>
      </c>
      <c r="E27" s="5" t="s">
        <v>1019</v>
      </c>
      <c r="F27" s="2"/>
      <c r="G27" s="2"/>
      <c r="H27" s="25"/>
      <c r="I27" s="5" t="str">
        <f>IFERROR(__xludf.DUMMYFUNCTION("GOOGLETRANSLATE(B27, ""en"", ""zh"")"),"在围棋中，“领地”是什么？")</f>
        <v>在围棋中，“领地”是什么？</v>
      </c>
      <c r="J27" s="5" t="str">
        <f>IFERROR(__xludf.DUMMYFUNCTION("GOOGLETRANSLATE(C27, ""en"", ""zh"")"),"A) 一组棋子，B) 被吃掉的棋子所占据的区域，C) 被玩家棋子包围的区域，D) 玩家的走棋次数")</f>
        <v>A) 一组棋子，B) 被吃掉的棋子所占据的区域，C) 被玩家棋子包围的区域，D) 玩家的走棋次数</v>
      </c>
      <c r="K27" s="5" t="str">
        <f>IFERROR(__xludf.DUMMYFUNCTION("GOOGLETRANSLATE(D27, ""en"", ""zh"")"),"C) 玩家棋子包围的区域")</f>
        <v>C) 玩家棋子包围的区域</v>
      </c>
      <c r="L27" s="5" t="str">
        <f>IFERROR(__xludf.DUMMYFUNCTION("GOOGLETRANSLATE(E27, ""en"", ""zh"")"),"领地是指玩家棋子周围空着的区域，用于计分。")</f>
        <v>领地是指玩家棋子周围空着的区域，用于计分。</v>
      </c>
      <c r="M27" s="3"/>
      <c r="N27" s="3"/>
      <c r="O27" s="3"/>
      <c r="P27" s="3"/>
      <c r="Q27" s="23"/>
      <c r="R27" s="23"/>
      <c r="S27" s="23"/>
      <c r="T27" s="23"/>
      <c r="U27" s="23"/>
      <c r="V27" s="23"/>
      <c r="W27" s="23"/>
      <c r="X27" s="23"/>
      <c r="Y27" s="23"/>
      <c r="Z27" s="23"/>
    </row>
    <row r="28">
      <c r="A28" s="4">
        <v>27.0</v>
      </c>
      <c r="B28" s="5" t="s">
        <v>1020</v>
      </c>
      <c r="C28" s="5" t="s">
        <v>1021</v>
      </c>
      <c r="D28" s="5" t="s">
        <v>1022</v>
      </c>
      <c r="E28" s="5" t="s">
        <v>1023</v>
      </c>
      <c r="F28" s="2"/>
      <c r="G28" s="2"/>
      <c r="H28" s="25"/>
      <c r="I28" s="5" t="str">
        <f>IFERROR(__xludf.DUMMYFUNCTION("GOOGLETRANSLATE(B28, ""en"", ""zh"")"),"围棋中如何计分？")</f>
        <v>围棋中如何计分？</v>
      </c>
      <c r="J28" s="5" t="str">
        <f>IFERROR(__xludf.DUMMYFUNCTION("GOOGLETRANSLATE(C28, ""en"", ""zh"")"),"A) 只计算吃掉的棋子数量，B) 计算领地和吃掉的棋子数量，C) 计算走棋次数，D) 计算棋子组数。")</f>
        <v>A) 只计算吃掉的棋子数量，B) 计算领地和吃掉的棋子数量，C) 计算走棋次数，D) 计算棋子组数。</v>
      </c>
      <c r="K28" s="5" t="str">
        <f>IFERROR(__xludf.DUMMYFUNCTION("GOOGLETRANSLATE(D28, ""en"", ""zh"")"),"B) 通过统计领土和缴获的石块数量。")</f>
        <v>B) 通过统计领土和缴获的石块数量。</v>
      </c>
      <c r="L28" s="5" t="str">
        <f>IFERROR(__xludf.DUMMYFUNCTION("GOOGLETRANSLATE(E28, ""en"", ""zh"")"),"围棋的得分方式是将控制的领土分数和吃掉的棋子分数相加。")</f>
        <v>围棋的得分方式是将控制的领土分数和吃掉的棋子分数相加。</v>
      </c>
      <c r="M28" s="3"/>
      <c r="N28" s="3"/>
      <c r="O28" s="3"/>
      <c r="P28" s="2"/>
      <c r="Q28" s="23"/>
      <c r="R28" s="23"/>
      <c r="S28" s="23"/>
      <c r="T28" s="23"/>
      <c r="U28" s="23"/>
      <c r="V28" s="23"/>
      <c r="W28" s="23"/>
      <c r="X28" s="23"/>
      <c r="Y28" s="23"/>
      <c r="Z28" s="23"/>
    </row>
    <row r="29">
      <c r="A29" s="4">
        <v>28.0</v>
      </c>
      <c r="B29" s="5" t="s">
        <v>1024</v>
      </c>
      <c r="C29" s="5" t="s">
        <v>1025</v>
      </c>
      <c r="D29" s="5" t="s">
        <v>1026</v>
      </c>
      <c r="E29" s="5" t="s">
        <v>1027</v>
      </c>
      <c r="F29" s="2"/>
      <c r="G29" s="2"/>
      <c r="H29" s="25"/>
      <c r="I29" s="5" t="str">
        <f>IFERROR(__xludf.DUMMYFUNCTION("GOOGLETRANSLATE(B29, ""en"", ""zh"")"),"专业围棋棋盘的标准棋盘尺寸是多少？")</f>
        <v>专业围棋棋盘的标准棋盘尺寸是多少？</v>
      </c>
      <c r="J29" s="5" t="str">
        <f>IFERROR(__xludf.DUMMYFUNCTION("GOOGLETRANSLATE(C29, ""en"", ""zh"")"),"A) 13x13，B) 15x15，C) 19x19，D) 21x21")</f>
        <v>A) 13x13，B) 15x15，C) 19x19，D) 21x21</v>
      </c>
      <c r="K29" s="5" t="str">
        <f>IFERROR(__xludf.DUMMYFUNCTION("GOOGLETRANSLATE(D29, ""en"", ""zh"")"),"C) 19x19")</f>
        <v>C) 19x19</v>
      </c>
      <c r="L29" s="5" t="str">
        <f>IFERROR(__xludf.DUMMYFUNCTION("GOOGLETRANSLATE(E29, ""en"", ""zh"")"),"职业围棋比赛是在 19x19 的棋盘上进行的。")</f>
        <v>职业围棋比赛是在 19x19 的棋盘上进行的。</v>
      </c>
      <c r="M29" s="3"/>
      <c r="N29" s="2"/>
      <c r="O29" s="3"/>
      <c r="P29" s="2"/>
      <c r="Q29" s="23"/>
      <c r="R29" s="23"/>
      <c r="S29" s="23"/>
      <c r="T29" s="23"/>
      <c r="U29" s="23"/>
      <c r="V29" s="23"/>
      <c r="W29" s="23"/>
      <c r="X29" s="23"/>
      <c r="Y29" s="23"/>
      <c r="Z29" s="23"/>
    </row>
    <row r="30">
      <c r="A30" s="4">
        <v>29.0</v>
      </c>
      <c r="B30" s="5" t="s">
        <v>1028</v>
      </c>
      <c r="C30" s="5" t="s">
        <v>1029</v>
      </c>
      <c r="D30" s="5" t="s">
        <v>1030</v>
      </c>
      <c r="E30" s="5" t="s">
        <v>1031</v>
      </c>
      <c r="F30" s="2"/>
      <c r="G30" s="2"/>
      <c r="H30" s="25"/>
      <c r="I30" s="5" t="str">
        <f>IFERROR(__xludf.DUMMYFUNCTION("GOOGLETRANSLATE(B30, ""en"", ""zh"")"),"Go语言中自由是如何定义的？")</f>
        <v>Go语言中自由是如何定义的？</v>
      </c>
      <c r="J30" s="5" t="str">
        <f>IFERROR(__xludf.DUMMYFUNCTION("GOOGLETRANSLATE(C30, ""en"", ""zh"")"),"A) 与石头相邻的空点，B) 已占领的点，C) 死石，D) 领地空间")</f>
        <v>A) 与石头相邻的空点，B) 已占领的点，C) 死石，D) 领地空间</v>
      </c>
      <c r="K30" s="5" t="str">
        <f>IFERROR(__xludf.DUMMYFUNCTION("GOOGLETRANSLATE(D30, ""en"", ""zh"")"),"A) 石头旁边的空点")</f>
        <v>A) 石头旁边的空点</v>
      </c>
      <c r="L30" s="5" t="str">
        <f>IFERROR(__xludf.DUMMYFUNCTION("GOOGLETRANSLATE(E30, ""en"", ""zh"")"),"自由点是石头周围的空隙，决定着石头的存亡。")</f>
        <v>自由点是石头周围的空隙，决定着石头的存亡。</v>
      </c>
      <c r="M30" s="3"/>
      <c r="N30" s="2"/>
      <c r="O30" s="3"/>
      <c r="P30" s="3"/>
      <c r="Q30" s="23"/>
      <c r="R30" s="23"/>
      <c r="S30" s="23"/>
      <c r="T30" s="23"/>
      <c r="U30" s="23"/>
      <c r="V30" s="23"/>
      <c r="W30" s="23"/>
      <c r="X30" s="23"/>
      <c r="Y30" s="23"/>
      <c r="Z30" s="23"/>
    </row>
    <row r="31">
      <c r="A31" s="4">
        <v>30.0</v>
      </c>
      <c r="B31" s="5" t="s">
        <v>1032</v>
      </c>
      <c r="C31" s="5" t="s">
        <v>1033</v>
      </c>
      <c r="D31" s="5" t="s">
        <v>1034</v>
      </c>
      <c r="E31" s="5" t="s">
        <v>1035</v>
      </c>
      <c r="F31" s="2"/>
      <c r="G31" s="2"/>
      <c r="H31" s="25"/>
      <c r="I31" s="5" t="str">
        <f>IFERROR(__xludf.DUMMYFUNCTION("GOOGLETRANSLATE(B31, ""en"", ""zh"")"),"围棋中起始步的术语是什么？")</f>
        <v>围棋中起始步的术语是什么？</v>
      </c>
      <c r="J31" s="5" t="str">
        <f>IFERROR(__xludf.DUMMYFUNCTION("GOOGLETRANSLATE(C31, ""en"", ""zh"")"),"A）布塞基，B）寄濑，C）Ko，D）雅达利")</f>
        <v>A）布塞基，B）寄濑，C）Ko，D）雅达利</v>
      </c>
      <c r="K31" s="5" t="str">
        <f>IFERROR(__xludf.DUMMYFUNCTION("GOOGLETRANSLATE(D31, ""en"", ""zh"")"),"A) 布塞基")</f>
        <v>A) 布塞基</v>
      </c>
      <c r="L31" s="5" t="str">
        <f>IFERROR(__xludf.DUMMYFUNCTION("GOOGLETRANSLATE(E31, ""en"", ""zh"")"),"铺序是指围棋的开局阶段，在这个阶段确定初始局面。")</f>
        <v>铺序是指围棋的开局阶段，在这个阶段确定初始局面。</v>
      </c>
      <c r="M31" s="3"/>
      <c r="N31" s="3"/>
      <c r="O31" s="3"/>
      <c r="P31" s="3"/>
      <c r="Q31" s="23"/>
      <c r="R31" s="23"/>
      <c r="S31" s="23"/>
      <c r="T31" s="23"/>
      <c r="U31" s="23"/>
      <c r="V31" s="23"/>
      <c r="W31" s="23"/>
      <c r="X31" s="23"/>
      <c r="Y31" s="23"/>
      <c r="Z31" s="23"/>
    </row>
    <row r="32">
      <c r="A32" s="4">
        <v>31.0</v>
      </c>
      <c r="B32" s="5" t="s">
        <v>1036</v>
      </c>
      <c r="C32" s="5" t="s">
        <v>1037</v>
      </c>
      <c r="D32" s="5" t="s">
        <v>1038</v>
      </c>
      <c r="E32" s="5" t="s">
        <v>1039</v>
      </c>
      <c r="F32" s="2"/>
      <c r="G32" s="2"/>
      <c r="H32" s="25"/>
      <c r="I32" s="5" t="str">
        <f>IFERROR(__xludf.DUMMYFUNCTION("GOOGLETRANSLATE(B32, ""en"", ""zh"")"),"围棋中的“让子”有什么作用？")</f>
        <v>围棋中的“让子”有什么作用？</v>
      </c>
      <c r="J32" s="5" t="str">
        <f>IFERROR(__xludf.DUMMYFUNCTION("GOOGLETRANSLATE(C32, ""en"", ""zh"")"),"A) 缩短游戏时间，B) 平衡技能水平，C) 训练新手，D) 扩大领地")</f>
        <v>A) 缩短游戏时间，B) 平衡技能水平，C) 训练新手，D) 扩大领地</v>
      </c>
      <c r="K32" s="5" t="str">
        <f>IFERROR(__xludf.DUMMYFUNCTION("GOOGLETRANSLATE(D32, ""en"", ""zh"")"),"B) 平衡技能水平")</f>
        <v>B) 平衡技能水平</v>
      </c>
      <c r="L32" s="5" t="str">
        <f>IFERROR(__xludf.DUMMYFUNCTION("GOOGLETRANSLATE(E32, ""en"", ""zh"")"),"让子棋是为了让实力较弱的棋手获得优势而使用的。")</f>
        <v>让子棋是为了让实力较弱的棋手获得优势而使用的。</v>
      </c>
      <c r="M32" s="3"/>
      <c r="N32" s="3"/>
      <c r="O32" s="3"/>
      <c r="P32" s="3"/>
      <c r="Q32" s="23"/>
      <c r="R32" s="23"/>
      <c r="S32" s="23"/>
      <c r="T32" s="23"/>
      <c r="U32" s="23"/>
      <c r="V32" s="23"/>
      <c r="W32" s="23"/>
      <c r="X32" s="23"/>
      <c r="Y32" s="23"/>
      <c r="Z32" s="23"/>
    </row>
    <row r="33">
      <c r="A33" s="4">
        <v>32.0</v>
      </c>
      <c r="B33" s="5" t="s">
        <v>1040</v>
      </c>
      <c r="C33" s="5" t="s">
        <v>1041</v>
      </c>
      <c r="D33" s="5" t="s">
        <v>1042</v>
      </c>
      <c r="E33" s="5" t="s">
        <v>1043</v>
      </c>
      <c r="F33" s="2"/>
      <c r="G33" s="2"/>
      <c r="H33" s="25"/>
      <c r="I33" s="5" t="str">
        <f>IFERROR(__xludf.DUMMYFUNCTION("GOOGLETRANSLATE(B33, ""en"", ""zh"")"),"Go 语言中的“梯子”是什么？")</f>
        <v>Go 语言中的“梯子”是什么？</v>
      </c>
      <c r="J33" s="5" t="str">
        <f>IFERROR(__xludf.DUMMYFUNCTION("GOOGLETRANSLATE(C33, ""en"", ""zh"")"),"A) 一种划分领地的方式，B) 一系列雅达利游戏中的占领步骤，C) 一种防御工事，D) 一种石雕图案")</f>
        <v>A) 一种划分领地的方式，B) 一系列雅达利游戏中的占领步骤，C) 一种防御工事，D) 一种石雕图案</v>
      </c>
      <c r="K33" s="5" t="str">
        <f>IFERROR(__xludf.DUMMYFUNCTION("GOOGLETRANSLATE(D33, ""en"", ""zh"")"),"B) 一系列雅达利游戏操作导致捕获")</f>
        <v>B) 一系列雅达利游戏操作导致捕获</v>
      </c>
      <c r="L33" s="5" t="str">
        <f>IFERROR(__xludf.DUMMYFUNCTION("GOOGLETRANSLATE(E33, ""en"", ""zh"")"),"梯子会将一群人困在重复的模式中，最终导致他们被俘虏。")</f>
        <v>梯子会将一群人困在重复的模式中，最终导致他们被俘虏。</v>
      </c>
      <c r="M33" s="3"/>
      <c r="N33" s="3"/>
      <c r="O33" s="3"/>
      <c r="P33" s="3"/>
      <c r="Q33" s="23"/>
      <c r="R33" s="23"/>
      <c r="S33" s="23"/>
      <c r="T33" s="23"/>
      <c r="U33" s="23"/>
      <c r="V33" s="23"/>
      <c r="W33" s="23"/>
      <c r="X33" s="23"/>
      <c r="Y33" s="23"/>
      <c r="Z33" s="23"/>
    </row>
    <row r="34">
      <c r="A34" s="4">
        <v>33.0</v>
      </c>
      <c r="B34" s="5" t="s">
        <v>1044</v>
      </c>
      <c r="C34" s="5" t="s">
        <v>1045</v>
      </c>
      <c r="D34" s="5" t="s">
        <v>1046</v>
      </c>
      <c r="E34" s="5" t="s">
        <v>1047</v>
      </c>
      <c r="F34" s="2"/>
      <c r="G34" s="2"/>
      <c r="H34" s="25"/>
      <c r="I34" s="5" t="str">
        <f>IFERROR(__xludf.DUMMYFUNCTION("GOOGLETRANSLATE(B34, ""en"", ""zh"")"),"围棋中的“tenuki”是什么意思？")</f>
        <v>围棋中的“tenuki”是什么意思？</v>
      </c>
      <c r="J34" s="5" t="str">
        <f>IFERROR(__xludf.DUMMYFUNCTION("GOOGLETRANSLATE(C34, ""en"", ""zh"")"),"A) 离开原区域下棋，B) 占领棋盘，C) 采取防守策略，D) 放置让子棋子")</f>
        <v>A) 离开原区域下棋，B) 占领棋盘，C) 采取防守策略，D) 放置让子棋子</v>
      </c>
      <c r="K34" s="5" t="str">
        <f>IFERROR(__xludf.DUMMYFUNCTION("GOOGLETRANSLATE(D34, ""en"", ""zh"")"),"A) 在本地以外的地方玩耍")</f>
        <v>A) 在本地以外的地方玩耍</v>
      </c>
      <c r="L34" s="5" t="str">
        <f>IFERROR(__xludf.DUMMYFUNCTION("GOOGLETRANSLATE(E34, ""en"", ""zh"")"),"“手贯”指的是忽略对手的本地走法，转而到其他地方下棋。")</f>
        <v>“手贯”指的是忽略对手的本地走法，转而到其他地方下棋。</v>
      </c>
      <c r="M34" s="3"/>
      <c r="N34" s="3"/>
      <c r="O34" s="3"/>
      <c r="P34" s="3"/>
      <c r="Q34" s="23"/>
      <c r="R34" s="23"/>
      <c r="S34" s="23"/>
      <c r="T34" s="23"/>
      <c r="U34" s="23"/>
      <c r="V34" s="23"/>
      <c r="W34" s="23"/>
      <c r="X34" s="23"/>
      <c r="Y34" s="23"/>
      <c r="Z34" s="23"/>
    </row>
    <row r="35">
      <c r="A35" s="4">
        <v>34.0</v>
      </c>
      <c r="B35" s="5" t="s">
        <v>1048</v>
      </c>
      <c r="C35" s="5" t="s">
        <v>1049</v>
      </c>
      <c r="D35" s="5" t="s">
        <v>1050</v>
      </c>
      <c r="E35" s="5" t="s">
        <v>1051</v>
      </c>
      <c r="F35" s="2"/>
      <c r="G35" s="2"/>
      <c r="H35" s="25"/>
      <c r="I35" s="5" t="str">
        <f>IFERROR(__xludf.DUMMYFUNCTION("GOOGLETRANSLATE(B35, ""en"", ""zh"")"),"在 Go 语言中，“hane”是什么？")</f>
        <v>在 Go 语言中，“hane”是什么？</v>
      </c>
      <c r="J35" s="5" t="str">
        <f>IFERROR(__xludf.DUMMYFUNCTION("GOOGLETRANSLATE(C35, ""en"", ""zh"")"),"A) 斜线走法，B) 连接走法，C) 绕过对方棋子的走法，D) 吃子走法")</f>
        <v>A) 斜线走法，B) 连接走法，C) 绕过对方棋子的走法，D) 吃子走法</v>
      </c>
      <c r="K35" s="5" t="str">
        <f>IFERROR(__xludf.DUMMYFUNCTION("GOOGLETRANSLATE(D35, ""en"", ""zh"")"),"C) 绕过对方棋子的走法")</f>
        <v>C) 绕过对方棋子的走法</v>
      </c>
      <c r="L35" s="5" t="str">
        <f>IFERROR(__xludf.DUMMYFUNCTION("GOOGLETRANSLATE(E35, ""en"", ""zh"")"),"回旋是一招绕过对手冰壶，夺取控制权的招式。")</f>
        <v>回旋是一招绕过对手冰壶，夺取控制权的招式。</v>
      </c>
      <c r="M35" s="3"/>
      <c r="N35" s="3"/>
      <c r="O35" s="3"/>
      <c r="P35" s="3"/>
      <c r="Q35" s="23"/>
      <c r="R35" s="23"/>
      <c r="S35" s="23"/>
      <c r="T35" s="23"/>
      <c r="U35" s="23"/>
      <c r="V35" s="23"/>
      <c r="W35" s="23"/>
      <c r="X35" s="23"/>
      <c r="Y35" s="23"/>
      <c r="Z35" s="23"/>
    </row>
    <row r="36">
      <c r="A36" s="4">
        <v>35.0</v>
      </c>
      <c r="B36" s="5" t="s">
        <v>1052</v>
      </c>
      <c r="C36" s="5" t="s">
        <v>1053</v>
      </c>
      <c r="D36" s="5" t="s">
        <v>1054</v>
      </c>
      <c r="E36" s="5" t="s">
        <v>1055</v>
      </c>
      <c r="F36" s="2"/>
      <c r="G36" s="2"/>
      <c r="H36" s="25"/>
      <c r="I36" s="5" t="str">
        <f>IFERROR(__xludf.DUMMYFUNCTION("GOOGLETRANSLATE(B36, ""en"", ""zh"")"),"Go 语言中的“yose”指的是什么？")</f>
        <v>Go 语言中的“yose”指的是什么？</v>
      </c>
      <c r="J36" s="5" t="str">
        <f>IFERROR(__xludf.DUMMYFUNCTION("GOOGLETRANSLATE(C36, ""en"", ""zh"")"),"A) 开局阶段，B) 中局，C) 残局，D) 吃子战术")</f>
        <v>A) 开局阶段，B) 中局，C) 残局，D) 吃子战术</v>
      </c>
      <c r="K36" s="5" t="str">
        <f>IFERROR(__xludf.DUMMYFUNCTION("GOOGLETRANSLATE(D36, ""en"", ""zh"")"),"C) 终局")</f>
        <v>C) 终局</v>
      </c>
      <c r="L36" s="5" t="str">
        <f>IFERROR(__xludf.DUMMYFUNCTION("GOOGLETRANSLATE(E36, ""en"", ""zh"")"),"Yose 是游戏的终局阶段，玩家在此阶段最终确定自己的领土。")</f>
        <v>Yose 是游戏的终局阶段，玩家在此阶段最终确定自己的领土。</v>
      </c>
      <c r="M36" s="3"/>
      <c r="N36" s="3"/>
      <c r="O36" s="3"/>
      <c r="P36" s="3"/>
      <c r="Q36" s="23"/>
      <c r="R36" s="23"/>
      <c r="S36" s="23"/>
      <c r="T36" s="23"/>
      <c r="U36" s="23"/>
      <c r="V36" s="23"/>
      <c r="W36" s="23"/>
      <c r="X36" s="23"/>
      <c r="Y36" s="23"/>
      <c r="Z36" s="23"/>
    </row>
    <row r="37">
      <c r="A37" s="4">
        <v>36.0</v>
      </c>
      <c r="B37" s="5" t="s">
        <v>1056</v>
      </c>
      <c r="C37" s="5" t="s">
        <v>1057</v>
      </c>
      <c r="D37" s="5" t="s">
        <v>1058</v>
      </c>
      <c r="E37" s="5" t="s">
        <v>1059</v>
      </c>
      <c r="F37" s="2"/>
      <c r="G37" s="2"/>
      <c r="H37" s="25"/>
      <c r="I37" s="5" t="str">
        <f>IFERROR(__xludf.DUMMYFUNCTION("GOOGLETRANSLATE(B37, ""en"", ""zh"")"),"围棋中“贴目”的作用是什么？")</f>
        <v>围棋中“贴目”的作用是什么？</v>
      </c>
      <c r="J37" s="5" t="str">
        <f>IFERROR(__xludf.DUMMYFUNCTION("GOOGLETRANSLATE(C37, ""en"", ""zh"")"),"A) 打破平局，B) 使黑方获得优势，C) 平衡先手优势，D) 吃子")</f>
        <v>A) 打破平局，B) 使黑方获得优势，C) 平衡先手优势，D) 吃子</v>
      </c>
      <c r="K37" s="5" t="str">
        <f>IFERROR(__xludf.DUMMYFUNCTION("GOOGLETRANSLATE(D37, ""en"", ""zh"")"),"C) 为了平衡先手优势")</f>
        <v>C) 为了平衡先手优势</v>
      </c>
      <c r="L37" s="5" t="str">
        <f>IFERROR(__xludf.DUMMYFUNCTION("GOOGLETRANSLATE(E37, ""en"", ""zh"")"),"贴目是给予白方的额外分数，以抵消黑方的先手优势。")</f>
        <v>贴目是给予白方的额外分数，以抵消黑方的先手优势。</v>
      </c>
      <c r="M37" s="3"/>
      <c r="N37" s="3"/>
      <c r="O37" s="3"/>
      <c r="P37" s="3"/>
      <c r="Q37" s="23"/>
      <c r="R37" s="23"/>
      <c r="S37" s="23"/>
      <c r="T37" s="23"/>
      <c r="U37" s="23"/>
      <c r="V37" s="23"/>
      <c r="W37" s="23"/>
      <c r="X37" s="23"/>
      <c r="Y37" s="23"/>
      <c r="Z37" s="23"/>
    </row>
    <row r="38">
      <c r="A38" s="4">
        <v>37.0</v>
      </c>
      <c r="B38" s="5" t="s">
        <v>1060</v>
      </c>
      <c r="C38" s="5" t="s">
        <v>1061</v>
      </c>
      <c r="D38" s="5" t="s">
        <v>1062</v>
      </c>
      <c r="E38" s="5" t="s">
        <v>1063</v>
      </c>
      <c r="F38" s="2"/>
      <c r="G38" s="2"/>
      <c r="H38" s="25"/>
      <c r="I38" s="5" t="str">
        <f>IFERROR(__xludf.DUMMYFUNCTION("GOOGLETRANSLATE(B38, ""en"", ""zh"")"),"用什么术语来描述跨越空隙连接石头的做法？")</f>
        <v>用什么术语来描述跨越空隙连接石头的做法？</v>
      </c>
      <c r="J38" s="5" t="str">
        <f>IFERROR(__xludf.DUMMYFUNCTION("GOOGLETRANSLATE(C38, ""en"", ""zh"")"),"A) 梯子，B) 小澄，C) 桥，D) 虎口")</f>
        <v>A) 梯子，B) 小澄，C) 桥，D) 虎口</v>
      </c>
      <c r="K38" s="5" t="str">
        <f>IFERROR(__xludf.DUMMYFUNCTION("GOOGLETRANSLATE(D38, ""en"", ""zh"")"),"C) 桥")</f>
        <v>C) 桥</v>
      </c>
      <c r="L38" s="5" t="str">
        <f>IFERROR(__xludf.DUMMYFUNCTION("GOOGLETRANSLATE(E38, ""en"", ""zh"")"),"桥梁连接两侧空隙处的石头，起到加固作用。")</f>
        <v>桥梁连接两侧空隙处的石头，起到加固作用。</v>
      </c>
      <c r="M38" s="3"/>
      <c r="N38" s="3"/>
      <c r="O38" s="3"/>
      <c r="P38" s="3"/>
      <c r="Q38" s="23"/>
      <c r="R38" s="23"/>
      <c r="S38" s="23"/>
      <c r="T38" s="23"/>
      <c r="U38" s="23"/>
      <c r="V38" s="23"/>
      <c r="W38" s="23"/>
      <c r="X38" s="23"/>
      <c r="Y38" s="23"/>
      <c r="Z38" s="23"/>
    </row>
    <row r="39">
      <c r="A39" s="4">
        <v>38.0</v>
      </c>
      <c r="B39" s="5" t="s">
        <v>1064</v>
      </c>
      <c r="C39" s="5" t="s">
        <v>1065</v>
      </c>
      <c r="D39" s="5" t="s">
        <v>1066</v>
      </c>
      <c r="E39" s="5" t="s">
        <v>1067</v>
      </c>
      <c r="F39" s="2"/>
      <c r="G39" s="2"/>
      <c r="H39" s="25"/>
      <c r="I39" s="5" t="str">
        <f>IFERROR(__xludf.DUMMYFUNCTION("GOOGLETRANSLATE(B39, ""en"", ""zh"")"),"围棋棋盘上的中心点叫什么？")</f>
        <v>围棋棋盘上的中心点叫什么？</v>
      </c>
      <c r="J39" s="5" t="str">
        <f>IFERROR(__xludf.DUMMYFUNCTION("GOOGLETRANSLATE(C39, ""en"", ""zh"")"),"A) 眼睛，B) 星点，C) 天眼，D) 星")</f>
        <v>A) 眼睛，B) 星点，C) 天眼，D) 星</v>
      </c>
      <c r="K39" s="5" t="str">
        <f>IFERROR(__xludf.DUMMYFUNCTION("GOOGLETRANSLATE(D39, ""en"", ""zh"")"),"C) 天元")</f>
        <v>C) 天元</v>
      </c>
      <c r="L39" s="5" t="str">
        <f>IFERROR(__xludf.DUMMYFUNCTION("GOOGLETRANSLATE(E39, ""en"", ""zh"")"),"天元是围棋棋盘的中心点，通常也是一个战略要地。")</f>
        <v>天元是围棋棋盘的中心点，通常也是一个战略要地。</v>
      </c>
      <c r="M39" s="3"/>
      <c r="N39" s="2"/>
      <c r="O39" s="3"/>
      <c r="P39" s="2"/>
      <c r="Q39" s="23"/>
      <c r="R39" s="23"/>
      <c r="S39" s="23"/>
      <c r="T39" s="23"/>
      <c r="U39" s="23"/>
      <c r="V39" s="23"/>
      <c r="W39" s="23"/>
      <c r="X39" s="23"/>
      <c r="Y39" s="23"/>
      <c r="Z39" s="23"/>
    </row>
    <row r="40">
      <c r="A40" s="4">
        <v>39.0</v>
      </c>
      <c r="B40" s="5" t="s">
        <v>1068</v>
      </c>
      <c r="C40" s="5" t="s">
        <v>1069</v>
      </c>
      <c r="D40" s="5" t="s">
        <v>1070</v>
      </c>
      <c r="E40" s="5" t="s">
        <v>1071</v>
      </c>
      <c r="F40" s="2"/>
      <c r="G40" s="2"/>
      <c r="H40" s="25"/>
      <c r="I40" s="5" t="str">
        <f>IFERROR(__xludf.DUMMYFUNCTION("GOOGLETRANSLATE(B40, ""en"", ""zh"")"),"在围棋中，“kosumi”是什么？")</f>
        <v>在围棋中，“kosumi”是什么？</v>
      </c>
      <c r="J40" s="5" t="str">
        <f>IFERROR(__xludf.DUMMYFUNCTION("GOOGLETRANSLATE(C40, ""en"", ""zh"")"),"A) 斜向移动，B) 直线移动，C) 吃子移动，D) 连接移动")</f>
        <v>A) 斜向移动，B) 直线移动，C) 吃子移动，D) 连接移动</v>
      </c>
      <c r="K40" s="5" t="str">
        <f>IFERROR(__xludf.DUMMYFUNCTION("GOOGLETRANSLATE(D40, ""en"", ""zh"")"),"A) 斜向移动")</f>
        <v>A) 斜向移动</v>
      </c>
      <c r="L40" s="5" t="str">
        <f>IFERROR(__xludf.DUMMYFUNCTION("GOOGLETRANSLATE(E40, ""en"", ""zh"")"),"小澄是一种斜向走法，可以策略性地连接棋子。")</f>
        <v>小澄是一种斜向走法，可以策略性地连接棋子。</v>
      </c>
      <c r="M40" s="3"/>
      <c r="N40" s="3"/>
      <c r="O40" s="3"/>
      <c r="P40" s="3"/>
      <c r="Q40" s="23"/>
      <c r="R40" s="23"/>
      <c r="S40" s="23"/>
      <c r="T40" s="23"/>
      <c r="U40" s="23"/>
      <c r="V40" s="23"/>
      <c r="W40" s="23"/>
      <c r="X40" s="23"/>
      <c r="Y40" s="23"/>
      <c r="Z40" s="23"/>
    </row>
    <row r="41">
      <c r="A41" s="4">
        <v>40.0</v>
      </c>
      <c r="B41" s="5" t="s">
        <v>1072</v>
      </c>
      <c r="C41" s="5" t="s">
        <v>1073</v>
      </c>
      <c r="D41" s="5" t="s">
        <v>1074</v>
      </c>
      <c r="E41" s="5" t="s">
        <v>1075</v>
      </c>
      <c r="F41" s="2"/>
      <c r="G41" s="2"/>
      <c r="H41" s="25"/>
      <c r="I41" s="5" t="str">
        <f>IFERROR(__xludf.DUMMYFUNCTION("GOOGLETRANSLATE(B41, ""en"", ""zh"")"),"在 Go 语言中如何声明 'atari'？")</f>
        <v>在 Go 语言中如何声明 'atari'？</v>
      </c>
      <c r="J41" s="5" t="str">
        <f>IFERROR(__xludf.DUMMYFUNCTION("GOOGLETRANSLATE(C41, ""en"", ""zh"")"),"A) 通过俘虏一个群体，B) 通过警告一个群体即将被俘虏，C) 通过划分领地，D) 通过设置障碍")</f>
        <v>A) 通过俘虏一个群体，B) 通过警告一个群体即将被俘虏，C) 通过划分领地，D) 通过设置障碍</v>
      </c>
      <c r="K41" s="5" t="str">
        <f>IFERROR(__xludf.DUMMYFUNCTION("GOOGLETRANSLATE(D41, ""en"", ""zh"")"),"B) 通过警告某个群体即将被俘虏")</f>
        <v>B) 通过警告某个群体即将被俘虏</v>
      </c>
      <c r="L41" s="5" t="str">
        <f>IFERROR(__xludf.DUMMYFUNCTION("GOOGLETRANSLATE(E41, ""en"", ""zh"")"),"“Atari”一词用来表示一颗棋子或一组棋子距离被吃掉只差一步之遥。")</f>
        <v>“Atari”一词用来表示一颗棋子或一组棋子距离被吃掉只差一步之遥。</v>
      </c>
      <c r="M41" s="3"/>
      <c r="N41" s="3"/>
      <c r="O41" s="3"/>
      <c r="P41" s="3"/>
      <c r="Q41" s="23"/>
      <c r="R41" s="23"/>
      <c r="S41" s="23"/>
      <c r="T41" s="23"/>
      <c r="U41" s="23"/>
      <c r="V41" s="23"/>
      <c r="W41" s="23"/>
      <c r="X41" s="23"/>
      <c r="Y41" s="23"/>
      <c r="Z41" s="23"/>
    </row>
    <row r="42">
      <c r="A42" s="4">
        <v>41.0</v>
      </c>
      <c r="B42" s="5" t="s">
        <v>1076</v>
      </c>
      <c r="C42" s="5" t="s">
        <v>1077</v>
      </c>
      <c r="D42" s="5" t="s">
        <v>1078</v>
      </c>
      <c r="E42" s="5" t="s">
        <v>1079</v>
      </c>
      <c r="F42" s="2"/>
      <c r="G42" s="2"/>
      <c r="H42" s="25"/>
      <c r="I42" s="5" t="str">
        <f>IFERROR(__xludf.DUMMYFUNCTION("GOOGLETRANSLATE(B42, ""en"", ""zh"")"),"围棋中的“钳形攻势”是什么？")</f>
        <v>围棋中的“钳形攻势”是什么？</v>
      </c>
      <c r="J42" s="5" t="str">
        <f>IFERROR(__xludf.DUMMYFUNCTION("GOOGLETRANSLATE(C42, ""en"", ""zh"")"),"A) 包围敌方阵地，B) 从两边削弱敌方自由，C) 斜向连接，D) 反击策略")</f>
        <v>A) 包围敌方阵地，B) 从两边削弱敌方自由，C) 斜向连接，D) 反击策略</v>
      </c>
      <c r="K42" s="5" t="str">
        <f>IFERROR(__xludf.DUMMYFUNCTION("GOOGLETRANSLATE(D42, ""en"", ""zh"")"),"B）从两个方面减少自由")</f>
        <v>B）从两个方面减少自由</v>
      </c>
      <c r="L42" s="5" t="str">
        <f>IFERROR(__xludf.DUMMYFUNCTION("GOOGLETRANSLATE(E42, ""en"", ""zh"")"),"钳形攻势从两侧攻击敌方部队，限制其行动。")</f>
        <v>钳形攻势从两侧攻击敌方部队，限制其行动。</v>
      </c>
      <c r="M42" s="3"/>
      <c r="N42" s="3"/>
      <c r="O42" s="3"/>
      <c r="P42" s="3"/>
      <c r="Q42" s="23"/>
      <c r="R42" s="23"/>
      <c r="S42" s="23"/>
      <c r="T42" s="23"/>
      <c r="U42" s="23"/>
      <c r="V42" s="23"/>
      <c r="W42" s="23"/>
      <c r="X42" s="23"/>
      <c r="Y42" s="23"/>
      <c r="Z42" s="23"/>
    </row>
    <row r="43">
      <c r="A43" s="4">
        <v>42.0</v>
      </c>
      <c r="B43" s="5" t="s">
        <v>1080</v>
      </c>
      <c r="C43" s="5" t="s">
        <v>1081</v>
      </c>
      <c r="D43" s="5" t="s">
        <v>1082</v>
      </c>
      <c r="E43" s="5" t="s">
        <v>1083</v>
      </c>
      <c r="F43" s="2"/>
      <c r="G43" s="2"/>
      <c r="H43" s="25"/>
      <c r="I43" s="5" t="str">
        <f>IFERROR(__xludf.DUMMYFUNCTION("GOOGLETRANSLATE(B43, ""en"", ""zh"")"),"在 Go 语言中，“梯子破坏者”是什么意思？")</f>
        <v>在 Go 语言中，“梯子破坏者”是什么意思？</v>
      </c>
      <c r="J43" s="5" t="str">
        <f>IFERROR(__xludf.DUMMYFUNCTION("GOOGLETRANSLATE(C43, ""en"", ""zh"")"),"A) 阻止梯子的移动，B) 放置在角落的石头，C) 封锁领土的策略，D) 中心移动")</f>
        <v>A) 阻止梯子的移动，B) 放置在角落的石头，C) 封锁领土的策略，D) 中心移动</v>
      </c>
      <c r="K43" s="5" t="str">
        <f>IFERROR(__xludf.DUMMYFUNCTION("GOOGLETRANSLATE(D43, ""en"", ""zh"")"),"A) 阻止梯子移动的动作")</f>
        <v>A) 阻止梯子移动的动作</v>
      </c>
      <c r="L43" s="5" t="str">
        <f>IFERROR(__xludf.DUMMYFUNCTION("GOOGLETRANSLATE(E43, ""en"", ""zh"")"),"梯子破坏器会扰乱梯子的重复捕获顺序。")</f>
        <v>梯子破坏器会扰乱梯子的重复捕获顺序。</v>
      </c>
      <c r="M43" s="3"/>
      <c r="N43" s="3"/>
      <c r="O43" s="3"/>
      <c r="P43" s="3"/>
      <c r="Q43" s="23"/>
      <c r="R43" s="23"/>
      <c r="S43" s="23"/>
      <c r="T43" s="23"/>
      <c r="U43" s="23"/>
      <c r="V43" s="23"/>
      <c r="W43" s="23"/>
      <c r="X43" s="23"/>
      <c r="Y43" s="23"/>
      <c r="Z43" s="23"/>
    </row>
    <row r="44">
      <c r="A44" s="4">
        <v>43.0</v>
      </c>
      <c r="B44" s="5" t="s">
        <v>1084</v>
      </c>
      <c r="C44" s="5" t="s">
        <v>1085</v>
      </c>
      <c r="D44" s="5" t="s">
        <v>1086</v>
      </c>
      <c r="E44" s="5" t="s">
        <v>1087</v>
      </c>
      <c r="F44" s="2"/>
      <c r="G44" s="2"/>
      <c r="H44" s="25"/>
      <c r="I44" s="5" t="str">
        <f>IFERROR(__xludf.DUMMYFUNCTION("GOOGLETRANSLATE(B44, ""en"", ""zh"")"),"眼睛周围留出的空白区域用什么术语来描述？")</f>
        <v>眼睛周围留出的空白区域用什么术语来描述？</v>
      </c>
      <c r="J44" s="5" t="str">
        <f>IFERROR(__xludf.DUMMYFUNCTION("GOOGLETRANSLATE(C44, ""en"", ""zh"")"),"A) Komi，B) Sente，C) Miai，D) Dead Space")</f>
        <v>A) Komi，B) Sente，C) Miai，D) Dead Space</v>
      </c>
      <c r="K44" s="5" t="str">
        <f>IFERROR(__xludf.DUMMYFUNCTION("GOOGLETRANSLATE(D44, ""en"", ""zh"")"),"C) 美爱")</f>
        <v>C) 美爱</v>
      </c>
      <c r="L44" s="5" t="str">
        <f>IFERROR(__xludf.DUMMYFUNCTION("GOOGLETRANSLATE(E44, ""en"", ""zh"")"),"Miai 指的是可以交替摆放成眼睛的成对点数。")</f>
        <v>Miai 指的是可以交替摆放成眼睛的成对点数。</v>
      </c>
      <c r="M44" s="3"/>
      <c r="N44" s="3"/>
      <c r="O44" s="3"/>
      <c r="P44" s="3"/>
      <c r="Q44" s="23"/>
      <c r="R44" s="23"/>
      <c r="S44" s="23"/>
      <c r="T44" s="23"/>
      <c r="U44" s="23"/>
      <c r="V44" s="23"/>
      <c r="W44" s="23"/>
      <c r="X44" s="23"/>
      <c r="Y44" s="23"/>
      <c r="Z44" s="23"/>
    </row>
    <row r="45">
      <c r="A45" s="4">
        <v>44.0</v>
      </c>
      <c r="B45" s="5" t="s">
        <v>1088</v>
      </c>
      <c r="C45" s="5" t="s">
        <v>1089</v>
      </c>
      <c r="D45" s="5" t="s">
        <v>1090</v>
      </c>
      <c r="E45" s="5" t="s">
        <v>1091</v>
      </c>
      <c r="F45" s="2"/>
      <c r="G45" s="2"/>
      <c r="H45" s="25"/>
      <c r="I45" s="5" t="str">
        <f>IFERROR(__xludf.DUMMYFUNCTION("GOOGLETRANSLATE(B45, ""en"", ""zh"")"),"围棋中“老虎嘴”的形状是什么？")</f>
        <v>围棋中“老虎嘴”的形状是什么？</v>
      </c>
      <c r="J45" s="5" t="str">
        <f>IFERROR(__xludf.DUMMYFUNCTION("GOOGLETRANSLATE(C45, ""en"", ""zh"")"),"A) 对角连接，B) L形，C) 石块弧形，D) 两块石头之间的小缝隙")</f>
        <v>A) 对角连接，B) L形，C) 石块弧形，D) 两块石头之间的小缝隙</v>
      </c>
      <c r="K45" s="5" t="str">
        <f>IFERROR(__xludf.DUMMYFUNCTION("GOOGLETRANSLATE(D45, ""en"", ""zh"")"),"D) 两块石头之间的小缝隙")</f>
        <v>D) 两块石头之间的小缝隙</v>
      </c>
      <c r="L45" s="5" t="str">
        <f>IFERROR(__xludf.DUMMYFUNCTION("GOOGLETRANSLATE(E45, ""en"", ""zh"")"),"老虎的嘴巴是一个小缝隙，可以保护连接处不被切断。")</f>
        <v>老虎的嘴巴是一个小缝隙，可以保护连接处不被切断。</v>
      </c>
      <c r="M45" s="3"/>
      <c r="N45" s="3"/>
      <c r="O45" s="3"/>
      <c r="P45" s="3"/>
      <c r="Q45" s="23"/>
      <c r="R45" s="23"/>
      <c r="S45" s="23"/>
      <c r="T45" s="23"/>
      <c r="U45" s="23"/>
      <c r="V45" s="23"/>
      <c r="W45" s="23"/>
      <c r="X45" s="23"/>
      <c r="Y45" s="23"/>
      <c r="Z45" s="23"/>
    </row>
    <row r="46">
      <c r="A46" s="4">
        <v>45.0</v>
      </c>
      <c r="B46" s="5" t="s">
        <v>1092</v>
      </c>
      <c r="C46" s="5" t="s">
        <v>1093</v>
      </c>
      <c r="D46" s="5" t="s">
        <v>1094</v>
      </c>
      <c r="E46" s="5" t="s">
        <v>1095</v>
      </c>
      <c r="F46" s="2"/>
      <c r="G46" s="2"/>
      <c r="H46" s="25"/>
      <c r="I46" s="5" t="str">
        <f>IFERROR(__xludf.DUMMYFUNCTION("GOOGLETRANSLATE(B46, ""en"", ""zh"")"),"“sente”动作的目的是什么？")</f>
        <v>“sente”动作的目的是什么？</v>
      </c>
      <c r="J46" s="5" t="str">
        <f>IFERROR(__xludf.DUMMYFUNCTION("GOOGLETRANSLATE(C46, ""en"", ""zh"")"),"A) 争取自由，B) 迫使对手回应，C) 夺取棋子，D) 巩固领土")</f>
        <v>A) 争取自由，B) 迫使对手回应，C) 夺取棋子，D) 巩固领土</v>
      </c>
      <c r="K46" s="5" t="str">
        <f>IFERROR(__xludf.DUMMYFUNCTION("GOOGLETRANSLATE(D46, ""en"", ""zh"")"),"B) 迫使对手回应")</f>
        <v>B) 迫使对手回应</v>
      </c>
      <c r="L46" s="5" t="str">
        <f>IFERROR(__xludf.DUMMYFUNCTION("GOOGLETRANSLATE(E46, ""en"", ""zh"")"),"先手动作迫使对手做出防御反应。")</f>
        <v>先手动作迫使对手做出防御反应。</v>
      </c>
      <c r="M46" s="3"/>
      <c r="N46" s="2"/>
      <c r="O46" s="3"/>
      <c r="P46" s="3"/>
      <c r="Q46" s="23"/>
      <c r="R46" s="23"/>
      <c r="S46" s="23"/>
      <c r="T46" s="23"/>
      <c r="U46" s="23"/>
      <c r="V46" s="23"/>
      <c r="W46" s="23"/>
      <c r="X46" s="23"/>
      <c r="Y46" s="23"/>
      <c r="Z46" s="23"/>
    </row>
    <row r="47">
      <c r="A47" s="4">
        <v>46.0</v>
      </c>
      <c r="B47" s="5" t="s">
        <v>1096</v>
      </c>
      <c r="C47" s="5" t="s">
        <v>1097</v>
      </c>
      <c r="D47" s="5" t="s">
        <v>1098</v>
      </c>
      <c r="E47" s="5" t="s">
        <v>1099</v>
      </c>
      <c r="F47" s="2"/>
      <c r="G47" s="2"/>
      <c r="H47" s="25"/>
      <c r="I47" s="5" t="str">
        <f>IFERROR(__xludf.DUMMYFUNCTION("GOOGLETRANSLATE(B47, ""en"", ""zh"")"),"在围棋中，“gote”一词代表什么？")</f>
        <v>在围棋中，“gote”一词代表什么？</v>
      </c>
      <c r="J47" s="5" t="str">
        <f>IFERROR(__xludf.DUMMYFUNCTION("GOOGLETRANSLATE(C47, ""en"", ""zh"")"),"A) 迫使对方回应的举动，B) 将主动权交给对手的举动，C) 防御策略，D) 阶梯式移动")</f>
        <v>A) 迫使对方回应的举动，B) 将主动权交给对手的举动，C) 防御策略，D) 阶梯式移动</v>
      </c>
      <c r="K47" s="5" t="str">
        <f>IFERROR(__xludf.DUMMYFUNCTION("GOOGLETRANSLATE(D47, ""en"", ""zh"")"),"B) 将主动权拱手让给对手的举动")</f>
        <v>B) 将主动权拱手让给对手的举动</v>
      </c>
      <c r="L47" s="5" t="str">
        <f>IFERROR(__xludf.DUMMYFUNCTION("GOOGLETRANSLATE(E47, ""en"", ""zh"")"),"下手是指玩家失去主动权，让对手控制局面的走法。")</f>
        <v>下手是指玩家失去主动权，让对手控制局面的走法。</v>
      </c>
      <c r="M47" s="3"/>
      <c r="N47" s="3"/>
      <c r="O47" s="3"/>
      <c r="P47" s="2"/>
      <c r="Q47" s="23"/>
      <c r="R47" s="23"/>
      <c r="S47" s="23"/>
      <c r="T47" s="23"/>
      <c r="U47" s="23"/>
      <c r="V47" s="23"/>
      <c r="W47" s="23"/>
      <c r="X47" s="23"/>
      <c r="Y47" s="23"/>
      <c r="Z47" s="23"/>
    </row>
    <row r="48">
      <c r="A48" s="4">
        <v>47.0</v>
      </c>
      <c r="B48" s="5" t="s">
        <v>1100</v>
      </c>
      <c r="C48" s="5" t="s">
        <v>1101</v>
      </c>
      <c r="D48" s="5" t="s">
        <v>1102</v>
      </c>
      <c r="E48" s="5" t="s">
        <v>1103</v>
      </c>
      <c r="F48" s="2"/>
      <c r="G48" s="2"/>
      <c r="H48" s="25"/>
      <c r="I48" s="5" t="str">
        <f>IFERROR(__xludf.DUMMYFUNCTION("GOOGLETRANSLATE(B48, ""en"", ""zh"")"),"在围棋中，棋手的“等级”代表什么？")</f>
        <v>在围棋中，棋手的“等级”代表什么？</v>
      </c>
      <c r="J48" s="5" t="str">
        <f>IFERROR(__xludf.DUMMYFUNCTION("GOOGLETRANSLATE(C48, ""en"", ""zh"")"),"A) 获胜场次，B) 他们的技能水平，C) 控制的领土面积，D) 俘获的棋子数量")</f>
        <v>A) 获胜场次，B) 他们的技能水平，C) 控制的领土面积，D) 俘获的棋子数量</v>
      </c>
      <c r="K48" s="5" t="str">
        <f>IFERROR(__xludf.DUMMYFUNCTION("GOOGLETRANSLATE(D48, ""en"", ""zh"")"),"B) 他们的技能水平")</f>
        <v>B) 他们的技能水平</v>
      </c>
      <c r="L48" s="5" t="str">
        <f>IFERROR(__xludf.DUMMYFUNCTION("GOOGLETRANSLATE(E48, ""en"", ""zh"")"),"围棋等级反映棋手的技能水平，分为级（kyu）和段（dan）。")</f>
        <v>围棋等级反映棋手的技能水平，分为级（kyu）和段（dan）。</v>
      </c>
      <c r="M48" s="3"/>
      <c r="N48" s="3"/>
      <c r="O48" s="3"/>
      <c r="P48" s="2"/>
      <c r="Q48" s="23"/>
      <c r="R48" s="23"/>
      <c r="S48" s="23"/>
      <c r="T48" s="23"/>
      <c r="U48" s="23"/>
      <c r="V48" s="23"/>
      <c r="W48" s="23"/>
      <c r="X48" s="23"/>
      <c r="Y48" s="23"/>
      <c r="Z48" s="23"/>
    </row>
    <row r="49">
      <c r="A49" s="4">
        <v>48.0</v>
      </c>
      <c r="B49" s="5" t="s">
        <v>1104</v>
      </c>
      <c r="C49" s="5" t="s">
        <v>1105</v>
      </c>
      <c r="D49" s="5" t="s">
        <v>1106</v>
      </c>
      <c r="E49" s="5" t="s">
        <v>1107</v>
      </c>
      <c r="F49" s="2"/>
      <c r="G49" s="2"/>
      <c r="H49" s="25"/>
      <c r="I49" s="5" t="str">
        <f>IFERROR(__xludf.DUMMYFUNCTION("GOOGLETRANSLATE(B49, ""en"", ""zh"")"),"用什么术语来形容一组紧密相连的石头？")</f>
        <v>用什么术语来形容一组紧密相连的石头？</v>
      </c>
      <c r="J49" s="5" t="str">
        <f>IFERROR(__xludf.DUMMYFUNCTION("GOOGLETRANSLATE(C49, ""en"", ""zh"")"),"A) 链，B) 簇，C) 线，D) 单元")</f>
        <v>A) 链，B) 簇，C) 线，D) 单元</v>
      </c>
      <c r="K49" s="5" t="str">
        <f>IFERROR(__xludf.DUMMYFUNCTION("GOOGLETRANSLATE(D49, ""en"", ""zh"")"),"A) 链")</f>
        <v>A) 链</v>
      </c>
      <c r="L49" s="5" t="str">
        <f>IFERROR(__xludf.DUMMYFUNCTION("GOOGLETRANSLATE(E49, ""en"", ""zh"")"),"链条是由一系列相互连接的石头组成，这些石头彼此共享自由。")</f>
        <v>链条是由一系列相互连接的石头组成，这些石头彼此共享自由。</v>
      </c>
      <c r="M49" s="3"/>
      <c r="N49" s="3"/>
      <c r="O49" s="3"/>
      <c r="P49" s="3"/>
      <c r="Q49" s="23"/>
      <c r="R49" s="23"/>
      <c r="S49" s="23"/>
      <c r="T49" s="23"/>
      <c r="U49" s="23"/>
      <c r="V49" s="23"/>
      <c r="W49" s="23"/>
      <c r="X49" s="23"/>
      <c r="Y49" s="23"/>
      <c r="Z49" s="23"/>
    </row>
    <row r="50">
      <c r="A50" s="4">
        <v>49.0</v>
      </c>
      <c r="B50" s="5" t="s">
        <v>1108</v>
      </c>
      <c r="C50" s="5" t="s">
        <v>1109</v>
      </c>
      <c r="D50" s="5" t="s">
        <v>1110</v>
      </c>
      <c r="E50" s="5" t="s">
        <v>1111</v>
      </c>
      <c r="F50" s="2"/>
      <c r="G50" s="2"/>
      <c r="H50" s="25"/>
      <c r="I50" s="5" t="str">
        <f>IFERROR(__xludf.DUMMYFUNCTION("GOOGLETRANSLATE(B50, ""en"", ""zh"")"),"围棋的主要目标是什么？")</f>
        <v>围棋的主要目标是什么？</v>
      </c>
      <c r="J50" s="5" t="str">
        <f>IFERROR(__xludf.DUMMYFUNCTION("GOOGLETRANSLATE(C50, ""en"", ""zh"")"),"A) 吃掉对方的王，B) 包围尽可能多的领土，C) 吃掉最多的棋子，D) 形成特定的图案")</f>
        <v>A) 吃掉对方的王，B) 包围尽可能多的领土，C) 吃掉最多的棋子，D) 形成特定的图案</v>
      </c>
      <c r="K50" s="5" t="str">
        <f>IFERROR(__xludf.DUMMYFUNCTION("GOOGLETRANSLATE(D50, ""en"", ""zh"")"),"B) 包围最大范围的领土")</f>
        <v>B) 包围最大范围的领土</v>
      </c>
      <c r="L50" s="5" t="str">
        <f>IFERROR(__xludf.DUMMYFUNCTION("GOOGLETRANSLATE(E50, ""en"", ""zh"")"),"围棋的主要目标是控制比对手更多的领土。")</f>
        <v>围棋的主要目标是控制比对手更多的领土。</v>
      </c>
      <c r="M50" s="3"/>
      <c r="N50" s="3"/>
      <c r="O50" s="3"/>
      <c r="P50" s="3"/>
      <c r="Q50" s="23"/>
      <c r="R50" s="23"/>
      <c r="S50" s="23"/>
      <c r="T50" s="23"/>
      <c r="U50" s="23"/>
      <c r="V50" s="23"/>
      <c r="W50" s="23"/>
      <c r="X50" s="23"/>
      <c r="Y50" s="23"/>
      <c r="Z50" s="23"/>
    </row>
    <row r="51">
      <c r="A51" s="4">
        <v>50.0</v>
      </c>
      <c r="B51" s="5" t="s">
        <v>1112</v>
      </c>
      <c r="C51" s="5" t="s">
        <v>1113</v>
      </c>
      <c r="D51" s="5" t="s">
        <v>1114</v>
      </c>
      <c r="E51" s="5" t="s">
        <v>1115</v>
      </c>
      <c r="F51" s="2"/>
      <c r="G51" s="2"/>
      <c r="H51" s="25"/>
      <c r="I51" s="5" t="str">
        <f>IFERROR(__xludf.DUMMYFUNCTION("GOOGLETRANSLATE(B51, ""en"", ""zh"")"),"围棋棋盘上的“星”是什么？")</f>
        <v>围棋棋盘上的“星”是什么？</v>
      </c>
      <c r="J51" s="5" t="str">
        <f>IFERROR(__xludf.DUMMYFUNCTION("GOOGLETRANSLATE(C51, ""en"", ""zh"")"),"A) 黑方起始点，B) 让分点，C) 星级点，D) 区域标记")</f>
        <v>A) 黑方起始点，B) 让分点，C) 星级点，D) 区域标记</v>
      </c>
      <c r="K51" s="5" t="str">
        <f>IFERROR(__xludf.DUMMYFUNCTION("GOOGLETRANSLATE(D51, ""en"", ""zh"")"),"C) 星点")</f>
        <v>C) 星点</v>
      </c>
      <c r="L51" s="5" t="str">
        <f>IFERROR(__xludf.DUMMYFUNCTION("GOOGLETRANSLATE(E51, ""en"", ""zh"")"),"星点，或称星形点，是围棋棋盘上标记的交叉点，用于参考。")</f>
        <v>星点，或称星形点，是围棋棋盘上标记的交叉点，用于参考。</v>
      </c>
      <c r="M51" s="3"/>
      <c r="N51" s="3"/>
      <c r="O51" s="3"/>
      <c r="P51" s="3"/>
      <c r="Q51" s="23"/>
      <c r="R51" s="23"/>
      <c r="S51" s="23"/>
      <c r="T51" s="23"/>
      <c r="U51" s="23"/>
      <c r="V51" s="23"/>
      <c r="W51" s="23"/>
      <c r="X51" s="23"/>
      <c r="Y51" s="23"/>
      <c r="Z51" s="23"/>
    </row>
    <row r="52">
      <c r="A52" s="4">
        <v>51.0</v>
      </c>
      <c r="B52" s="5" t="s">
        <v>1116</v>
      </c>
      <c r="C52" s="5" t="s">
        <v>1117</v>
      </c>
      <c r="D52" s="5" t="s">
        <v>1118</v>
      </c>
      <c r="E52" s="5" t="s">
        <v>1119</v>
      </c>
      <c r="F52" s="2"/>
      <c r="G52" s="2"/>
      <c r="H52" s="25"/>
      <c r="I52" s="5" t="str">
        <f>IFERROR(__xludf.DUMMYFUNCTION("GOOGLETRANSLATE(B52, ""en"", ""zh"")"),"在围棋中，“玩弄sente”是什么意思？")</f>
        <v>在围棋中，“玩弄sente”是什么意思？</v>
      </c>
      <c r="J52" s="5" t="str">
        <f>IFERROR(__xludf.DUMMYFUNCTION("GOOGLETRANSLATE(C52, ""en"", ""zh"")"),"A) 领先对手，B) 跳过回合，C) 进行领地移动，D) 阻挡对手的移动")</f>
        <v>A) 领先对手，B) 跳过回合，C) 进行领地移动，D) 阻挡对手的移动</v>
      </c>
      <c r="K52" s="5" t="str">
        <f>IFERROR(__xludf.DUMMYFUNCTION("GOOGLETRANSLATE(D52, ""en"", ""zh"")"),"A) 领先对手")</f>
        <v>A) 领先对手</v>
      </c>
      <c r="L52" s="5" t="str">
        <f>IFERROR(__xludf.DUMMYFUNCTION("GOOGLETRANSLATE(E52, ""en"", ""zh"")"),"以先手下注是指采取迫使对手做出回应的行动。")</f>
        <v>以先手下注是指采取迫使对手做出回应的行动。</v>
      </c>
      <c r="M52" s="3"/>
      <c r="N52" s="3"/>
      <c r="O52" s="3"/>
      <c r="P52" s="3"/>
      <c r="Q52" s="23"/>
      <c r="R52" s="23"/>
      <c r="S52" s="23"/>
      <c r="T52" s="23"/>
      <c r="U52" s="23"/>
      <c r="V52" s="23"/>
      <c r="W52" s="23"/>
      <c r="X52" s="23"/>
      <c r="Y52" s="23"/>
      <c r="Z52" s="23"/>
    </row>
    <row r="53">
      <c r="A53" s="4">
        <v>52.0</v>
      </c>
      <c r="B53" s="5" t="s">
        <v>1120</v>
      </c>
      <c r="C53" s="5" t="s">
        <v>1121</v>
      </c>
      <c r="D53" s="5" t="s">
        <v>1122</v>
      </c>
      <c r="E53" s="5" t="s">
        <v>1123</v>
      </c>
      <c r="F53" s="2"/>
      <c r="G53" s="2"/>
      <c r="H53" s="25"/>
      <c r="I53" s="5" t="str">
        <f>IFERROR(__xludf.DUMMYFUNCTION("GOOGLETRANSLATE(B53, ""en"", ""zh"")"),"球员的级位（kyu）代表什么？")</f>
        <v>球员的级位（kyu）代表什么？</v>
      </c>
      <c r="J53" s="5" t="str">
        <f>IFERROR(__xludf.DUMMYFUNCTION("GOOGLETRANSLATE(C53, ""en"", ""zh"")"),"A) 初级水平，B) 中级水平，C) 高级水平，D) 专家级")</f>
        <v>A) 初级水平，B) 中级水平，C) 高级水平，D) 专家级</v>
      </c>
      <c r="K53" s="5" t="str">
        <f>IFERROR(__xludf.DUMMYFUNCTION("GOOGLETRANSLATE(D53, ""en"", ""zh"")"),"A) 初级")</f>
        <v>A) 初级</v>
      </c>
      <c r="L53" s="5" t="str">
        <f>IFERROR(__xludf.DUMMYFUNCTION("GOOGLETRANSLATE(E53, ""en"", ""zh"")"),"级数表示初级到中级水平，数字越大，技能水平越低。")</f>
        <v>级数表示初级到中级水平，数字越大，技能水平越低。</v>
      </c>
      <c r="M53" s="3"/>
      <c r="N53" s="2"/>
      <c r="O53" s="3"/>
      <c r="P53" s="3"/>
      <c r="Q53" s="23"/>
      <c r="R53" s="23"/>
      <c r="S53" s="23"/>
      <c r="T53" s="23"/>
      <c r="U53" s="23"/>
      <c r="V53" s="23"/>
      <c r="W53" s="23"/>
      <c r="X53" s="23"/>
      <c r="Y53" s="23"/>
      <c r="Z53" s="23"/>
    </row>
    <row r="54">
      <c r="A54" s="4">
        <v>53.0</v>
      </c>
      <c r="B54" s="5" t="s">
        <v>1124</v>
      </c>
      <c r="C54" s="5" t="s">
        <v>1125</v>
      </c>
      <c r="D54" s="5" t="s">
        <v>1126</v>
      </c>
      <c r="E54" s="5" t="s">
        <v>1127</v>
      </c>
      <c r="F54" s="2"/>
      <c r="G54" s="2"/>
      <c r="H54" s="25"/>
      <c r="I54" s="5" t="str">
        <f>IFERROR(__xludf.DUMMYFUNCTION("GOOGLETRANSLATE(B54, ""en"", ""zh"")"),"围棋中的“残局”指的是什么？")</f>
        <v>围棋中的“残局”指的是什么？</v>
      </c>
      <c r="J54" s="5" t="str">
        <f>IFERROR(__xludf.DUMMYFUNCTION("GOOGLETRANSLATE(C54, ""en"", ""zh"")"),"A) 开局，B) 中间阶段，C) 收尾，D) 认输")</f>
        <v>A) 开局，B) 中间阶段，C) 收尾，D) 认输</v>
      </c>
      <c r="K54" s="5" t="str">
        <f>IFERROR(__xludf.DUMMYFUNCTION("GOOGLETRANSLATE(D54, ""en"", ""zh"")"),"C) 最后一步")</f>
        <v>C) 最后一步</v>
      </c>
      <c r="L54" s="5" t="str">
        <f>IFERROR(__xludf.DUMMYFUNCTION("GOOGLETRANSLATE(E54, ""en"", ""zh"")"),"终局，或称“终局”，指的是玩家确保最终领土的阶段。")</f>
        <v>终局，或称“终局”，指的是玩家确保最终领土的阶段。</v>
      </c>
      <c r="M54" s="3"/>
      <c r="N54" s="3"/>
      <c r="O54" s="3"/>
      <c r="P54" s="3"/>
      <c r="Q54" s="23"/>
      <c r="R54" s="23"/>
      <c r="S54" s="23"/>
      <c r="T54" s="23"/>
      <c r="U54" s="23"/>
      <c r="V54" s="23"/>
      <c r="W54" s="23"/>
      <c r="X54" s="23"/>
      <c r="Y54" s="23"/>
      <c r="Z54" s="23"/>
    </row>
    <row r="55">
      <c r="A55" s="4">
        <v>54.0</v>
      </c>
      <c r="B55" s="5" t="s">
        <v>1128</v>
      </c>
      <c r="C55" s="5" t="s">
        <v>1129</v>
      </c>
      <c r="D55" s="5" t="s">
        <v>1130</v>
      </c>
      <c r="E55" s="5" t="s">
        <v>1131</v>
      </c>
      <c r="F55" s="2"/>
      <c r="G55" s="2"/>
      <c r="H55" s="25"/>
      <c r="I55" s="5" t="str">
        <f>IFERROR(__xludf.DUMMYFUNCTION("GOOGLETRANSLATE(B55, ""en"", ""zh"")"),"在围棋中，以下哪些招式有助于巩固边界？")</f>
        <v>在围棋中，以下哪些招式有助于巩固边界？</v>
      </c>
      <c r="J55" s="5" t="str">
        <f>IFERROR(__xludf.DUMMYFUNCTION("GOOGLETRANSLATE(C55, ""en"", ""zh"")"),"A) Atari，B) Extension，C) Connect，D) Ladder")</f>
        <v>A) Atari，B) Extension，C) Connect，D) Ladder</v>
      </c>
      <c r="K55" s="5" t="str">
        <f>IFERROR(__xludf.DUMMYFUNCTION("GOOGLETRANSLATE(D55, ""en"", ""zh"")"),"B) 扩展")</f>
        <v>B) 扩展</v>
      </c>
      <c r="L55" s="5" t="str">
        <f>IFERROR(__xludf.DUMMYFUNCTION("GOOGLETRANSLATE(E55, ""en"", ""zh"")"),"扩张行动通过向外扩张来巩固领土。")</f>
        <v>扩张行动通过向外扩张来巩固领土。</v>
      </c>
      <c r="M55" s="3"/>
      <c r="N55" s="3"/>
      <c r="O55" s="3"/>
      <c r="P55" s="3"/>
      <c r="Q55" s="23"/>
      <c r="R55" s="23"/>
      <c r="S55" s="23"/>
      <c r="T55" s="23"/>
      <c r="U55" s="23"/>
      <c r="V55" s="23"/>
      <c r="W55" s="23"/>
      <c r="X55" s="23"/>
      <c r="Y55" s="23"/>
      <c r="Z55" s="23"/>
    </row>
    <row r="56">
      <c r="A56" s="4">
        <v>55.0</v>
      </c>
      <c r="B56" s="5" t="s">
        <v>1132</v>
      </c>
      <c r="C56" s="5" t="s">
        <v>1133</v>
      </c>
      <c r="D56" s="5" t="s">
        <v>1134</v>
      </c>
      <c r="E56" s="5" t="s">
        <v>1135</v>
      </c>
      <c r="F56" s="2"/>
      <c r="G56" s="2"/>
      <c r="H56" s="25"/>
      <c r="I56" s="5" t="str">
        <f>IFERROR(__xludf.DUMMYFUNCTION("GOOGLETRANSLATE(B56, ""en"", ""zh"")"),"围棋中的“段”代表什么？")</f>
        <v>围棋中的“段”代表什么？</v>
      </c>
      <c r="J56" s="5" t="str">
        <f>IFERROR(__xludf.DUMMYFUNCTION("GOOGLETRANSLATE(C56, ""en"", ""zh"")"),"A) 初级，B) 中级，C) 高级，D) 新手")</f>
        <v>A) 初级，B) 中级，C) 高级，D) 新手</v>
      </c>
      <c r="K56" s="5" t="str">
        <f>IFERROR(__xludf.DUMMYFUNCTION("GOOGLETRANSLATE(D56, ""en"", ""zh"")"),"C) 高级")</f>
        <v>C) 高级</v>
      </c>
      <c r="L56" s="5" t="str">
        <f>IFERROR(__xludf.DUMMYFUNCTION("GOOGLETRANSLATE(E56, ""en"", ""zh"")"),"段位代表围棋的高级水平，从一段开始，向上延伸。")</f>
        <v>段位代表围棋的高级水平，从一段开始，向上延伸。</v>
      </c>
      <c r="M56" s="3"/>
      <c r="N56" s="3"/>
      <c r="O56" s="3"/>
      <c r="P56" s="2"/>
      <c r="Q56" s="23"/>
      <c r="R56" s="23"/>
      <c r="S56" s="23"/>
      <c r="T56" s="23"/>
      <c r="U56" s="23"/>
      <c r="V56" s="23"/>
      <c r="W56" s="23"/>
      <c r="X56" s="23"/>
      <c r="Y56" s="23"/>
      <c r="Z56" s="23"/>
    </row>
    <row r="57">
      <c r="A57" s="10">
        <v>56.0</v>
      </c>
      <c r="B57" s="11" t="s">
        <v>1136</v>
      </c>
      <c r="C57" s="11" t="s">
        <v>1137</v>
      </c>
      <c r="D57" s="11" t="s">
        <v>1138</v>
      </c>
      <c r="E57" s="11" t="s">
        <v>1139</v>
      </c>
      <c r="F57" s="12"/>
      <c r="G57" s="12"/>
      <c r="H57" s="25"/>
      <c r="I57" s="5" t="str">
        <f>IFERROR(__xludf.DUMMYFUNCTION("GOOGLETRANSLATE(B57, ""en"", ""zh"")"),"现代围棋棋盘由多少个交叉点组成？")</f>
        <v>现代围棋棋盘由多少个交叉点组成？</v>
      </c>
      <c r="J57" s="5" t="str">
        <f>IFERROR(__xludf.DUMMYFUNCTION("GOOGLETRANSLATE(C57, ""en"", ""zh"")"),"A) 181，B) 199，C) 361，D) 441")</f>
        <v>A) 181，B) 199，C) 361，D) 441</v>
      </c>
      <c r="K57" s="5" t="str">
        <f>IFERROR(__xludf.DUMMYFUNCTION("GOOGLETRANSLATE(D57, ""en"", ""zh"")"),"C) 361")</f>
        <v>C) 361</v>
      </c>
      <c r="L57" s="5" t="str">
        <f>IFERROR(__xludf.DUMMYFUNCTION("GOOGLETRANSLATE(E57, ""en"", ""zh"")"),"一个标准的围棋棋盘由 361 个交叉点组成，棋盘上的线条呈 19x19 的网格状。")</f>
        <v>一个标准的围棋棋盘由 361 个交叉点组成，棋盘上的线条呈 19x19 的网格状。</v>
      </c>
      <c r="M57" s="13"/>
      <c r="N57" s="26"/>
      <c r="O57" s="13"/>
      <c r="P57" s="27"/>
      <c r="Q57" s="23"/>
      <c r="R57" s="23"/>
      <c r="S57" s="23"/>
      <c r="T57" s="23"/>
      <c r="U57" s="23"/>
      <c r="V57" s="23"/>
      <c r="W57" s="23"/>
      <c r="X57" s="23"/>
      <c r="Y57" s="23"/>
      <c r="Z57" s="23"/>
    </row>
    <row r="58">
      <c r="A58" s="10">
        <v>57.0</v>
      </c>
      <c r="B58" s="11" t="s">
        <v>1140</v>
      </c>
      <c r="C58" s="11" t="s">
        <v>1141</v>
      </c>
      <c r="D58" s="11" t="s">
        <v>1142</v>
      </c>
      <c r="E58" s="11" t="s">
        <v>1143</v>
      </c>
      <c r="F58" s="12"/>
      <c r="G58" s="12"/>
      <c r="H58" s="25"/>
      <c r="I58" s="5" t="str">
        <f>IFERROR(__xludf.DUMMYFUNCTION("GOOGLETRANSLATE(B58, ""en"", ""zh"")"),"哪种围棋策略是通过包围对手的棋子来吃掉它们？")</f>
        <v>哪种围棋策略是通过包围对手的棋子来吃掉它们？</v>
      </c>
      <c r="J58" s="5" t="str">
        <f>IFERROR(__xludf.DUMMYFUNCTION("GOOGLETRANSLATE(C58, ""en"", ""zh"")"),"A）Atari，B）Ko，C）Sente，D）Tesuji")</f>
        <v>A）Atari，B）Ko，C）Sente，D）Tesuji</v>
      </c>
      <c r="K58" s="5" t="str">
        <f>IFERROR(__xludf.DUMMYFUNCTION("GOOGLETRANSLATE(D58, ""en"", ""zh"")"),"A) 雅达利")</f>
        <v>A) 雅达利</v>
      </c>
      <c r="L58" s="5" t="str">
        <f>IFERROR(__xludf.DUMMYFUNCTION("GOOGLETRANSLATE(E58, ""en"", ""zh"")"),"Atari 是一种围棋策略，玩家的棋子会被包围，处于即将被吃掉的状态。")</f>
        <v>Atari 是一种围棋策略，玩家的棋子会被包围，处于即将被吃掉的状态。</v>
      </c>
      <c r="M58" s="13"/>
      <c r="N58" s="27"/>
      <c r="O58" s="13"/>
      <c r="P58" s="27"/>
      <c r="Q58" s="23"/>
      <c r="R58" s="23"/>
      <c r="S58" s="23"/>
      <c r="T58" s="23"/>
      <c r="U58" s="23"/>
      <c r="V58" s="23"/>
      <c r="W58" s="23"/>
      <c r="X58" s="23"/>
      <c r="Y58" s="23"/>
      <c r="Z58" s="23"/>
    </row>
    <row r="59">
      <c r="A59" s="10">
        <v>58.0</v>
      </c>
      <c r="B59" s="11" t="s">
        <v>1144</v>
      </c>
      <c r="C59" s="11" t="s">
        <v>1145</v>
      </c>
      <c r="D59" s="11" t="s">
        <v>1146</v>
      </c>
      <c r="E59" s="11" t="s">
        <v>1147</v>
      </c>
      <c r="F59" s="12"/>
      <c r="G59" s="12"/>
      <c r="H59" s="25"/>
      <c r="I59" s="5" t="str">
        <f>IFERROR(__xludf.DUMMYFUNCTION("GOOGLETRANSLATE(B59, ""en"", ""zh"")"),"在围棋中，“星”指的是什么？")</f>
        <v>在围棋中，“星”指的是什么？</v>
      </c>
      <c r="J59" s="5" t="str">
        <f>IFERROR(__xludf.DUMMYFUNCTION("GOOGLETRANSLATE(C59, ""en"", ""zh"")"),"A) 一种特定的走法，B) 棋盘上的一个星点，C) 一种策略，D) 一种吃子技巧")</f>
        <v>A) 一种特定的走法，B) 棋盘上的一个星点，C) 一种策略，D) 一种吃子技巧</v>
      </c>
      <c r="K59" s="5" t="str">
        <f>IFERROR(__xludf.DUMMYFUNCTION("GOOGLETRANSLATE(D59, ""en"", ""zh"")"),"B) 棋盘上的星形点")</f>
        <v>B) 棋盘上的星形点</v>
      </c>
      <c r="L59" s="5" t="str">
        <f>IFERROR(__xludf.DUMMYFUNCTION("GOOGLETRANSLATE(E59, ""en"", ""zh"")"),"星点是指围棋棋盘上的标记点，通常位于第 4 线和第 10 线的交点处。")</f>
        <v>星点是指围棋棋盘上的标记点，通常位于第 4 线和第 10 线的交点处。</v>
      </c>
      <c r="M59" s="13"/>
      <c r="N59" s="27"/>
      <c r="O59" s="13"/>
      <c r="P59" s="27"/>
      <c r="Q59" s="23"/>
      <c r="R59" s="23"/>
      <c r="S59" s="23"/>
      <c r="T59" s="23"/>
      <c r="U59" s="23"/>
      <c r="V59" s="23"/>
      <c r="W59" s="23"/>
      <c r="X59" s="23"/>
      <c r="Y59" s="23"/>
      <c r="Z59" s="23"/>
    </row>
    <row r="60">
      <c r="A60" s="10">
        <v>59.0</v>
      </c>
      <c r="B60" s="11" t="s">
        <v>1148</v>
      </c>
      <c r="C60" s="11" t="s">
        <v>1149</v>
      </c>
      <c r="D60" s="11" t="s">
        <v>1150</v>
      </c>
      <c r="E60" s="11" t="s">
        <v>1151</v>
      </c>
      <c r="F60" s="12"/>
      <c r="G60" s="12"/>
      <c r="H60" s="25"/>
      <c r="I60" s="5" t="str">
        <f>IFERROR(__xludf.DUMMYFUNCTION("GOOGLETRANSLATE(B60, ""en"", ""zh"")"),"围棋中的“Sente”是什么意思？")</f>
        <v>围棋中的“Sente”是什么意思？</v>
      </c>
      <c r="J60" s="5" t="str">
        <f>IFERROR(__xludf.DUMMYFUNCTION("GOOGLETRANSLATE(C60, ""en"", ""zh"")"),"A) 防守阵型，B) 主动权，C) 被占领的群体，D) 一种计分方式")</f>
        <v>A) 防守阵型，B) 主动权，C) 被占领的群体，D) 一种计分方式</v>
      </c>
      <c r="K60" s="5" t="str">
        <f>IFERROR(__xludf.DUMMYFUNCTION("GOOGLETRANSLATE(D60, ""en"", ""zh"")"),"B) 该倡议")</f>
        <v>B) 该倡议</v>
      </c>
      <c r="L60" s="5" t="str">
        <f>IFERROR(__xludf.DUMMYFUNCTION("GOOGLETRANSLATE(E60, ""en"", ""zh"")"),"在围棋中，“先手”指的是掌握主动权，意味着棋手控制着棋局的走向，迫使对手做出反应。")</f>
        <v>在围棋中，“先手”指的是掌握主动权，意味着棋手控制着棋局的走向，迫使对手做出反应。</v>
      </c>
      <c r="M60" s="13"/>
      <c r="N60" s="27"/>
      <c r="O60" s="13"/>
      <c r="P60" s="27"/>
      <c r="Q60" s="23"/>
      <c r="R60" s="23"/>
      <c r="S60" s="23"/>
      <c r="T60" s="23"/>
      <c r="U60" s="23"/>
      <c r="V60" s="23"/>
      <c r="W60" s="23"/>
      <c r="X60" s="23"/>
      <c r="Y60" s="23"/>
      <c r="Z60" s="23"/>
    </row>
    <row r="61">
      <c r="A61" s="10">
        <v>60.0</v>
      </c>
      <c r="B61" s="11" t="s">
        <v>1152</v>
      </c>
      <c r="C61" s="11" t="s">
        <v>1153</v>
      </c>
      <c r="D61" s="11" t="s">
        <v>1154</v>
      </c>
      <c r="E61" s="11" t="s">
        <v>1155</v>
      </c>
      <c r="F61" s="12"/>
      <c r="G61" s="12"/>
      <c r="H61" s="25"/>
      <c r="I61" s="5" t="str">
        <f>IFERROR(__xludf.DUMMYFUNCTION("GOOGLETRANSLATE(B61, ""en"", ""zh"")"),"目前职业围棋比赛中最常用的是哪种棋盘？")</f>
        <v>目前职业围棋比赛中最常用的是哪种棋盘？</v>
      </c>
      <c r="J61" s="5" t="str">
        <f>IFERROR(__xludf.DUMMYFUNCTION("GOOGLETRANSLATE(C61, ""en"", ""zh"")"),"A) 19x19，B) 9x9，C) 13x13，D) 11x11")</f>
        <v>A) 19x19，B) 9x9，C) 13x13，D) 11x11</v>
      </c>
      <c r="K61" s="5" t="str">
        <f>IFERROR(__xludf.DUMMYFUNCTION("GOOGLETRANSLATE(D61, ""en"", ""zh"")"),"A) 19x19")</f>
        <v>A) 19x19</v>
      </c>
      <c r="L61" s="5" t="str">
        <f>IFERROR(__xludf.DUMMYFUNCTION("GOOGLETRANSLATE(E61, ""en"", ""zh"")"),"19x19 的围棋棋盘是世界各地职业比赛使用的标准棋盘尺寸。")</f>
        <v>19x19 的围棋棋盘是世界各地职业比赛使用的标准棋盘尺寸。</v>
      </c>
      <c r="M61" s="13"/>
      <c r="N61" s="26"/>
      <c r="O61" s="13"/>
      <c r="P61" s="27"/>
      <c r="Q61" s="23"/>
      <c r="R61" s="23"/>
      <c r="S61" s="23"/>
      <c r="T61" s="23"/>
      <c r="U61" s="23"/>
      <c r="V61" s="23"/>
      <c r="W61" s="23"/>
      <c r="X61" s="23"/>
      <c r="Y61" s="23"/>
      <c r="Z61" s="23"/>
    </row>
    <row r="62">
      <c r="A62" s="10">
        <v>61.0</v>
      </c>
      <c r="B62" s="11" t="s">
        <v>1156</v>
      </c>
      <c r="C62" s="11" t="s">
        <v>1157</v>
      </c>
      <c r="D62" s="11" t="s">
        <v>1158</v>
      </c>
      <c r="E62" s="11" t="s">
        <v>1159</v>
      </c>
      <c r="F62" s="12"/>
      <c r="G62" s="12"/>
      <c r="H62" s="25"/>
      <c r="I62" s="5" t="str">
        <f>IFERROR(__xludf.DUMMYFUNCTION("GOOGLETRANSLATE(B62, ""en"", ""zh"")"),"哪种围棋策略是建立两组难以被吃掉的棋子？")</f>
        <v>哪种围棋策略是建立两组难以被吃掉的棋子？</v>
      </c>
      <c r="J62" s="5" t="str">
        <f>IFERROR(__xludf.DUMMYFUNCTION("GOOGLETRANSLATE(C62, ""en"", ""zh"")"),"A) 手筋，B) 甲，C) 生死，D) 祭祀")</f>
        <v>A) 手筋，B) 甲，C) 生死，D) 祭祀</v>
      </c>
      <c r="K62" s="5" t="str">
        <f>IFERROR(__xludf.DUMMYFUNCTION("GOOGLETRANSLATE(D62, ""en"", ""zh"")"),"C) 生与死")</f>
        <v>C) 生与死</v>
      </c>
      <c r="L62" s="5" t="str">
        <f>IFERROR(__xludf.DUMMYFUNCTION("GOOGLETRANSLATE(E62, ""en"", ""zh"")"),"在围棋中，“生死”是一种以创造对手难以吃掉的棋子组合为核心的策略。")</f>
        <v>在围棋中，“生死”是一种以创造对手难以吃掉的棋子组合为核心的策略。</v>
      </c>
      <c r="M62" s="13"/>
      <c r="N62" s="27"/>
      <c r="O62" s="13"/>
      <c r="P62" s="27"/>
      <c r="Q62" s="23"/>
      <c r="R62" s="23"/>
      <c r="S62" s="23"/>
      <c r="T62" s="23"/>
      <c r="U62" s="23"/>
      <c r="V62" s="23"/>
      <c r="W62" s="23"/>
      <c r="X62" s="23"/>
      <c r="Y62" s="23"/>
      <c r="Z62" s="23"/>
    </row>
    <row r="63">
      <c r="A63" s="10">
        <v>62.0</v>
      </c>
      <c r="B63" s="11" t="s">
        <v>1160</v>
      </c>
      <c r="C63" s="11" t="s">
        <v>1161</v>
      </c>
      <c r="D63" s="11" t="s">
        <v>1162</v>
      </c>
      <c r="E63" s="11" t="s">
        <v>1163</v>
      </c>
      <c r="F63" s="12"/>
      <c r="G63" s="12"/>
      <c r="H63" s="25"/>
      <c r="I63" s="5" t="str">
        <f>IFERROR(__xludf.DUMMYFUNCTION("GOOGLETRANSLATE(B63, ""en"", ""zh"")"),"围棋中的“手筋”是什么意思？")</f>
        <v>围棋中的“手筋”是什么意思？</v>
      </c>
      <c r="J63" s="5" t="str">
        <f>IFERROR(__xludf.DUMMYFUNCTION("GOOGLETRANSLATE(C63, ""en"", ""zh"")"),"A) 一种攻击方式，B) 一种战术动作，C) 一种包围策略，D) 一种占领技术")</f>
        <v>A) 一种攻击方式，B) 一种战术动作，C) 一种包围策略，D) 一种占领技术</v>
      </c>
      <c r="K63" s="5" t="str">
        <f>IFERROR(__xludf.DUMMYFUNCTION("GOOGLETRANSLATE(D63, ""en"", ""zh"")"),"B) 一项战术举措")</f>
        <v>B) 一项战术举措</v>
      </c>
      <c r="L63" s="5" t="str">
        <f>IFERROR(__xludf.DUMMYFUNCTION("GOOGLETRANSLATE(E63, ""en"", ""zh"")"),"手筋是指围棋中能够帮助取得局部优势的最佳或巧妙的战术走法。")</f>
        <v>手筋是指围棋中能够帮助取得局部优势的最佳或巧妙的战术走法。</v>
      </c>
      <c r="M63" s="13"/>
      <c r="N63" s="27"/>
      <c r="O63" s="13"/>
      <c r="P63" s="27"/>
      <c r="Q63" s="23"/>
      <c r="R63" s="23"/>
      <c r="S63" s="23"/>
      <c r="T63" s="23"/>
      <c r="U63" s="23"/>
      <c r="V63" s="23"/>
      <c r="W63" s="23"/>
      <c r="X63" s="23"/>
      <c r="Y63" s="23"/>
      <c r="Z63" s="23"/>
    </row>
    <row r="64">
      <c r="A64" s="10">
        <v>63.0</v>
      </c>
      <c r="B64" s="11" t="s">
        <v>1164</v>
      </c>
      <c r="C64" s="11" t="s">
        <v>1165</v>
      </c>
      <c r="D64" s="11" t="s">
        <v>1166</v>
      </c>
      <c r="E64" s="11" t="s">
        <v>1167</v>
      </c>
      <c r="F64" s="12"/>
      <c r="G64" s="12"/>
      <c r="H64" s="25"/>
      <c r="I64" s="5" t="str">
        <f>IFERROR(__xludf.DUMMYFUNCTION("GOOGLETRANSLATE(B64, ""en"", ""zh"")"),"围棋中哪一步棋以其精妙之处而闻名，可以让玩家吃掉一整组棋子？")</f>
        <v>围棋中哪一步棋以其精妙之处而闻名，可以让玩家吃掉一整组棋子？</v>
      </c>
      <c r="J64" s="5" t="str">
        <f>IFERROR(__xludf.DUMMYFUNCTION("GOOGLETRANSLATE(C64, ""en"", ""zh"")"),"A）牺牲，B）森特，C）Ko，D）Atarime")</f>
        <v>A）牺牲，B）森特，C）Ko，D）Atarime</v>
      </c>
      <c r="K64" s="5" t="str">
        <f>IFERROR(__xludf.DUMMYFUNCTION("GOOGLETRANSLATE(D64, ""en"", ""zh"")"),"A）牺牲")</f>
        <v>A）牺牲</v>
      </c>
      <c r="L64" s="5" t="str">
        <f>IFERROR(__xludf.DUMMYFUNCTION("GOOGLETRANSLATE(E64, ""en"", ""zh"")"),"在围棋中，弃子是一种策略，玩家故意放弃自己的棋子，以换取吃掉对方更多的棋子。")</f>
        <v>在围棋中，弃子是一种策略，玩家故意放弃自己的棋子，以换取吃掉对方更多的棋子。</v>
      </c>
      <c r="M64" s="13"/>
      <c r="N64" s="27"/>
      <c r="O64" s="13"/>
      <c r="P64" s="27"/>
      <c r="Q64" s="23"/>
      <c r="R64" s="23"/>
      <c r="S64" s="23"/>
      <c r="T64" s="23"/>
      <c r="U64" s="23"/>
      <c r="V64" s="23"/>
      <c r="W64" s="23"/>
      <c r="X64" s="23"/>
      <c r="Y64" s="23"/>
      <c r="Z64" s="23"/>
    </row>
    <row r="65">
      <c r="A65" s="10">
        <v>64.0</v>
      </c>
      <c r="B65" s="11" t="s">
        <v>1168</v>
      </c>
      <c r="C65" s="11" t="s">
        <v>1169</v>
      </c>
      <c r="D65" s="11" t="s">
        <v>1170</v>
      </c>
      <c r="E65" s="11" t="s">
        <v>1171</v>
      </c>
      <c r="F65" s="12"/>
      <c r="G65" s="12"/>
      <c r="H65" s="25"/>
      <c r="I65" s="5" t="str">
        <f>IFERROR(__xludf.DUMMYFUNCTION("GOOGLETRANSLATE(B65, ""en"", ""zh"")"),"围棋中用来指代棋子周围空隙的术语是什么？")</f>
        <v>围棋中用来指代棋子周围空隙的术语是什么？</v>
      </c>
      <c r="J65" s="5" t="str">
        <f>IFERROR(__xludf.DUMMYFUNCTION("GOOGLETRANSLATE(C65, ""en"", ""zh"")"),"A) 自由，B) 眼睛，C) 味，D) 关")</f>
        <v>A) 自由，B) 眼睛，C) 味，D) 关</v>
      </c>
      <c r="K65" s="5" t="str">
        <f>IFERROR(__xludf.DUMMYFUNCTION("GOOGLETRANSLATE(D65, ""en"", ""zh"")"),"A) 自由")</f>
        <v>A) 自由</v>
      </c>
      <c r="L65" s="5" t="str">
        <f>IFERROR(__xludf.DUMMYFUNCTION("GOOGLETRANSLATE(E65, ""en"", ""zh"")"),"在围棋中，“自由点”是指棋子组周围相邻的空位；当一组棋子失去所有自由点时，该组棋子就被吃掉。")</f>
        <v>在围棋中，“自由点”是指棋子组周围相邻的空位；当一组棋子失去所有自由点时，该组棋子就被吃掉。</v>
      </c>
      <c r="M65" s="13"/>
      <c r="N65" s="27"/>
      <c r="O65" s="13"/>
      <c r="P65" s="27"/>
      <c r="Q65" s="23"/>
      <c r="R65" s="23"/>
      <c r="S65" s="23"/>
      <c r="T65" s="23"/>
      <c r="U65" s="23"/>
      <c r="V65" s="23"/>
      <c r="W65" s="23"/>
      <c r="X65" s="23"/>
      <c r="Y65" s="23"/>
      <c r="Z65" s="23"/>
    </row>
    <row r="66">
      <c r="A66" s="16">
        <v>65.0</v>
      </c>
      <c r="B66" s="17" t="s">
        <v>1172</v>
      </c>
      <c r="C66" s="17" t="s">
        <v>1173</v>
      </c>
      <c r="D66" s="17" t="s">
        <v>1154</v>
      </c>
      <c r="E66" s="20"/>
      <c r="F66" s="2"/>
      <c r="G66" s="2"/>
      <c r="H66" s="2"/>
      <c r="I66" s="5" t="str">
        <f>IFERROR(__xludf.DUMMYFUNCTION("GOOGLETRANSLATE(B66, ""en"", ""zh"")"),"围棋的标准棋盘尺寸是多少？")</f>
        <v>围棋的标准棋盘尺寸是多少？</v>
      </c>
      <c r="J66" s="5" t="str">
        <f>IFERROR(__xludf.DUMMYFUNCTION("GOOGLETRANSLATE(C66, ""en"", ""zh"")"),"A) 19x19 B) 15x15 C) 13x13 D) 17x17")</f>
        <v>A) 19x19 B) 15x15 C) 13x13 D) 17x17</v>
      </c>
      <c r="K66" s="5" t="str">
        <f>IFERROR(__xludf.DUMMYFUNCTION("GOOGLETRANSLATE(D66, ""en"", ""zh"")"),"A) 19x19")</f>
        <v>A) 19x19</v>
      </c>
      <c r="L66" s="5" t="str">
        <f>IFERROR(__xludf.DUMMYFUNCTION("GOOGLETRANSLATE(E66, ""en"", ""zh"")"),"#VALUE!")</f>
        <v>#VALUE!</v>
      </c>
      <c r="M66" s="2"/>
      <c r="N66" s="2"/>
      <c r="O66" s="2"/>
      <c r="P66" s="2"/>
      <c r="Q66" s="23"/>
      <c r="R66" s="23"/>
      <c r="S66" s="23"/>
      <c r="T66" s="23"/>
      <c r="U66" s="23"/>
      <c r="V66" s="23"/>
      <c r="W66" s="23"/>
      <c r="X66" s="23"/>
      <c r="Y66" s="23"/>
      <c r="Z66" s="23"/>
    </row>
    <row r="67">
      <c r="A67" s="16">
        <v>66.0</v>
      </c>
      <c r="B67" s="17" t="s">
        <v>1174</v>
      </c>
      <c r="C67" s="17" t="s">
        <v>1175</v>
      </c>
      <c r="D67" s="17" t="s">
        <v>1176</v>
      </c>
      <c r="E67" s="20"/>
      <c r="F67" s="2"/>
      <c r="G67" s="2"/>
      <c r="H67" s="2"/>
      <c r="I67" s="5" t="str">
        <f>IFERROR(__xludf.DUMMYFUNCTION("GOOGLETRANSLATE(B67, ""en"", ""zh"")"),"一盘标准的围棋比赛有多少名棋手参加？")</f>
        <v>一盘标准的围棋比赛有多少名棋手参加？</v>
      </c>
      <c r="J67" s="5" t="str">
        <f>IFERROR(__xludf.DUMMYFUNCTION("GOOGLETRANSLATE(C67, ""en"", ""zh"")"),"A) 2 B) 3 C) 4 D) 5")</f>
        <v>A) 2 B) 3 C) 4 D) 5</v>
      </c>
      <c r="K67" s="5" t="str">
        <f>IFERROR(__xludf.DUMMYFUNCTION("GOOGLETRANSLATE(D67, ""en"", ""zh"")"),"A) 2")</f>
        <v>A) 2</v>
      </c>
      <c r="L67" s="5" t="str">
        <f>IFERROR(__xludf.DUMMYFUNCTION("GOOGLETRANSLATE(E67, ""en"", ""zh"")"),"#VALUE!")</f>
        <v>#VALUE!</v>
      </c>
      <c r="M67" s="2"/>
      <c r="N67" s="2"/>
      <c r="O67" s="2"/>
      <c r="P67" s="2"/>
      <c r="Q67" s="23"/>
      <c r="R67" s="23"/>
      <c r="S67" s="23"/>
      <c r="T67" s="23"/>
      <c r="U67" s="23"/>
      <c r="V67" s="23"/>
      <c r="W67" s="23"/>
      <c r="X67" s="23"/>
      <c r="Y67" s="23"/>
      <c r="Z67" s="23"/>
    </row>
    <row r="68">
      <c r="A68" s="16">
        <v>67.0</v>
      </c>
      <c r="B68" s="17" t="s">
        <v>1177</v>
      </c>
      <c r="C68" s="17" t="s">
        <v>1178</v>
      </c>
      <c r="D68" s="17" t="s">
        <v>1179</v>
      </c>
      <c r="E68" s="20"/>
      <c r="F68" s="2"/>
      <c r="G68" s="2"/>
      <c r="H68" s="2"/>
      <c r="I68" s="5" t="str">
        <f>IFERROR(__xludf.DUMMYFUNCTION("GOOGLETRANSLATE(B68, ""en"", ""zh"")"),"先手玩家使用什么颜色的棋子？")</f>
        <v>先手玩家使用什么颜色的棋子？</v>
      </c>
      <c r="J68" s="5" t="str">
        <f>IFERROR(__xludf.DUMMYFUNCTION("GOOGLETRANSLATE(C68, ""en"", ""zh"")"),"A) 黑色 B) 白色 C) 红色 D) 蓝色")</f>
        <v>A) 黑色 B) 白色 C) 红色 D) 蓝色</v>
      </c>
      <c r="K68" s="5" t="str">
        <f>IFERROR(__xludf.DUMMYFUNCTION("GOOGLETRANSLATE(D68, ""en"", ""zh"")"),"A) 黑色")</f>
        <v>A) 黑色</v>
      </c>
      <c r="L68" s="5" t="str">
        <f>IFERROR(__xludf.DUMMYFUNCTION("GOOGLETRANSLATE(E68, ""en"", ""zh"")"),"#VALUE!")</f>
        <v>#VALUE!</v>
      </c>
      <c r="M68" s="2"/>
      <c r="N68" s="2"/>
      <c r="O68" s="2"/>
      <c r="P68" s="2"/>
      <c r="Q68" s="23"/>
      <c r="R68" s="23"/>
      <c r="S68" s="23"/>
      <c r="T68" s="23"/>
      <c r="U68" s="23"/>
      <c r="V68" s="23"/>
      <c r="W68" s="23"/>
      <c r="X68" s="23"/>
      <c r="Y68" s="23"/>
      <c r="Z68" s="23"/>
    </row>
    <row r="69">
      <c r="A69" s="16">
        <v>68.0</v>
      </c>
      <c r="B69" s="17" t="s">
        <v>1180</v>
      </c>
      <c r="C69" s="17" t="s">
        <v>1181</v>
      </c>
      <c r="D69" s="17" t="s">
        <v>1182</v>
      </c>
      <c r="E69" s="20"/>
      <c r="F69" s="2"/>
      <c r="G69" s="2"/>
      <c r="H69" s="2"/>
      <c r="I69" s="5" t="str">
        <f>IFERROR(__xludf.DUMMYFUNCTION("GOOGLETRANSLATE(B69, ""en"", ""zh"")"),"围棋的主要目标是：")</f>
        <v>围棋的主要目标是：</v>
      </c>
      <c r="J69" s="5" t="str">
        <f>IFERROR(__xludf.DUMMYFUNCTION("GOOGLETRANSLATE(C69, ""en"", ""zh"")"),"A) 控制区域 B) 吃掉所有棋子 C) 击落对方的棋子 D) 到达中心")</f>
        <v>A) 控制区域 B) 吃掉所有棋子 C) 击落对方的棋子 D) 到达中心</v>
      </c>
      <c r="K69" s="5" t="str">
        <f>IFERROR(__xludf.DUMMYFUNCTION("GOOGLETRANSLATE(D69, ""en"", ""zh"")"),"A) 控制区域")</f>
        <v>A) 控制区域</v>
      </c>
      <c r="L69" s="5" t="str">
        <f>IFERROR(__xludf.DUMMYFUNCTION("GOOGLETRANSLATE(E69, ""en"", ""zh"")"),"#VALUE!")</f>
        <v>#VALUE!</v>
      </c>
      <c r="M69" s="2"/>
      <c r="N69" s="2"/>
      <c r="O69" s="2"/>
      <c r="P69" s="2"/>
      <c r="Q69" s="23"/>
      <c r="R69" s="23"/>
      <c r="S69" s="23"/>
      <c r="T69" s="23"/>
      <c r="U69" s="23"/>
      <c r="V69" s="23"/>
      <c r="W69" s="23"/>
      <c r="X69" s="23"/>
      <c r="Y69" s="23"/>
      <c r="Z69" s="23"/>
    </row>
    <row r="70">
      <c r="A70" s="16">
        <v>69.0</v>
      </c>
      <c r="B70" s="17" t="s">
        <v>1183</v>
      </c>
      <c r="C70" s="17" t="s">
        <v>1184</v>
      </c>
      <c r="D70" s="17" t="s">
        <v>1185</v>
      </c>
      <c r="E70" s="20"/>
      <c r="F70" s="2"/>
      <c r="G70" s="2"/>
      <c r="H70" s="2"/>
      <c r="I70" s="5" t="str">
        <f>IFERROR(__xludf.DUMMYFUNCTION("GOOGLETRANSLATE(B70, ""en"", ""zh"")"),"石头放置在：")</f>
        <v>石头放置在：</v>
      </c>
      <c r="J70" s="5" t="str">
        <f>IFERROR(__xludf.DUMMYFUNCTION("GOOGLETRANSLATE(C70, ""en"", ""zh"")"),"A) 十字形 B) 正方形 C) 圆形 D) 三角形")</f>
        <v>A) 十字形 B) 正方形 C) 圆形 D) 三角形</v>
      </c>
      <c r="K70" s="5" t="str">
        <f>IFERROR(__xludf.DUMMYFUNCTION("GOOGLETRANSLATE(D70, ""en"", ""zh"")"),"A) 交叉路口")</f>
        <v>A) 交叉路口</v>
      </c>
      <c r="L70" s="5" t="str">
        <f>IFERROR(__xludf.DUMMYFUNCTION("GOOGLETRANSLATE(E70, ""en"", ""zh"")"),"#VALUE!")</f>
        <v>#VALUE!</v>
      </c>
      <c r="M70" s="2"/>
      <c r="N70" s="2"/>
      <c r="O70" s="2"/>
      <c r="P70" s="2"/>
      <c r="Q70" s="23"/>
      <c r="R70" s="23"/>
      <c r="S70" s="23"/>
      <c r="T70" s="23"/>
      <c r="U70" s="23"/>
      <c r="V70" s="23"/>
      <c r="W70" s="23"/>
      <c r="X70" s="23"/>
      <c r="Y70" s="23"/>
      <c r="Z70" s="23"/>
    </row>
    <row r="71">
      <c r="A71" s="16">
        <v>70.0</v>
      </c>
      <c r="B71" s="17" t="s">
        <v>1186</v>
      </c>
      <c r="C71" s="17" t="s">
        <v>1187</v>
      </c>
      <c r="D71" s="17" t="s">
        <v>1188</v>
      </c>
      <c r="E71" s="20"/>
      <c r="F71" s="2"/>
      <c r="G71" s="2"/>
      <c r="H71" s="2"/>
      <c r="I71" s="5" t="str">
        <f>IFERROR(__xludf.DUMMYFUNCTION("GOOGLETRANSLATE(B71, ""en"", ""zh"")"),"当满足以下条件时，一块石头或一组石头就被占领：")</f>
        <v>当满足以下条件时，一块石头或一组石头就被占领：</v>
      </c>
      <c r="J71" s="5" t="str">
        <f>IFERROR(__xludf.DUMMYFUNCTION("GOOGLETRANSLATE(C71, ""en"", ""zh"")"),"A) 所有自由动作被取消 B) 被手触碰 C) 对手跳过 D) 玩家喊“吃掉”")</f>
        <v>A) 所有自由动作被取消 B) 被手触碰 C) 对手跳过 D) 玩家喊“吃掉”</v>
      </c>
      <c r="K71" s="5" t="str">
        <f>IFERROR(__xludf.DUMMYFUNCTION("GOOGLETRANSLATE(D71, ""en"", ""zh"")"),"A) 所有自由都被剥夺。")</f>
        <v>A) 所有自由都被剥夺。</v>
      </c>
      <c r="L71" s="5" t="str">
        <f>IFERROR(__xludf.DUMMYFUNCTION("GOOGLETRANSLATE(E71, ""en"", ""zh"")"),"#VALUE!")</f>
        <v>#VALUE!</v>
      </c>
      <c r="M71" s="2"/>
      <c r="N71" s="2"/>
      <c r="O71" s="2"/>
      <c r="P71" s="2"/>
      <c r="Q71" s="23"/>
      <c r="R71" s="23"/>
      <c r="S71" s="23"/>
      <c r="T71" s="23"/>
      <c r="U71" s="23"/>
      <c r="V71" s="23"/>
      <c r="W71" s="23"/>
      <c r="X71" s="23"/>
      <c r="Y71" s="23"/>
      <c r="Z71" s="23"/>
    </row>
    <row r="72">
      <c r="A72" s="16">
        <v>71.0</v>
      </c>
      <c r="B72" s="17" t="s">
        <v>1189</v>
      </c>
      <c r="C72" s="17" t="s">
        <v>1190</v>
      </c>
      <c r="D72" s="17" t="s">
        <v>1191</v>
      </c>
      <c r="E72" s="20"/>
      <c r="F72" s="2"/>
      <c r="G72" s="2"/>
      <c r="H72" s="2"/>
      <c r="I72" s="5" t="str">
        <f>IFERROR(__xludf.DUMMYFUNCTION("GOOGLETRANSLATE(B72, ""en"", ""zh"")"),"Go 语言中的“自由”是什么？")</f>
        <v>Go 语言中的“自由”是什么？</v>
      </c>
      <c r="J72" s="5" t="str">
        <f>IFERROR(__xludf.DUMMYFUNCTION("GOOGLETRANSLATE(C72, ""en"", ""zh"")"),"A) 棋子旁边的空位 B) 被吃掉的棋子 C) 玩家回合 D) 特殊规则")</f>
        <v>A) 棋子旁边的空位 B) 被吃掉的棋子 C) 玩家回合 D) 特殊规则</v>
      </c>
      <c r="K72" s="5" t="str">
        <f>IFERROR(__xludf.DUMMYFUNCTION("GOOGLETRANSLATE(D72, ""en"", ""zh"")"),"A) 石头旁边的空点")</f>
        <v>A) 石头旁边的空点</v>
      </c>
      <c r="L72" s="5" t="str">
        <f>IFERROR(__xludf.DUMMYFUNCTION("GOOGLETRANSLATE(E72, ""en"", ""zh"")"),"#VALUE!")</f>
        <v>#VALUE!</v>
      </c>
      <c r="M72" s="2"/>
      <c r="N72" s="2"/>
      <c r="O72" s="2"/>
      <c r="P72" s="2"/>
      <c r="Q72" s="23"/>
      <c r="R72" s="23"/>
      <c r="S72" s="23"/>
      <c r="T72" s="23"/>
      <c r="U72" s="23"/>
      <c r="V72" s="23"/>
      <c r="W72" s="23"/>
      <c r="X72" s="23"/>
      <c r="Y72" s="23"/>
      <c r="Z72" s="23"/>
    </row>
    <row r="73">
      <c r="A73" s="16">
        <v>72.0</v>
      </c>
      <c r="B73" s="17" t="s">
        <v>1192</v>
      </c>
      <c r="C73" s="17" t="s">
        <v>1193</v>
      </c>
      <c r="D73" s="17" t="s">
        <v>62</v>
      </c>
      <c r="E73" s="20"/>
      <c r="F73" s="2"/>
      <c r="G73" s="2"/>
      <c r="H73" s="2"/>
      <c r="I73" s="5" t="str">
        <f>IFERROR(__xludf.DUMMYFUNCTION("GOOGLETRANSLATE(B73, ""en"", ""zh"")"),"围棋比赛如何结束？")</f>
        <v>围棋比赛如何结束？</v>
      </c>
      <c r="J73" s="5" t="str">
        <f>IFERROR(__xludf.DUMMYFUNCTION("GOOGLETRANSLATE(C73, ""en"", ""zh"")"),"A) 双方玩家连续弃牌 B) 棋盘已满 C) 一方玩家认输 D) 以上所有选项")</f>
        <v>A) 双方玩家连续弃牌 B) 棋盘已满 C) 一方玩家认输 D) 以上所有选项</v>
      </c>
      <c r="K73" s="5" t="str">
        <f>IFERROR(__xludf.DUMMYFUNCTION("GOOGLETRANSLATE(D73, ""en"", ""zh"")"),"D) 以上所有选项")</f>
        <v>D) 以上所有选项</v>
      </c>
      <c r="L73" s="5" t="str">
        <f>IFERROR(__xludf.DUMMYFUNCTION("GOOGLETRANSLATE(E73, ""en"", ""zh"")"),"#VALUE!")</f>
        <v>#VALUE!</v>
      </c>
      <c r="M73" s="2"/>
      <c r="N73" s="2"/>
      <c r="O73" s="2"/>
      <c r="P73" s="2"/>
      <c r="Q73" s="23"/>
      <c r="R73" s="23"/>
      <c r="S73" s="23"/>
      <c r="T73" s="23"/>
      <c r="U73" s="23"/>
      <c r="V73" s="23"/>
      <c r="W73" s="23"/>
      <c r="X73" s="23"/>
      <c r="Y73" s="23"/>
      <c r="Z73" s="23"/>
    </row>
    <row r="74">
      <c r="A74" s="19">
        <v>73.0</v>
      </c>
      <c r="B74" s="17" t="s">
        <v>1194</v>
      </c>
      <c r="C74" s="17" t="s">
        <v>1195</v>
      </c>
      <c r="D74" s="17" t="s">
        <v>1196</v>
      </c>
      <c r="E74" s="20"/>
      <c r="F74" s="2"/>
      <c r="G74" s="2"/>
      <c r="H74" s="2"/>
      <c r="I74" s="5" t="str">
        <f>IFERROR(__xludf.DUMMYFUNCTION("GOOGLETRANSLATE(B74, ""en"", ""zh"")"),"“ko”规则可防止：")</f>
        <v>“ko”规则可防止：</v>
      </c>
      <c r="J74" s="5" t="str">
        <f>IFERROR(__xludf.DUMMYFUNCTION("GOOGLETRANSLATE(C74, ""en"", ""zh"")"),"A) 重复相同的棋局局面 B) 非法走法 C) 吃子 D) 过局")</f>
        <v>A) 重复相同的棋局局面 B) 非法走法 C) 吃子 D) 过局</v>
      </c>
      <c r="K74" s="5" t="str">
        <f>IFERROR(__xludf.DUMMYFUNCTION("GOOGLETRANSLATE(D74, ""en"", ""zh"")"),"A) 重复相同的棋盘位置")</f>
        <v>A) 重复相同的棋盘位置</v>
      </c>
      <c r="L74" s="5" t="str">
        <f>IFERROR(__xludf.DUMMYFUNCTION("GOOGLETRANSLATE(E74, ""en"", ""zh"")"),"#VALUE!")</f>
        <v>#VALUE!</v>
      </c>
      <c r="M74" s="2"/>
      <c r="N74" s="2"/>
      <c r="O74" s="2"/>
      <c r="P74" s="2"/>
      <c r="Q74" s="23"/>
      <c r="R74" s="23"/>
      <c r="S74" s="23"/>
      <c r="T74" s="23"/>
      <c r="U74" s="23"/>
      <c r="V74" s="23"/>
      <c r="W74" s="23"/>
      <c r="X74" s="23"/>
      <c r="Y74" s="23"/>
      <c r="Z74" s="23"/>
    </row>
    <row r="75">
      <c r="A75" s="19">
        <v>74.0</v>
      </c>
      <c r="B75" s="17" t="s">
        <v>1197</v>
      </c>
      <c r="C75" s="17" t="s">
        <v>1198</v>
      </c>
      <c r="D75" s="17" t="s">
        <v>1199</v>
      </c>
      <c r="E75" s="20"/>
      <c r="F75" s="2"/>
      <c r="G75" s="2"/>
      <c r="H75" s="2"/>
      <c r="I75" s="5" t="str">
        <f>IFERROR(__xludf.DUMMYFUNCTION("GOOGLETRANSLATE(B75, ""en"", ""zh"")"),"标准的围棋棋盘被称为：")</f>
        <v>标准的围棋棋盘被称为：</v>
      </c>
      <c r="J75" s="5" t="str">
        <f>IFERROR(__xludf.DUMMYFUNCTION("GOOGLETRANSLATE(C75, ""en"", ""zh"")"),"A) 棋盘 B) 国际象棋棋盘 C) 将棋棋盘 D) 麻将桌")</f>
        <v>A) 棋盘 B) 国际象棋棋盘 C) 将棋棋盘 D) 麻将桌</v>
      </c>
      <c r="K75" s="5" t="str">
        <f>IFERROR(__xludf.DUMMYFUNCTION("GOOGLETRANSLATE(D75, ""en"", ""zh"")"),"A) 戈班")</f>
        <v>A) 戈班</v>
      </c>
      <c r="L75" s="5" t="str">
        <f>IFERROR(__xludf.DUMMYFUNCTION("GOOGLETRANSLATE(E75, ""en"", ""zh"")"),"#VALUE!")</f>
        <v>#VALUE!</v>
      </c>
      <c r="M75" s="2"/>
      <c r="N75" s="2"/>
      <c r="O75" s="2"/>
      <c r="P75" s="2"/>
      <c r="Q75" s="23"/>
      <c r="R75" s="23"/>
      <c r="S75" s="23"/>
      <c r="T75" s="23"/>
      <c r="U75" s="23"/>
      <c r="V75" s="23"/>
      <c r="W75" s="23"/>
      <c r="X75" s="23"/>
      <c r="Y75" s="23"/>
      <c r="Z75" s="23"/>
    </row>
    <row r="76">
      <c r="A76" s="21">
        <v>75.0</v>
      </c>
      <c r="B76" s="17" t="s">
        <v>1200</v>
      </c>
      <c r="C76" s="17" t="s">
        <v>1201</v>
      </c>
      <c r="D76" s="17" t="s">
        <v>1202</v>
      </c>
      <c r="E76" s="20"/>
      <c r="F76" s="2"/>
      <c r="G76" s="2"/>
      <c r="H76" s="2"/>
      <c r="I76" s="5" t="str">
        <f>IFERROR(__xludf.DUMMYFUNCTION("GOOGLETRANSLATE(B76, ""en"", ""zh"")"),"“障碍石”的用途是：")</f>
        <v>“障碍石”的用途是：</v>
      </c>
      <c r="J76" s="5" t="str">
        <f>IFERROR(__xludf.DUMMYFUNCTION("GOOGLETRANSLATE(C76, ""en"", ""zh"")"),"A) 平衡玩家水平 B) 先手开局 C) 更快占领 D) 扩大棋盘")</f>
        <v>A) 平衡玩家水平 B) 先手开局 C) 更快占领 D) 扩大棋盘</v>
      </c>
      <c r="K76" s="5" t="str">
        <f>IFERROR(__xludf.DUMMYFUNCTION("GOOGLETRANSLATE(D76, ""en"", ""zh"")"),"A) 平衡技能水平")</f>
        <v>A) 平衡技能水平</v>
      </c>
      <c r="L76" s="5" t="str">
        <f>IFERROR(__xludf.DUMMYFUNCTION("GOOGLETRANSLATE(E76, ""en"", ""zh"")"),"#VALUE!")</f>
        <v>#VALUE!</v>
      </c>
      <c r="M76" s="2"/>
      <c r="N76" s="2"/>
      <c r="O76" s="2"/>
      <c r="P76" s="2"/>
      <c r="Q76" s="23"/>
      <c r="R76" s="23"/>
      <c r="S76" s="23"/>
      <c r="T76" s="23"/>
      <c r="U76" s="23"/>
      <c r="V76" s="23"/>
      <c r="W76" s="23"/>
      <c r="X76" s="23"/>
      <c r="Y76" s="23"/>
      <c r="Z76" s="23"/>
    </row>
    <row r="77">
      <c r="A77" s="21">
        <v>76.0</v>
      </c>
      <c r="B77" s="17" t="s">
        <v>1203</v>
      </c>
      <c r="C77" s="17" t="s">
        <v>1204</v>
      </c>
      <c r="D77" s="17" t="s">
        <v>1205</v>
      </c>
      <c r="E77" s="20"/>
      <c r="F77" s="2"/>
      <c r="G77" s="2"/>
      <c r="H77" s="2"/>
      <c r="I77" s="5" t="str">
        <f>IFERROR(__xludf.DUMMYFUNCTION("GOOGLETRANSLATE(B77, ""en"", ""zh"")"),"“seki”指的是：")</f>
        <v>“seki”指的是：</v>
      </c>
      <c r="J77" s="5" t="str">
        <f>IFERROR(__xludf.DUMMYFUNCTION("GOOGLETRANSLATE(C77, ""en"", ""zh"")"),"A) 共同生活 B) 俘获 C) 辞职 D) 障碍")</f>
        <v>A) 共同生活 B) 俘获 C) 辞职 D) 障碍</v>
      </c>
      <c r="K77" s="5" t="str">
        <f>IFERROR(__xludf.DUMMYFUNCTION("GOOGLETRANSLATE(D77, ""en"", ""zh"")"),"A) 共同生活")</f>
        <v>A) 共同生活</v>
      </c>
      <c r="L77" s="5" t="str">
        <f>IFERROR(__xludf.DUMMYFUNCTION("GOOGLETRANSLATE(E77, ""en"", ""zh"")"),"#VALUE!")</f>
        <v>#VALUE!</v>
      </c>
      <c r="M77" s="2"/>
      <c r="N77" s="2"/>
      <c r="O77" s="2"/>
      <c r="P77" s="2"/>
      <c r="Q77" s="23"/>
      <c r="R77" s="23"/>
      <c r="S77" s="23"/>
      <c r="T77" s="23"/>
      <c r="U77" s="23"/>
      <c r="V77" s="23"/>
      <c r="W77" s="23"/>
      <c r="X77" s="23"/>
      <c r="Y77" s="23"/>
      <c r="Z77" s="23"/>
    </row>
    <row r="78">
      <c r="A78" s="21">
        <v>77.0</v>
      </c>
      <c r="B78" s="17" t="s">
        <v>1206</v>
      </c>
      <c r="C78" s="17" t="s">
        <v>1207</v>
      </c>
      <c r="D78" s="17" t="s">
        <v>1208</v>
      </c>
      <c r="E78" s="20"/>
      <c r="F78" s="2"/>
      <c r="G78" s="2"/>
      <c r="H78" s="2"/>
      <c r="I78" s="5" t="str">
        <f>IFERROR(__xludf.DUMMYFUNCTION("GOOGLETRANSLATE(B78, ""en"", ""zh"")"),"“领土”指的是：")</f>
        <v>“领土”指的是：</v>
      </c>
      <c r="J78" s="5" t="str">
        <f>IFERROR(__xludf.DUMMYFUNCTION("GOOGLETRANSLATE(C78, ""en"", ""zh"")"),"A) 被棋子包围的空位 B) 被吃掉的棋子 C) 玩家的手牌 D) 棋盘边缘")</f>
        <v>A) 被棋子包围的空位 B) 被吃掉的棋子 C) 玩家的手牌 D) 棋盘边缘</v>
      </c>
      <c r="K78" s="5" t="str">
        <f>IFERROR(__xludf.DUMMYFUNCTION("GOOGLETRANSLATE(D78, ""en"", ""zh"")"),"A) 被石头包围的空点")</f>
        <v>A) 被石头包围的空点</v>
      </c>
      <c r="L78" s="5" t="str">
        <f>IFERROR(__xludf.DUMMYFUNCTION("GOOGLETRANSLATE(E78, ""en"", ""zh"")"),"#VALUE!")</f>
        <v>#VALUE!</v>
      </c>
      <c r="M78" s="2"/>
      <c r="N78" s="2"/>
      <c r="O78" s="2"/>
      <c r="P78" s="2"/>
      <c r="Q78" s="23"/>
      <c r="R78" s="23"/>
      <c r="S78" s="23"/>
      <c r="T78" s="23"/>
      <c r="U78" s="23"/>
      <c r="V78" s="23"/>
      <c r="W78" s="23"/>
      <c r="X78" s="23"/>
      <c r="Y78" s="23"/>
      <c r="Z78" s="23"/>
    </row>
    <row r="79">
      <c r="A79" s="21">
        <v>78.0</v>
      </c>
      <c r="B79" s="17" t="s">
        <v>1209</v>
      </c>
      <c r="C79" s="17" t="s">
        <v>1210</v>
      </c>
      <c r="D79" s="17" t="s">
        <v>1211</v>
      </c>
      <c r="E79" s="20"/>
      <c r="F79" s="2"/>
      <c r="G79" s="2"/>
      <c r="H79" s="2"/>
      <c r="I79" s="5" t="str">
        <f>IFERROR(__xludf.DUMMYFUNCTION("GOOGLETRANSLATE(B79, ""en"", ""zh"")"),"玩家轮流行动：")</f>
        <v>玩家轮流行动：</v>
      </c>
      <c r="J79" s="5" t="str">
        <f>IFERROR(__xludf.DUMMYFUNCTION("GOOGLETRANSLATE(C79, ""en"", ""zh"")"),"A) 一次放置一块石头 B) 一次放置多块石头 C) 移除石头 D) 移动石头")</f>
        <v>A) 一次放置一块石头 B) 一次放置多块石头 C) 移除石头 D) 移动石头</v>
      </c>
      <c r="K79" s="5" t="str">
        <f>IFERROR(__xludf.DUMMYFUNCTION("GOOGLETRANSLATE(D79, ""en"", ""zh"")"),"A) 一次放置一块石头")</f>
        <v>A) 一次放置一块石头</v>
      </c>
      <c r="L79" s="5" t="str">
        <f>IFERROR(__xludf.DUMMYFUNCTION("GOOGLETRANSLATE(E79, ""en"", ""zh"")"),"#VALUE!")</f>
        <v>#VALUE!</v>
      </c>
      <c r="M79" s="2"/>
      <c r="N79" s="2"/>
      <c r="O79" s="2"/>
      <c r="P79" s="2"/>
      <c r="Q79" s="23"/>
      <c r="R79" s="23"/>
      <c r="S79" s="23"/>
      <c r="T79" s="23"/>
      <c r="U79" s="23"/>
      <c r="V79" s="23"/>
      <c r="W79" s="23"/>
      <c r="X79" s="23"/>
      <c r="Y79" s="23"/>
      <c r="Z79" s="23"/>
    </row>
    <row r="80">
      <c r="A80" s="21">
        <v>79.0</v>
      </c>
      <c r="B80" s="17" t="s">
        <v>1212</v>
      </c>
      <c r="C80" s="17" t="s">
        <v>1213</v>
      </c>
      <c r="D80" s="17" t="s">
        <v>1214</v>
      </c>
      <c r="E80" s="20"/>
      <c r="F80" s="2"/>
      <c r="G80" s="2"/>
      <c r="H80" s="2"/>
      <c r="I80" s="5" t="str">
        <f>IFERROR(__xludf.DUMMYFUNCTION("GOOGLETRANSLATE(B80, ""en"", ""zh"")"),"“定式”是指：")</f>
        <v>“定式”是指：</v>
      </c>
      <c r="J80" s="5" t="str">
        <f>IFERROR(__xludf.DUMMYFUNCTION("GOOGLETRANSLATE(C80, ""en"", ""zh"")"),"A) 标准角序 B) 残局规则 C) 让子 D) 吃子区")</f>
        <v>A) 标准角序 B) 残局规则 C) 让子 D) 吃子区</v>
      </c>
      <c r="K80" s="5" t="str">
        <f>IFERROR(__xludf.DUMMYFUNCTION("GOOGLETRANSLATE(D80, ""en"", ""zh"")"),"A) 标准角序列")</f>
        <v>A) 标准角序列</v>
      </c>
      <c r="L80" s="5" t="str">
        <f>IFERROR(__xludf.DUMMYFUNCTION("GOOGLETRANSLATE(E80, ""en"", ""zh"")"),"#VALUE!")</f>
        <v>#VALUE!</v>
      </c>
      <c r="M80" s="2"/>
      <c r="N80" s="2"/>
      <c r="O80" s="2"/>
      <c r="P80" s="2"/>
      <c r="Q80" s="23"/>
      <c r="R80" s="23"/>
      <c r="S80" s="23"/>
      <c r="T80" s="23"/>
      <c r="U80" s="23"/>
      <c r="V80" s="23"/>
      <c r="W80" s="23"/>
      <c r="X80" s="23"/>
      <c r="Y80" s="23"/>
      <c r="Z80" s="23"/>
    </row>
    <row r="81">
      <c r="A81" s="21">
        <v>80.0</v>
      </c>
      <c r="B81" s="17" t="s">
        <v>1215</v>
      </c>
      <c r="C81" s="17" t="s">
        <v>1216</v>
      </c>
      <c r="D81" s="17" t="s">
        <v>1217</v>
      </c>
      <c r="E81" s="20"/>
      <c r="F81" s="2"/>
      <c r="G81" s="2"/>
      <c r="H81" s="2"/>
      <c r="I81" s="5" t="str">
        <f>IFERROR(__xludf.DUMMYFUNCTION("GOOGLETRANSLATE(B81, ""en"", ""zh"")"),"“阶梯式”战术用于：")</f>
        <v>“阶梯式”战术用于：</v>
      </c>
      <c r="J81" s="5" t="str">
        <f>IFERROR(__xludf.DUMMYFUNCTION("GOOGLETRANSLATE(C81, ""en"", ""zh"")"),"A) 按顺序吃子 B) 占据领地 C) 残局计分 D) 让子")</f>
        <v>A) 按顺序吃子 B) 占据领地 C) 残局计分 D) 让子</v>
      </c>
      <c r="K81" s="5" t="str">
        <f>IFERROR(__xludf.DUMMYFUNCTION("GOOGLETRANSLATE(D81, ""en"", ""zh"")"),"A) 按顺序捕获石子")</f>
        <v>A) 按顺序捕获石子</v>
      </c>
      <c r="L81" s="5" t="str">
        <f>IFERROR(__xludf.DUMMYFUNCTION("GOOGLETRANSLATE(E81, ""en"", ""zh"")"),"#VALUE!")</f>
        <v>#VALUE!</v>
      </c>
      <c r="M81" s="2"/>
      <c r="N81" s="2"/>
      <c r="O81" s="2"/>
      <c r="P81" s="2"/>
      <c r="Q81" s="23"/>
      <c r="R81" s="23"/>
      <c r="S81" s="23"/>
      <c r="T81" s="23"/>
      <c r="U81" s="23"/>
      <c r="V81" s="23"/>
      <c r="W81" s="23"/>
      <c r="X81" s="23"/>
      <c r="Y81" s="23"/>
      <c r="Z81" s="23"/>
    </row>
    <row r="82">
      <c r="A82" s="21">
        <v>81.0</v>
      </c>
      <c r="B82" s="17" t="s">
        <v>1218</v>
      </c>
      <c r="C82" s="17" t="s">
        <v>1219</v>
      </c>
      <c r="D82" s="17" t="s">
        <v>1220</v>
      </c>
      <c r="E82" s="20"/>
      <c r="F82" s="2"/>
      <c r="G82" s="2"/>
      <c r="H82" s="2"/>
      <c r="I82" s="5" t="str">
        <f>IFERROR(__xludf.DUMMYFUNCTION("GOOGLETRANSLATE(B82, ""en"", ""zh"")"),"“Atari”表示：")</f>
        <v>“Atari”表示：</v>
      </c>
      <c r="J82" s="5" t="str">
        <f>IFERROR(__xludf.DUMMYFUNCTION("GOOGLETRANSLATE(C82, ""en"", ""zh"")"),"A) 石头或群体面临被俘虏的危险 B) 俘虏完成 C) 领土获得 D) 游戏结束")</f>
        <v>A) 石头或群体面临被俘虏的危险 B) 俘虏完成 C) 领土获得 D) 游戏结束</v>
      </c>
      <c r="K82" s="5" t="str">
        <f>IFERROR(__xludf.DUMMYFUNCTION("GOOGLETRANSLATE(D82, ""en"", ""zh"")"),"A) 面临被捕获危险的石头或石块群")</f>
        <v>A) 面临被捕获危险的石头或石块群</v>
      </c>
      <c r="L82" s="5" t="str">
        <f>IFERROR(__xludf.DUMMYFUNCTION("GOOGLETRANSLATE(E82, ""en"", ""zh"")"),"#VALUE!")</f>
        <v>#VALUE!</v>
      </c>
      <c r="M82" s="2"/>
      <c r="N82" s="2"/>
      <c r="O82" s="2"/>
      <c r="P82" s="2"/>
      <c r="Q82" s="23"/>
      <c r="R82" s="23"/>
      <c r="S82" s="23"/>
      <c r="T82" s="23"/>
      <c r="U82" s="23"/>
      <c r="V82" s="23"/>
      <c r="W82" s="23"/>
      <c r="X82" s="23"/>
      <c r="Y82" s="23"/>
      <c r="Z82" s="23"/>
    </row>
    <row r="83">
      <c r="A83" s="21">
        <v>82.0</v>
      </c>
      <c r="B83" s="17" t="s">
        <v>1221</v>
      </c>
      <c r="C83" s="17" t="s">
        <v>1222</v>
      </c>
      <c r="D83" s="17" t="s">
        <v>1223</v>
      </c>
      <c r="E83" s="20"/>
      <c r="F83" s="2"/>
      <c r="G83" s="2"/>
      <c r="H83" s="2"/>
      <c r="I83" s="5" t="str">
        <f>IFERROR(__xludf.DUMMYFUNCTION("GOOGLETRANSLATE(B83, ""en"", ""zh"")"),"“链条”是指：")</f>
        <v>“链条”是指：</v>
      </c>
      <c r="J83" s="5" t="str">
        <f>IFERROR(__xludf.DUMMYFUNCTION("GOOGLETRANSLATE(C83, ""en"", ""zh"")"),"A) 同色相连的棋子 B) 吃掉的棋子 C) 玩家回合 D) 让子")</f>
        <v>A) 同色相连的棋子 B) 吃掉的棋子 C) 玩家回合 D) 让子</v>
      </c>
      <c r="K83" s="5" t="str">
        <f>IFERROR(__xludf.DUMMYFUNCTION("GOOGLETRANSLATE(D83, ""en"", ""zh"")"),"A) 相同颜色的相连宝石")</f>
        <v>A) 相同颜色的相连宝石</v>
      </c>
      <c r="L83" s="5" t="str">
        <f>IFERROR(__xludf.DUMMYFUNCTION("GOOGLETRANSLATE(E83, ""en"", ""zh"")"),"#VALUE!")</f>
        <v>#VALUE!</v>
      </c>
      <c r="M83" s="2"/>
      <c r="N83" s="2"/>
      <c r="O83" s="2"/>
      <c r="P83" s="2"/>
      <c r="Q83" s="23"/>
      <c r="R83" s="23"/>
      <c r="S83" s="23"/>
      <c r="T83" s="23"/>
      <c r="U83" s="23"/>
      <c r="V83" s="23"/>
      <c r="W83" s="23"/>
      <c r="X83" s="23"/>
      <c r="Y83" s="23"/>
      <c r="Z83" s="23"/>
    </row>
    <row r="84">
      <c r="A84" s="21">
        <v>83.0</v>
      </c>
      <c r="B84" s="17" t="s">
        <v>1224</v>
      </c>
      <c r="C84" s="17" t="s">
        <v>1225</v>
      </c>
      <c r="D84" s="17" t="s">
        <v>1226</v>
      </c>
      <c r="E84" s="20"/>
      <c r="F84" s="2"/>
      <c r="G84" s="2"/>
      <c r="H84" s="2"/>
      <c r="I84" s="5" t="str">
        <f>IFERROR(__xludf.DUMMYFUNCTION("GOOGLETRANSLATE(B84, ""en"", ""zh"")"),"计分时，吃掉的冰球计为：")</f>
        <v>计分时，吃掉的冰球计为：</v>
      </c>
      <c r="J84" s="5" t="str">
        <f>IFERROR(__xludf.DUMMYFUNCTION("GOOGLETRANSLATE(C84, ""en"", ""zh"")"),"A) 加到对手总数中 B) 移除 C) 忽略 D) 返回棋盘")</f>
        <v>A) 加到对手总数中 B) 移除 C) 忽略 D) 返回棋盘</v>
      </c>
      <c r="K84" s="5" t="str">
        <f>IFERROR(__xludf.DUMMYFUNCTION("GOOGLETRANSLATE(D84, ""en"", ""zh"")"),"A) 计入对手总分")</f>
        <v>A) 计入对手总分</v>
      </c>
      <c r="L84" s="5" t="str">
        <f>IFERROR(__xludf.DUMMYFUNCTION("GOOGLETRANSLATE(E84, ""en"", ""zh"")"),"#VALUE!")</f>
        <v>#VALUE!</v>
      </c>
      <c r="M84" s="2"/>
      <c r="N84" s="2"/>
      <c r="O84" s="2"/>
      <c r="P84" s="2"/>
      <c r="Q84" s="23"/>
      <c r="R84" s="23"/>
      <c r="S84" s="23"/>
      <c r="T84" s="23"/>
      <c r="U84" s="23"/>
      <c r="V84" s="23"/>
      <c r="W84" s="23"/>
      <c r="X84" s="23"/>
      <c r="Y84" s="23"/>
      <c r="Z84" s="23"/>
    </row>
    <row r="85">
      <c r="A85" s="21">
        <v>84.0</v>
      </c>
      <c r="B85" s="17" t="s">
        <v>1227</v>
      </c>
      <c r="C85" s="17" t="s">
        <v>1228</v>
      </c>
      <c r="D85" s="17" t="s">
        <v>1229</v>
      </c>
      <c r="E85" s="20"/>
      <c r="F85" s="2"/>
      <c r="G85" s="2"/>
      <c r="H85" s="2"/>
      <c r="I85" s="5" t="str">
        <f>IFERROR(__xludf.DUMMYFUNCTION("GOOGLETRANSLATE(B85, ""en"", ""zh"")"),"什么是“fuseki”？")</f>
        <v>什么是“fuseki”？</v>
      </c>
      <c r="J85" s="5" t="str">
        <f>IFERROR(__xludf.DUMMYFUNCTION("GOOGLETRANSLATE(C85, ""en"", ""zh"")"),"A) 开局策略 B) 残局 C) 吃子 D) 让子")</f>
        <v>A) 开局策略 B) 残局 C) 吃子 D) 让子</v>
      </c>
      <c r="K85" s="5" t="str">
        <f>IFERROR(__xludf.DUMMYFUNCTION("GOOGLETRANSLATE(D85, ""en"", ""zh"")"),"A) 开局策略")</f>
        <v>A) 开局策略</v>
      </c>
      <c r="L85" s="5" t="str">
        <f>IFERROR(__xludf.DUMMYFUNCTION("GOOGLETRANSLATE(E85, ""en"", ""zh"")"),"#VALUE!")</f>
        <v>#VALUE!</v>
      </c>
      <c r="M85" s="2"/>
      <c r="N85" s="2"/>
      <c r="O85" s="2"/>
      <c r="P85" s="2"/>
      <c r="Q85" s="23"/>
      <c r="R85" s="23"/>
      <c r="S85" s="23"/>
      <c r="T85" s="23"/>
      <c r="U85" s="23"/>
      <c r="V85" s="23"/>
      <c r="W85" s="23"/>
      <c r="X85" s="23"/>
      <c r="Y85" s="23"/>
      <c r="Z85" s="23"/>
    </row>
    <row r="86">
      <c r="A86" s="21">
        <v>85.0</v>
      </c>
      <c r="B86" s="17" t="s">
        <v>1230</v>
      </c>
      <c r="C86" s="17" t="s">
        <v>1231</v>
      </c>
      <c r="D86" s="17" t="s">
        <v>1232</v>
      </c>
      <c r="E86" s="20"/>
      <c r="F86" s="2"/>
      <c r="G86" s="2"/>
      <c r="H86" s="2"/>
      <c r="I86" s="5" t="str">
        <f>IFERROR(__xludf.DUMMYFUNCTION("GOOGLETRANSLATE(B86, ""en"", ""zh"")"),"围棋中如何判定和棋？")</f>
        <v>围棋中如何判定和棋？</v>
      </c>
      <c r="J86" s="5" t="str">
        <f>IFERROR(__xludf.DUMMYFUNCTION("GOOGLETRANSLATE(C86, ""en"", ""zh"")"),"A) 罕见；通常以分数决定 B) 辞职 C) 董事会满员 D) 双方均通过")</f>
        <v>A) 罕见；通常以分数决定 B) 辞职 C) 董事会满员 D) 双方均通过</v>
      </c>
      <c r="K86" s="5" t="str">
        <f>IFERROR(__xludf.DUMMYFUNCTION("GOOGLETRANSLATE(D86, ""en"", ""zh"")"),"A) 罕见；通常按分数")</f>
        <v>A) 罕见；通常按分数</v>
      </c>
      <c r="L86" s="5" t="str">
        <f>IFERROR(__xludf.DUMMYFUNCTION("GOOGLETRANSLATE(E86, ""en"", ""zh"")"),"#VALUE!")</f>
        <v>#VALUE!</v>
      </c>
      <c r="M86" s="2"/>
      <c r="N86" s="2"/>
      <c r="O86" s="2"/>
      <c r="P86" s="2"/>
      <c r="Q86" s="23"/>
      <c r="R86" s="23"/>
      <c r="S86" s="23"/>
      <c r="T86" s="23"/>
      <c r="U86" s="23"/>
      <c r="V86" s="23"/>
      <c r="W86" s="23"/>
      <c r="X86" s="23"/>
      <c r="Y86" s="23"/>
      <c r="Z86" s="23"/>
    </row>
    <row r="87">
      <c r="A87" s="21">
        <v>86.0</v>
      </c>
      <c r="B87" s="17" t="s">
        <v>1233</v>
      </c>
      <c r="C87" s="17" t="s">
        <v>1234</v>
      </c>
      <c r="D87" s="17" t="s">
        <v>1235</v>
      </c>
      <c r="E87" s="20"/>
      <c r="F87" s="2"/>
      <c r="G87" s="2"/>
      <c r="H87" s="2"/>
      <c r="I87" s="5" t="str">
        <f>IFERROR(__xludf.DUMMYFUNCTION("GOOGLETRANSLATE(B87, ""en"", ""zh"")"),"必须放置石头：")</f>
        <v>必须放置石头：</v>
      </c>
      <c r="J87" s="5" t="str">
        <f>IFERROR(__xludf.DUMMYFUNCTION("GOOGLETRANSLATE(C87, ""en"", ""zh"")"),"A) 在空交叉点上 B) 在正方形上 C) 任意位置 D) 仅在边缘上")</f>
        <v>A) 在空交叉点上 B) 在正方形上 C) 任意位置 D) 仅在边缘上</v>
      </c>
      <c r="K87" s="5" t="str">
        <f>IFERROR(__xludf.DUMMYFUNCTION("GOOGLETRANSLATE(D87, ""en"", ""zh"")"),"A) 在空旷的十字路口")</f>
        <v>A) 在空旷的十字路口</v>
      </c>
      <c r="L87" s="5" t="str">
        <f>IFERROR(__xludf.DUMMYFUNCTION("GOOGLETRANSLATE(E87, ""en"", ""zh"")"),"#VALUE!")</f>
        <v>#VALUE!</v>
      </c>
      <c r="M87" s="2"/>
      <c r="N87" s="2"/>
      <c r="O87" s="2"/>
      <c r="P87" s="2"/>
      <c r="Q87" s="23"/>
      <c r="R87" s="23"/>
      <c r="S87" s="23"/>
      <c r="T87" s="23"/>
      <c r="U87" s="23"/>
      <c r="V87" s="23"/>
      <c r="W87" s="23"/>
      <c r="X87" s="23"/>
      <c r="Y87" s="23"/>
      <c r="Z87" s="23"/>
    </row>
    <row r="88">
      <c r="A88" s="21">
        <v>87.0</v>
      </c>
      <c r="B88" s="17" t="s">
        <v>1236</v>
      </c>
      <c r="C88" s="17" t="s">
        <v>1237</v>
      </c>
      <c r="D88" s="17" t="s">
        <v>1238</v>
      </c>
      <c r="E88" s="20"/>
      <c r="F88" s="2"/>
      <c r="G88" s="2"/>
      <c r="H88" s="2"/>
      <c r="I88" s="5" t="str">
        <f>IFERROR(__xludf.DUMMYFUNCTION("GOOGLETRANSLATE(B88, ""en"", ""zh"")"),"球员可以在以下情况下传球：")</f>
        <v>球员可以在以下情况下传球：</v>
      </c>
      <c r="J88" s="5" t="str">
        <f>IFERROR(__xludf.DUMMYFUNCTION("GOOGLETRANSLATE(C88, ""en"", ""zh"")"),"A) 无利走法 B) 棋盘已满 C) 吃子 D) 让子")</f>
        <v>A) 无利走法 B) 棋盘已满 C) 吃子 D) 让子</v>
      </c>
      <c r="K88" s="5" t="str">
        <f>IFERROR(__xludf.DUMMYFUNCTION("GOOGLETRANSLATE(D88, ""en"", ""zh"")"),"A) 没有有利的举措")</f>
        <v>A) 没有有利的举措</v>
      </c>
      <c r="L88" s="5" t="str">
        <f>IFERROR(__xludf.DUMMYFUNCTION("GOOGLETRANSLATE(E88, ""en"", ""zh"")"),"#VALUE!")</f>
        <v>#VALUE!</v>
      </c>
      <c r="M88" s="2"/>
      <c r="N88" s="2"/>
      <c r="O88" s="2"/>
      <c r="P88" s="2"/>
      <c r="Q88" s="23"/>
      <c r="R88" s="23"/>
      <c r="S88" s="23"/>
      <c r="T88" s="23"/>
      <c r="U88" s="23"/>
      <c r="V88" s="23"/>
      <c r="W88" s="23"/>
      <c r="X88" s="23"/>
      <c r="Y88" s="23"/>
      <c r="Z88" s="23"/>
    </row>
    <row r="89">
      <c r="A89" s="21">
        <v>88.0</v>
      </c>
      <c r="B89" s="17" t="s">
        <v>1239</v>
      </c>
      <c r="C89" s="17" t="s">
        <v>1240</v>
      </c>
      <c r="D89" s="17" t="s">
        <v>1241</v>
      </c>
      <c r="E89" s="20"/>
      <c r="F89" s="2"/>
      <c r="G89" s="2"/>
      <c r="H89" s="2"/>
      <c r="I89" s="5" t="str">
        <f>IFERROR(__xludf.DUMMYFUNCTION("GOOGLETRANSLATE(B89, ""en"", ""zh"")"),"“中局”到来：")</f>
        <v>“中局”到来：</v>
      </c>
      <c r="J89" s="5" t="str">
        <f>IFERROR(__xludf.DUMMYFUNCTION("GOOGLETRANSLATE(C89, ""en"", ""zh"")"),"A) 开局之后，残局之前 B) 游戏开始 C) 最后几步 D) 计分期间")</f>
        <v>A) 开局之后，残局之前 B) 游戏开始 C) 最后几步 D) 计分期间</v>
      </c>
      <c r="K89" s="5" t="str">
        <f>IFERROR(__xludf.DUMMYFUNCTION("GOOGLETRANSLATE(D89, ""en"", ""zh"")"),"A) 开局之后，残局之前")</f>
        <v>A) 开局之后，残局之前</v>
      </c>
      <c r="L89" s="5" t="str">
        <f>IFERROR(__xludf.DUMMYFUNCTION("GOOGLETRANSLATE(E89, ""en"", ""zh"")"),"#VALUE!")</f>
        <v>#VALUE!</v>
      </c>
      <c r="M89" s="2"/>
      <c r="N89" s="2"/>
      <c r="O89" s="2"/>
      <c r="P89" s="2"/>
      <c r="Q89" s="23"/>
      <c r="R89" s="23"/>
      <c r="S89" s="23"/>
      <c r="T89" s="23"/>
      <c r="U89" s="23"/>
      <c r="V89" s="23"/>
      <c r="W89" s="23"/>
      <c r="X89" s="23"/>
      <c r="Y89" s="23"/>
      <c r="Z89" s="23"/>
    </row>
    <row r="90">
      <c r="A90" s="21">
        <v>89.0</v>
      </c>
      <c r="B90" s="17" t="s">
        <v>1242</v>
      </c>
      <c r="C90" s="17" t="s">
        <v>1243</v>
      </c>
      <c r="D90" s="17" t="s">
        <v>1244</v>
      </c>
      <c r="E90" s="20"/>
      <c r="F90" s="2"/>
      <c r="G90" s="2"/>
      <c r="H90" s="2"/>
      <c r="I90" s="5" t="str">
        <f>IFERROR(__xludf.DUMMYFUNCTION("GOOGLETRANSLATE(B90, ""en"", ""zh"")"),"围棋中的“残局”指的是：")</f>
        <v>围棋中的“残局”指的是：</v>
      </c>
      <c r="J90" s="5" t="str">
        <f>IFERROR(__xludf.DUMMYFUNCTION("GOOGLETRANSLATE(C90, ""en"", ""zh"")"),"A) 收官阶段的着法和领土计算 B) 开局阶段的着法 C) 中局 D) 让子位置")</f>
        <v>A) 收官阶段的着法和领土计算 B) 开局阶段的着法 C) 中局 D) 让子位置</v>
      </c>
      <c r="K90" s="5" t="str">
        <f>IFERROR(__xludf.DUMMYFUNCTION("GOOGLETRANSLATE(D90, ""en"", ""zh"")"),"A) 收盘走法和地盘计算")</f>
        <v>A) 收盘走法和地盘计算</v>
      </c>
      <c r="L90" s="5" t="str">
        <f>IFERROR(__xludf.DUMMYFUNCTION("GOOGLETRANSLATE(E90, ""en"", ""zh"")"),"#VALUE!")</f>
        <v>#VALUE!</v>
      </c>
      <c r="M90" s="2"/>
      <c r="N90" s="2"/>
      <c r="O90" s="2"/>
      <c r="P90" s="2"/>
      <c r="Q90" s="23"/>
      <c r="R90" s="23"/>
      <c r="S90" s="23"/>
      <c r="T90" s="23"/>
      <c r="U90" s="23"/>
      <c r="V90" s="23"/>
      <c r="W90" s="23"/>
      <c r="X90" s="23"/>
      <c r="Y90" s="23"/>
      <c r="Z90" s="23"/>
    </row>
    <row r="91">
      <c r="A91" s="21">
        <v>90.0</v>
      </c>
      <c r="B91" s="17" t="s">
        <v>1245</v>
      </c>
      <c r="C91" s="17" t="s">
        <v>1246</v>
      </c>
      <c r="D91" s="17" t="s">
        <v>1247</v>
      </c>
      <c r="E91" s="20"/>
      <c r="F91" s="2"/>
      <c r="G91" s="2"/>
      <c r="H91" s="2"/>
      <c r="I91" s="5" t="str">
        <f>IFERROR(__xludf.DUMMYFUNCTION("GOOGLETRANSLATE(B91, ""en"", ""zh"")"),"“Miai”指的是：")</f>
        <v>“Miai”指的是：</v>
      </c>
      <c r="J91" s="5" t="str">
        <f>IFERROR(__xludf.DUMMYFUNCTION("GOOGLETRANSLATE(C91, ""en"", ""zh"")"),"A) 两点等值 B) 捕获的石子 C) 传递 D) 链式连接")</f>
        <v>A) 两点等值 B) 捕获的石子 C) 传递 D) 链式连接</v>
      </c>
      <c r="K91" s="5" t="str">
        <f>IFERROR(__xludf.DUMMYFUNCTION("GOOGLETRANSLATE(D91, ""en"", ""zh"")"),"A) 两个等值的点")</f>
        <v>A) 两个等值的点</v>
      </c>
      <c r="L91" s="5" t="str">
        <f>IFERROR(__xludf.DUMMYFUNCTION("GOOGLETRANSLATE(E91, ""en"", ""zh"")"),"#VALUE!")</f>
        <v>#VALUE!</v>
      </c>
      <c r="M91" s="2"/>
      <c r="N91" s="2"/>
      <c r="O91" s="2"/>
      <c r="P91" s="2"/>
      <c r="Q91" s="23"/>
      <c r="R91" s="23"/>
      <c r="S91" s="23"/>
      <c r="T91" s="23"/>
      <c r="U91" s="23"/>
      <c r="V91" s="23"/>
      <c r="W91" s="23"/>
      <c r="X91" s="23"/>
      <c r="Y91" s="23"/>
      <c r="Z91" s="23"/>
    </row>
    <row r="92">
      <c r="A92" s="21">
        <v>91.0</v>
      </c>
      <c r="B92" s="17" t="s">
        <v>1248</v>
      </c>
      <c r="C92" s="17" t="s">
        <v>1249</v>
      </c>
      <c r="D92" s="17" t="s">
        <v>1250</v>
      </c>
      <c r="E92" s="20"/>
      <c r="F92" s="2"/>
      <c r="G92" s="2"/>
      <c r="H92" s="2"/>
      <c r="I92" s="5" t="str">
        <f>IFERROR(__xludf.DUMMYFUNCTION("GOOGLETRANSLATE(B92, ""en"", ""zh"")"),"“快速回弹”现象发生在：")</f>
        <v>“快速回弹”现象发生在：</v>
      </c>
      <c r="J92" s="5" t="str">
        <f>IFERROR(__xludf.DUMMYFUNCTION("GOOGLETRANSLATE(C92, ""en"", ""zh"")"),"A) 被夺取的石子立即被夺回 B) 移除石子 C) 游戏结束 D) 统计分数")</f>
        <v>A) 被夺取的石子立即被夺回 B) 移除石子 C) 游戏结束 D) 统计分数</v>
      </c>
      <c r="K92" s="5" t="str">
        <f>IFERROR(__xludf.DUMMYFUNCTION("GOOGLETRANSLATE(D92, ""en"", ""zh"")"),"A) 被捕获的石头会立即被重新捕获")</f>
        <v>A) 被捕获的石头会立即被重新捕获</v>
      </c>
      <c r="L92" s="5" t="str">
        <f>IFERROR(__xludf.DUMMYFUNCTION("GOOGLETRANSLATE(E92, ""en"", ""zh"")"),"#VALUE!")</f>
        <v>#VALUE!</v>
      </c>
      <c r="M92" s="2"/>
      <c r="N92" s="2"/>
      <c r="O92" s="2"/>
      <c r="P92" s="2"/>
      <c r="Q92" s="23"/>
      <c r="R92" s="23"/>
      <c r="S92" s="23"/>
      <c r="T92" s="23"/>
      <c r="U92" s="23"/>
      <c r="V92" s="23"/>
      <c r="W92" s="23"/>
      <c r="X92" s="23"/>
      <c r="Y92" s="23"/>
      <c r="Z92" s="23"/>
    </row>
    <row r="93">
      <c r="A93" s="21">
        <v>92.0</v>
      </c>
      <c r="B93" s="17" t="s">
        <v>1251</v>
      </c>
      <c r="C93" s="17" t="s">
        <v>1252</v>
      </c>
      <c r="D93" s="17" t="s">
        <v>1253</v>
      </c>
      <c r="E93" s="20"/>
      <c r="F93" s="2"/>
      <c r="G93" s="2"/>
      <c r="H93" s="2"/>
      <c r="I93" s="5" t="str">
        <f>IFERROR(__xludf.DUMMYFUNCTION("GOOGLETRANSLATE(B93, ""en"", ""zh"")"),"“古读”的目的是：")</f>
        <v>“古读”的目的是：</v>
      </c>
      <c r="J93" s="5" t="str">
        <f>IFERROR(__xludf.DUMMYFUNCTION("GOOGLETRANSLATE(C93, ""en"", ""zh"")"),"A) 补偿白方后手 B) 让子 C) 吃掉额外的棋子 D) 计算领土")</f>
        <v>A) 补偿白方后手 B) 让子 C) 吃掉额外的棋子 D) 计算领土</v>
      </c>
      <c r="K93" s="5" t="str">
        <f>IFERROR(__xludf.DUMMYFUNCTION("GOOGLETRANSLATE(D93, ""en"", ""zh"")"),"A) 补偿白方第二步的损失")</f>
        <v>A) 补偿白方第二步的损失</v>
      </c>
      <c r="L93" s="5" t="str">
        <f>IFERROR(__xludf.DUMMYFUNCTION("GOOGLETRANSLATE(E93, ""en"", ""zh"")"),"#VALUE!")</f>
        <v>#VALUE!</v>
      </c>
      <c r="M93" s="2"/>
      <c r="N93" s="2"/>
      <c r="O93" s="2"/>
      <c r="P93" s="2"/>
      <c r="Q93" s="23"/>
      <c r="R93" s="23"/>
      <c r="S93" s="23"/>
      <c r="T93" s="23"/>
      <c r="U93" s="23"/>
      <c r="V93" s="23"/>
      <c r="W93" s="23"/>
      <c r="X93" s="23"/>
      <c r="Y93" s="23"/>
      <c r="Z93" s="23"/>
    </row>
    <row r="94">
      <c r="A94" s="21">
        <v>93.0</v>
      </c>
      <c r="B94" s="17" t="s">
        <v>1254</v>
      </c>
      <c r="C94" s="17" t="s">
        <v>1255</v>
      </c>
      <c r="D94" s="17" t="s">
        <v>1256</v>
      </c>
      <c r="E94" s="20"/>
      <c r="F94" s="2"/>
      <c r="G94" s="2"/>
      <c r="H94" s="2"/>
      <c r="I94" s="5" t="str">
        <f>IFERROR(__xludf.DUMMYFUNCTION("GOOGLETRANSLATE(B94, ""en"", ""zh"")"),"Komi 通常是多少分？")</f>
        <v>Komi 通常是多少分？</v>
      </c>
      <c r="J94" s="5" t="str">
        <f>IFERROR(__xludf.DUMMYFUNCTION("GOOGLETRANSLATE(C94, ""en"", ""zh"")"),"A) 6.5–7.5 B) 3 C) 10 D) 1")</f>
        <v>A) 6.5–7.5 B) 3 C) 10 D) 1</v>
      </c>
      <c r="K94" s="5" t="str">
        <f>IFERROR(__xludf.DUMMYFUNCTION("GOOGLETRANSLATE(D94, ""en"", ""zh"")"),"A) 6.5–7.5")</f>
        <v>A) 6.5–7.5</v>
      </c>
      <c r="L94" s="5" t="str">
        <f>IFERROR(__xludf.DUMMYFUNCTION("GOOGLETRANSLATE(E94, ""en"", ""zh"")"),"#VALUE!")</f>
        <v>#VALUE!</v>
      </c>
      <c r="M94" s="2"/>
      <c r="N94" s="2"/>
      <c r="O94" s="2"/>
      <c r="P94" s="2"/>
      <c r="Q94" s="23"/>
      <c r="R94" s="23"/>
      <c r="S94" s="23"/>
      <c r="T94" s="23"/>
      <c r="U94" s="23"/>
      <c r="V94" s="23"/>
      <c r="W94" s="23"/>
      <c r="X94" s="23"/>
      <c r="Y94" s="23"/>
      <c r="Z94" s="23"/>
    </row>
    <row r="95">
      <c r="A95" s="21">
        <v>94.0</v>
      </c>
      <c r="B95" s="17" t="s">
        <v>1257</v>
      </c>
      <c r="C95" s="17" t="s">
        <v>1258</v>
      </c>
      <c r="D95" s="17" t="s">
        <v>1259</v>
      </c>
      <c r="E95" s="20"/>
      <c r="F95" s="2"/>
      <c r="G95" s="2"/>
      <c r="H95" s="2"/>
      <c r="I95" s="5" t="str">
        <f>IFERROR(__xludf.DUMMYFUNCTION("GOOGLETRANSLATE(B95, ""en"", ""zh"")"),"“厚度”指的是：")</f>
        <v>“厚度”指的是：</v>
      </c>
      <c r="J95" s="5" t="str">
        <f>IFERROR(__xludf.DUMMYFUNCTION("GOOGLETRANSLATE(C95, ""en"", ""zh"")"),"A) 强大的、有影响力的阵型 B) 弱小的棋子 C) 边缘博弈 D) 吃子")</f>
        <v>A) 强大的、有影响力的阵型 B) 弱小的棋子 C) 边缘博弈 D) 吃子</v>
      </c>
      <c r="K95" s="5" t="str">
        <f>IFERROR(__xludf.DUMMYFUNCTION("GOOGLETRANSLATE(D95, ""en"", ""zh"")"),"A) 强大且有影响力的形成")</f>
        <v>A) 强大且有影响力的形成</v>
      </c>
      <c r="L95" s="5" t="str">
        <f>IFERROR(__xludf.DUMMYFUNCTION("GOOGLETRANSLATE(E95, ""en"", ""zh"")"),"#VALUE!")</f>
        <v>#VALUE!</v>
      </c>
      <c r="M95" s="2"/>
      <c r="N95" s="2"/>
      <c r="O95" s="2"/>
      <c r="P95" s="2"/>
      <c r="Q95" s="23"/>
      <c r="R95" s="23"/>
      <c r="S95" s="23"/>
      <c r="T95" s="23"/>
      <c r="U95" s="23"/>
      <c r="V95" s="23"/>
      <c r="W95" s="23"/>
      <c r="X95" s="23"/>
      <c r="Y95" s="23"/>
      <c r="Z95" s="23"/>
    </row>
    <row r="96">
      <c r="A96" s="21">
        <v>95.0</v>
      </c>
      <c r="B96" s="17" t="s">
        <v>1260</v>
      </c>
      <c r="C96" s="17" t="s">
        <v>1261</v>
      </c>
      <c r="D96" s="17" t="s">
        <v>1262</v>
      </c>
      <c r="E96" s="20"/>
      <c r="F96" s="2"/>
      <c r="G96" s="2"/>
      <c r="H96" s="2"/>
      <c r="I96" s="5" t="str">
        <f>IFERROR(__xludf.DUMMYFUNCTION("GOOGLETRANSLATE(B96, ""en"", ""zh"")"),"“切割”一词用于：")</f>
        <v>“切割”一词用于：</v>
      </c>
      <c r="J96" s="5" t="str">
        <f>IFERROR(__xludf.DUMMYFUNCTION("GOOGLETRANSLATE(C96, ""en"", ""zh"")"),"A) 分开对方的棋子 B) 连接棋子 C) 吃子 D) 结束回合")</f>
        <v>A) 分开对方的棋子 B) 连接棋子 C) 吃子 D) 结束回合</v>
      </c>
      <c r="K96" s="5" t="str">
        <f>IFERROR(__xludf.DUMMYFUNCTION("GOOGLETRANSLATE(D96, ""en"", ""zh"")"),"A) 分开对手的棋子")</f>
        <v>A) 分开对手的棋子</v>
      </c>
      <c r="L96" s="5" t="str">
        <f>IFERROR(__xludf.DUMMYFUNCTION("GOOGLETRANSLATE(E96, ""en"", ""zh"")"),"#VALUE!")</f>
        <v>#VALUE!</v>
      </c>
      <c r="M96" s="2"/>
      <c r="N96" s="2"/>
      <c r="O96" s="2"/>
      <c r="P96" s="2"/>
      <c r="Q96" s="23"/>
      <c r="R96" s="23"/>
      <c r="S96" s="23"/>
      <c r="T96" s="23"/>
      <c r="U96" s="23"/>
      <c r="V96" s="23"/>
      <c r="W96" s="23"/>
      <c r="X96" s="23"/>
      <c r="Y96" s="23"/>
      <c r="Z96" s="23"/>
    </row>
    <row r="97">
      <c r="A97" s="21">
        <v>96.0</v>
      </c>
      <c r="B97" s="17" t="s">
        <v>1263</v>
      </c>
      <c r="C97" s="17" t="s">
        <v>1264</v>
      </c>
      <c r="D97" s="17" t="s">
        <v>1265</v>
      </c>
      <c r="E97" s="20"/>
      <c r="F97" s="2"/>
      <c r="G97" s="2"/>
      <c r="H97" s="2"/>
      <c r="I97" s="5" t="str">
        <f>IFERROR(__xludf.DUMMYFUNCTION("GOOGLETRANSLATE(B97, ""en"", ""zh"")"),"“连接”确保：")</f>
        <v>“连接”确保：</v>
      </c>
      <c r="J97" s="5" t="str">
        <f>IFERROR(__xludf.DUMMYFUNCTION("GOOGLETRANSLATE(C97, ""en"", ""zh"")"),"A) 同色棋子保持连接 B) 吃子 D) 残局 C) 得分")</f>
        <v>A) 同色棋子保持连接 B) 吃子 D) 残局 C) 得分</v>
      </c>
      <c r="K97" s="5" t="str">
        <f>IFERROR(__xludf.DUMMYFUNCTION("GOOGLETRANSLATE(D97, ""en"", ""zh"")"),"A) 相同颜色的宝石保持连接")</f>
        <v>A) 相同颜色的宝石保持连接</v>
      </c>
      <c r="L97" s="5" t="str">
        <f>IFERROR(__xludf.DUMMYFUNCTION("GOOGLETRANSLATE(E97, ""en"", ""zh"")"),"#VALUE!")</f>
        <v>#VALUE!</v>
      </c>
      <c r="M97" s="2"/>
      <c r="N97" s="2"/>
      <c r="O97" s="2"/>
      <c r="P97" s="2"/>
      <c r="Q97" s="23"/>
      <c r="R97" s="23"/>
      <c r="S97" s="23"/>
      <c r="T97" s="23"/>
      <c r="U97" s="23"/>
      <c r="V97" s="23"/>
      <c r="W97" s="23"/>
      <c r="X97" s="23"/>
      <c r="Y97" s="23"/>
      <c r="Z97" s="23"/>
    </row>
    <row r="98">
      <c r="A98" s="21">
        <v>97.0</v>
      </c>
      <c r="B98" s="17" t="s">
        <v>1266</v>
      </c>
      <c r="C98" s="17" t="s">
        <v>1267</v>
      </c>
      <c r="D98" s="17" t="s">
        <v>1268</v>
      </c>
      <c r="E98" s="20"/>
      <c r="F98" s="2"/>
      <c r="G98" s="2"/>
      <c r="H98" s="2"/>
      <c r="I98" s="5" t="str">
        <f>IFERROR(__xludf.DUMMYFUNCTION("GOOGLETRANSLATE(B98, ""en"", ""zh"")"),"“死石”是指：")</f>
        <v>“死石”是指：</v>
      </c>
      <c r="J98" s="5" t="str">
        <f>IFERROR(__xludf.DUMMYFUNCTION("GOOGLETRANSLATE(C98, ""en"", ""zh"")"),"A) 无法避免被捕获 B) 安全石 C) 边缘石 D) 障碍物")</f>
        <v>A) 无法避免被捕获 B) 安全石 C) 边缘石 D) 障碍物</v>
      </c>
      <c r="K98" s="5" t="str">
        <f>IFERROR(__xludf.DUMMYFUNCTION("GOOGLETRANSLATE(D98, ""en"", ""zh"")"),"A) 无法避免被捕")</f>
        <v>A) 无法避免被捕</v>
      </c>
      <c r="L98" s="5" t="str">
        <f>IFERROR(__xludf.DUMMYFUNCTION("GOOGLETRANSLATE(E98, ""en"", ""zh"")"),"#VALUE!")</f>
        <v>#VALUE!</v>
      </c>
      <c r="M98" s="2"/>
      <c r="N98" s="2"/>
      <c r="O98" s="2"/>
      <c r="P98" s="2"/>
      <c r="Q98" s="23"/>
      <c r="R98" s="23"/>
      <c r="S98" s="23"/>
      <c r="T98" s="23"/>
      <c r="U98" s="23"/>
      <c r="V98" s="23"/>
      <c r="W98" s="23"/>
      <c r="X98" s="23"/>
      <c r="Y98" s="23"/>
      <c r="Z98" s="23"/>
    </row>
    <row r="99">
      <c r="A99" s="21">
        <v>98.0</v>
      </c>
      <c r="B99" s="17" t="s">
        <v>1269</v>
      </c>
      <c r="C99" s="17" t="s">
        <v>1270</v>
      </c>
      <c r="D99" s="17" t="s">
        <v>1271</v>
      </c>
      <c r="E99" s="20"/>
      <c r="F99" s="2"/>
      <c r="G99" s="2"/>
      <c r="H99" s="2"/>
      <c r="I99" s="5" t="str">
        <f>IFERROR(__xludf.DUMMYFUNCTION("GOOGLETRANSLATE(B99, ""en"", ""zh"")"),"“活的群体”是指：")</f>
        <v>“活的群体”是指：</v>
      </c>
      <c r="J99" s="5" t="str">
        <f>IFERROR(__xludf.DUMMYFUNCTION("GOOGLETRANSLATE(C99, ""en"", ""zh"")"),"A) 无法捕获 B) 死石 C) 放弃石 D) 空点")</f>
        <v>A) 无法捕获 B) 死石 C) 放弃石 D) 空点</v>
      </c>
      <c r="K99" s="5" t="str">
        <f>IFERROR(__xludf.DUMMYFUNCTION("GOOGLETRANSLATE(D99, ""en"", ""zh"")"),"A) 无法捕获")</f>
        <v>A) 无法捕获</v>
      </c>
      <c r="L99" s="5" t="str">
        <f>IFERROR(__xludf.DUMMYFUNCTION("GOOGLETRANSLATE(E99, ""en"", ""zh"")"),"#VALUE!")</f>
        <v>#VALUE!</v>
      </c>
      <c r="M99" s="2"/>
      <c r="N99" s="2"/>
      <c r="O99" s="2"/>
      <c r="P99" s="2"/>
      <c r="Q99" s="23"/>
      <c r="R99" s="23"/>
      <c r="S99" s="23"/>
      <c r="T99" s="23"/>
      <c r="U99" s="23"/>
      <c r="V99" s="23"/>
      <c r="W99" s="23"/>
      <c r="X99" s="23"/>
      <c r="Y99" s="23"/>
      <c r="Z99" s="23"/>
    </row>
    <row r="100">
      <c r="A100" s="21">
        <v>99.0</v>
      </c>
      <c r="B100" s="17" t="s">
        <v>1272</v>
      </c>
      <c r="C100" s="17" t="s">
        <v>1273</v>
      </c>
      <c r="D100" s="17" t="s">
        <v>1274</v>
      </c>
      <c r="E100" s="20"/>
      <c r="F100" s="2"/>
      <c r="G100" s="2"/>
      <c r="H100" s="2"/>
      <c r="I100" s="5" t="str">
        <f>IFERROR(__xludf.DUMMYFUNCTION("GOOGLETRANSLATE(B100, ""en"", ""zh"")"),"“Ko 威胁”是指：")</f>
        <v>“Ko 威胁”是指：</v>
      </c>
      <c r="J100" s="5" t="str">
        <f>IFERROR(__xludf.DUMMYFUNCTION("GOOGLETRANSLATE(C100, ""en"", ""zh"")"),"A) 防止立即被夺回的走法 B) 残局 C) 让子 D) 过局")</f>
        <v>A) 防止立即被夺回的走法 B) 残局 C) 让子 D) 过局</v>
      </c>
      <c r="K100" s="5" t="str">
        <f>IFERROR(__xludf.DUMMYFUNCTION("GOOGLETRANSLATE(D100, ""en"", ""zh"")"),"A) 采取行动防止立即被重新捕获")</f>
        <v>A) 采取行动防止立即被重新捕获</v>
      </c>
      <c r="L100" s="5" t="str">
        <f>IFERROR(__xludf.DUMMYFUNCTION("GOOGLETRANSLATE(E100, ""en"", ""zh"")"),"#VALUE!")</f>
        <v>#VALUE!</v>
      </c>
      <c r="M100" s="2"/>
      <c r="N100" s="2"/>
      <c r="O100" s="2"/>
      <c r="P100" s="2"/>
      <c r="Q100" s="23"/>
      <c r="R100" s="23"/>
      <c r="S100" s="23"/>
      <c r="T100" s="23"/>
      <c r="U100" s="23"/>
      <c r="V100" s="23"/>
      <c r="W100" s="23"/>
      <c r="X100" s="23"/>
      <c r="Y100" s="23"/>
      <c r="Z100" s="23"/>
    </row>
    <row r="101">
      <c r="A101" s="21">
        <v>100.0</v>
      </c>
      <c r="B101" s="17" t="s">
        <v>1275</v>
      </c>
      <c r="C101" s="17" t="s">
        <v>1276</v>
      </c>
      <c r="D101" s="17" t="s">
        <v>1277</v>
      </c>
      <c r="E101" s="20"/>
      <c r="F101" s="2"/>
      <c r="G101" s="2"/>
      <c r="H101" s="2"/>
      <c r="I101" s="5" t="str">
        <f>IFERROR(__xludf.DUMMYFUNCTION("GOOGLETRANSLATE(B101, ""en"", ""zh"")"),"“sente”动作指的是：")</f>
        <v>“sente”动作指的是：</v>
      </c>
      <c r="J101" s="5" t="str">
        <f>IFERROR(__xludf.DUMMYFUNCTION("GOOGLETRANSLATE(C101, ""en"", ""zh"")"),"A) 迫使对手回应 B) 过局 C) 残局 D) 吃子")</f>
        <v>A) 迫使对手回应 B) 过局 C) 残局 D) 吃子</v>
      </c>
      <c r="K101" s="5" t="str">
        <f>IFERROR(__xludf.DUMMYFUNCTION("GOOGLETRANSLATE(D101, ""en"", ""zh"")"),"A) 迫使对手做出反应")</f>
        <v>A) 迫使对手做出反应</v>
      </c>
      <c r="L101" s="5" t="str">
        <f>IFERROR(__xludf.DUMMYFUNCTION("GOOGLETRANSLATE(E101, ""en"", ""zh"")"),"#VALUE!")</f>
        <v>#VALUE!</v>
      </c>
      <c r="M101" s="2"/>
      <c r="N101" s="2"/>
      <c r="O101" s="2"/>
      <c r="P101" s="2"/>
      <c r="Q101" s="23"/>
      <c r="R101" s="23"/>
      <c r="S101" s="23"/>
      <c r="T101" s="23"/>
      <c r="U101" s="23"/>
      <c r="V101" s="23"/>
      <c r="W101" s="23"/>
      <c r="X101" s="23"/>
      <c r="Y101" s="23"/>
      <c r="Z101" s="23"/>
    </row>
    <row r="102">
      <c r="A102" s="21">
        <v>101.0</v>
      </c>
      <c r="B102" s="17" t="s">
        <v>1278</v>
      </c>
      <c r="C102" s="17" t="s">
        <v>1279</v>
      </c>
      <c r="D102" s="17" t="s">
        <v>1280</v>
      </c>
      <c r="E102" s="20"/>
      <c r="F102" s="2"/>
      <c r="G102" s="2"/>
      <c r="H102" s="2"/>
      <c r="I102" s="5" t="str">
        <f>IFERROR(__xludf.DUMMYFUNCTION("GOOGLETRANSLATE(B102, ""en"", ""zh"")"),"“gote”操作指的是：")</f>
        <v>“gote”操作指的是：</v>
      </c>
      <c r="J102" s="5" t="str">
        <f>IFERROR(__xludf.DUMMYFUNCTION("GOOGLETRANSLATE(C102, ""en"", ""zh"")"),"A) 玩家回应对手 B) 游戏开始 C) 吃子 D) 让子")</f>
        <v>A) 玩家回应对手 B) 游戏开始 C) 吃子 D) 让子</v>
      </c>
      <c r="K102" s="5" t="str">
        <f>IFERROR(__xludf.DUMMYFUNCTION("GOOGLETRANSLATE(D102, ""en"", ""zh"")"),"A) 玩家回应对手")</f>
        <v>A) 玩家回应对手</v>
      </c>
      <c r="L102" s="5" t="str">
        <f>IFERROR(__xludf.DUMMYFUNCTION("GOOGLETRANSLATE(E102, ""en"", ""zh"")"),"#VALUE!")</f>
        <v>#VALUE!</v>
      </c>
      <c r="M102" s="2"/>
      <c r="N102" s="2"/>
      <c r="O102" s="2"/>
      <c r="P102" s="2"/>
      <c r="Q102" s="23"/>
      <c r="R102" s="23"/>
      <c r="S102" s="23"/>
      <c r="T102" s="23"/>
      <c r="U102" s="23"/>
      <c r="V102" s="23"/>
      <c r="W102" s="23"/>
      <c r="X102" s="23"/>
      <c r="Y102" s="23"/>
      <c r="Z102" s="23"/>
    </row>
    <row r="103">
      <c r="A103" s="21">
        <v>102.0</v>
      </c>
      <c r="B103" s="17" t="s">
        <v>1281</v>
      </c>
      <c r="C103" s="17" t="s">
        <v>1282</v>
      </c>
      <c r="D103" s="17" t="s">
        <v>1283</v>
      </c>
      <c r="E103" s="20"/>
      <c r="F103" s="2"/>
      <c r="G103" s="2"/>
      <c r="H103" s="2"/>
      <c r="I103" s="5" t="str">
        <f>IFERROR(__xludf.DUMMYFUNCTION("GOOGLETRANSLATE(B103, ""en"", ""zh"")"),"“Hane”是一种动作，其中：")</f>
        <v>“Hane”是一种动作，其中：</v>
      </c>
      <c r="J103" s="5" t="str">
        <f>IFERROR(__xludf.DUMMYFUNCTION("GOOGLETRANSLATE(C103, ""en"", ""zh"")"),"A) 石头绕着另一块石头弯曲 B) 俘获 C) 传递 D) 终局")</f>
        <v>A) 石头绕着另一块石头弯曲 B) 俘获 C) 传递 D) 终局</v>
      </c>
      <c r="K103" s="5" t="str">
        <f>IFERROR(__xludf.DUMMYFUNCTION("GOOGLETRANSLATE(D103, ""en"", ""zh"")"),"A) 石头绕着另一块石头弯曲")</f>
        <v>A) 石头绕着另一块石头弯曲</v>
      </c>
      <c r="L103" s="5" t="str">
        <f>IFERROR(__xludf.DUMMYFUNCTION("GOOGLETRANSLATE(E103, ""en"", ""zh"")"),"#VALUE!")</f>
        <v>#VALUE!</v>
      </c>
      <c r="M103" s="2"/>
      <c r="N103" s="2"/>
      <c r="O103" s="2"/>
      <c r="P103" s="2"/>
      <c r="Q103" s="23"/>
      <c r="R103" s="23"/>
      <c r="S103" s="23"/>
      <c r="T103" s="23"/>
      <c r="U103" s="23"/>
      <c r="V103" s="23"/>
      <c r="W103" s="23"/>
      <c r="X103" s="23"/>
      <c r="Y103" s="23"/>
      <c r="Z103" s="23"/>
    </row>
    <row r="104">
      <c r="A104" s="21">
        <v>103.0</v>
      </c>
      <c r="B104" s="17" t="s">
        <v>1284</v>
      </c>
      <c r="C104" s="17" t="s">
        <v>1285</v>
      </c>
      <c r="D104" s="17" t="s">
        <v>1286</v>
      </c>
      <c r="E104" s="20"/>
      <c r="F104" s="2"/>
      <c r="G104" s="2"/>
      <c r="H104" s="2"/>
      <c r="I104" s="5" t="str">
        <f>IFERROR(__xludf.DUMMYFUNCTION("GOOGLETRANSLATE(B104, ""en"", ""zh"")"),"“竹节”是指：")</f>
        <v>“竹节”是指：</v>
      </c>
      <c r="J104" s="5" t="str">
        <f>IFERROR(__xludf.DUMMYFUNCTION("GOOGLETRANSLATE(C104, ""en"", ""zh"")"),"A) 强连接模式 B) 死石 C) 让子 D) 开局")</f>
        <v>A) 强连接模式 B) 死石 C) 让子 D) 开局</v>
      </c>
      <c r="K104" s="5" t="str">
        <f>IFERROR(__xludf.DUMMYFUNCTION("GOOGLETRANSLATE(D104, ""en"", ""zh"")"),"A) 强连接模式")</f>
        <v>A) 强连接模式</v>
      </c>
      <c r="L104" s="5" t="str">
        <f>IFERROR(__xludf.DUMMYFUNCTION("GOOGLETRANSLATE(E104, ""en"", ""zh"")"),"#VALUE!")</f>
        <v>#VALUE!</v>
      </c>
      <c r="M104" s="2"/>
      <c r="N104" s="2"/>
      <c r="O104" s="2"/>
      <c r="P104" s="2"/>
      <c r="Q104" s="23"/>
      <c r="R104" s="23"/>
      <c r="S104" s="23"/>
      <c r="T104" s="23"/>
      <c r="U104" s="23"/>
      <c r="V104" s="23"/>
      <c r="W104" s="23"/>
      <c r="X104" s="23"/>
      <c r="Y104" s="23"/>
      <c r="Z104" s="23"/>
    </row>
    <row r="105">
      <c r="A105" s="21">
        <v>104.0</v>
      </c>
      <c r="B105" s="17" t="s">
        <v>1287</v>
      </c>
      <c r="C105" s="17" t="s">
        <v>1288</v>
      </c>
      <c r="D105" s="17" t="s">
        <v>1289</v>
      </c>
      <c r="E105" s="20"/>
      <c r="F105" s="2"/>
      <c r="G105" s="2"/>
      <c r="H105" s="2"/>
      <c r="I105" s="5" t="str">
        <f>IFERROR(__xludf.DUMMYFUNCTION("GOOGLETRANSLATE(B105, ""en"", ""zh"")"),"“虎口”指的是：")</f>
        <v>“虎口”指的是：</v>
      </c>
      <c r="J105" s="5" t="str">
        <f>IFERROR(__xludf.DUMMYFUNCTION("GOOGLETRANSLATE(C105, ""en"", ""zh"")"),"A) 用石头围成的防御形状 B) 被俘获的石头 C) 边缘 D) 障碍物")</f>
        <v>A) 用石头围成的防御形状 B) 被俘获的石头 C) 边缘 D) 障碍物</v>
      </c>
      <c r="K105" s="5" t="str">
        <f>IFERROR(__xludf.DUMMYFUNCTION("GOOGLETRANSLATE(D105, ""en"", ""zh"")"),"A) 用石头摆成的防御形状")</f>
        <v>A) 用石头摆成的防御形状</v>
      </c>
      <c r="L105" s="5" t="str">
        <f>IFERROR(__xludf.DUMMYFUNCTION("GOOGLETRANSLATE(E105, ""en"", ""zh"")"),"#VALUE!")</f>
        <v>#VALUE!</v>
      </c>
      <c r="M105" s="2"/>
      <c r="N105" s="2"/>
      <c r="O105" s="2"/>
      <c r="P105" s="2"/>
      <c r="Q105" s="23"/>
      <c r="R105" s="23"/>
      <c r="S105" s="23"/>
      <c r="T105" s="23"/>
      <c r="U105" s="23"/>
      <c r="V105" s="23"/>
      <c r="W105" s="23"/>
      <c r="X105" s="23"/>
      <c r="Y105" s="23"/>
      <c r="Z105" s="23"/>
    </row>
    <row r="106">
      <c r="A106" s="21">
        <v>105.0</v>
      </c>
      <c r="B106" s="17" t="s">
        <v>1290</v>
      </c>
      <c r="C106" s="17" t="s">
        <v>1291</v>
      </c>
      <c r="D106" s="17" t="s">
        <v>1292</v>
      </c>
      <c r="E106" s="20"/>
      <c r="F106" s="2"/>
      <c r="G106" s="2"/>
      <c r="H106" s="2"/>
      <c r="I106" s="5" t="str">
        <f>IFERROR(__xludf.DUMMYFUNCTION("GOOGLETRANSLATE(B106, ""en"", ""zh"")"),"“一分跳跃”是指：")</f>
        <v>“一分跳跃”是指：</v>
      </c>
      <c r="J106" s="5" t="str">
        <f>IFERROR(__xludf.DUMMYFUNCTION("GOOGLETRANSLATE(C106, ""en"", ""zh"")"),"A) 放置一块石头在一分之外 B) 占领 C) 通过 D) 梯子")</f>
        <v>A) 放置一块石头在一分之外 B) 占领 C) 通过 D) 梯子</v>
      </c>
      <c r="K106" s="5" t="str">
        <f>IFERROR(__xludf.DUMMYFUNCTION("GOOGLETRANSLATE(D106, ""en"", ""zh"")"),"A) 石头放置在距离地面一格的位置")</f>
        <v>A) 石头放置在距离地面一格的位置</v>
      </c>
      <c r="L106" s="5" t="str">
        <f>IFERROR(__xludf.DUMMYFUNCTION("GOOGLETRANSLATE(E106, ""en"", ""zh"")"),"#VALUE!")</f>
        <v>#VALUE!</v>
      </c>
      <c r="M106" s="2"/>
      <c r="N106" s="2"/>
      <c r="O106" s="2"/>
      <c r="P106" s="2"/>
      <c r="Q106" s="23"/>
      <c r="R106" s="23"/>
      <c r="S106" s="23"/>
      <c r="T106" s="23"/>
      <c r="U106" s="23"/>
      <c r="V106" s="23"/>
      <c r="W106" s="23"/>
      <c r="X106" s="23"/>
      <c r="Y106" s="23"/>
      <c r="Z106" s="23"/>
    </row>
    <row r="107">
      <c r="A107" s="21">
        <v>106.0</v>
      </c>
      <c r="B107" s="17" t="s">
        <v>1293</v>
      </c>
      <c r="C107" s="17" t="s">
        <v>1294</v>
      </c>
      <c r="D107" s="17" t="s">
        <v>1295</v>
      </c>
      <c r="E107" s="20"/>
      <c r="F107" s="2"/>
      <c r="G107" s="2"/>
      <c r="H107" s="2"/>
      <c r="I107" s="5" t="str">
        <f>IFERROR(__xludf.DUMMYFUNCTION("GOOGLETRANSLATE(B107, ""en"", ""zh"")"),"“两点跳”是指：")</f>
        <v>“两点跳”是指：</v>
      </c>
      <c r="J107" s="5" t="str">
        <f>IFERROR(__xludf.DUMMYFUNCTION("GOOGLETRANSLATE(C107, ""en"", ""zh"")"),"A) 放置两分之遥的石头 B) 占领 C) 通过 D) 梯子")</f>
        <v>A) 放置两分之遥的石头 B) 占领 C) 通过 D) 梯子</v>
      </c>
      <c r="K107" s="5" t="str">
        <f>IFERROR(__xludf.DUMMYFUNCTION("GOOGLETRANSLATE(D107, ""en"", ""zh"")"),"A) 石头放置在距离地面两格的位置")</f>
        <v>A) 石头放置在距离地面两格的位置</v>
      </c>
      <c r="L107" s="5" t="str">
        <f>IFERROR(__xludf.DUMMYFUNCTION("GOOGLETRANSLATE(E107, ""en"", ""zh"")"),"#VALUE!")</f>
        <v>#VALUE!</v>
      </c>
      <c r="M107" s="2"/>
      <c r="N107" s="2"/>
      <c r="O107" s="2"/>
      <c r="P107" s="2"/>
      <c r="Q107" s="23"/>
      <c r="R107" s="23"/>
      <c r="S107" s="23"/>
      <c r="T107" s="23"/>
      <c r="U107" s="23"/>
      <c r="V107" s="23"/>
      <c r="W107" s="23"/>
      <c r="X107" s="23"/>
      <c r="Y107" s="23"/>
      <c r="Z107" s="23"/>
    </row>
    <row r="108">
      <c r="A108" s="21">
        <v>107.0</v>
      </c>
      <c r="B108" s="17" t="s">
        <v>1296</v>
      </c>
      <c r="C108" s="17" t="s">
        <v>1297</v>
      </c>
      <c r="D108" s="17" t="s">
        <v>1298</v>
      </c>
      <c r="E108" s="20"/>
      <c r="F108" s="2"/>
      <c r="G108" s="2"/>
      <c r="H108" s="2"/>
      <c r="I108" s="5" t="str">
        <f>IFERROR(__xludf.DUMMYFUNCTION("GOOGLETRANSLATE(B108, ""en"", ""zh"")"),"“角落围合”是指：")</f>
        <v>“角落围合”是指：</v>
      </c>
      <c r="J108" s="5" t="str">
        <f>IFERROR(__xludf.DUMMYFUNCTION("GOOGLETRANSLATE(C108, ""en"", ""zh"")"),"A) 占据角落地盘 B) 梯子 C) 开口 D) 占领")</f>
        <v>A) 占据角落地盘 B) 梯子 C) 开口 D) 占领</v>
      </c>
      <c r="K108" s="5" t="str">
        <f>IFERROR(__xludf.DUMMYFUNCTION("GOOGLETRANSLATE(D108, ""en"", ""zh"")"),"A) 确保角落地盘")</f>
        <v>A) 确保角落地盘</v>
      </c>
      <c r="L108" s="5" t="str">
        <f>IFERROR(__xludf.DUMMYFUNCTION("GOOGLETRANSLATE(E108, ""en"", ""zh"")"),"#VALUE!")</f>
        <v>#VALUE!</v>
      </c>
      <c r="M108" s="2"/>
      <c r="N108" s="2"/>
      <c r="O108" s="2"/>
      <c r="P108" s="2"/>
      <c r="Q108" s="23"/>
      <c r="R108" s="23"/>
      <c r="S108" s="23"/>
      <c r="T108" s="23"/>
      <c r="U108" s="23"/>
      <c r="V108" s="23"/>
      <c r="W108" s="23"/>
      <c r="X108" s="23"/>
      <c r="Y108" s="23"/>
      <c r="Z108" s="23"/>
    </row>
    <row r="109">
      <c r="A109" s="21">
        <v>108.0</v>
      </c>
      <c r="B109" s="17" t="s">
        <v>1299</v>
      </c>
      <c r="C109" s="17" t="s">
        <v>1300</v>
      </c>
      <c r="D109" s="17" t="s">
        <v>1301</v>
      </c>
      <c r="E109" s="20"/>
      <c r="F109" s="2"/>
      <c r="G109" s="2"/>
      <c r="H109" s="2"/>
      <c r="I109" s="5" t="str">
        <f>IFERROR(__xludf.DUMMYFUNCTION("GOOGLETRANSLATE(B109, ""en"", ""zh"")"),"“侧向延伸”指的是：")</f>
        <v>“侧向延伸”指的是：</v>
      </c>
      <c r="J109" s="5" t="str">
        <f>IFERROR(__xludf.DUMMYFUNCTION("GOOGLETRANSLATE(C109, ""en"", ""zh"")"),"A) 沿棋盘边缘扩张 B) 角球战术 C) 吃子 D) 传球")</f>
        <v>A) 沿棋盘边缘扩张 B) 角球战术 C) 吃子 D) 传球</v>
      </c>
      <c r="K109" s="5" t="str">
        <f>IFERROR(__xludf.DUMMYFUNCTION("GOOGLETRANSLATE(D109, ""en"", ""zh"")"),"A) 沿板边扩展")</f>
        <v>A) 沿板边扩展</v>
      </c>
      <c r="L109" s="5" t="str">
        <f>IFERROR(__xludf.DUMMYFUNCTION("GOOGLETRANSLATE(E109, ""en"", ""zh"")"),"#VALUE!")</f>
        <v>#VALUE!</v>
      </c>
      <c r="M109" s="2"/>
      <c r="N109" s="2"/>
      <c r="O109" s="2"/>
      <c r="P109" s="2"/>
      <c r="Q109" s="23"/>
      <c r="R109" s="23"/>
      <c r="S109" s="23"/>
      <c r="T109" s="23"/>
      <c r="U109" s="23"/>
      <c r="V109" s="23"/>
      <c r="W109" s="23"/>
      <c r="X109" s="23"/>
      <c r="Y109" s="23"/>
      <c r="Z109" s="23"/>
    </row>
    <row r="110">
      <c r="A110" s="21">
        <v>109.0</v>
      </c>
      <c r="B110" s="17" t="s">
        <v>1302</v>
      </c>
      <c r="C110" s="17" t="s">
        <v>1303</v>
      </c>
      <c r="D110" s="17" t="s">
        <v>1304</v>
      </c>
      <c r="E110" s="20"/>
      <c r="F110" s="2"/>
      <c r="G110" s="2"/>
      <c r="H110" s="2"/>
      <c r="I110" s="5" t="str">
        <f>IFERROR(__xludf.DUMMYFUNCTION("GOOGLETRANSLATE(B110, ""en"", ""zh"")"),"“中心影响力”指的是：")</f>
        <v>“中心影响力”指的是：</v>
      </c>
      <c r="J110" s="5" t="str">
        <f>IFERROR(__xludf.DUMMYFUNCTION("GOOGLETRANSLATE(C110, ""en"", ""zh"")"),"A) 控制中心点 B) 占领 C) 开局 D) 残局")</f>
        <v>A) 控制中心点 B) 占领 C) 开局 D) 残局</v>
      </c>
      <c r="K110" s="5" t="str">
        <f>IFERROR(__xludf.DUMMYFUNCTION("GOOGLETRANSLATE(D110, ""en"", ""zh"")"),"A) 对中心点的控制")</f>
        <v>A) 对中心点的控制</v>
      </c>
      <c r="L110" s="5" t="str">
        <f>IFERROR(__xludf.DUMMYFUNCTION("GOOGLETRANSLATE(E110, ""en"", ""zh"")"),"#VALUE!")</f>
        <v>#VALUE!</v>
      </c>
      <c r="M110" s="2"/>
      <c r="N110" s="2"/>
      <c r="O110" s="2"/>
      <c r="P110" s="2"/>
      <c r="Q110" s="23"/>
      <c r="R110" s="23"/>
      <c r="S110" s="23"/>
      <c r="T110" s="23"/>
      <c r="U110" s="23"/>
      <c r="V110" s="23"/>
      <c r="W110" s="23"/>
      <c r="X110" s="23"/>
      <c r="Y110" s="23"/>
      <c r="Z110" s="23"/>
    </row>
    <row r="111">
      <c r="A111" s="21">
        <v>110.0</v>
      </c>
      <c r="B111" s="17" t="s">
        <v>1305</v>
      </c>
      <c r="C111" s="17" t="s">
        <v>1306</v>
      </c>
      <c r="D111" s="17" t="s">
        <v>1307</v>
      </c>
      <c r="E111" s="20"/>
      <c r="F111" s="2"/>
      <c r="G111" s="2"/>
      <c r="H111" s="2"/>
      <c r="I111" s="5" t="str">
        <f>IFERROR(__xludf.DUMMYFUNCTION("GOOGLETRANSLATE(B111, ""en"", ""zh"")"),"围棋中的“牺牲”是指：")</f>
        <v>围棋中的“牺牲”是指：</v>
      </c>
      <c r="J111" s="5" t="str">
        <f>IFERROR(__xludf.DUMMYFUNCTION("GOOGLETRANSLATE(C111, ""en"", ""zh"")"),"A) 故意丢子以获取优势 B) 吃子 C) 过子 D) 攻守")</f>
        <v>A) 故意丢子以获取优势 B) 吃子 C) 过子 D) 攻守</v>
      </c>
      <c r="K111" s="5" t="str">
        <f>IFERROR(__xludf.DUMMYFUNCTION("GOOGLETRANSLATE(D111, ""en"", ""zh"")"),"A) 故意丢子以获取优势")</f>
        <v>A) 故意丢子以获取优势</v>
      </c>
      <c r="L111" s="5" t="str">
        <f>IFERROR(__xludf.DUMMYFUNCTION("GOOGLETRANSLATE(E111, ""en"", ""zh"")"),"#VALUE!")</f>
        <v>#VALUE!</v>
      </c>
      <c r="M111" s="2"/>
      <c r="N111" s="2"/>
      <c r="O111" s="2"/>
      <c r="P111" s="2"/>
      <c r="Q111" s="23"/>
      <c r="R111" s="23"/>
      <c r="S111" s="23"/>
      <c r="T111" s="23"/>
      <c r="U111" s="23"/>
      <c r="V111" s="23"/>
      <c r="W111" s="23"/>
      <c r="X111" s="23"/>
      <c r="Y111" s="23"/>
      <c r="Z111" s="23"/>
    </row>
    <row r="112">
      <c r="A112" s="21">
        <v>111.0</v>
      </c>
      <c r="B112" s="17" t="s">
        <v>1308</v>
      </c>
      <c r="C112" s="17" t="s">
        <v>1309</v>
      </c>
      <c r="D112" s="17" t="s">
        <v>1310</v>
      </c>
      <c r="E112" s="20"/>
      <c r="F112" s="2"/>
      <c r="G112" s="2"/>
      <c r="H112" s="2"/>
      <c r="I112" s="5" t="str">
        <f>IFERROR(__xludf.DUMMYFUNCTION("GOOGLETRANSLATE(B112, ""en"", ""zh"")"),"“Tenuki”的意思是：")</f>
        <v>“Tenuki”的意思是：</v>
      </c>
      <c r="J112" s="5" t="str">
        <f>IFERROR(__xludf.DUMMYFUNCTION("GOOGLETRANSLATE(C112, ""en"", ""zh"")"),"A) 在棋盘上的其他位置下棋 B) 吃子 C) 残局 D) 过局")</f>
        <v>A) 在棋盘上的其他位置下棋 B) 吃子 C) 残局 D) 过局</v>
      </c>
      <c r="K112" s="5" t="str">
        <f>IFERROR(__xludf.DUMMYFUNCTION("GOOGLETRANSLATE(D112, ""en"", ""zh"")"),"A) 在棋盘上的其他位置玩耍")</f>
        <v>A) 在棋盘上的其他位置玩耍</v>
      </c>
      <c r="L112" s="5" t="str">
        <f>IFERROR(__xludf.DUMMYFUNCTION("GOOGLETRANSLATE(E112, ""en"", ""zh"")"),"#VALUE!")</f>
        <v>#VALUE!</v>
      </c>
      <c r="M112" s="2"/>
      <c r="N112" s="2"/>
      <c r="O112" s="2"/>
      <c r="P112" s="2"/>
      <c r="Q112" s="23"/>
      <c r="R112" s="23"/>
      <c r="S112" s="23"/>
      <c r="T112" s="23"/>
      <c r="U112" s="23"/>
      <c r="V112" s="23"/>
      <c r="W112" s="23"/>
      <c r="X112" s="23"/>
      <c r="Y112" s="23"/>
      <c r="Z112" s="23"/>
    </row>
    <row r="113">
      <c r="A113" s="21">
        <v>112.0</v>
      </c>
      <c r="B113" s="17" t="s">
        <v>1311</v>
      </c>
      <c r="C113" s="17" t="s">
        <v>1312</v>
      </c>
      <c r="D113" s="17" t="s">
        <v>1313</v>
      </c>
      <c r="E113" s="20"/>
      <c r="F113" s="2"/>
      <c r="G113" s="2"/>
      <c r="H113" s="2"/>
      <c r="I113" s="5" t="str">
        <f>IFERROR(__xludf.DUMMYFUNCTION("GOOGLETRANSLATE(B113, ""en"", ""zh"")"),"“Endgame tesuji”指的是：")</f>
        <v>“Endgame tesuji”指的是：</v>
      </c>
      <c r="J113" s="5" t="str">
        <f>IFERROR(__xludf.DUMMYFUNCTION("GOOGLETRANSLATE(C113, ""en"", ""zh"")"),"A) 精妙的收尾 B) 吃子 C) 让子 D) 过")</f>
        <v>A) 精妙的收尾 B) 吃子 C) 让子 D) 过</v>
      </c>
      <c r="K113" s="5" t="str">
        <f>IFERROR(__xludf.DUMMYFUNCTION("GOOGLETRANSLATE(D113, ""en"", ""zh"")"),"A) 精妙的收尾动作")</f>
        <v>A) 精妙的收尾动作</v>
      </c>
      <c r="L113" s="5" t="str">
        <f>IFERROR(__xludf.DUMMYFUNCTION("GOOGLETRANSLATE(E113, ""en"", ""zh"")"),"#VALUE!")</f>
        <v>#VALUE!</v>
      </c>
      <c r="M113" s="2"/>
      <c r="N113" s="2"/>
      <c r="O113" s="2"/>
      <c r="P113" s="2"/>
      <c r="Q113" s="23"/>
      <c r="R113" s="23"/>
      <c r="S113" s="23"/>
      <c r="T113" s="23"/>
      <c r="U113" s="23"/>
      <c r="V113" s="23"/>
      <c r="W113" s="23"/>
      <c r="X113" s="23"/>
      <c r="Y113" s="23"/>
      <c r="Z113" s="23"/>
    </row>
    <row r="114">
      <c r="A114" s="21">
        <v>113.0</v>
      </c>
      <c r="B114" s="17" t="s">
        <v>1314</v>
      </c>
      <c r="C114" s="17" t="s">
        <v>1315</v>
      </c>
      <c r="D114" s="17" t="s">
        <v>1316</v>
      </c>
      <c r="E114" s="20"/>
      <c r="F114" s="2"/>
      <c r="G114" s="2"/>
      <c r="H114" s="2"/>
      <c r="I114" s="5" t="str">
        <f>IFERROR(__xludf.DUMMYFUNCTION("GOOGLETRANSLATE(B114, ""en"", ""zh"")"),"“Moyo”是：")</f>
        <v>“Moyo”是：</v>
      </c>
      <c r="J114" s="5" t="str">
        <f>IFERROR(__xludf.DUMMYFUNCTION("GOOGLETRANSLATE(C114, ""en"", ""zh"")"),"A) 潜在的领土框架 B) 死石 C) Ko 威胁 D) Sente")</f>
        <v>A) 潜在的领土框架 B) 死石 C) Ko 威胁 D) Sente</v>
      </c>
      <c r="K114" s="5" t="str">
        <f>IFERROR(__xludf.DUMMYFUNCTION("GOOGLETRANSLATE(D114, ""en"", ""zh"")"),"A) 潜在的领土框架")</f>
        <v>A) 潜在的领土框架</v>
      </c>
      <c r="L114" s="5" t="str">
        <f>IFERROR(__xludf.DUMMYFUNCTION("GOOGLETRANSLATE(E114, ""en"", ""zh"")"),"#VALUE!")</f>
        <v>#VALUE!</v>
      </c>
      <c r="M114" s="2"/>
      <c r="N114" s="2"/>
      <c r="O114" s="2"/>
      <c r="P114" s="2"/>
      <c r="Q114" s="23"/>
      <c r="R114" s="23"/>
      <c r="S114" s="23"/>
      <c r="T114" s="23"/>
      <c r="U114" s="23"/>
      <c r="V114" s="23"/>
      <c r="W114" s="23"/>
      <c r="X114" s="23"/>
      <c r="Y114" s="23"/>
      <c r="Z114" s="23"/>
    </row>
    <row r="115">
      <c r="A115" s="21">
        <v>114.0</v>
      </c>
      <c r="B115" s="17" t="s">
        <v>1317</v>
      </c>
      <c r="C115" s="17" t="s">
        <v>1318</v>
      </c>
      <c r="D115" s="17" t="s">
        <v>1319</v>
      </c>
      <c r="E115" s="20"/>
      <c r="F115" s="2"/>
      <c r="G115" s="2"/>
      <c r="H115" s="2"/>
      <c r="I115" s="5" t="str">
        <f>IFERROR(__xludf.DUMMYFUNCTION("GOOGLETRANSLATE(B115, ""en"", ""zh"")"),"“入侵”指的是：")</f>
        <v>“入侵”指的是：</v>
      </c>
      <c r="J115" s="5" t="str">
        <f>IFERROR(__xludf.DUMMYFUNCTION("GOOGLETRANSLATE(C115, ""en"", ""zh"")"),"A) 进入对手的魔域 B) 吃子 C) 过 D) 攻守威胁")</f>
        <v>A) 进入对手的魔域 B) 吃子 C) 过 D) 攻守威胁</v>
      </c>
      <c r="K115" s="5" t="str">
        <f>IFERROR(__xludf.DUMMYFUNCTION("GOOGLETRANSLATE(D115, ""en"", ""zh"")"),"A) 进入对手的 moyo")</f>
        <v>A) 进入对手的 moyo</v>
      </c>
      <c r="L115" s="5" t="str">
        <f>IFERROR(__xludf.DUMMYFUNCTION("GOOGLETRANSLATE(E115, ""en"", ""zh"")"),"#VALUE!")</f>
        <v>#VALUE!</v>
      </c>
      <c r="M115" s="2"/>
      <c r="N115" s="2"/>
      <c r="O115" s="2"/>
      <c r="P115" s="2"/>
      <c r="Q115" s="23"/>
      <c r="R115" s="23"/>
      <c r="S115" s="23"/>
      <c r="T115" s="23"/>
      <c r="U115" s="23"/>
      <c r="V115" s="23"/>
      <c r="W115" s="23"/>
      <c r="X115" s="23"/>
      <c r="Y115" s="23"/>
      <c r="Z115" s="23"/>
    </row>
    <row r="116">
      <c r="A116" s="21">
        <v>115.0</v>
      </c>
      <c r="B116" s="17" t="s">
        <v>1320</v>
      </c>
      <c r="C116" s="17" t="s">
        <v>1321</v>
      </c>
      <c r="D116" s="17" t="s">
        <v>1322</v>
      </c>
      <c r="E116" s="20"/>
      <c r="F116" s="2"/>
      <c r="G116" s="2"/>
      <c r="H116" s="2"/>
      <c r="I116" s="5" t="str">
        <f>IFERROR(__xludf.DUMMYFUNCTION("GOOGLETRANSLATE(B116, ""en"", ""zh"")"),"“减少”是指：")</f>
        <v>“减少”是指：</v>
      </c>
      <c r="J116" s="5" t="str">
        <f>IFERROR(__xludf.DUMMYFUNCTION("GOOGLETRANSLATE(C116, ""en"", ""zh"")"),"A) 缩小对手的moyo B) 捕获 C) 过 D) 让分")</f>
        <v>A) 缩小对手的moyo B) 捕获 C) 过 D) 让分</v>
      </c>
      <c r="K116" s="5" t="str">
        <f>IFERROR(__xludf.DUMMYFUNCTION("GOOGLETRANSLATE(D116, ""en"", ""zh"")"),"A) 缩小对手的 moyo")</f>
        <v>A) 缩小对手的 moyo</v>
      </c>
      <c r="L116" s="5" t="str">
        <f>IFERROR(__xludf.DUMMYFUNCTION("GOOGLETRANSLATE(E116, ""en"", ""zh"")"),"#VALUE!")</f>
        <v>#VALUE!</v>
      </c>
      <c r="M116" s="2"/>
      <c r="N116" s="2"/>
      <c r="O116" s="2"/>
      <c r="P116" s="2"/>
      <c r="Q116" s="23"/>
      <c r="R116" s="23"/>
      <c r="S116" s="23"/>
      <c r="T116" s="23"/>
      <c r="U116" s="23"/>
      <c r="V116" s="23"/>
      <c r="W116" s="23"/>
      <c r="X116" s="23"/>
      <c r="Y116" s="23"/>
      <c r="Z116" s="23"/>
    </row>
    <row r="117">
      <c r="A117" s="21">
        <v>116.0</v>
      </c>
      <c r="B117" s="17" t="s">
        <v>1323</v>
      </c>
      <c r="C117" s="17" t="s">
        <v>1324</v>
      </c>
      <c r="D117" s="17" t="s">
        <v>1325</v>
      </c>
      <c r="E117" s="20"/>
      <c r="F117" s="2"/>
      <c r="G117" s="2"/>
      <c r="H117" s="2"/>
      <c r="I117" s="5" t="str">
        <f>IFERROR(__xludf.DUMMYFUNCTION("GOOGLETRANSLATE(B117, ""en"", ""zh"")"),"评分中的“计数”是指：")</f>
        <v>评分中的“计数”是指：</v>
      </c>
      <c r="J117" s="5" t="str">
        <f>IFERROR(__xludf.DUMMYFUNCTION("GOOGLETRANSLATE(C117, ""en"", ""zh"")"),"A) 点数/领地 B) 夺取的石子数 C) 让分 D) 关卡威胁")</f>
        <v>A) 点数/领地 B) 夺取的石子数 C) 让分 D) 关卡威胁</v>
      </c>
      <c r="K117" s="5" t="str">
        <f>IFERROR(__xludf.DUMMYFUNCTION("GOOGLETRANSLATE(D117, ""en"", ""zh"")"),"A) 每块领土的积分数")</f>
        <v>A) 每块领土的积分数</v>
      </c>
      <c r="L117" s="5" t="str">
        <f>IFERROR(__xludf.DUMMYFUNCTION("GOOGLETRANSLATE(E117, ""en"", ""zh"")"),"#VALUE!")</f>
        <v>#VALUE!</v>
      </c>
      <c r="M117" s="2"/>
      <c r="N117" s="2"/>
      <c r="O117" s="2"/>
      <c r="P117" s="2"/>
      <c r="Q117" s="23"/>
      <c r="R117" s="23"/>
      <c r="S117" s="23"/>
      <c r="T117" s="23"/>
      <c r="U117" s="23"/>
      <c r="V117" s="23"/>
      <c r="W117" s="23"/>
      <c r="X117" s="23"/>
      <c r="Y117" s="23"/>
      <c r="Z117" s="23"/>
    </row>
    <row r="118">
      <c r="A118" s="21">
        <v>117.0</v>
      </c>
      <c r="B118" s="17" t="s">
        <v>1326</v>
      </c>
      <c r="C118" s="17" t="s">
        <v>1327</v>
      </c>
      <c r="D118" s="17" t="s">
        <v>1328</v>
      </c>
      <c r="E118" s="20"/>
      <c r="F118" s="2"/>
      <c r="G118" s="2"/>
      <c r="H118" s="2"/>
      <c r="I118" s="5" t="str">
        <f>IFERROR(__xludf.DUMMYFUNCTION("GOOGLETRANSLATE(B118, ""en"", ""zh"")"),"球员在以下情况下可以退役：")</f>
        <v>球员在以下情况下可以退役：</v>
      </c>
      <c r="J118" s="5" t="str">
        <f>IFERROR(__xludf.DUMMYFUNCTION("GOOGLETRANSLATE(C118, ""en"", ""zh"")"),"A) 劣势明显 B) 棋盘已满 C) 比分相等 D) 让分")</f>
        <v>A) 劣势明显 B) 棋盘已满 C) 比分相等 D) 让分</v>
      </c>
      <c r="K118" s="5" t="str">
        <f>IFERROR(__xludf.DUMMYFUNCTION("GOOGLETRANSLATE(D118, ""en"", ""zh"")"),"A) 失去优势显而易见")</f>
        <v>A) 失去优势显而易见</v>
      </c>
      <c r="L118" s="5" t="str">
        <f>IFERROR(__xludf.DUMMYFUNCTION("GOOGLETRANSLATE(E118, ""en"", ""zh"")"),"#VALUE!")</f>
        <v>#VALUE!</v>
      </c>
      <c r="M118" s="2"/>
      <c r="N118" s="2"/>
      <c r="O118" s="2"/>
      <c r="P118" s="2"/>
      <c r="Q118" s="23"/>
      <c r="R118" s="23"/>
      <c r="S118" s="23"/>
      <c r="T118" s="23"/>
      <c r="U118" s="23"/>
      <c r="V118" s="23"/>
      <c r="W118" s="23"/>
      <c r="X118" s="23"/>
      <c r="Y118" s="23"/>
      <c r="Z118" s="23"/>
    </row>
    <row r="119">
      <c r="A119" s="21">
        <v>118.0</v>
      </c>
      <c r="B119" s="17" t="s">
        <v>1329</v>
      </c>
      <c r="C119" s="17" t="s">
        <v>1330</v>
      </c>
      <c r="D119" s="17" t="s">
        <v>1331</v>
      </c>
      <c r="E119" s="20"/>
      <c r="F119" s="2"/>
      <c r="G119" s="2"/>
      <c r="H119" s="2"/>
      <c r="I119" s="5" t="str">
        <f>IFERROR(__xludf.DUMMYFUNCTION("GOOGLETRANSLATE(B119, ""en"", ""zh"")"),"围棋中的非法走法包括：")</f>
        <v>围棋中的非法走法包括：</v>
      </c>
      <c r="J119" s="5" t="str">
        <f>IFERROR(__xludf.DUMMYFUNCTION("GOOGLETRANSLATE(C119, ""en"", ""zh"")"),"A) 将石头放置在没有自由的地方（自杀） B) 俘虏 C) 通过 D) 连接")</f>
        <v>A) 将石头放置在没有自由的地方（自杀） B) 俘虏 C) 通过 D) 连接</v>
      </c>
      <c r="K119" s="5" t="str">
        <f>IFERROR(__xludf.DUMMYFUNCTION("GOOGLETRANSLATE(D119, ""en"", ""zh"")"),"A) 将石头放置在没有自由的地方（自杀）")</f>
        <v>A) 将石头放置在没有自由的地方（自杀）</v>
      </c>
      <c r="L119" s="5" t="str">
        <f>IFERROR(__xludf.DUMMYFUNCTION("GOOGLETRANSLATE(E119, ""en"", ""zh"")"),"#VALUE!")</f>
        <v>#VALUE!</v>
      </c>
      <c r="M119" s="2"/>
      <c r="N119" s="2"/>
      <c r="O119" s="2"/>
      <c r="P119" s="2"/>
      <c r="Q119" s="23"/>
      <c r="R119" s="23"/>
      <c r="S119" s="23"/>
      <c r="T119" s="23"/>
      <c r="U119" s="23"/>
      <c r="V119" s="23"/>
      <c r="W119" s="23"/>
      <c r="X119" s="23"/>
      <c r="Y119" s="23"/>
      <c r="Z119" s="23"/>
    </row>
    <row r="120">
      <c r="A120" s="21">
        <v>119.0</v>
      </c>
      <c r="B120" s="17" t="s">
        <v>1332</v>
      </c>
      <c r="C120" s="17" t="s">
        <v>1333</v>
      </c>
      <c r="D120" s="17" t="s">
        <v>1334</v>
      </c>
      <c r="E120" s="20"/>
      <c r="F120" s="2"/>
      <c r="G120" s="2"/>
      <c r="H120" s="2"/>
      <c r="I120" s="5" t="str">
        <f>IFERROR(__xludf.DUMMYFUNCTION("GOOGLETRANSLATE(B120, ""en"", ""zh"")"),"规则禁止：")</f>
        <v>规则禁止：</v>
      </c>
      <c r="J120" s="5" t="str">
        <f>IFERROR(__xludf.DUMMYFUNCTION("GOOGLETRANSLATE(C120, ""en"", ""zh"")"),"A) 重复相同的棋局位置（劫） B) 吃子 C) 过子 D) 连接")</f>
        <v>A) 重复相同的棋局位置（劫） B) 吃子 C) 过子 D) 连接</v>
      </c>
      <c r="K120" s="5" t="str">
        <f>IFERROR(__xludf.DUMMYFUNCTION("GOOGLETRANSLATE(D120, ""en"", ""zh"")"),"A) 重复相同的棋盘位置（Ko）")</f>
        <v>A) 重复相同的棋盘位置（Ko）</v>
      </c>
      <c r="L120" s="5" t="str">
        <f>IFERROR(__xludf.DUMMYFUNCTION("GOOGLETRANSLATE(E120, ""en"", ""zh"")"),"#VALUE!")</f>
        <v>#VALUE!</v>
      </c>
      <c r="M120" s="2"/>
      <c r="N120" s="2"/>
      <c r="O120" s="2"/>
      <c r="P120" s="2"/>
      <c r="Q120" s="23"/>
      <c r="R120" s="23"/>
      <c r="S120" s="23"/>
      <c r="T120" s="23"/>
      <c r="U120" s="23"/>
      <c r="V120" s="23"/>
      <c r="W120" s="23"/>
      <c r="X120" s="23"/>
      <c r="Y120" s="23"/>
      <c r="Z120" s="23"/>
    </row>
    <row r="121">
      <c r="A121" s="21">
        <v>120.0</v>
      </c>
      <c r="B121" s="17" t="s">
        <v>1335</v>
      </c>
      <c r="C121" s="17" t="s">
        <v>1336</v>
      </c>
      <c r="D121" s="17" t="s">
        <v>1337</v>
      </c>
      <c r="E121" s="20"/>
      <c r="F121" s="2"/>
      <c r="G121" s="2"/>
      <c r="H121" s="2"/>
      <c r="I121" s="5" t="str">
        <f>IFERROR(__xludf.DUMMYFUNCTION("GOOGLETRANSLATE(B121, ""en"", ""zh"")"),"障碍石放置于此处：")</f>
        <v>障碍石放置于此处：</v>
      </c>
      <c r="J121" s="5" t="str">
        <f>IFERROR(__xludf.DUMMYFUNCTION("GOOGLETRANSLATE(C121, ""en"", ""zh"")"),"A) 在强方先手之前 B) 先手之后 C) 随机 D) 游戏过程中")</f>
        <v>A) 在强方先手之前 B) 先手之后 C) 随机 D) 游戏过程中</v>
      </c>
      <c r="K121" s="5" t="str">
        <f>IFERROR(__xludf.DUMMYFUNCTION("GOOGLETRANSLATE(D121, ""en"", ""zh"")"),"A) 在实力更强的玩家先走之前")</f>
        <v>A) 在实力更强的玩家先走之前</v>
      </c>
      <c r="L121" s="5" t="str">
        <f>IFERROR(__xludf.DUMMYFUNCTION("GOOGLETRANSLATE(E121, ""en"", ""zh"")"),"#VALUE!")</f>
        <v>#VALUE!</v>
      </c>
      <c r="M121" s="2"/>
      <c r="N121" s="2"/>
      <c r="O121" s="2"/>
      <c r="P121" s="2"/>
      <c r="Q121" s="23"/>
      <c r="R121" s="23"/>
      <c r="S121" s="23"/>
      <c r="T121" s="23"/>
      <c r="U121" s="23"/>
      <c r="V121" s="23"/>
      <c r="W121" s="23"/>
      <c r="X121" s="23"/>
      <c r="Y121" s="23"/>
      <c r="Z121" s="23"/>
    </row>
    <row r="122">
      <c r="A122" s="21">
        <v>121.0</v>
      </c>
      <c r="B122" s="17" t="s">
        <v>1338</v>
      </c>
      <c r="C122" s="17" t="s">
        <v>1339</v>
      </c>
      <c r="D122" s="17" t="s">
        <v>1340</v>
      </c>
      <c r="E122" s="20"/>
      <c r="F122" s="2"/>
      <c r="G122" s="2"/>
      <c r="H122" s="2"/>
      <c r="I122" s="5" t="str">
        <f>IFERROR(__xludf.DUMMYFUNCTION("GOOGLETRANSLATE(B122, ""en"", ""zh"")"),"围棋比赛的计分方式如下：")</f>
        <v>围棋比赛的计分方式如下：</v>
      </c>
      <c r="J122" s="5" t="str">
        <f>IFERROR(__xludf.DUMMYFUNCTION("GOOGLETRANSLATE(C122, ""en"", ""zh"")"),"A) 领地 + 已占领的石子 B) 仅时间 C) 步数 D) 边缘的石子")</f>
        <v>A) 领地 + 已占领的石子 B) 仅时间 C) 步数 D) 边缘的石子</v>
      </c>
      <c r="K122" s="5" t="str">
        <f>IFERROR(__xludf.DUMMYFUNCTION("GOOGLETRANSLATE(D122, ""en"", ""zh"")"),"A) 领地 + 缴获的石头")</f>
        <v>A) 领地 + 缴获的石头</v>
      </c>
      <c r="L122" s="5" t="str">
        <f>IFERROR(__xludf.DUMMYFUNCTION("GOOGLETRANSLATE(E122, ""en"", ""zh"")"),"#VALUE!")</f>
        <v>#VALUE!</v>
      </c>
      <c r="M122" s="2"/>
      <c r="N122" s="2"/>
      <c r="O122" s="2"/>
      <c r="P122" s="2"/>
      <c r="Q122" s="23"/>
      <c r="R122" s="23"/>
      <c r="S122" s="23"/>
      <c r="T122" s="23"/>
      <c r="U122" s="23"/>
      <c r="V122" s="23"/>
      <c r="W122" s="23"/>
      <c r="X122" s="23"/>
      <c r="Y122" s="23"/>
      <c r="Z122" s="23"/>
    </row>
    <row r="123">
      <c r="A123" s="21">
        <v>122.0</v>
      </c>
      <c r="B123" s="17" t="s">
        <v>1341</v>
      </c>
      <c r="C123" s="17" t="s">
        <v>1342</v>
      </c>
      <c r="D123" s="17" t="s">
        <v>1343</v>
      </c>
      <c r="E123" s="20"/>
      <c r="F123" s="2"/>
      <c r="G123" s="2"/>
      <c r="H123" s="2"/>
      <c r="I123" s="5" t="str">
        <f>IFERROR(__xludf.DUMMYFUNCTION("GOOGLETRANSLATE(B123, ""en"", ""zh"")"),"“中国规则”与“日本规则”的主要区别在于：")</f>
        <v>“中国规则”与“日本规则”的主要区别在于：</v>
      </c>
      <c r="J123" s="5" t="str">
        <f>IFERROR(__xludf.DUMMYFUNCTION("GOOGLETRANSLATE(C123, ""en"", ""zh"")"),"A) 计分方式 B) 棋盘大小 C) 棋子颜色 D) 玩家人数")</f>
        <v>A) 计分方式 B) 棋盘大小 C) 棋子颜色 D) 玩家人数</v>
      </c>
      <c r="K123" s="5" t="str">
        <f>IFERROR(__xludf.DUMMYFUNCTION("GOOGLETRANSLATE(D123, ""en"", ""zh"")"),"A) 评分方法")</f>
        <v>A) 评分方法</v>
      </c>
      <c r="L123" s="5" t="str">
        <f>IFERROR(__xludf.DUMMYFUNCTION("GOOGLETRANSLATE(E123, ""en"", ""zh"")"),"#VALUE!")</f>
        <v>#VALUE!</v>
      </c>
      <c r="M123" s="2"/>
      <c r="N123" s="2"/>
      <c r="O123" s="2"/>
      <c r="P123" s="2"/>
      <c r="Q123" s="23"/>
      <c r="R123" s="23"/>
      <c r="S123" s="23"/>
      <c r="T123" s="23"/>
      <c r="U123" s="23"/>
      <c r="V123" s="23"/>
      <c r="W123" s="23"/>
      <c r="X123" s="23"/>
      <c r="Y123" s="23"/>
      <c r="Z123" s="23"/>
    </row>
    <row r="124">
      <c r="A124" s="21">
        <v>123.0</v>
      </c>
      <c r="B124" s="17" t="s">
        <v>1344</v>
      </c>
      <c r="C124" s="17" t="s">
        <v>1345</v>
      </c>
      <c r="D124" s="17" t="s">
        <v>1346</v>
      </c>
      <c r="E124" s="20"/>
      <c r="F124" s="2"/>
      <c r="G124" s="2"/>
      <c r="H124" s="2"/>
      <c r="I124" s="5" t="str">
        <f>IFERROR(__xludf.DUMMYFUNCTION("GOOGLETRANSLATE(B124, ""en"", ""zh"")"),"出行礼仪包括：")</f>
        <v>出行礼仪包括：</v>
      </c>
      <c r="J124" s="5" t="str">
        <f>IFERROR(__xludf.DUMMYFUNCTION("GOOGLETRANSLATE(C124, ""en"", ""zh"")"),"A) 不干扰对手 B) 吃子 C) 使用额外的棋子 D) 劫掠威胁")</f>
        <v>A) 不干扰对手 B) 吃子 C) 使用额外的棋子 D) 劫掠威胁</v>
      </c>
      <c r="K124" s="5" t="str">
        <f>IFERROR(__xludf.DUMMYFUNCTION("GOOGLETRANSLATE(D124, ""en"", ""zh"")"),"A) 不分散对手注意力")</f>
        <v>A) 不分散对手注意力</v>
      </c>
      <c r="L124" s="5" t="str">
        <f>IFERROR(__xludf.DUMMYFUNCTION("GOOGLETRANSLATE(E124, ""en"", ""zh"")"),"#VALUE!")</f>
        <v>#VALUE!</v>
      </c>
      <c r="M124" s="2"/>
      <c r="N124" s="2"/>
      <c r="O124" s="2"/>
      <c r="P124" s="2"/>
      <c r="Q124" s="23"/>
      <c r="R124" s="23"/>
      <c r="S124" s="23"/>
      <c r="T124" s="23"/>
      <c r="U124" s="23"/>
      <c r="V124" s="23"/>
      <c r="W124" s="23"/>
      <c r="X124" s="23"/>
      <c r="Y124" s="23"/>
      <c r="Z124" s="23"/>
    </row>
    <row r="125">
      <c r="A125" s="21">
        <v>124.0</v>
      </c>
      <c r="B125" s="17" t="s">
        <v>1347</v>
      </c>
      <c r="C125" s="17" t="s">
        <v>1348</v>
      </c>
      <c r="D125" s="17" t="s">
        <v>1349</v>
      </c>
      <c r="E125" s="20"/>
      <c r="F125" s="2"/>
      <c r="G125" s="2"/>
      <c r="H125" s="2"/>
      <c r="I125" s="5" t="str">
        <f>IFERROR(__xludf.DUMMYFUNCTION("GOOGLETRANSLATE(B125, ""en"", ""zh"")"),"玩家应该：")</f>
        <v>玩家应该：</v>
      </c>
      <c r="J125" s="5" t="str">
        <f>IFERROR(__xludf.DUMMYFUNCTION("GOOGLETRANSLATE(C125, ""en"", ""zh"")"),"A) 除了下棋之外，双手不要放在棋盘上 B) 触碰对方的棋子 C) 移动对方的棋子 D) 传递棋子")</f>
        <v>A) 除了下棋之外，双手不要放在棋盘上 B) 触碰对方的棋子 C) 移动对方的棋子 D) 传递棋子</v>
      </c>
      <c r="K125" s="5" t="str">
        <f>IFERROR(__xludf.DUMMYFUNCTION("GOOGLETRANSLATE(D125, ""en"", ""zh"")"),"A) 除了放置棋子外，请勿用手触摸棋盘。")</f>
        <v>A) 除了放置棋子外，请勿用手触摸棋盘。</v>
      </c>
      <c r="L125" s="5" t="str">
        <f>IFERROR(__xludf.DUMMYFUNCTION("GOOGLETRANSLATE(E125, ""en"", ""zh"")"),"#VALUE!")</f>
        <v>#VALUE!</v>
      </c>
      <c r="M125" s="2"/>
      <c r="N125" s="2"/>
      <c r="O125" s="2"/>
      <c r="P125" s="2"/>
      <c r="Q125" s="23"/>
      <c r="R125" s="23"/>
      <c r="S125" s="23"/>
      <c r="T125" s="23"/>
      <c r="U125" s="23"/>
      <c r="V125" s="23"/>
      <c r="W125" s="23"/>
      <c r="X125" s="23"/>
      <c r="Y125" s="23"/>
      <c r="Z125" s="23"/>
    </row>
    <row r="126">
      <c r="A126" s="21">
        <v>125.0</v>
      </c>
      <c r="B126" s="17" t="s">
        <v>1350</v>
      </c>
      <c r="C126" s="17" t="s">
        <v>1351</v>
      </c>
      <c r="D126" s="17" t="s">
        <v>1352</v>
      </c>
      <c r="E126" s="20"/>
      <c r="F126" s="2"/>
      <c r="G126" s="2"/>
      <c r="H126" s="2"/>
      <c r="I126" s="5" t="str">
        <f>IFERROR(__xludf.DUMMYFUNCTION("GOOGLETRANSLATE(B126, ""en"", ""zh"")"),"正式围棋比赛的时间控制：")</f>
        <v>正式围棋比赛的时间控制：</v>
      </c>
      <c r="J126" s="5" t="str">
        <f>IFERROR(__xludf.DUMMYFUNCTION("GOOGLETRANSLATE(C126, ""en"", ""zh"")"),"A) 按时钟计时（主时间 + 读秒） B) 无计时 C) 仅鼓手计时 D) 可选秒表")</f>
        <v>A) 按时钟计时（主时间 + 读秒） B) 无计时 C) 仅鼓手计时 D) 可选秒表</v>
      </c>
      <c r="K126" s="5" t="str">
        <f>IFERROR(__xludf.DUMMYFUNCTION("GOOGLETRANSLATE(D126, ""en"", ""zh"")"),"A) 按时钟（主时间 + 读音）")</f>
        <v>A) 按时钟（主时间 + 读音）</v>
      </c>
      <c r="L126" s="5" t="str">
        <f>IFERROR(__xludf.DUMMYFUNCTION("GOOGLETRANSLATE(E126, ""en"", ""zh"")"),"#VALUE!")</f>
        <v>#VALUE!</v>
      </c>
      <c r="M126" s="2"/>
      <c r="N126" s="2"/>
      <c r="O126" s="2"/>
      <c r="P126" s="2"/>
      <c r="Q126" s="23"/>
      <c r="R126" s="23"/>
      <c r="S126" s="23"/>
      <c r="T126" s="23"/>
      <c r="U126" s="23"/>
      <c r="V126" s="23"/>
      <c r="W126" s="23"/>
      <c r="X126" s="23"/>
      <c r="Y126" s="23"/>
      <c r="Z126" s="23"/>
    </row>
    <row r="127">
      <c r="A127" s="21">
        <v>126.0</v>
      </c>
      <c r="B127" s="17" t="s">
        <v>1353</v>
      </c>
      <c r="C127" s="17" t="s">
        <v>1354</v>
      </c>
      <c r="D127" s="17" t="s">
        <v>1355</v>
      </c>
      <c r="E127" s="20"/>
      <c r="F127" s="2"/>
      <c r="G127" s="2"/>
      <c r="H127" s="2"/>
      <c r="I127" s="5" t="str">
        <f>IFERROR(__xludf.DUMMYFUNCTION("GOOGLETRANSLATE(B127, ""en"", ""zh"")"),"“读音”指的是：")</f>
        <v>“读音”指的是：</v>
      </c>
      <c r="J127" s="5" t="str">
        <f>IFERROR(__xludf.DUMMYFUNCTION("GOOGLETRANSLATE(C127, ""en"", ""zh"")"),"A) 加班时间 B) 开幕式 C) 捕获 D) 让分")</f>
        <v>A) 加班时间 B) 开幕式 C) 捕获 D) 让分</v>
      </c>
      <c r="K127" s="5" t="str">
        <f>IFERROR(__xludf.DUMMYFUNCTION("GOOGLETRANSLATE(D127, ""en"", ""zh"")"),"A) 加班时间")</f>
        <v>A) 加班时间</v>
      </c>
      <c r="L127" s="5" t="str">
        <f>IFERROR(__xludf.DUMMYFUNCTION("GOOGLETRANSLATE(E127, ""en"", ""zh"")"),"#VALUE!")</f>
        <v>#VALUE!</v>
      </c>
      <c r="M127" s="2"/>
      <c r="N127" s="2"/>
      <c r="O127" s="2"/>
      <c r="P127" s="2"/>
      <c r="Q127" s="23"/>
      <c r="R127" s="23"/>
      <c r="S127" s="23"/>
      <c r="T127" s="23"/>
      <c r="U127" s="23"/>
      <c r="V127" s="23"/>
      <c r="W127" s="23"/>
      <c r="X127" s="23"/>
      <c r="Y127" s="23"/>
      <c r="Z127" s="23"/>
    </row>
    <row r="128">
      <c r="A128" s="21">
        <v>127.0</v>
      </c>
      <c r="B128" s="17" t="s">
        <v>1356</v>
      </c>
      <c r="C128" s="17" t="s">
        <v>1357</v>
      </c>
      <c r="D128" s="17" t="s">
        <v>1358</v>
      </c>
      <c r="E128" s="20"/>
      <c r="F128" s="2"/>
      <c r="G128" s="2"/>
      <c r="H128" s="2"/>
      <c r="I128" s="5" t="str">
        <f>IFERROR(__xludf.DUMMYFUNCTION("GOOGLETRANSLATE(B128, ""en"", ""zh"")"),"围棋规则要求吃掉的棋子必须：")</f>
        <v>围棋规则要求吃掉的棋子必须：</v>
      </c>
      <c r="J128" s="5" t="str">
        <f>IFERROR(__xludf.DUMMYFUNCTION("GOOGLETRANSLATE(C128, ""en"", ""zh"")"),"A) 从板上移除并清点 B) 留在板上 C) 移动 D) 放回")</f>
        <v>A) 从板上移除并清点 B) 留在板上 C) 移动 D) 放回</v>
      </c>
      <c r="K128" s="5" t="str">
        <f>IFERROR(__xludf.DUMMYFUNCTION("GOOGLETRANSLATE(D128, ""en"", ""zh"")"),"A) 从板上取下并计数")</f>
        <v>A) 从板上取下并计数</v>
      </c>
      <c r="L128" s="5" t="str">
        <f>IFERROR(__xludf.DUMMYFUNCTION("GOOGLETRANSLATE(E128, ""en"", ""zh"")"),"#VALUE!")</f>
        <v>#VALUE!</v>
      </c>
      <c r="M128" s="2"/>
      <c r="N128" s="2"/>
      <c r="O128" s="2"/>
      <c r="P128" s="2"/>
      <c r="Q128" s="23"/>
      <c r="R128" s="23"/>
      <c r="S128" s="23"/>
      <c r="T128" s="23"/>
      <c r="U128" s="23"/>
      <c r="V128" s="23"/>
      <c r="W128" s="23"/>
      <c r="X128" s="23"/>
      <c r="Y128" s="23"/>
      <c r="Z128" s="23"/>
    </row>
    <row r="129">
      <c r="A129" s="21">
        <v>128.0</v>
      </c>
      <c r="B129" s="17" t="s">
        <v>1359</v>
      </c>
      <c r="C129" s="17" t="s">
        <v>1360</v>
      </c>
      <c r="D129" s="17" t="s">
        <v>1361</v>
      </c>
      <c r="E129" s="20"/>
      <c r="F129" s="2"/>
      <c r="G129" s="2"/>
      <c r="H129" s="2"/>
      <c r="I129" s="5" t="str">
        <f>IFERROR(__xludf.DUMMYFUNCTION("GOOGLETRANSLATE(B129, ""en"", ""zh"")"),"球员在以下情况下必须传球：")</f>
        <v>球员在以下情况下必须传球：</v>
      </c>
      <c r="J129" s="5" t="str">
        <f>IFERROR(__xludf.DUMMYFUNCTION("GOOGLETRANSLATE(C129, ""en"", ""zh"")"),"A) 无有效走法 B) 棋盘已满 C) 劫争威胁 D) 使用让子")</f>
        <v>A) 无有效走法 B) 棋盘已满 C) 劫争威胁 D) 使用让子</v>
      </c>
      <c r="K129" s="5" t="str">
        <f>IFERROR(__xludf.DUMMYFUNCTION("GOOGLETRANSLATE(D129, ""en"", ""zh"")"),"A) 已无有效行动。")</f>
        <v>A) 已无有效行动。</v>
      </c>
      <c r="L129" s="5" t="str">
        <f>IFERROR(__xludf.DUMMYFUNCTION("GOOGLETRANSLATE(E129, ""en"", ""zh"")"),"#VALUE!")</f>
        <v>#VALUE!</v>
      </c>
      <c r="M129" s="2"/>
      <c r="N129" s="2"/>
      <c r="O129" s="2"/>
      <c r="P129" s="2"/>
      <c r="Q129" s="23"/>
      <c r="R129" s="23"/>
      <c r="S129" s="23"/>
      <c r="T129" s="23"/>
      <c r="U129" s="23"/>
      <c r="V129" s="23"/>
      <c r="W129" s="23"/>
      <c r="X129" s="23"/>
      <c r="Y129" s="23"/>
      <c r="Z129" s="23"/>
    </row>
    <row r="130">
      <c r="A130" s="21">
        <v>129.0</v>
      </c>
      <c r="B130" s="17" t="s">
        <v>1362</v>
      </c>
      <c r="C130" s="17" t="s">
        <v>1363</v>
      </c>
      <c r="D130" s="17" t="s">
        <v>1364</v>
      </c>
      <c r="E130" s="20"/>
      <c r="F130" s="2"/>
      <c r="G130" s="2"/>
      <c r="H130" s="2"/>
      <c r="I130" s="5" t="str">
        <f>IFERROR(__xludf.DUMMYFUNCTION("GOOGLETRANSLATE(B130, ""en"", ""zh"")"),"恰当的礼仪包括：")</f>
        <v>恰当的礼仪包括：</v>
      </c>
      <c r="J130" s="5" t="str">
        <f>IFERROR(__xludf.DUMMYFUNCTION("GOOGLETRANSLATE(C130, ""en"", ""zh"")"),"A) 握手 B) 吃子 C) 放棋 D) 无视对手")</f>
        <v>A) 握手 B) 吃子 C) 放棋 D) 无视对手</v>
      </c>
      <c r="K130" s="5" t="str">
        <f>IFERROR(__xludf.DUMMYFUNCTION("GOOGLETRANSLATE(D130, ""en"", ""zh"")"),"A) 握手")</f>
        <v>A) 握手</v>
      </c>
      <c r="L130" s="5" t="str">
        <f>IFERROR(__xludf.DUMMYFUNCTION("GOOGLETRANSLATE(E130, ""en"", ""zh"")"),"#VALUE!")</f>
        <v>#VALUE!</v>
      </c>
      <c r="M130" s="2"/>
      <c r="N130" s="2"/>
      <c r="O130" s="2"/>
      <c r="P130" s="2"/>
      <c r="Q130" s="23"/>
      <c r="R130" s="23"/>
      <c r="S130" s="23"/>
      <c r="T130" s="23"/>
      <c r="U130" s="23"/>
      <c r="V130" s="23"/>
      <c r="W130" s="23"/>
      <c r="X130" s="23"/>
      <c r="Y130" s="23"/>
      <c r="Z130" s="23"/>
    </row>
    <row r="131">
      <c r="A131" s="21">
        <v>130.0</v>
      </c>
      <c r="B131" s="17" t="s">
        <v>1365</v>
      </c>
      <c r="C131" s="17" t="s">
        <v>1366</v>
      </c>
      <c r="D131" s="17" t="s">
        <v>1367</v>
      </c>
      <c r="E131" s="20"/>
      <c r="F131" s="2"/>
      <c r="G131" s="2"/>
      <c r="H131" s="2"/>
      <c r="I131" s="5" t="str">
        <f>IFERROR(__xludf.DUMMYFUNCTION("GOOGLETRANSLATE(B131, ""en"", ""zh"")"),"如果玩家下出一枚没有自由的棋子，并且这枚棋子没有吃子，会发生什么？")</f>
        <v>如果玩家下出一枚没有自由的棋子，并且这枚棋子没有吃子，会发生什么？</v>
      </c>
      <c r="J131" s="5" t="str">
        <f>IFERROR(__xludf.DUMMYFUNCTION("GOOGLETRANSLATE(C131, ""en"", ""zh"")"),"A) 犯规 B) 非法移动（自杀） C) 占领领地 D) 过关")</f>
        <v>A) 犯规 B) 非法移动（自杀） C) 占领领地 D) 过关</v>
      </c>
      <c r="K131" s="5" t="str">
        <f>IFERROR(__xludf.DUMMYFUNCTION("GOOGLETRANSLATE(D131, ""en"", ""zh"")"),"B) 非法举动（自杀）")</f>
        <v>B) 非法举动（自杀）</v>
      </c>
      <c r="L131" s="5" t="str">
        <f>IFERROR(__xludf.DUMMYFUNCTION("GOOGLETRANSLATE(E131, ""en"", ""zh"")"),"#VALUE!")</f>
        <v>#VALUE!</v>
      </c>
      <c r="M131" s="2"/>
      <c r="N131" s="2"/>
      <c r="O131" s="2"/>
      <c r="P131" s="2"/>
      <c r="Q131" s="23"/>
      <c r="R131" s="23"/>
      <c r="S131" s="23"/>
      <c r="T131" s="23"/>
      <c r="U131" s="23"/>
      <c r="V131" s="23"/>
      <c r="W131" s="23"/>
      <c r="X131" s="23"/>
      <c r="Y131" s="23"/>
      <c r="Z131" s="23"/>
    </row>
    <row r="132">
      <c r="A132" s="21">
        <v>131.0</v>
      </c>
      <c r="B132" s="17" t="s">
        <v>1368</v>
      </c>
      <c r="C132" s="17" t="s">
        <v>1369</v>
      </c>
      <c r="D132" s="17" t="s">
        <v>1370</v>
      </c>
      <c r="E132" s="20"/>
      <c r="F132" s="2"/>
      <c r="G132" s="2"/>
      <c r="H132" s="2"/>
      <c r="I132" s="5" t="str">
        <f>IFERROR(__xludf.DUMMYFUNCTION("GOOGLETRANSLATE(B132, ""en"", ""zh"")"),"Go 语言中的“回弹”是什么？")</f>
        <v>Go 语言中的“回弹”是什么？</v>
      </c>
      <c r="J132" s="5" t="str">
        <f>IFERROR(__xludf.DUMMYFUNCTION("GOOGLETRANSLATE(C132, ""en"", ""zh"")"),"A) 石头回到手中 B) 被夺取的石头立即被重新夺回 C) 领土缩小 D) 先手移动")</f>
        <v>A) 石头回到手中 B) 被夺取的石头立即被重新夺回 C) 领土缩小 D) 先手移动</v>
      </c>
      <c r="K132" s="5" t="str">
        <f>IFERROR(__xludf.DUMMYFUNCTION("GOOGLETRANSLATE(D132, ""en"", ""zh"")"),"B）被夺取的石头立即被重新夺回")</f>
        <v>B）被夺取的石头立即被重新夺回</v>
      </c>
      <c r="L132" s="5" t="str">
        <f>IFERROR(__xludf.DUMMYFUNCTION("GOOGLETRANSLATE(E132, ""en"", ""zh"")"),"#VALUE!")</f>
        <v>#VALUE!</v>
      </c>
      <c r="M132" s="2"/>
      <c r="N132" s="2"/>
      <c r="O132" s="2"/>
      <c r="P132" s="2"/>
      <c r="Q132" s="23"/>
      <c r="R132" s="23"/>
      <c r="S132" s="23"/>
      <c r="T132" s="23"/>
      <c r="U132" s="23"/>
      <c r="V132" s="23"/>
      <c r="W132" s="23"/>
      <c r="X132" s="23"/>
      <c r="Y132" s="23"/>
      <c r="Z132" s="23"/>
    </row>
    <row r="133">
      <c r="A133" s="21">
        <v>132.0</v>
      </c>
      <c r="B133" s="17" t="s">
        <v>1371</v>
      </c>
      <c r="C133" s="17" t="s">
        <v>258</v>
      </c>
      <c r="D133" s="17" t="s">
        <v>920</v>
      </c>
      <c r="E133" s="20"/>
      <c r="F133" s="2"/>
      <c r="G133" s="2"/>
      <c r="H133" s="2"/>
      <c r="I133" s="5" t="str">
        <f>IFERROR(__xludf.DUMMYFUNCTION("GOOGLETRANSLATE(B133, ""en"", ""zh"")"),"两级差通常使用多少个让子？")</f>
        <v>两级差通常使用多少个让子？</v>
      </c>
      <c r="J133" s="5" t="str">
        <f>IFERROR(__xludf.DUMMYFUNCTION("GOOGLETRANSLATE(C133, ""en"", ""zh"")"),"A) 1 B) 2 C) 3 D) 4")</f>
        <v>A) 1 B) 2 C) 3 D) 4</v>
      </c>
      <c r="K133" s="5" t="str">
        <f>IFERROR(__xludf.DUMMYFUNCTION("GOOGLETRANSLATE(D133, ""en"", ""zh"")"),"B) 2")</f>
        <v>B) 2</v>
      </c>
      <c r="L133" s="5" t="str">
        <f>IFERROR(__xludf.DUMMYFUNCTION("GOOGLETRANSLATE(E133, ""en"", ""zh"")"),"#VALUE!")</f>
        <v>#VALUE!</v>
      </c>
      <c r="M133" s="2"/>
      <c r="N133" s="2"/>
      <c r="O133" s="2"/>
      <c r="P133" s="2"/>
      <c r="Q133" s="23"/>
      <c r="R133" s="23"/>
      <c r="S133" s="23"/>
      <c r="T133" s="23"/>
      <c r="U133" s="23"/>
      <c r="V133" s="23"/>
      <c r="W133" s="23"/>
      <c r="X133" s="23"/>
      <c r="Y133" s="23"/>
      <c r="Z133" s="23"/>
    </row>
    <row r="134">
      <c r="A134" s="21">
        <v>133.0</v>
      </c>
      <c r="B134" s="17" t="s">
        <v>1372</v>
      </c>
      <c r="C134" s="17" t="s">
        <v>1373</v>
      </c>
      <c r="D134" s="17" t="s">
        <v>1374</v>
      </c>
      <c r="E134" s="20"/>
      <c r="F134" s="2"/>
      <c r="G134" s="2"/>
      <c r="H134" s="2"/>
      <c r="I134" s="5" t="str">
        <f>IFERROR(__xludf.DUMMYFUNCTION("GOOGLETRANSLATE(B134, ""en"", ""zh"")"),"开局策略中的“角球优先”原则是什么？")</f>
        <v>开局策略中的“角球优先”原则是什么？</v>
      </c>
      <c r="J134" s="5" t="str">
        <f>IFERROR(__xludf.DUMMYFUNCTION("GOOGLETRANSLATE(C134, ""en"", ""zh"")"),"A) 先占领角 B) 先占领边 C) 随意放置棋子 D) 吃掉对方的棋子")</f>
        <v>A) 先占领角 B) 先占领边 C) 随意放置棋子 D) 吃掉对方的棋子</v>
      </c>
      <c r="K134" s="5" t="str">
        <f>IFERROR(__xludf.DUMMYFUNCTION("GOOGLETRANSLATE(D134, ""en"", ""zh"")"),"A) 首先固定好边角")</f>
        <v>A) 首先固定好边角</v>
      </c>
      <c r="L134" s="5" t="str">
        <f>IFERROR(__xludf.DUMMYFUNCTION("GOOGLETRANSLATE(E134, ""en"", ""zh"")"),"#VALUE!")</f>
        <v>#VALUE!</v>
      </c>
      <c r="M134" s="2"/>
      <c r="N134" s="2"/>
      <c r="O134" s="2"/>
      <c r="P134" s="2"/>
      <c r="Q134" s="23"/>
      <c r="R134" s="23"/>
      <c r="S134" s="23"/>
      <c r="T134" s="23"/>
      <c r="U134" s="23"/>
      <c r="V134" s="23"/>
      <c r="W134" s="23"/>
      <c r="X134" s="23"/>
      <c r="Y134" s="23"/>
      <c r="Z134" s="23"/>
    </row>
    <row r="135">
      <c r="A135" s="21">
        <v>134.0</v>
      </c>
      <c r="B135" s="17" t="s">
        <v>1375</v>
      </c>
      <c r="C135" s="17" t="s">
        <v>1376</v>
      </c>
      <c r="D135" s="17" t="s">
        <v>1377</v>
      </c>
      <c r="E135" s="20"/>
      <c r="F135" s="2"/>
      <c r="G135" s="2"/>
      <c r="H135" s="2"/>
      <c r="I135" s="5" t="str">
        <f>IFERROR(__xludf.DUMMYFUNCTION("GOOGLETRANSLATE(B135, ""en"", ""zh"")"),"哪种招式类型被认为是“gote”？")</f>
        <v>哪种招式类型被认为是“gote”？</v>
      </c>
      <c r="J135" s="5" t="str">
        <f>IFERROR(__xludf.DUMMYFUNCTION("GOOGLETRANSLATE(C135, ""en"", ""zh"")"),"A) 迫使对手回应 B) 非强制性招式 C) 捕获招式 D) 先手招式")</f>
        <v>A) 迫使对手回应 B) 非强制性招式 C) 捕获招式 D) 先手招式</v>
      </c>
      <c r="K135" s="5" t="str">
        <f>IFERROR(__xludf.DUMMYFUNCTION("GOOGLETRANSLATE(D135, ""en"", ""zh"")"),"B) 非强制性移动")</f>
        <v>B) 非强制性移动</v>
      </c>
      <c r="L135" s="5" t="str">
        <f>IFERROR(__xludf.DUMMYFUNCTION("GOOGLETRANSLATE(E135, ""en"", ""zh"")"),"#VALUE!")</f>
        <v>#VALUE!</v>
      </c>
      <c r="M135" s="2"/>
      <c r="N135" s="2"/>
      <c r="O135" s="2"/>
      <c r="P135" s="2"/>
      <c r="Q135" s="23"/>
      <c r="R135" s="23"/>
      <c r="S135" s="23"/>
      <c r="T135" s="23"/>
      <c r="U135" s="23"/>
      <c r="V135" s="23"/>
      <c r="W135" s="23"/>
      <c r="X135" s="23"/>
      <c r="Y135" s="23"/>
      <c r="Z135" s="23"/>
    </row>
    <row r="136">
      <c r="A136" s="21">
        <v>135.0</v>
      </c>
      <c r="B136" s="17" t="s">
        <v>1378</v>
      </c>
      <c r="C136" s="17" t="s">
        <v>1379</v>
      </c>
      <c r="D136" s="17" t="s">
        <v>1247</v>
      </c>
      <c r="E136" s="20"/>
      <c r="F136" s="2"/>
      <c r="G136" s="2"/>
      <c r="H136" s="2"/>
      <c r="I136" s="5" t="str">
        <f>IFERROR(__xludf.DUMMYFUNCTION("GOOGLETRANSLATE(B136, ""en"", ""zh"")"),"围棋中的“miai”是什么？")</f>
        <v>围棋中的“miai”是什么？</v>
      </c>
      <c r="J136" s="5" t="str">
        <f>IFERROR(__xludf.DUMMYFUNCTION("GOOGLETRANSLATE(C136, ""en"", ""zh"")"),"A) 两分等值 B) 梯子战术 C) 吃子 D) 劫掠威胁")</f>
        <v>A) 两分等值 B) 梯子战术 C) 吃子 D) 劫掠威胁</v>
      </c>
      <c r="K136" s="5" t="str">
        <f>IFERROR(__xludf.DUMMYFUNCTION("GOOGLETRANSLATE(D136, ""en"", ""zh"")"),"A) 两个等值的点")</f>
        <v>A) 两个等值的点</v>
      </c>
      <c r="L136" s="5" t="str">
        <f>IFERROR(__xludf.DUMMYFUNCTION("GOOGLETRANSLATE(E136, ""en"", ""zh"")"),"#VALUE!")</f>
        <v>#VALUE!</v>
      </c>
      <c r="M136" s="2"/>
      <c r="N136" s="2"/>
      <c r="O136" s="2"/>
      <c r="P136" s="2"/>
      <c r="Q136" s="23"/>
      <c r="R136" s="23"/>
      <c r="S136" s="23"/>
      <c r="T136" s="23"/>
      <c r="U136" s="23"/>
      <c r="V136" s="23"/>
      <c r="W136" s="23"/>
      <c r="X136" s="23"/>
      <c r="Y136" s="23"/>
      <c r="Z136" s="23"/>
    </row>
    <row r="137">
      <c r="A137" s="22">
        <v>136.0</v>
      </c>
      <c r="B137" s="17" t="s">
        <v>1380</v>
      </c>
      <c r="C137" s="17" t="s">
        <v>1381</v>
      </c>
      <c r="D137" s="17" t="s">
        <v>1382</v>
      </c>
      <c r="E137" s="20"/>
      <c r="F137" s="2"/>
      <c r="G137" s="2"/>
      <c r="H137" s="2"/>
      <c r="I137" s="5" t="str">
        <f>IFERROR(__xludf.DUMMYFUNCTION("GOOGLETRANSLATE(B137, ""en"", ""zh"")"),"“定句”的目的是什么？")</f>
        <v>“定句”的目的是什么？</v>
      </c>
      <c r="J137" s="5" t="str">
        <f>IFERROR(__xludf.DUMMYFUNCTION("GOOGLETRANSLATE(C137, ""en"", ""zh"")"),"A) 标准化角球序列 B) 终局得分 C) 传球动作 D) 抢占区域")</f>
        <v>A) 标准化角球序列 B) 终局得分 C) 传球动作 D) 抢占区域</v>
      </c>
      <c r="K137" s="5" t="str">
        <f>IFERROR(__xludf.DUMMYFUNCTION("GOOGLETRANSLATE(D137, ""en"", ""zh"")"),"A) 标准化角球序列")</f>
        <v>A) 标准化角球序列</v>
      </c>
      <c r="L137" s="5" t="str">
        <f>IFERROR(__xludf.DUMMYFUNCTION("GOOGLETRANSLATE(E137, ""en"", ""zh"")"),"#VALUE!")</f>
        <v>#VALUE!</v>
      </c>
      <c r="M137" s="2"/>
      <c r="N137" s="2"/>
      <c r="O137" s="2"/>
      <c r="P137" s="2"/>
      <c r="Q137" s="23"/>
      <c r="R137" s="23"/>
      <c r="S137" s="23"/>
      <c r="T137" s="23"/>
      <c r="U137" s="23"/>
      <c r="V137" s="23"/>
      <c r="W137" s="23"/>
      <c r="X137" s="23"/>
      <c r="Y137" s="23"/>
      <c r="Z137" s="23"/>
    </row>
    <row r="138">
      <c r="A138" s="22">
        <v>137.0</v>
      </c>
      <c r="B138" s="17" t="s">
        <v>1383</v>
      </c>
      <c r="C138" s="17" t="s">
        <v>1384</v>
      </c>
      <c r="D138" s="17" t="s">
        <v>1385</v>
      </c>
      <c r="E138" s="20"/>
      <c r="F138" s="2"/>
      <c r="G138" s="2"/>
      <c r="H138" s="2"/>
      <c r="I138" s="5" t="str">
        <f>IFERROR(__xludf.DUMMYFUNCTION("GOOGLETRANSLATE(B138, ""en"", ""zh"")"),"如何将“梯子”用于战略布局？")</f>
        <v>如何将“梯子”用于战略布局？</v>
      </c>
      <c r="J138" s="5" t="str">
        <f>IFERROR(__xludf.DUMMYFUNCTION("GOOGLETRANSLATE(C138, ""en"", ""zh"")"),"A) 按顺序吃子 B) 扩张领土 C) 残局得分 D) 让子")</f>
        <v>A) 按顺序吃子 B) 扩张领土 C) 残局得分 D) 让子</v>
      </c>
      <c r="K138" s="5" t="str">
        <f>IFERROR(__xludf.DUMMYFUNCTION("GOOGLETRANSLATE(D138, ""en"", ""zh"")"),"A) 按顺序捕获石子")</f>
        <v>A) 按顺序捕获石子</v>
      </c>
      <c r="L138" s="5" t="str">
        <f>IFERROR(__xludf.DUMMYFUNCTION("GOOGLETRANSLATE(E138, ""en"", ""zh"")"),"#VALUE!")</f>
        <v>#VALUE!</v>
      </c>
      <c r="M138" s="2"/>
      <c r="N138" s="2"/>
      <c r="O138" s="2"/>
      <c r="P138" s="2"/>
      <c r="Q138" s="23"/>
      <c r="R138" s="23"/>
      <c r="S138" s="23"/>
      <c r="T138" s="23"/>
      <c r="U138" s="23"/>
      <c r="V138" s="23"/>
      <c r="W138" s="23"/>
      <c r="X138" s="23"/>
      <c r="Y138" s="23"/>
      <c r="Z138" s="23"/>
    </row>
    <row r="139">
      <c r="A139" s="22">
        <v>138.0</v>
      </c>
      <c r="B139" s="17" t="s">
        <v>1386</v>
      </c>
      <c r="C139" s="17" t="s">
        <v>1387</v>
      </c>
      <c r="D139" s="17" t="s">
        <v>1388</v>
      </c>
      <c r="E139" s="20"/>
      <c r="F139" s="2"/>
      <c r="G139" s="2"/>
      <c r="H139" s="2"/>
      <c r="I139" s="5" t="str">
        <f>IFERROR(__xludf.DUMMYFUNCTION("GOOGLETRANSLATE(B139, ""en"", ""zh"")"),"球员何时可以合法传球？")</f>
        <v>球员何时可以合法传球？</v>
      </c>
      <c r="J139" s="5" t="str">
        <f>IFERROR(__xludf.DUMMYFUNCTION("GOOGLETRANSLATE(C139, ""en"", ""zh"")"),"A) 仅限一次 B) 随时 C) 仅限击倒 D) 当没有有效招式时")</f>
        <v>A) 仅限一次 B) 随时 C) 仅限击倒 D) 当没有有效招式时</v>
      </c>
      <c r="K139" s="5" t="str">
        <f>IFERROR(__xludf.DUMMYFUNCTION("GOOGLETRANSLATE(D139, ""en"", ""zh"")"),"D) 当没有有效的走法时")</f>
        <v>D) 当没有有效的走法时</v>
      </c>
      <c r="L139" s="5" t="str">
        <f>IFERROR(__xludf.DUMMYFUNCTION("GOOGLETRANSLATE(E139, ""en"", ""zh"")"),"#VALUE!")</f>
        <v>#VALUE!</v>
      </c>
      <c r="M139" s="2"/>
      <c r="N139" s="2"/>
      <c r="O139" s="2"/>
      <c r="P139" s="2"/>
      <c r="Q139" s="23"/>
      <c r="R139" s="23"/>
      <c r="S139" s="23"/>
      <c r="T139" s="23"/>
      <c r="U139" s="23"/>
      <c r="V139" s="23"/>
      <c r="W139" s="23"/>
      <c r="X139" s="23"/>
      <c r="Y139" s="23"/>
      <c r="Z139" s="23"/>
    </row>
    <row r="140">
      <c r="A140" s="22">
        <v>139.0</v>
      </c>
      <c r="B140" s="17" t="s">
        <v>1389</v>
      </c>
      <c r="C140" s="17" t="s">
        <v>1390</v>
      </c>
      <c r="D140" s="17" t="s">
        <v>1391</v>
      </c>
      <c r="E140" s="20"/>
      <c r="F140" s="2"/>
      <c r="G140" s="2"/>
      <c r="H140" s="2"/>
      <c r="I140" s="5" t="str">
        <f>IFERROR(__xludf.DUMMYFUNCTION("GOOGLETRANSLATE(B140, ""en"", ""zh"")"),"日本法律中如何计算“领土”？")</f>
        <v>日本法律中如何计算“领土”？</v>
      </c>
      <c r="J140" s="5" t="str">
        <f>IFERROR(__xludf.DUMMYFUNCTION("GOOGLETRANSLATE(C140, ""en"", ""zh"")"),"A) 棋盘上的棋子 B) 空点周围 + 已吃掉的棋子 C) 仅已吃掉的棋子 D) 边缘点")</f>
        <v>A) 棋盘上的棋子 B) 空点周围 + 已吃掉的棋子 C) 仅已吃掉的棋子 D) 边缘点</v>
      </c>
      <c r="K140" s="5" t="str">
        <f>IFERROR(__xludf.DUMMYFUNCTION("GOOGLETRANSLATE(D140, ""en"", ""zh"")"),"B) 空点被包围 + 被占领的石头")</f>
        <v>B) 空点被包围 + 被占领的石头</v>
      </c>
      <c r="L140" s="5" t="str">
        <f>IFERROR(__xludf.DUMMYFUNCTION("GOOGLETRANSLATE(E140, ""en"", ""zh"")"),"#VALUE!")</f>
        <v>#VALUE!</v>
      </c>
      <c r="M140" s="2"/>
      <c r="N140" s="2"/>
      <c r="O140" s="2"/>
      <c r="P140" s="2"/>
      <c r="Q140" s="23"/>
      <c r="R140" s="23"/>
      <c r="S140" s="23"/>
      <c r="T140" s="23"/>
      <c r="U140" s="23"/>
      <c r="V140" s="23"/>
      <c r="W140" s="23"/>
      <c r="X140" s="23"/>
      <c r="Y140" s="23"/>
      <c r="Z140" s="23"/>
    </row>
    <row r="141">
      <c r="A141" s="22">
        <v>140.0</v>
      </c>
      <c r="B141" s="17" t="s">
        <v>1392</v>
      </c>
      <c r="C141" s="17" t="s">
        <v>1393</v>
      </c>
      <c r="D141" s="17" t="s">
        <v>1205</v>
      </c>
      <c r="E141" s="20"/>
      <c r="F141" s="2"/>
      <c r="G141" s="2"/>
      <c r="H141" s="2"/>
      <c r="I141" s="5" t="str">
        <f>IFERROR(__xludf.DUMMYFUNCTION("GOOGLETRANSLATE(B141, ""en"", ""zh"")"),"什么是“seki”？")</f>
        <v>什么是“seki”？</v>
      </c>
      <c r="J141" s="5" t="str">
        <f>IFERROR(__xludf.DUMMYFUNCTION("GOOGLETRANSLATE(C141, ""en"", ""zh"")"),"A) 双方生命 B) 吃子 C) 开局 D) 劫威胁")</f>
        <v>A) 双方生命 B) 吃子 C) 开局 D) 劫威胁</v>
      </c>
      <c r="K141" s="5" t="str">
        <f>IFERROR(__xludf.DUMMYFUNCTION("GOOGLETRANSLATE(D141, ""en"", ""zh"")"),"A) 共同生活")</f>
        <v>A) 共同生活</v>
      </c>
      <c r="L141" s="5" t="str">
        <f>IFERROR(__xludf.DUMMYFUNCTION("GOOGLETRANSLATE(E141, ""en"", ""zh"")"),"#VALUE!")</f>
        <v>#VALUE!</v>
      </c>
      <c r="M141" s="2"/>
      <c r="N141" s="2"/>
      <c r="O141" s="2"/>
      <c r="P141" s="2"/>
      <c r="Q141" s="23"/>
      <c r="R141" s="23"/>
      <c r="S141" s="23"/>
      <c r="T141" s="23"/>
      <c r="U141" s="23"/>
      <c r="V141" s="23"/>
      <c r="W141" s="23"/>
      <c r="X141" s="23"/>
      <c r="Y141" s="23"/>
      <c r="Z141" s="23"/>
    </row>
    <row r="142">
      <c r="A142" s="22">
        <v>141.0</v>
      </c>
      <c r="B142" s="17" t="s">
        <v>1394</v>
      </c>
      <c r="C142" s="17" t="s">
        <v>1395</v>
      </c>
      <c r="D142" s="17" t="s">
        <v>1396</v>
      </c>
      <c r="E142" s="20"/>
      <c r="F142" s="2"/>
      <c r="G142" s="2"/>
      <c r="H142" s="2"/>
      <c r="I142" s="5" t="str">
        <f>IFERROR(__xludf.DUMMYFUNCTION("GOOGLETRANSLATE(B142, ""en"", ""zh"")"),"“komi”的目的是什么？")</f>
        <v>“komi”的目的是什么？</v>
      </c>
      <c r="J142" s="5" t="str">
        <f>IFERROR(__xludf.DUMMYFUNCTION("GOOGLETRANSLATE(C142, ""en"", ""zh"")"),"A) 补偿白方后手优势 B) 迫使白方认输 C) 扩大领土 D) 创造劫争")</f>
        <v>A) 补偿白方后手优势 B) 迫使白方认输 C) 扩大领土 D) 创造劫争</v>
      </c>
      <c r="K142" s="5" t="str">
        <f>IFERROR(__xludf.DUMMYFUNCTION("GOOGLETRANSLATE(D142, ""en"", ""zh"")"),"A）补偿白方后手。")</f>
        <v>A）补偿白方后手。</v>
      </c>
      <c r="L142" s="5" t="str">
        <f>IFERROR(__xludf.DUMMYFUNCTION("GOOGLETRANSLATE(E142, ""en"", ""zh"")"),"#VALUE!")</f>
        <v>#VALUE!</v>
      </c>
      <c r="M142" s="2"/>
      <c r="N142" s="2"/>
      <c r="O142" s="2"/>
      <c r="P142" s="2"/>
      <c r="Q142" s="23"/>
      <c r="R142" s="23"/>
      <c r="S142" s="23"/>
      <c r="T142" s="23"/>
      <c r="U142" s="23"/>
      <c r="V142" s="23"/>
      <c r="W142" s="23"/>
      <c r="X142" s="23"/>
      <c r="Y142" s="23"/>
      <c r="Z142" s="23"/>
    </row>
    <row r="143">
      <c r="A143" s="2"/>
      <c r="B143" s="2"/>
      <c r="C143" s="2"/>
      <c r="D143" s="2"/>
      <c r="E143" s="2"/>
      <c r="F143" s="2"/>
      <c r="G143" s="2"/>
      <c r="H143" s="2"/>
      <c r="I143" s="2"/>
      <c r="J143" s="2"/>
      <c r="K143" s="2"/>
      <c r="L143" s="2"/>
      <c r="M143" s="2"/>
      <c r="N143" s="2"/>
      <c r="O143" s="2"/>
      <c r="P143" s="2"/>
      <c r="Q143" s="23"/>
      <c r="R143" s="23"/>
      <c r="S143" s="23"/>
      <c r="T143" s="23"/>
      <c r="U143" s="23"/>
      <c r="V143" s="23"/>
      <c r="W143" s="23"/>
      <c r="X143" s="23"/>
      <c r="Y143" s="23"/>
      <c r="Z143" s="23"/>
    </row>
    <row r="144">
      <c r="A144" s="2"/>
      <c r="B144" s="2"/>
      <c r="C144" s="2"/>
      <c r="D144" s="2"/>
      <c r="E144" s="2"/>
      <c r="F144" s="2"/>
      <c r="G144" s="2"/>
      <c r="H144" s="2"/>
      <c r="I144" s="2"/>
      <c r="J144" s="2"/>
      <c r="K144" s="2"/>
      <c r="L144" s="2"/>
      <c r="M144" s="2"/>
      <c r="N144" s="2"/>
      <c r="O144" s="2"/>
      <c r="P144" s="2"/>
      <c r="Q144" s="23"/>
      <c r="R144" s="23"/>
      <c r="S144" s="23"/>
      <c r="T144" s="23"/>
      <c r="U144" s="23"/>
      <c r="V144" s="23"/>
      <c r="W144" s="23"/>
      <c r="X144" s="23"/>
      <c r="Y144" s="23"/>
      <c r="Z144" s="23"/>
    </row>
    <row r="145">
      <c r="A145" s="2"/>
      <c r="B145" s="2"/>
      <c r="C145" s="2"/>
      <c r="D145" s="2"/>
      <c r="E145" s="2"/>
      <c r="F145" s="2"/>
      <c r="G145" s="2"/>
      <c r="H145" s="2"/>
      <c r="I145" s="2"/>
      <c r="J145" s="2"/>
      <c r="K145" s="2"/>
      <c r="L145" s="2"/>
      <c r="M145" s="2"/>
      <c r="N145" s="2"/>
      <c r="O145" s="2"/>
      <c r="P145" s="2"/>
      <c r="Q145" s="23"/>
      <c r="R145" s="23"/>
      <c r="S145" s="23"/>
      <c r="T145" s="23"/>
      <c r="U145" s="23"/>
      <c r="V145" s="23"/>
      <c r="W145" s="23"/>
      <c r="X145" s="23"/>
      <c r="Y145" s="23"/>
      <c r="Z145" s="23"/>
    </row>
    <row r="146">
      <c r="A146" s="2"/>
      <c r="B146" s="2"/>
      <c r="C146" s="2"/>
      <c r="D146" s="2"/>
      <c r="E146" s="2"/>
      <c r="F146" s="2"/>
      <c r="G146" s="2"/>
      <c r="H146" s="2"/>
      <c r="I146" s="2"/>
      <c r="J146" s="2"/>
      <c r="K146" s="2"/>
      <c r="L146" s="2"/>
      <c r="M146" s="2"/>
      <c r="N146" s="2"/>
      <c r="O146" s="2"/>
      <c r="P146" s="2"/>
      <c r="Q146" s="23"/>
      <c r="R146" s="23"/>
      <c r="S146" s="23"/>
      <c r="T146" s="23"/>
      <c r="U146" s="23"/>
      <c r="V146" s="23"/>
      <c r="W146" s="23"/>
      <c r="X146" s="23"/>
      <c r="Y146" s="23"/>
      <c r="Z146" s="23"/>
    </row>
    <row r="147">
      <c r="A147" s="2"/>
      <c r="B147" s="2"/>
      <c r="C147" s="2"/>
      <c r="D147" s="2"/>
      <c r="E147" s="2"/>
      <c r="F147" s="2"/>
      <c r="G147" s="2"/>
      <c r="H147" s="2"/>
      <c r="I147" s="2"/>
      <c r="J147" s="2"/>
      <c r="K147" s="2"/>
      <c r="L147" s="2"/>
      <c r="M147" s="2"/>
      <c r="N147" s="2"/>
      <c r="O147" s="2"/>
      <c r="P147" s="2"/>
      <c r="Q147" s="23"/>
      <c r="R147" s="23"/>
      <c r="S147" s="23"/>
      <c r="T147" s="23"/>
      <c r="U147" s="23"/>
      <c r="V147" s="23"/>
      <c r="W147" s="23"/>
      <c r="X147" s="23"/>
      <c r="Y147" s="23"/>
      <c r="Z147" s="23"/>
    </row>
    <row r="148">
      <c r="A148" s="2"/>
      <c r="B148" s="2"/>
      <c r="C148" s="2"/>
      <c r="D148" s="2"/>
      <c r="E148" s="2"/>
      <c r="F148" s="2"/>
      <c r="G148" s="2"/>
      <c r="H148" s="2"/>
      <c r="I148" s="2"/>
      <c r="J148" s="2"/>
      <c r="K148" s="2"/>
      <c r="L148" s="2"/>
      <c r="M148" s="2"/>
      <c r="N148" s="2"/>
      <c r="O148" s="2"/>
      <c r="P148" s="2"/>
      <c r="Q148" s="23"/>
      <c r="R148" s="23"/>
      <c r="S148" s="23"/>
      <c r="T148" s="23"/>
      <c r="U148" s="23"/>
      <c r="V148" s="23"/>
      <c r="W148" s="23"/>
      <c r="X148" s="23"/>
      <c r="Y148" s="23"/>
      <c r="Z148" s="23"/>
    </row>
    <row r="149">
      <c r="A149" s="2"/>
      <c r="B149" s="2"/>
      <c r="C149" s="2"/>
      <c r="D149" s="2"/>
      <c r="E149" s="2"/>
      <c r="F149" s="2"/>
      <c r="G149" s="2"/>
      <c r="H149" s="2"/>
      <c r="I149" s="2"/>
      <c r="J149" s="2"/>
      <c r="K149" s="2"/>
      <c r="L149" s="2"/>
      <c r="M149" s="2"/>
      <c r="N149" s="2"/>
      <c r="O149" s="2"/>
      <c r="P149" s="2"/>
      <c r="Q149" s="23"/>
      <c r="R149" s="23"/>
      <c r="S149" s="23"/>
      <c r="T149" s="23"/>
      <c r="U149" s="23"/>
      <c r="V149" s="23"/>
      <c r="W149" s="23"/>
      <c r="X149" s="23"/>
      <c r="Y149" s="23"/>
      <c r="Z149" s="23"/>
    </row>
    <row r="150">
      <c r="A150" s="2"/>
      <c r="B150" s="2"/>
      <c r="C150" s="2"/>
      <c r="D150" s="2"/>
      <c r="E150" s="2"/>
      <c r="F150" s="2"/>
      <c r="G150" s="2"/>
      <c r="H150" s="2"/>
      <c r="I150" s="2"/>
      <c r="J150" s="2"/>
      <c r="K150" s="2"/>
      <c r="L150" s="2"/>
      <c r="M150" s="2"/>
      <c r="N150" s="2"/>
      <c r="O150" s="2"/>
      <c r="P150" s="2"/>
      <c r="Q150" s="23"/>
      <c r="R150" s="23"/>
      <c r="S150" s="23"/>
      <c r="T150" s="23"/>
      <c r="U150" s="23"/>
      <c r="V150" s="23"/>
      <c r="W150" s="23"/>
      <c r="X150" s="23"/>
      <c r="Y150" s="23"/>
      <c r="Z150" s="23"/>
    </row>
    <row r="151">
      <c r="A151" s="2"/>
      <c r="B151" s="2"/>
      <c r="C151" s="2"/>
      <c r="D151" s="2"/>
      <c r="E151" s="2"/>
      <c r="F151" s="2"/>
      <c r="G151" s="2"/>
      <c r="H151" s="2"/>
      <c r="I151" s="2"/>
      <c r="J151" s="2"/>
      <c r="K151" s="2"/>
      <c r="L151" s="2"/>
      <c r="M151" s="2"/>
      <c r="N151" s="2"/>
      <c r="O151" s="2"/>
      <c r="P151" s="2"/>
      <c r="Q151" s="23"/>
      <c r="R151" s="23"/>
      <c r="S151" s="23"/>
      <c r="T151" s="23"/>
      <c r="U151" s="23"/>
      <c r="V151" s="23"/>
      <c r="W151" s="23"/>
      <c r="X151" s="23"/>
      <c r="Y151" s="23"/>
      <c r="Z151" s="23"/>
    </row>
    <row r="152">
      <c r="A152" s="2"/>
      <c r="B152" s="2"/>
      <c r="C152" s="2"/>
      <c r="D152" s="2"/>
      <c r="E152" s="2"/>
      <c r="F152" s="2"/>
      <c r="G152" s="2"/>
      <c r="H152" s="2"/>
      <c r="I152" s="2"/>
      <c r="J152" s="2"/>
      <c r="K152" s="2"/>
      <c r="L152" s="2"/>
      <c r="M152" s="2"/>
      <c r="N152" s="2"/>
      <c r="O152" s="2"/>
      <c r="P152" s="2"/>
      <c r="Q152" s="23"/>
      <c r="R152" s="23"/>
      <c r="S152" s="23"/>
      <c r="T152" s="23"/>
      <c r="U152" s="23"/>
      <c r="V152" s="23"/>
      <c r="W152" s="23"/>
      <c r="X152" s="23"/>
      <c r="Y152" s="23"/>
      <c r="Z152" s="23"/>
    </row>
    <row r="153">
      <c r="A153" s="2"/>
      <c r="B153" s="2"/>
      <c r="C153" s="2"/>
      <c r="D153" s="2"/>
      <c r="E153" s="2"/>
      <c r="F153" s="2"/>
      <c r="G153" s="2"/>
      <c r="H153" s="2"/>
      <c r="I153" s="2"/>
      <c r="J153" s="2"/>
      <c r="K153" s="2"/>
      <c r="L153" s="2"/>
      <c r="M153" s="2"/>
      <c r="N153" s="2"/>
      <c r="O153" s="2"/>
      <c r="P153" s="2"/>
      <c r="Q153" s="23"/>
      <c r="R153" s="23"/>
      <c r="S153" s="23"/>
      <c r="T153" s="23"/>
      <c r="U153" s="23"/>
      <c r="V153" s="23"/>
      <c r="W153" s="23"/>
      <c r="X153" s="23"/>
      <c r="Y153" s="23"/>
      <c r="Z153" s="23"/>
    </row>
    <row r="154">
      <c r="A154" s="2"/>
      <c r="B154" s="2"/>
      <c r="C154" s="2"/>
      <c r="D154" s="2"/>
      <c r="E154" s="2"/>
      <c r="F154" s="2"/>
      <c r="G154" s="2"/>
      <c r="H154" s="2"/>
      <c r="I154" s="2"/>
      <c r="J154" s="2"/>
      <c r="K154" s="2"/>
      <c r="L154" s="2"/>
      <c r="M154" s="2"/>
      <c r="N154" s="2"/>
      <c r="O154" s="2"/>
      <c r="P154" s="2"/>
      <c r="Q154" s="23"/>
      <c r="R154" s="23"/>
      <c r="S154" s="23"/>
      <c r="T154" s="23"/>
      <c r="U154" s="23"/>
      <c r="V154" s="23"/>
      <c r="W154" s="23"/>
      <c r="X154" s="23"/>
      <c r="Y154" s="23"/>
      <c r="Z154" s="23"/>
    </row>
    <row r="155">
      <c r="A155" s="2"/>
      <c r="B155" s="2"/>
      <c r="C155" s="2"/>
      <c r="D155" s="2"/>
      <c r="E155" s="2"/>
      <c r="F155" s="2"/>
      <c r="G155" s="2"/>
      <c r="H155" s="2"/>
      <c r="I155" s="2"/>
      <c r="J155" s="2"/>
      <c r="K155" s="2"/>
      <c r="L155" s="2"/>
      <c r="M155" s="2"/>
      <c r="N155" s="2"/>
      <c r="O155" s="2"/>
      <c r="P155" s="2"/>
      <c r="Q155" s="23"/>
      <c r="R155" s="23"/>
      <c r="S155" s="23"/>
      <c r="T155" s="23"/>
      <c r="U155" s="23"/>
      <c r="V155" s="23"/>
      <c r="W155" s="23"/>
      <c r="X155" s="23"/>
      <c r="Y155" s="23"/>
      <c r="Z155" s="23"/>
    </row>
    <row r="156">
      <c r="A156" s="2"/>
      <c r="B156" s="2"/>
      <c r="C156" s="2"/>
      <c r="D156" s="2"/>
      <c r="E156" s="2"/>
      <c r="F156" s="2"/>
      <c r="G156" s="2"/>
      <c r="H156" s="2"/>
      <c r="I156" s="2"/>
      <c r="J156" s="2"/>
      <c r="K156" s="2"/>
      <c r="L156" s="2"/>
      <c r="M156" s="2"/>
      <c r="N156" s="2"/>
      <c r="O156" s="2"/>
      <c r="P156" s="2"/>
      <c r="Q156" s="23"/>
      <c r="R156" s="23"/>
      <c r="S156" s="23"/>
      <c r="T156" s="23"/>
      <c r="U156" s="23"/>
      <c r="V156" s="23"/>
      <c r="W156" s="23"/>
      <c r="X156" s="23"/>
      <c r="Y156" s="23"/>
      <c r="Z156" s="23"/>
    </row>
    <row r="157">
      <c r="A157" s="2"/>
      <c r="B157" s="2"/>
      <c r="C157" s="2"/>
      <c r="D157" s="2"/>
      <c r="E157" s="2"/>
      <c r="F157" s="2"/>
      <c r="G157" s="2"/>
      <c r="H157" s="2"/>
      <c r="I157" s="2"/>
      <c r="J157" s="2"/>
      <c r="K157" s="2"/>
      <c r="L157" s="2"/>
      <c r="M157" s="2"/>
      <c r="N157" s="2"/>
      <c r="O157" s="2"/>
      <c r="P157" s="2"/>
      <c r="Q157" s="23"/>
      <c r="R157" s="23"/>
      <c r="S157" s="23"/>
      <c r="T157" s="23"/>
      <c r="U157" s="23"/>
      <c r="V157" s="23"/>
      <c r="W157" s="23"/>
      <c r="X157" s="23"/>
      <c r="Y157" s="23"/>
      <c r="Z157" s="23"/>
    </row>
    <row r="158">
      <c r="A158" s="2"/>
      <c r="B158" s="2"/>
      <c r="C158" s="2"/>
      <c r="D158" s="2"/>
      <c r="E158" s="2"/>
      <c r="F158" s="2"/>
      <c r="G158" s="2"/>
      <c r="H158" s="2"/>
      <c r="I158" s="2"/>
      <c r="J158" s="2"/>
      <c r="K158" s="2"/>
      <c r="L158" s="2"/>
      <c r="M158" s="2"/>
      <c r="N158" s="2"/>
      <c r="O158" s="2"/>
      <c r="P158" s="2"/>
      <c r="Q158" s="23"/>
      <c r="R158" s="23"/>
      <c r="S158" s="23"/>
      <c r="T158" s="23"/>
      <c r="U158" s="23"/>
      <c r="V158" s="23"/>
      <c r="W158" s="23"/>
      <c r="X158" s="23"/>
      <c r="Y158" s="23"/>
      <c r="Z158" s="23"/>
    </row>
    <row r="159">
      <c r="A159" s="2"/>
      <c r="B159" s="2"/>
      <c r="C159" s="2"/>
      <c r="D159" s="2"/>
      <c r="E159" s="2"/>
      <c r="F159" s="2"/>
      <c r="G159" s="2"/>
      <c r="H159" s="2"/>
      <c r="I159" s="2"/>
      <c r="J159" s="2"/>
      <c r="K159" s="2"/>
      <c r="L159" s="2"/>
      <c r="M159" s="2"/>
      <c r="N159" s="2"/>
      <c r="O159" s="2"/>
      <c r="P159" s="2"/>
      <c r="Q159" s="23"/>
      <c r="R159" s="23"/>
      <c r="S159" s="23"/>
      <c r="T159" s="23"/>
      <c r="U159" s="23"/>
      <c r="V159" s="23"/>
      <c r="W159" s="23"/>
      <c r="X159" s="23"/>
      <c r="Y159" s="23"/>
      <c r="Z159" s="23"/>
    </row>
    <row r="160">
      <c r="A160" s="2"/>
      <c r="B160" s="2"/>
      <c r="C160" s="2"/>
      <c r="D160" s="2"/>
      <c r="E160" s="2"/>
      <c r="F160" s="2"/>
      <c r="G160" s="2"/>
      <c r="H160" s="2"/>
      <c r="I160" s="2"/>
      <c r="J160" s="2"/>
      <c r="K160" s="2"/>
      <c r="L160" s="2"/>
      <c r="M160" s="2"/>
      <c r="N160" s="2"/>
      <c r="O160" s="2"/>
      <c r="P160" s="2"/>
      <c r="Q160" s="23"/>
      <c r="R160" s="23"/>
      <c r="S160" s="23"/>
      <c r="T160" s="23"/>
      <c r="U160" s="23"/>
      <c r="V160" s="23"/>
      <c r="W160" s="23"/>
      <c r="X160" s="23"/>
      <c r="Y160" s="23"/>
      <c r="Z160" s="23"/>
    </row>
    <row r="161">
      <c r="A161" s="2"/>
      <c r="B161" s="2"/>
      <c r="C161" s="2"/>
      <c r="D161" s="2"/>
      <c r="E161" s="2"/>
      <c r="F161" s="2"/>
      <c r="G161" s="2"/>
      <c r="H161" s="2"/>
      <c r="I161" s="2"/>
      <c r="J161" s="2"/>
      <c r="K161" s="2"/>
      <c r="L161" s="2"/>
      <c r="M161" s="2"/>
      <c r="N161" s="2"/>
      <c r="O161" s="2"/>
      <c r="P161" s="2"/>
      <c r="Q161" s="23"/>
      <c r="R161" s="23"/>
      <c r="S161" s="23"/>
      <c r="T161" s="23"/>
      <c r="U161" s="23"/>
      <c r="V161" s="23"/>
      <c r="W161" s="23"/>
      <c r="X161" s="23"/>
      <c r="Y161" s="23"/>
      <c r="Z161" s="23"/>
    </row>
    <row r="162">
      <c r="A162" s="2"/>
      <c r="B162" s="2"/>
      <c r="C162" s="2"/>
      <c r="D162" s="2"/>
      <c r="E162" s="2"/>
      <c r="F162" s="2"/>
      <c r="G162" s="2"/>
      <c r="H162" s="2"/>
      <c r="I162" s="2"/>
      <c r="J162" s="2"/>
      <c r="K162" s="2"/>
      <c r="L162" s="2"/>
      <c r="M162" s="2"/>
      <c r="N162" s="2"/>
      <c r="O162" s="2"/>
      <c r="P162" s="2"/>
      <c r="Q162" s="23"/>
      <c r="R162" s="23"/>
      <c r="S162" s="23"/>
      <c r="T162" s="23"/>
      <c r="U162" s="23"/>
      <c r="V162" s="23"/>
      <c r="W162" s="23"/>
      <c r="X162" s="23"/>
      <c r="Y162" s="23"/>
      <c r="Z162" s="23"/>
    </row>
    <row r="163">
      <c r="A163" s="2"/>
      <c r="B163" s="2"/>
      <c r="C163" s="2"/>
      <c r="D163" s="2"/>
      <c r="E163" s="2"/>
      <c r="F163" s="2"/>
      <c r="G163" s="2"/>
      <c r="H163" s="2"/>
      <c r="I163" s="2"/>
      <c r="J163" s="2"/>
      <c r="K163" s="2"/>
      <c r="L163" s="2"/>
      <c r="M163" s="2"/>
      <c r="N163" s="2"/>
      <c r="O163" s="2"/>
      <c r="P163" s="2"/>
      <c r="Q163" s="23"/>
      <c r="R163" s="23"/>
      <c r="S163" s="23"/>
      <c r="T163" s="23"/>
      <c r="U163" s="23"/>
      <c r="V163" s="23"/>
      <c r="W163" s="23"/>
      <c r="X163" s="23"/>
      <c r="Y163" s="23"/>
      <c r="Z163" s="23"/>
    </row>
    <row r="164">
      <c r="A164" s="2"/>
      <c r="B164" s="2"/>
      <c r="C164" s="2"/>
      <c r="D164" s="2"/>
      <c r="E164" s="2"/>
      <c r="F164" s="2"/>
      <c r="G164" s="2"/>
      <c r="H164" s="2"/>
      <c r="I164" s="2"/>
      <c r="J164" s="2"/>
      <c r="K164" s="2"/>
      <c r="L164" s="2"/>
      <c r="M164" s="2"/>
      <c r="N164" s="2"/>
      <c r="O164" s="2"/>
      <c r="P164" s="2"/>
      <c r="Q164" s="23"/>
      <c r="R164" s="23"/>
      <c r="S164" s="23"/>
      <c r="T164" s="23"/>
      <c r="U164" s="23"/>
      <c r="V164" s="23"/>
      <c r="W164" s="23"/>
      <c r="X164" s="23"/>
      <c r="Y164" s="23"/>
      <c r="Z164" s="23"/>
    </row>
    <row r="165">
      <c r="A165" s="2"/>
      <c r="B165" s="2"/>
      <c r="C165" s="2"/>
      <c r="D165" s="2"/>
      <c r="E165" s="2"/>
      <c r="F165" s="2"/>
      <c r="G165" s="2"/>
      <c r="H165" s="2"/>
      <c r="I165" s="2"/>
      <c r="J165" s="2"/>
      <c r="K165" s="2"/>
      <c r="L165" s="2"/>
      <c r="M165" s="2"/>
      <c r="N165" s="2"/>
      <c r="O165" s="2"/>
      <c r="P165" s="2"/>
      <c r="Q165" s="23"/>
      <c r="R165" s="23"/>
      <c r="S165" s="23"/>
      <c r="T165" s="23"/>
      <c r="U165" s="23"/>
      <c r="V165" s="23"/>
      <c r="W165" s="23"/>
      <c r="X165" s="23"/>
      <c r="Y165" s="23"/>
      <c r="Z165" s="23"/>
    </row>
    <row r="166">
      <c r="A166" s="2"/>
      <c r="B166" s="2"/>
      <c r="C166" s="2"/>
      <c r="D166" s="2"/>
      <c r="E166" s="2"/>
      <c r="F166" s="2"/>
      <c r="G166" s="2"/>
      <c r="H166" s="2"/>
      <c r="I166" s="2"/>
      <c r="J166" s="2"/>
      <c r="K166" s="2"/>
      <c r="L166" s="2"/>
      <c r="M166" s="2"/>
      <c r="N166" s="2"/>
      <c r="O166" s="2"/>
      <c r="P166" s="2"/>
      <c r="Q166" s="23"/>
      <c r="R166" s="23"/>
      <c r="S166" s="23"/>
      <c r="T166" s="23"/>
      <c r="U166" s="23"/>
      <c r="V166" s="23"/>
      <c r="W166" s="23"/>
      <c r="X166" s="23"/>
      <c r="Y166" s="23"/>
      <c r="Z166" s="23"/>
    </row>
    <row r="167">
      <c r="A167" s="2"/>
      <c r="B167" s="2"/>
      <c r="C167" s="2"/>
      <c r="D167" s="2"/>
      <c r="E167" s="2"/>
      <c r="F167" s="2"/>
      <c r="G167" s="2"/>
      <c r="H167" s="2"/>
      <c r="I167" s="2"/>
      <c r="J167" s="2"/>
      <c r="K167" s="2"/>
      <c r="L167" s="2"/>
      <c r="M167" s="2"/>
      <c r="N167" s="2"/>
      <c r="O167" s="2"/>
      <c r="P167" s="2"/>
      <c r="Q167" s="23"/>
      <c r="R167" s="23"/>
      <c r="S167" s="23"/>
      <c r="T167" s="23"/>
      <c r="U167" s="23"/>
      <c r="V167" s="23"/>
      <c r="W167" s="23"/>
      <c r="X167" s="23"/>
      <c r="Y167" s="23"/>
      <c r="Z167" s="23"/>
    </row>
    <row r="168">
      <c r="A168" s="2"/>
      <c r="B168" s="2"/>
      <c r="C168" s="2"/>
      <c r="D168" s="2"/>
      <c r="E168" s="2"/>
      <c r="F168" s="2"/>
      <c r="G168" s="2"/>
      <c r="H168" s="2"/>
      <c r="I168" s="2"/>
      <c r="J168" s="2"/>
      <c r="K168" s="2"/>
      <c r="L168" s="2"/>
      <c r="M168" s="2"/>
      <c r="N168" s="2"/>
      <c r="O168" s="2"/>
      <c r="P168" s="2"/>
      <c r="Q168" s="23"/>
      <c r="R168" s="23"/>
      <c r="S168" s="23"/>
      <c r="T168" s="23"/>
      <c r="U168" s="23"/>
      <c r="V168" s="23"/>
      <c r="W168" s="23"/>
      <c r="X168" s="23"/>
      <c r="Y168" s="23"/>
      <c r="Z168" s="23"/>
    </row>
    <row r="169">
      <c r="A169" s="2"/>
      <c r="B169" s="2"/>
      <c r="C169" s="2"/>
      <c r="D169" s="2"/>
      <c r="E169" s="2"/>
      <c r="F169" s="2"/>
      <c r="G169" s="2"/>
      <c r="H169" s="2"/>
      <c r="I169" s="2"/>
      <c r="J169" s="2"/>
      <c r="K169" s="2"/>
      <c r="L169" s="2"/>
      <c r="M169" s="2"/>
      <c r="N169" s="2"/>
      <c r="O169" s="2"/>
      <c r="P169" s="2"/>
      <c r="Q169" s="23"/>
      <c r="R169" s="23"/>
      <c r="S169" s="23"/>
      <c r="T169" s="23"/>
      <c r="U169" s="23"/>
      <c r="V169" s="23"/>
      <c r="W169" s="23"/>
      <c r="X169" s="23"/>
      <c r="Y169" s="23"/>
      <c r="Z169" s="23"/>
    </row>
    <row r="170">
      <c r="A170" s="2"/>
      <c r="B170" s="2"/>
      <c r="C170" s="2"/>
      <c r="D170" s="2"/>
      <c r="E170" s="2"/>
      <c r="F170" s="2"/>
      <c r="G170" s="2"/>
      <c r="H170" s="2"/>
      <c r="I170" s="2"/>
      <c r="J170" s="2"/>
      <c r="K170" s="2"/>
      <c r="L170" s="2"/>
      <c r="M170" s="2"/>
      <c r="N170" s="2"/>
      <c r="O170" s="2"/>
      <c r="P170" s="2"/>
      <c r="Q170" s="23"/>
      <c r="R170" s="23"/>
      <c r="S170" s="23"/>
      <c r="T170" s="23"/>
      <c r="U170" s="23"/>
      <c r="V170" s="23"/>
      <c r="W170" s="23"/>
      <c r="X170" s="23"/>
      <c r="Y170" s="23"/>
      <c r="Z170" s="23"/>
    </row>
    <row r="171">
      <c r="A171" s="2"/>
      <c r="B171" s="2"/>
      <c r="C171" s="2"/>
      <c r="D171" s="2"/>
      <c r="E171" s="2"/>
      <c r="F171" s="2"/>
      <c r="G171" s="2"/>
      <c r="H171" s="2"/>
      <c r="I171" s="2"/>
      <c r="J171" s="2"/>
      <c r="K171" s="2"/>
      <c r="L171" s="2"/>
      <c r="M171" s="2"/>
      <c r="N171" s="2"/>
      <c r="O171" s="2"/>
      <c r="P171" s="2"/>
      <c r="Q171" s="23"/>
      <c r="R171" s="23"/>
      <c r="S171" s="23"/>
      <c r="T171" s="23"/>
      <c r="U171" s="23"/>
      <c r="V171" s="23"/>
      <c r="W171" s="23"/>
      <c r="X171" s="23"/>
      <c r="Y171" s="23"/>
      <c r="Z171" s="23"/>
    </row>
    <row r="172">
      <c r="A172" s="2"/>
      <c r="B172" s="2"/>
      <c r="C172" s="2"/>
      <c r="D172" s="2"/>
      <c r="E172" s="2"/>
      <c r="F172" s="2"/>
      <c r="G172" s="2"/>
      <c r="H172" s="2"/>
      <c r="I172" s="2"/>
      <c r="J172" s="2"/>
      <c r="K172" s="2"/>
      <c r="L172" s="2"/>
      <c r="M172" s="2"/>
      <c r="N172" s="2"/>
      <c r="O172" s="2"/>
      <c r="P172" s="2"/>
      <c r="Q172" s="23"/>
      <c r="R172" s="23"/>
      <c r="S172" s="23"/>
      <c r="T172" s="23"/>
      <c r="U172" s="23"/>
      <c r="V172" s="23"/>
      <c r="W172" s="23"/>
      <c r="X172" s="23"/>
      <c r="Y172" s="23"/>
      <c r="Z172" s="23"/>
    </row>
    <row r="173">
      <c r="A173" s="2"/>
      <c r="B173" s="2"/>
      <c r="C173" s="2"/>
      <c r="D173" s="2"/>
      <c r="E173" s="2"/>
      <c r="F173" s="2"/>
      <c r="G173" s="2"/>
      <c r="H173" s="2"/>
      <c r="I173" s="2"/>
      <c r="J173" s="2"/>
      <c r="K173" s="2"/>
      <c r="L173" s="2"/>
      <c r="M173" s="2"/>
      <c r="N173" s="2"/>
      <c r="O173" s="2"/>
      <c r="P173" s="2"/>
      <c r="Q173" s="23"/>
      <c r="R173" s="23"/>
      <c r="S173" s="23"/>
      <c r="T173" s="23"/>
      <c r="U173" s="23"/>
      <c r="V173" s="23"/>
      <c r="W173" s="23"/>
      <c r="X173" s="23"/>
      <c r="Y173" s="23"/>
      <c r="Z173" s="23"/>
    </row>
    <row r="174">
      <c r="A174" s="2"/>
      <c r="B174" s="2"/>
      <c r="C174" s="2"/>
      <c r="D174" s="2"/>
      <c r="E174" s="2"/>
      <c r="F174" s="2"/>
      <c r="G174" s="2"/>
      <c r="H174" s="2"/>
      <c r="I174" s="2"/>
      <c r="J174" s="2"/>
      <c r="K174" s="2"/>
      <c r="L174" s="2"/>
      <c r="M174" s="2"/>
      <c r="N174" s="2"/>
      <c r="O174" s="2"/>
      <c r="P174" s="2"/>
      <c r="Q174" s="23"/>
      <c r="R174" s="23"/>
      <c r="S174" s="23"/>
      <c r="T174" s="23"/>
      <c r="U174" s="23"/>
      <c r="V174" s="23"/>
      <c r="W174" s="23"/>
      <c r="X174" s="23"/>
      <c r="Y174" s="23"/>
      <c r="Z174" s="23"/>
    </row>
    <row r="175">
      <c r="A175" s="2"/>
      <c r="B175" s="2"/>
      <c r="C175" s="2"/>
      <c r="D175" s="2"/>
      <c r="E175" s="2"/>
      <c r="F175" s="2"/>
      <c r="G175" s="2"/>
      <c r="H175" s="2"/>
      <c r="I175" s="2"/>
      <c r="J175" s="2"/>
      <c r="K175" s="2"/>
      <c r="L175" s="2"/>
      <c r="M175" s="2"/>
      <c r="N175" s="2"/>
      <c r="O175" s="2"/>
      <c r="P175" s="2"/>
      <c r="Q175" s="23"/>
      <c r="R175" s="23"/>
      <c r="S175" s="23"/>
      <c r="T175" s="23"/>
      <c r="U175" s="23"/>
      <c r="V175" s="23"/>
      <c r="W175" s="23"/>
      <c r="X175" s="23"/>
      <c r="Y175" s="23"/>
      <c r="Z175" s="23"/>
    </row>
    <row r="176">
      <c r="A176" s="2"/>
      <c r="B176" s="2"/>
      <c r="C176" s="2"/>
      <c r="D176" s="2"/>
      <c r="E176" s="2"/>
      <c r="F176" s="2"/>
      <c r="G176" s="2"/>
      <c r="H176" s="2"/>
      <c r="I176" s="2"/>
      <c r="J176" s="2"/>
      <c r="K176" s="2"/>
      <c r="L176" s="2"/>
      <c r="M176" s="2"/>
      <c r="N176" s="2"/>
      <c r="O176" s="2"/>
      <c r="P176" s="2"/>
      <c r="Q176" s="23"/>
      <c r="R176" s="23"/>
      <c r="S176" s="23"/>
      <c r="T176" s="23"/>
      <c r="U176" s="23"/>
      <c r="V176" s="23"/>
      <c r="W176" s="23"/>
      <c r="X176" s="23"/>
      <c r="Y176" s="23"/>
      <c r="Z176" s="23"/>
    </row>
    <row r="177">
      <c r="A177" s="2"/>
      <c r="B177" s="2"/>
      <c r="C177" s="2"/>
      <c r="D177" s="2"/>
      <c r="E177" s="2"/>
      <c r="F177" s="2"/>
      <c r="G177" s="2"/>
      <c r="H177" s="2"/>
      <c r="I177" s="2"/>
      <c r="J177" s="2"/>
      <c r="K177" s="2"/>
      <c r="L177" s="2"/>
      <c r="M177" s="2"/>
      <c r="N177" s="2"/>
      <c r="O177" s="2"/>
      <c r="P177" s="2"/>
      <c r="Q177" s="23"/>
      <c r="R177" s="23"/>
      <c r="S177" s="23"/>
      <c r="T177" s="23"/>
      <c r="U177" s="23"/>
      <c r="V177" s="23"/>
      <c r="W177" s="23"/>
      <c r="X177" s="23"/>
      <c r="Y177" s="23"/>
      <c r="Z177" s="23"/>
    </row>
    <row r="178">
      <c r="A178" s="2"/>
      <c r="B178" s="2"/>
      <c r="C178" s="2"/>
      <c r="D178" s="2"/>
      <c r="E178" s="2"/>
      <c r="F178" s="2"/>
      <c r="G178" s="2"/>
      <c r="H178" s="2"/>
      <c r="I178" s="2"/>
      <c r="J178" s="2"/>
      <c r="K178" s="2"/>
      <c r="L178" s="2"/>
      <c r="M178" s="2"/>
      <c r="N178" s="2"/>
      <c r="O178" s="2"/>
      <c r="P178" s="2"/>
      <c r="Q178" s="23"/>
      <c r="R178" s="23"/>
      <c r="S178" s="23"/>
      <c r="T178" s="23"/>
      <c r="U178" s="23"/>
      <c r="V178" s="23"/>
      <c r="W178" s="23"/>
      <c r="X178" s="23"/>
      <c r="Y178" s="23"/>
      <c r="Z178" s="23"/>
    </row>
    <row r="179">
      <c r="A179" s="2"/>
      <c r="B179" s="2"/>
      <c r="C179" s="2"/>
      <c r="D179" s="2"/>
      <c r="E179" s="2"/>
      <c r="F179" s="2"/>
      <c r="G179" s="2"/>
      <c r="H179" s="2"/>
      <c r="I179" s="2"/>
      <c r="J179" s="2"/>
      <c r="K179" s="2"/>
      <c r="L179" s="2"/>
      <c r="M179" s="2"/>
      <c r="N179" s="2"/>
      <c r="O179" s="2"/>
      <c r="P179" s="2"/>
      <c r="Q179" s="23"/>
      <c r="R179" s="23"/>
      <c r="S179" s="23"/>
      <c r="T179" s="23"/>
      <c r="U179" s="23"/>
      <c r="V179" s="23"/>
      <c r="W179" s="23"/>
      <c r="X179" s="23"/>
      <c r="Y179" s="23"/>
      <c r="Z179" s="23"/>
    </row>
    <row r="180">
      <c r="A180" s="2"/>
      <c r="B180" s="2"/>
      <c r="C180" s="2"/>
      <c r="D180" s="2"/>
      <c r="E180" s="2"/>
      <c r="F180" s="2"/>
      <c r="G180" s="2"/>
      <c r="H180" s="2"/>
      <c r="I180" s="2"/>
      <c r="J180" s="2"/>
      <c r="K180" s="2"/>
      <c r="L180" s="2"/>
      <c r="M180" s="2"/>
      <c r="N180" s="2"/>
      <c r="O180" s="2"/>
      <c r="P180" s="2"/>
      <c r="Q180" s="23"/>
      <c r="R180" s="23"/>
      <c r="S180" s="23"/>
      <c r="T180" s="23"/>
      <c r="U180" s="23"/>
      <c r="V180" s="23"/>
      <c r="W180" s="23"/>
      <c r="X180" s="23"/>
      <c r="Y180" s="23"/>
      <c r="Z180" s="23"/>
    </row>
    <row r="181">
      <c r="A181" s="2"/>
      <c r="B181" s="2"/>
      <c r="C181" s="2"/>
      <c r="D181" s="2"/>
      <c r="E181" s="2"/>
      <c r="F181" s="2"/>
      <c r="G181" s="2"/>
      <c r="H181" s="2"/>
      <c r="I181" s="2"/>
      <c r="J181" s="2"/>
      <c r="K181" s="2"/>
      <c r="L181" s="2"/>
      <c r="M181" s="2"/>
      <c r="N181" s="2"/>
      <c r="O181" s="2"/>
      <c r="P181" s="2"/>
      <c r="Q181" s="23"/>
      <c r="R181" s="23"/>
      <c r="S181" s="23"/>
      <c r="T181" s="23"/>
      <c r="U181" s="23"/>
      <c r="V181" s="23"/>
      <c r="W181" s="23"/>
      <c r="X181" s="23"/>
      <c r="Y181" s="23"/>
      <c r="Z181" s="23"/>
    </row>
    <row r="182">
      <c r="A182" s="2"/>
      <c r="B182" s="2"/>
      <c r="C182" s="2"/>
      <c r="D182" s="2"/>
      <c r="E182" s="2"/>
      <c r="F182" s="2"/>
      <c r="G182" s="2"/>
      <c r="H182" s="2"/>
      <c r="I182" s="2"/>
      <c r="J182" s="2"/>
      <c r="K182" s="2"/>
      <c r="L182" s="2"/>
      <c r="M182" s="2"/>
      <c r="N182" s="2"/>
      <c r="O182" s="2"/>
      <c r="P182" s="2"/>
      <c r="Q182" s="23"/>
      <c r="R182" s="23"/>
      <c r="S182" s="23"/>
      <c r="T182" s="23"/>
      <c r="U182" s="23"/>
      <c r="V182" s="23"/>
      <c r="W182" s="23"/>
      <c r="X182" s="23"/>
      <c r="Y182" s="23"/>
      <c r="Z182" s="23"/>
    </row>
    <row r="183">
      <c r="A183" s="2"/>
      <c r="B183" s="2"/>
      <c r="C183" s="2"/>
      <c r="D183" s="2"/>
      <c r="E183" s="2"/>
      <c r="F183" s="2"/>
      <c r="G183" s="2"/>
      <c r="H183" s="2"/>
      <c r="I183" s="2"/>
      <c r="J183" s="2"/>
      <c r="K183" s="2"/>
      <c r="L183" s="2"/>
      <c r="M183" s="2"/>
      <c r="N183" s="2"/>
      <c r="O183" s="2"/>
      <c r="P183" s="2"/>
      <c r="Q183" s="23"/>
      <c r="R183" s="23"/>
      <c r="S183" s="23"/>
      <c r="T183" s="23"/>
      <c r="U183" s="23"/>
      <c r="V183" s="23"/>
      <c r="W183" s="23"/>
      <c r="X183" s="23"/>
      <c r="Y183" s="23"/>
      <c r="Z183" s="23"/>
    </row>
    <row r="184">
      <c r="A184" s="2"/>
      <c r="B184" s="2"/>
      <c r="C184" s="2"/>
      <c r="D184" s="2"/>
      <c r="E184" s="2"/>
      <c r="F184" s="2"/>
      <c r="G184" s="2"/>
      <c r="H184" s="2"/>
      <c r="I184" s="2"/>
      <c r="J184" s="2"/>
      <c r="K184" s="2"/>
      <c r="L184" s="2"/>
      <c r="M184" s="2"/>
      <c r="N184" s="2"/>
      <c r="O184" s="2"/>
      <c r="P184" s="2"/>
      <c r="Q184" s="23"/>
      <c r="R184" s="23"/>
      <c r="S184" s="23"/>
      <c r="T184" s="23"/>
      <c r="U184" s="23"/>
      <c r="V184" s="23"/>
      <c r="W184" s="23"/>
      <c r="X184" s="23"/>
      <c r="Y184" s="23"/>
      <c r="Z184" s="23"/>
    </row>
    <row r="185">
      <c r="A185" s="2"/>
      <c r="B185" s="2"/>
      <c r="C185" s="2"/>
      <c r="D185" s="2"/>
      <c r="E185" s="2"/>
      <c r="F185" s="2"/>
      <c r="G185" s="2"/>
      <c r="H185" s="2"/>
      <c r="I185" s="2"/>
      <c r="J185" s="2"/>
      <c r="K185" s="2"/>
      <c r="L185" s="2"/>
      <c r="M185" s="2"/>
      <c r="N185" s="2"/>
      <c r="O185" s="2"/>
      <c r="P185" s="2"/>
      <c r="Q185" s="23"/>
      <c r="R185" s="23"/>
      <c r="S185" s="23"/>
      <c r="T185" s="23"/>
      <c r="U185" s="23"/>
      <c r="V185" s="23"/>
      <c r="W185" s="23"/>
      <c r="X185" s="23"/>
      <c r="Y185" s="23"/>
      <c r="Z185" s="23"/>
    </row>
    <row r="186">
      <c r="A186" s="2"/>
      <c r="B186" s="2"/>
      <c r="C186" s="2"/>
      <c r="D186" s="2"/>
      <c r="E186" s="2"/>
      <c r="F186" s="2"/>
      <c r="G186" s="2"/>
      <c r="H186" s="2"/>
      <c r="I186" s="2"/>
      <c r="J186" s="2"/>
      <c r="K186" s="2"/>
      <c r="L186" s="2"/>
      <c r="M186" s="2"/>
      <c r="N186" s="2"/>
      <c r="O186" s="2"/>
      <c r="P186" s="2"/>
      <c r="Q186" s="23"/>
      <c r="R186" s="23"/>
      <c r="S186" s="23"/>
      <c r="T186" s="23"/>
      <c r="U186" s="23"/>
      <c r="V186" s="23"/>
      <c r="W186" s="23"/>
      <c r="X186" s="23"/>
      <c r="Y186" s="23"/>
      <c r="Z186" s="23"/>
    </row>
    <row r="187">
      <c r="A187" s="2"/>
      <c r="B187" s="2"/>
      <c r="C187" s="2"/>
      <c r="D187" s="2"/>
      <c r="E187" s="2"/>
      <c r="F187" s="2"/>
      <c r="G187" s="2"/>
      <c r="H187" s="2"/>
      <c r="I187" s="2"/>
      <c r="J187" s="2"/>
      <c r="K187" s="2"/>
      <c r="L187" s="2"/>
      <c r="M187" s="2"/>
      <c r="N187" s="2"/>
      <c r="O187" s="2"/>
      <c r="P187" s="2"/>
      <c r="Q187" s="23"/>
      <c r="R187" s="23"/>
      <c r="S187" s="23"/>
      <c r="T187" s="23"/>
      <c r="U187" s="23"/>
      <c r="V187" s="23"/>
      <c r="W187" s="23"/>
      <c r="X187" s="23"/>
      <c r="Y187" s="23"/>
      <c r="Z187" s="23"/>
    </row>
    <row r="188">
      <c r="A188" s="2"/>
      <c r="B188" s="2"/>
      <c r="C188" s="2"/>
      <c r="D188" s="2"/>
      <c r="E188" s="2"/>
      <c r="F188" s="2"/>
      <c r="G188" s="2"/>
      <c r="H188" s="2"/>
      <c r="I188" s="2"/>
      <c r="J188" s="2"/>
      <c r="K188" s="2"/>
      <c r="L188" s="2"/>
      <c r="M188" s="2"/>
      <c r="N188" s="2"/>
      <c r="O188" s="2"/>
      <c r="P188" s="2"/>
      <c r="Q188" s="23"/>
      <c r="R188" s="23"/>
      <c r="S188" s="23"/>
      <c r="T188" s="23"/>
      <c r="U188" s="23"/>
      <c r="V188" s="23"/>
      <c r="W188" s="23"/>
      <c r="X188" s="23"/>
      <c r="Y188" s="23"/>
      <c r="Z188" s="23"/>
    </row>
    <row r="189">
      <c r="A189" s="2"/>
      <c r="B189" s="2"/>
      <c r="C189" s="2"/>
      <c r="D189" s="2"/>
      <c r="E189" s="2"/>
      <c r="F189" s="2"/>
      <c r="G189" s="2"/>
      <c r="H189" s="2"/>
      <c r="I189" s="2"/>
      <c r="J189" s="2"/>
      <c r="K189" s="2"/>
      <c r="L189" s="2"/>
      <c r="M189" s="2"/>
      <c r="N189" s="2"/>
      <c r="O189" s="2"/>
      <c r="P189" s="2"/>
      <c r="Q189" s="23"/>
      <c r="R189" s="23"/>
      <c r="S189" s="23"/>
      <c r="T189" s="23"/>
      <c r="U189" s="23"/>
      <c r="V189" s="23"/>
      <c r="W189" s="23"/>
      <c r="X189" s="23"/>
      <c r="Y189" s="23"/>
      <c r="Z189" s="23"/>
    </row>
    <row r="190">
      <c r="A190" s="2"/>
      <c r="B190" s="2"/>
      <c r="C190" s="2"/>
      <c r="D190" s="2"/>
      <c r="E190" s="2"/>
      <c r="F190" s="2"/>
      <c r="G190" s="2"/>
      <c r="H190" s="2"/>
      <c r="I190" s="2"/>
      <c r="J190" s="2"/>
      <c r="K190" s="2"/>
      <c r="L190" s="2"/>
      <c r="M190" s="2"/>
      <c r="N190" s="2"/>
      <c r="O190" s="2"/>
      <c r="P190" s="2"/>
      <c r="Q190" s="23"/>
      <c r="R190" s="23"/>
      <c r="S190" s="23"/>
      <c r="T190" s="23"/>
      <c r="U190" s="23"/>
      <c r="V190" s="23"/>
      <c r="W190" s="23"/>
      <c r="X190" s="23"/>
      <c r="Y190" s="23"/>
      <c r="Z190" s="23"/>
    </row>
    <row r="191">
      <c r="A191" s="2"/>
      <c r="B191" s="2"/>
      <c r="C191" s="2"/>
      <c r="D191" s="2"/>
      <c r="E191" s="2"/>
      <c r="F191" s="2"/>
      <c r="G191" s="2"/>
      <c r="H191" s="2"/>
      <c r="I191" s="2"/>
      <c r="J191" s="2"/>
      <c r="K191" s="2"/>
      <c r="L191" s="2"/>
      <c r="M191" s="2"/>
      <c r="N191" s="2"/>
      <c r="O191" s="2"/>
      <c r="P191" s="2"/>
      <c r="Q191" s="23"/>
      <c r="R191" s="23"/>
      <c r="S191" s="23"/>
      <c r="T191" s="23"/>
      <c r="U191" s="23"/>
      <c r="V191" s="23"/>
      <c r="W191" s="23"/>
      <c r="X191" s="23"/>
      <c r="Y191" s="23"/>
      <c r="Z191" s="23"/>
    </row>
    <row r="192">
      <c r="A192" s="2"/>
      <c r="B192" s="2"/>
      <c r="C192" s="2"/>
      <c r="D192" s="2"/>
      <c r="E192" s="2"/>
      <c r="F192" s="2"/>
      <c r="G192" s="2"/>
      <c r="H192" s="2"/>
      <c r="I192" s="2"/>
      <c r="J192" s="2"/>
      <c r="K192" s="2"/>
      <c r="L192" s="2"/>
      <c r="M192" s="2"/>
      <c r="N192" s="2"/>
      <c r="O192" s="2"/>
      <c r="P192" s="2"/>
      <c r="Q192" s="23"/>
      <c r="R192" s="23"/>
      <c r="S192" s="23"/>
      <c r="T192" s="23"/>
      <c r="U192" s="23"/>
      <c r="V192" s="23"/>
      <c r="W192" s="23"/>
      <c r="X192" s="23"/>
      <c r="Y192" s="23"/>
      <c r="Z192" s="23"/>
    </row>
    <row r="193">
      <c r="A193" s="2"/>
      <c r="B193" s="2"/>
      <c r="C193" s="2"/>
      <c r="D193" s="2"/>
      <c r="E193" s="2"/>
      <c r="F193" s="2"/>
      <c r="G193" s="2"/>
      <c r="H193" s="2"/>
      <c r="I193" s="2"/>
      <c r="J193" s="2"/>
      <c r="K193" s="2"/>
      <c r="L193" s="2"/>
      <c r="M193" s="2"/>
      <c r="N193" s="2"/>
      <c r="O193" s="2"/>
      <c r="P193" s="2"/>
      <c r="Q193" s="23"/>
      <c r="R193" s="23"/>
      <c r="S193" s="23"/>
      <c r="T193" s="23"/>
      <c r="U193" s="23"/>
      <c r="V193" s="23"/>
      <c r="W193" s="23"/>
      <c r="X193" s="23"/>
      <c r="Y193" s="23"/>
      <c r="Z193" s="23"/>
    </row>
    <row r="194">
      <c r="A194" s="2"/>
      <c r="B194" s="2"/>
      <c r="C194" s="2"/>
      <c r="D194" s="2"/>
      <c r="E194" s="2"/>
      <c r="F194" s="2"/>
      <c r="G194" s="2"/>
      <c r="H194" s="2"/>
      <c r="I194" s="2"/>
      <c r="J194" s="2"/>
      <c r="K194" s="2"/>
      <c r="L194" s="2"/>
      <c r="M194" s="2"/>
      <c r="N194" s="2"/>
      <c r="O194" s="2"/>
      <c r="P194" s="2"/>
      <c r="Q194" s="23"/>
      <c r="R194" s="23"/>
      <c r="S194" s="23"/>
      <c r="T194" s="23"/>
      <c r="U194" s="23"/>
      <c r="V194" s="23"/>
      <c r="W194" s="23"/>
      <c r="X194" s="23"/>
      <c r="Y194" s="23"/>
      <c r="Z194" s="23"/>
    </row>
    <row r="195">
      <c r="A195" s="2"/>
      <c r="B195" s="2"/>
      <c r="C195" s="2"/>
      <c r="D195" s="2"/>
      <c r="E195" s="2"/>
      <c r="F195" s="2"/>
      <c r="G195" s="2"/>
      <c r="H195" s="2"/>
      <c r="I195" s="2"/>
      <c r="J195" s="2"/>
      <c r="K195" s="2"/>
      <c r="L195" s="2"/>
      <c r="M195" s="2"/>
      <c r="N195" s="2"/>
      <c r="O195" s="2"/>
      <c r="P195" s="2"/>
      <c r="Q195" s="23"/>
      <c r="R195" s="23"/>
      <c r="S195" s="23"/>
      <c r="T195" s="23"/>
      <c r="U195" s="23"/>
      <c r="V195" s="23"/>
      <c r="W195" s="23"/>
      <c r="X195" s="23"/>
      <c r="Y195" s="23"/>
      <c r="Z195" s="23"/>
    </row>
    <row r="196">
      <c r="A196" s="2"/>
      <c r="B196" s="2"/>
      <c r="C196" s="2"/>
      <c r="D196" s="2"/>
      <c r="E196" s="2"/>
      <c r="F196" s="2"/>
      <c r="G196" s="2"/>
      <c r="H196" s="2"/>
      <c r="I196" s="2"/>
      <c r="J196" s="2"/>
      <c r="K196" s="2"/>
      <c r="L196" s="2"/>
      <c r="M196" s="2"/>
      <c r="N196" s="2"/>
      <c r="O196" s="2"/>
      <c r="P196" s="2"/>
      <c r="Q196" s="23"/>
      <c r="R196" s="23"/>
      <c r="S196" s="23"/>
      <c r="T196" s="23"/>
      <c r="U196" s="23"/>
      <c r="V196" s="23"/>
      <c r="W196" s="23"/>
      <c r="X196" s="23"/>
      <c r="Y196" s="23"/>
      <c r="Z196" s="23"/>
    </row>
    <row r="197">
      <c r="A197" s="2"/>
      <c r="B197" s="2"/>
      <c r="C197" s="2"/>
      <c r="D197" s="2"/>
      <c r="E197" s="2"/>
      <c r="F197" s="2"/>
      <c r="G197" s="2"/>
      <c r="H197" s="2"/>
      <c r="I197" s="2"/>
      <c r="J197" s="2"/>
      <c r="K197" s="2"/>
      <c r="L197" s="2"/>
      <c r="M197" s="2"/>
      <c r="N197" s="2"/>
      <c r="O197" s="2"/>
      <c r="P197" s="2"/>
      <c r="Q197" s="23"/>
      <c r="R197" s="23"/>
      <c r="S197" s="23"/>
      <c r="T197" s="23"/>
      <c r="U197" s="23"/>
      <c r="V197" s="23"/>
      <c r="W197" s="23"/>
      <c r="X197" s="23"/>
      <c r="Y197" s="23"/>
      <c r="Z197" s="23"/>
    </row>
    <row r="198">
      <c r="A198" s="2"/>
      <c r="B198" s="2"/>
      <c r="C198" s="2"/>
      <c r="D198" s="2"/>
      <c r="E198" s="2"/>
      <c r="F198" s="2"/>
      <c r="G198" s="2"/>
      <c r="H198" s="2"/>
      <c r="I198" s="2"/>
      <c r="J198" s="2"/>
      <c r="K198" s="2"/>
      <c r="L198" s="2"/>
      <c r="M198" s="2"/>
      <c r="N198" s="2"/>
      <c r="O198" s="2"/>
      <c r="P198" s="2"/>
      <c r="Q198" s="23"/>
      <c r="R198" s="23"/>
      <c r="S198" s="23"/>
      <c r="T198" s="23"/>
      <c r="U198" s="23"/>
      <c r="V198" s="23"/>
      <c r="W198" s="23"/>
      <c r="X198" s="23"/>
      <c r="Y198" s="23"/>
      <c r="Z198" s="23"/>
    </row>
    <row r="199">
      <c r="A199" s="2"/>
      <c r="B199" s="2"/>
      <c r="C199" s="2"/>
      <c r="D199" s="2"/>
      <c r="E199" s="2"/>
      <c r="F199" s="2"/>
      <c r="G199" s="2"/>
      <c r="H199" s="2"/>
      <c r="I199" s="2"/>
      <c r="J199" s="2"/>
      <c r="K199" s="2"/>
      <c r="L199" s="2"/>
      <c r="M199" s="2"/>
      <c r="N199" s="2"/>
      <c r="O199" s="2"/>
      <c r="P199" s="2"/>
      <c r="Q199" s="23"/>
      <c r="R199" s="23"/>
      <c r="S199" s="23"/>
      <c r="T199" s="23"/>
      <c r="U199" s="23"/>
      <c r="V199" s="23"/>
      <c r="W199" s="23"/>
      <c r="X199" s="23"/>
      <c r="Y199" s="23"/>
      <c r="Z199" s="23"/>
    </row>
    <row r="200">
      <c r="A200" s="2"/>
      <c r="B200" s="2"/>
      <c r="C200" s="2"/>
      <c r="D200" s="2"/>
      <c r="E200" s="2"/>
      <c r="F200" s="2"/>
      <c r="G200" s="2"/>
      <c r="H200" s="2"/>
      <c r="I200" s="2"/>
      <c r="J200" s="2"/>
      <c r="K200" s="2"/>
      <c r="L200" s="2"/>
      <c r="M200" s="2"/>
      <c r="N200" s="2"/>
      <c r="O200" s="2"/>
      <c r="P200" s="2"/>
      <c r="Q200" s="23"/>
      <c r="R200" s="23"/>
      <c r="S200" s="23"/>
      <c r="T200" s="23"/>
      <c r="U200" s="23"/>
      <c r="V200" s="23"/>
      <c r="W200" s="23"/>
      <c r="X200" s="23"/>
      <c r="Y200" s="23"/>
      <c r="Z200" s="23"/>
    </row>
    <row r="201">
      <c r="A201" s="2"/>
      <c r="B201" s="2"/>
      <c r="C201" s="2"/>
      <c r="D201" s="2"/>
      <c r="E201" s="2"/>
      <c r="F201" s="2"/>
      <c r="G201" s="2"/>
      <c r="H201" s="2"/>
      <c r="I201" s="2"/>
      <c r="J201" s="2"/>
      <c r="K201" s="2"/>
      <c r="L201" s="2"/>
      <c r="M201" s="2"/>
      <c r="N201" s="2"/>
      <c r="O201" s="2"/>
      <c r="P201" s="2"/>
      <c r="Q201" s="23"/>
      <c r="R201" s="23"/>
      <c r="S201" s="23"/>
      <c r="T201" s="23"/>
      <c r="U201" s="23"/>
      <c r="V201" s="23"/>
      <c r="W201" s="23"/>
      <c r="X201" s="23"/>
      <c r="Y201" s="23"/>
      <c r="Z201" s="23"/>
    </row>
    <row r="202">
      <c r="A202" s="2"/>
      <c r="B202" s="2"/>
      <c r="C202" s="2"/>
      <c r="D202" s="2"/>
      <c r="E202" s="2"/>
      <c r="F202" s="2"/>
      <c r="G202" s="2"/>
      <c r="H202" s="2"/>
      <c r="I202" s="2"/>
      <c r="J202" s="2"/>
      <c r="K202" s="2"/>
      <c r="L202" s="2"/>
      <c r="M202" s="2"/>
      <c r="N202" s="2"/>
      <c r="O202" s="2"/>
      <c r="P202" s="2"/>
      <c r="Q202" s="23"/>
      <c r="R202" s="23"/>
      <c r="S202" s="23"/>
      <c r="T202" s="23"/>
      <c r="U202" s="23"/>
      <c r="V202" s="23"/>
      <c r="W202" s="23"/>
      <c r="X202" s="23"/>
      <c r="Y202" s="23"/>
      <c r="Z202" s="23"/>
    </row>
    <row r="203">
      <c r="A203" s="2"/>
      <c r="B203" s="2"/>
      <c r="C203" s="2"/>
      <c r="D203" s="2"/>
      <c r="E203" s="2"/>
      <c r="F203" s="2"/>
      <c r="G203" s="2"/>
      <c r="H203" s="2"/>
      <c r="I203" s="2"/>
      <c r="J203" s="2"/>
      <c r="K203" s="2"/>
      <c r="L203" s="2"/>
      <c r="M203" s="2"/>
      <c r="N203" s="2"/>
      <c r="O203" s="2"/>
      <c r="P203" s="2"/>
      <c r="Q203" s="23"/>
      <c r="R203" s="23"/>
      <c r="S203" s="23"/>
      <c r="T203" s="23"/>
      <c r="U203" s="23"/>
      <c r="V203" s="23"/>
      <c r="W203" s="23"/>
      <c r="X203" s="23"/>
      <c r="Y203" s="23"/>
      <c r="Z203" s="23"/>
    </row>
    <row r="204">
      <c r="A204" s="2"/>
      <c r="B204" s="2"/>
      <c r="C204" s="2"/>
      <c r="D204" s="2"/>
      <c r="E204" s="2"/>
      <c r="F204" s="2"/>
      <c r="G204" s="2"/>
      <c r="H204" s="2"/>
      <c r="I204" s="2"/>
      <c r="J204" s="2"/>
      <c r="K204" s="2"/>
      <c r="L204" s="2"/>
      <c r="M204" s="2"/>
      <c r="N204" s="2"/>
      <c r="O204" s="2"/>
      <c r="P204" s="2"/>
      <c r="Q204" s="23"/>
      <c r="R204" s="23"/>
      <c r="S204" s="23"/>
      <c r="T204" s="23"/>
      <c r="U204" s="23"/>
      <c r="V204" s="23"/>
      <c r="W204" s="23"/>
      <c r="X204" s="23"/>
      <c r="Y204" s="23"/>
      <c r="Z204" s="23"/>
    </row>
    <row r="205">
      <c r="A205" s="2"/>
      <c r="B205" s="2"/>
      <c r="C205" s="2"/>
      <c r="D205" s="2"/>
      <c r="E205" s="2"/>
      <c r="F205" s="2"/>
      <c r="G205" s="2"/>
      <c r="H205" s="2"/>
      <c r="I205" s="2"/>
      <c r="J205" s="2"/>
      <c r="K205" s="2"/>
      <c r="L205" s="2"/>
      <c r="M205" s="2"/>
      <c r="N205" s="2"/>
      <c r="O205" s="2"/>
      <c r="P205" s="2"/>
      <c r="Q205" s="23"/>
      <c r="R205" s="23"/>
      <c r="S205" s="23"/>
      <c r="T205" s="23"/>
      <c r="U205" s="23"/>
      <c r="V205" s="23"/>
      <c r="W205" s="23"/>
      <c r="X205" s="23"/>
      <c r="Y205" s="23"/>
      <c r="Z205" s="23"/>
    </row>
    <row r="206">
      <c r="A206" s="2"/>
      <c r="B206" s="2"/>
      <c r="C206" s="2"/>
      <c r="D206" s="2"/>
      <c r="E206" s="2"/>
      <c r="F206" s="2"/>
      <c r="G206" s="2"/>
      <c r="H206" s="2"/>
      <c r="I206" s="2"/>
      <c r="J206" s="2"/>
      <c r="K206" s="2"/>
      <c r="L206" s="2"/>
      <c r="M206" s="2"/>
      <c r="N206" s="2"/>
      <c r="O206" s="2"/>
      <c r="P206" s="2"/>
      <c r="Q206" s="23"/>
      <c r="R206" s="23"/>
      <c r="S206" s="23"/>
      <c r="T206" s="23"/>
      <c r="U206" s="23"/>
      <c r="V206" s="23"/>
      <c r="W206" s="23"/>
      <c r="X206" s="23"/>
      <c r="Y206" s="23"/>
      <c r="Z206" s="23"/>
    </row>
    <row r="207">
      <c r="A207" s="2"/>
      <c r="B207" s="2"/>
      <c r="C207" s="2"/>
      <c r="D207" s="2"/>
      <c r="E207" s="2"/>
      <c r="F207" s="2"/>
      <c r="G207" s="2"/>
      <c r="H207" s="2"/>
      <c r="I207" s="2"/>
      <c r="J207" s="2"/>
      <c r="K207" s="2"/>
      <c r="L207" s="2"/>
      <c r="M207" s="2"/>
      <c r="N207" s="2"/>
      <c r="O207" s="2"/>
      <c r="P207" s="2"/>
      <c r="Q207" s="23"/>
      <c r="R207" s="23"/>
      <c r="S207" s="23"/>
      <c r="T207" s="23"/>
      <c r="U207" s="23"/>
      <c r="V207" s="23"/>
      <c r="W207" s="23"/>
      <c r="X207" s="23"/>
      <c r="Y207" s="23"/>
      <c r="Z207" s="23"/>
    </row>
    <row r="208">
      <c r="A208" s="2"/>
      <c r="B208" s="2"/>
      <c r="C208" s="2"/>
      <c r="D208" s="2"/>
      <c r="E208" s="2"/>
      <c r="F208" s="2"/>
      <c r="G208" s="2"/>
      <c r="H208" s="2"/>
      <c r="I208" s="2"/>
      <c r="J208" s="2"/>
      <c r="K208" s="2"/>
      <c r="L208" s="2"/>
      <c r="M208" s="2"/>
      <c r="N208" s="2"/>
      <c r="O208" s="2"/>
      <c r="P208" s="2"/>
      <c r="Q208" s="23"/>
      <c r="R208" s="23"/>
      <c r="S208" s="23"/>
      <c r="T208" s="23"/>
      <c r="U208" s="23"/>
      <c r="V208" s="23"/>
      <c r="W208" s="23"/>
      <c r="X208" s="23"/>
      <c r="Y208" s="23"/>
      <c r="Z208" s="23"/>
    </row>
    <row r="209">
      <c r="A209" s="2"/>
      <c r="B209" s="2"/>
      <c r="C209" s="2"/>
      <c r="D209" s="2"/>
      <c r="E209" s="2"/>
      <c r="F209" s="2"/>
      <c r="G209" s="2"/>
      <c r="H209" s="2"/>
      <c r="I209" s="2"/>
      <c r="J209" s="2"/>
      <c r="K209" s="2"/>
      <c r="L209" s="2"/>
      <c r="M209" s="2"/>
      <c r="N209" s="2"/>
      <c r="O209" s="2"/>
      <c r="P209" s="2"/>
      <c r="Q209" s="23"/>
      <c r="R209" s="23"/>
      <c r="S209" s="23"/>
      <c r="T209" s="23"/>
      <c r="U209" s="23"/>
      <c r="V209" s="23"/>
      <c r="W209" s="23"/>
      <c r="X209" s="23"/>
      <c r="Y209" s="23"/>
      <c r="Z209" s="23"/>
    </row>
    <row r="210">
      <c r="A210" s="2"/>
      <c r="B210" s="2"/>
      <c r="C210" s="2"/>
      <c r="D210" s="2"/>
      <c r="E210" s="2"/>
      <c r="F210" s="2"/>
      <c r="G210" s="2"/>
      <c r="H210" s="2"/>
      <c r="I210" s="2"/>
      <c r="J210" s="2"/>
      <c r="K210" s="2"/>
      <c r="L210" s="2"/>
      <c r="M210" s="2"/>
      <c r="N210" s="2"/>
      <c r="O210" s="2"/>
      <c r="P210" s="2"/>
      <c r="Q210" s="23"/>
      <c r="R210" s="23"/>
      <c r="S210" s="23"/>
      <c r="T210" s="23"/>
      <c r="U210" s="23"/>
      <c r="V210" s="23"/>
      <c r="W210" s="23"/>
      <c r="X210" s="23"/>
      <c r="Y210" s="23"/>
      <c r="Z210" s="23"/>
    </row>
    <row r="211">
      <c r="A211" s="2"/>
      <c r="B211" s="2"/>
      <c r="C211" s="2"/>
      <c r="D211" s="2"/>
      <c r="E211" s="2"/>
      <c r="F211" s="2"/>
      <c r="G211" s="2"/>
      <c r="H211" s="2"/>
      <c r="I211" s="2"/>
      <c r="J211" s="2"/>
      <c r="K211" s="2"/>
      <c r="L211" s="2"/>
      <c r="M211" s="2"/>
      <c r="N211" s="2"/>
      <c r="O211" s="2"/>
      <c r="P211" s="2"/>
      <c r="Q211" s="23"/>
      <c r="R211" s="23"/>
      <c r="S211" s="23"/>
      <c r="T211" s="23"/>
      <c r="U211" s="23"/>
      <c r="V211" s="23"/>
      <c r="W211" s="23"/>
      <c r="X211" s="23"/>
      <c r="Y211" s="23"/>
      <c r="Z211" s="23"/>
    </row>
    <row r="212">
      <c r="A212" s="2"/>
      <c r="B212" s="2"/>
      <c r="C212" s="2"/>
      <c r="D212" s="2"/>
      <c r="E212" s="2"/>
      <c r="F212" s="2"/>
      <c r="G212" s="2"/>
      <c r="H212" s="2"/>
      <c r="I212" s="2"/>
      <c r="J212" s="2"/>
      <c r="K212" s="2"/>
      <c r="L212" s="2"/>
      <c r="M212" s="2"/>
      <c r="N212" s="2"/>
      <c r="O212" s="2"/>
      <c r="P212" s="2"/>
      <c r="Q212" s="23"/>
      <c r="R212" s="23"/>
      <c r="S212" s="23"/>
      <c r="T212" s="23"/>
      <c r="U212" s="23"/>
      <c r="V212" s="23"/>
      <c r="W212" s="23"/>
      <c r="X212" s="23"/>
      <c r="Y212" s="23"/>
      <c r="Z212" s="23"/>
    </row>
    <row r="213">
      <c r="A213" s="2"/>
      <c r="B213" s="2"/>
      <c r="C213" s="2"/>
      <c r="D213" s="2"/>
      <c r="E213" s="2"/>
      <c r="F213" s="2"/>
      <c r="G213" s="2"/>
      <c r="H213" s="2"/>
      <c r="I213" s="2"/>
      <c r="J213" s="2"/>
      <c r="K213" s="2"/>
      <c r="L213" s="2"/>
      <c r="M213" s="2"/>
      <c r="N213" s="2"/>
      <c r="O213" s="2"/>
      <c r="P213" s="2"/>
      <c r="Q213" s="23"/>
      <c r="R213" s="23"/>
      <c r="S213" s="23"/>
      <c r="T213" s="23"/>
      <c r="U213" s="23"/>
      <c r="V213" s="23"/>
      <c r="W213" s="23"/>
      <c r="X213" s="23"/>
      <c r="Y213" s="23"/>
      <c r="Z213" s="23"/>
    </row>
    <row r="214">
      <c r="A214" s="2"/>
      <c r="B214" s="2"/>
      <c r="C214" s="2"/>
      <c r="D214" s="2"/>
      <c r="E214" s="2"/>
      <c r="F214" s="2"/>
      <c r="G214" s="2"/>
      <c r="H214" s="2"/>
      <c r="I214" s="2"/>
      <c r="J214" s="2"/>
      <c r="K214" s="2"/>
      <c r="L214" s="2"/>
      <c r="M214" s="2"/>
      <c r="N214" s="2"/>
      <c r="O214" s="2"/>
      <c r="P214" s="2"/>
      <c r="Q214" s="23"/>
      <c r="R214" s="23"/>
      <c r="S214" s="23"/>
      <c r="T214" s="23"/>
      <c r="U214" s="23"/>
      <c r="V214" s="23"/>
      <c r="W214" s="23"/>
      <c r="X214" s="23"/>
      <c r="Y214" s="23"/>
      <c r="Z214" s="23"/>
    </row>
    <row r="215">
      <c r="A215" s="2"/>
      <c r="B215" s="2"/>
      <c r="C215" s="2"/>
      <c r="D215" s="2"/>
      <c r="E215" s="2"/>
      <c r="F215" s="2"/>
      <c r="G215" s="2"/>
      <c r="H215" s="2"/>
      <c r="I215" s="2"/>
      <c r="J215" s="2"/>
      <c r="K215" s="2"/>
      <c r="L215" s="2"/>
      <c r="M215" s="2"/>
      <c r="N215" s="2"/>
      <c r="O215" s="2"/>
      <c r="P215" s="2"/>
      <c r="Q215" s="23"/>
      <c r="R215" s="23"/>
      <c r="S215" s="23"/>
      <c r="T215" s="23"/>
      <c r="U215" s="23"/>
      <c r="V215" s="23"/>
      <c r="W215" s="23"/>
      <c r="X215" s="23"/>
      <c r="Y215" s="23"/>
      <c r="Z215" s="23"/>
    </row>
    <row r="216">
      <c r="A216" s="2"/>
      <c r="B216" s="2"/>
      <c r="C216" s="2"/>
      <c r="D216" s="2"/>
      <c r="E216" s="2"/>
      <c r="F216" s="2"/>
      <c r="G216" s="2"/>
      <c r="H216" s="2"/>
      <c r="I216" s="2"/>
      <c r="J216" s="2"/>
      <c r="K216" s="2"/>
      <c r="L216" s="2"/>
      <c r="M216" s="2"/>
      <c r="N216" s="2"/>
      <c r="O216" s="2"/>
      <c r="P216" s="2"/>
      <c r="Q216" s="23"/>
      <c r="R216" s="23"/>
      <c r="S216" s="23"/>
      <c r="T216" s="23"/>
      <c r="U216" s="23"/>
      <c r="V216" s="23"/>
      <c r="W216" s="23"/>
      <c r="X216" s="23"/>
      <c r="Y216" s="23"/>
      <c r="Z216" s="23"/>
    </row>
    <row r="217">
      <c r="A217" s="2"/>
      <c r="B217" s="2"/>
      <c r="C217" s="2"/>
      <c r="D217" s="2"/>
      <c r="E217" s="2"/>
      <c r="F217" s="2"/>
      <c r="G217" s="2"/>
      <c r="H217" s="2"/>
      <c r="I217" s="2"/>
      <c r="J217" s="2"/>
      <c r="K217" s="2"/>
      <c r="L217" s="2"/>
      <c r="M217" s="2"/>
      <c r="N217" s="2"/>
      <c r="O217" s="2"/>
      <c r="P217" s="2"/>
      <c r="Q217" s="23"/>
      <c r="R217" s="23"/>
      <c r="S217" s="23"/>
      <c r="T217" s="23"/>
      <c r="U217" s="23"/>
      <c r="V217" s="23"/>
      <c r="W217" s="23"/>
      <c r="X217" s="23"/>
      <c r="Y217" s="23"/>
      <c r="Z217" s="23"/>
    </row>
    <row r="218">
      <c r="A218" s="2"/>
      <c r="B218" s="2"/>
      <c r="C218" s="2"/>
      <c r="D218" s="2"/>
      <c r="E218" s="2"/>
      <c r="F218" s="2"/>
      <c r="G218" s="2"/>
      <c r="H218" s="2"/>
      <c r="I218" s="2"/>
      <c r="J218" s="2"/>
      <c r="K218" s="2"/>
      <c r="L218" s="2"/>
      <c r="M218" s="2"/>
      <c r="N218" s="2"/>
      <c r="O218" s="2"/>
      <c r="P218" s="2"/>
      <c r="Q218" s="23"/>
      <c r="R218" s="23"/>
      <c r="S218" s="23"/>
      <c r="T218" s="23"/>
      <c r="U218" s="23"/>
      <c r="V218" s="23"/>
      <c r="W218" s="23"/>
      <c r="X218" s="23"/>
      <c r="Y218" s="23"/>
      <c r="Z218" s="23"/>
    </row>
    <row r="219">
      <c r="A219" s="2"/>
      <c r="B219" s="2"/>
      <c r="C219" s="2"/>
      <c r="D219" s="2"/>
      <c r="E219" s="2"/>
      <c r="F219" s="2"/>
      <c r="G219" s="2"/>
      <c r="H219" s="2"/>
      <c r="I219" s="2"/>
      <c r="J219" s="2"/>
      <c r="K219" s="2"/>
      <c r="L219" s="2"/>
      <c r="M219" s="2"/>
      <c r="N219" s="2"/>
      <c r="O219" s="2"/>
      <c r="P219" s="2"/>
      <c r="Q219" s="23"/>
      <c r="R219" s="23"/>
      <c r="S219" s="23"/>
      <c r="T219" s="23"/>
      <c r="U219" s="23"/>
      <c r="V219" s="23"/>
      <c r="W219" s="23"/>
      <c r="X219" s="23"/>
      <c r="Y219" s="23"/>
      <c r="Z219" s="23"/>
    </row>
    <row r="220">
      <c r="A220" s="2"/>
      <c r="B220" s="2"/>
      <c r="C220" s="2"/>
      <c r="D220" s="2"/>
      <c r="E220" s="2"/>
      <c r="F220" s="2"/>
      <c r="G220" s="2"/>
      <c r="H220" s="2"/>
      <c r="I220" s="2"/>
      <c r="J220" s="2"/>
      <c r="K220" s="2"/>
      <c r="L220" s="2"/>
      <c r="M220" s="2"/>
      <c r="N220" s="2"/>
      <c r="O220" s="2"/>
      <c r="P220" s="2"/>
      <c r="Q220" s="23"/>
      <c r="R220" s="23"/>
      <c r="S220" s="23"/>
      <c r="T220" s="23"/>
      <c r="U220" s="23"/>
      <c r="V220" s="23"/>
      <c r="W220" s="23"/>
      <c r="X220" s="23"/>
      <c r="Y220" s="23"/>
      <c r="Z220" s="23"/>
    </row>
    <row r="221">
      <c r="A221" s="2"/>
      <c r="B221" s="2"/>
      <c r="C221" s="2"/>
      <c r="D221" s="2"/>
      <c r="E221" s="2"/>
      <c r="F221" s="2"/>
      <c r="G221" s="2"/>
      <c r="H221" s="2"/>
      <c r="I221" s="2"/>
      <c r="J221" s="2"/>
      <c r="K221" s="2"/>
      <c r="L221" s="2"/>
      <c r="M221" s="2"/>
      <c r="N221" s="2"/>
      <c r="O221" s="2"/>
      <c r="P221" s="2"/>
      <c r="Q221" s="23"/>
      <c r="R221" s="23"/>
      <c r="S221" s="23"/>
      <c r="T221" s="23"/>
      <c r="U221" s="23"/>
      <c r="V221" s="23"/>
      <c r="W221" s="23"/>
      <c r="X221" s="23"/>
      <c r="Y221" s="23"/>
      <c r="Z221" s="23"/>
    </row>
    <row r="222">
      <c r="A222" s="2"/>
      <c r="B222" s="2"/>
      <c r="C222" s="2"/>
      <c r="D222" s="2"/>
      <c r="E222" s="2"/>
      <c r="F222" s="2"/>
      <c r="G222" s="2"/>
      <c r="H222" s="2"/>
      <c r="I222" s="2"/>
      <c r="J222" s="2"/>
      <c r="K222" s="2"/>
      <c r="L222" s="2"/>
      <c r="M222" s="2"/>
      <c r="N222" s="2"/>
      <c r="O222" s="2"/>
      <c r="P222" s="2"/>
      <c r="Q222" s="23"/>
      <c r="R222" s="23"/>
      <c r="S222" s="23"/>
      <c r="T222" s="23"/>
      <c r="U222" s="23"/>
      <c r="V222" s="23"/>
      <c r="W222" s="23"/>
      <c r="X222" s="23"/>
      <c r="Y222" s="23"/>
      <c r="Z222" s="23"/>
    </row>
    <row r="223">
      <c r="A223" s="2"/>
      <c r="B223" s="2"/>
      <c r="C223" s="2"/>
      <c r="D223" s="2"/>
      <c r="E223" s="2"/>
      <c r="F223" s="2"/>
      <c r="G223" s="2"/>
      <c r="H223" s="2"/>
      <c r="I223" s="2"/>
      <c r="J223" s="2"/>
      <c r="K223" s="2"/>
      <c r="L223" s="2"/>
      <c r="M223" s="2"/>
      <c r="N223" s="2"/>
      <c r="O223" s="2"/>
      <c r="P223" s="2"/>
      <c r="Q223" s="23"/>
      <c r="R223" s="23"/>
      <c r="S223" s="23"/>
      <c r="T223" s="23"/>
      <c r="U223" s="23"/>
      <c r="V223" s="23"/>
      <c r="W223" s="23"/>
      <c r="X223" s="23"/>
      <c r="Y223" s="23"/>
      <c r="Z223" s="23"/>
    </row>
    <row r="224">
      <c r="A224" s="2"/>
      <c r="B224" s="2"/>
      <c r="C224" s="2"/>
      <c r="D224" s="2"/>
      <c r="E224" s="2"/>
      <c r="F224" s="2"/>
      <c r="G224" s="2"/>
      <c r="H224" s="2"/>
      <c r="I224" s="2"/>
      <c r="J224" s="2"/>
      <c r="K224" s="2"/>
      <c r="L224" s="2"/>
      <c r="M224" s="2"/>
      <c r="N224" s="2"/>
      <c r="O224" s="2"/>
      <c r="P224" s="2"/>
      <c r="Q224" s="23"/>
      <c r="R224" s="23"/>
      <c r="S224" s="23"/>
      <c r="T224" s="23"/>
      <c r="U224" s="23"/>
      <c r="V224" s="23"/>
      <c r="W224" s="23"/>
      <c r="X224" s="23"/>
      <c r="Y224" s="23"/>
      <c r="Z224" s="23"/>
    </row>
    <row r="225">
      <c r="A225" s="2"/>
      <c r="B225" s="2"/>
      <c r="C225" s="2"/>
      <c r="D225" s="2"/>
      <c r="E225" s="2"/>
      <c r="F225" s="2"/>
      <c r="G225" s="2"/>
      <c r="H225" s="2"/>
      <c r="I225" s="2"/>
      <c r="J225" s="2"/>
      <c r="K225" s="2"/>
      <c r="L225" s="2"/>
      <c r="M225" s="2"/>
      <c r="N225" s="2"/>
      <c r="O225" s="2"/>
      <c r="P225" s="2"/>
      <c r="Q225" s="23"/>
      <c r="R225" s="23"/>
      <c r="S225" s="23"/>
      <c r="T225" s="23"/>
      <c r="U225" s="23"/>
      <c r="V225" s="23"/>
      <c r="W225" s="23"/>
      <c r="X225" s="23"/>
      <c r="Y225" s="23"/>
      <c r="Z225" s="23"/>
    </row>
    <row r="226">
      <c r="A226" s="2"/>
      <c r="B226" s="2"/>
      <c r="C226" s="2"/>
      <c r="D226" s="2"/>
      <c r="E226" s="2"/>
      <c r="F226" s="2"/>
      <c r="G226" s="2"/>
      <c r="H226" s="2"/>
      <c r="I226" s="2"/>
      <c r="J226" s="2"/>
      <c r="K226" s="2"/>
      <c r="L226" s="2"/>
      <c r="M226" s="2"/>
      <c r="N226" s="2"/>
      <c r="O226" s="2"/>
      <c r="P226" s="2"/>
      <c r="Q226" s="23"/>
      <c r="R226" s="23"/>
      <c r="S226" s="23"/>
      <c r="T226" s="23"/>
      <c r="U226" s="23"/>
      <c r="V226" s="23"/>
      <c r="W226" s="23"/>
      <c r="X226" s="23"/>
      <c r="Y226" s="23"/>
      <c r="Z226" s="23"/>
    </row>
    <row r="227">
      <c r="A227" s="2"/>
      <c r="B227" s="2"/>
      <c r="C227" s="2"/>
      <c r="D227" s="2"/>
      <c r="E227" s="2"/>
      <c r="F227" s="2"/>
      <c r="G227" s="2"/>
      <c r="H227" s="2"/>
      <c r="I227" s="2"/>
      <c r="J227" s="2"/>
      <c r="K227" s="2"/>
      <c r="L227" s="2"/>
      <c r="M227" s="2"/>
      <c r="N227" s="2"/>
      <c r="O227" s="2"/>
      <c r="P227" s="2"/>
      <c r="Q227" s="23"/>
      <c r="R227" s="23"/>
      <c r="S227" s="23"/>
      <c r="T227" s="23"/>
      <c r="U227" s="23"/>
      <c r="V227" s="23"/>
      <c r="W227" s="23"/>
      <c r="X227" s="23"/>
      <c r="Y227" s="23"/>
      <c r="Z227" s="23"/>
    </row>
    <row r="228">
      <c r="A228" s="2"/>
      <c r="B228" s="2"/>
      <c r="C228" s="2"/>
      <c r="D228" s="2"/>
      <c r="E228" s="2"/>
      <c r="F228" s="2"/>
      <c r="G228" s="2"/>
      <c r="H228" s="2"/>
      <c r="I228" s="2"/>
      <c r="J228" s="2"/>
      <c r="K228" s="2"/>
      <c r="L228" s="2"/>
      <c r="M228" s="2"/>
      <c r="N228" s="2"/>
      <c r="O228" s="2"/>
      <c r="P228" s="2"/>
      <c r="Q228" s="23"/>
      <c r="R228" s="23"/>
      <c r="S228" s="23"/>
      <c r="T228" s="23"/>
      <c r="U228" s="23"/>
      <c r="V228" s="23"/>
      <c r="W228" s="23"/>
      <c r="X228" s="23"/>
      <c r="Y228" s="23"/>
      <c r="Z228" s="23"/>
    </row>
    <row r="229">
      <c r="A229" s="2"/>
      <c r="B229" s="2"/>
      <c r="C229" s="2"/>
      <c r="D229" s="2"/>
      <c r="E229" s="2"/>
      <c r="F229" s="2"/>
      <c r="G229" s="2"/>
      <c r="H229" s="2"/>
      <c r="I229" s="2"/>
      <c r="J229" s="2"/>
      <c r="K229" s="2"/>
      <c r="L229" s="2"/>
      <c r="M229" s="2"/>
      <c r="N229" s="2"/>
      <c r="O229" s="2"/>
      <c r="P229" s="2"/>
      <c r="Q229" s="23"/>
      <c r="R229" s="23"/>
      <c r="S229" s="23"/>
      <c r="T229" s="23"/>
      <c r="U229" s="23"/>
      <c r="V229" s="23"/>
      <c r="W229" s="23"/>
      <c r="X229" s="23"/>
      <c r="Y229" s="23"/>
      <c r="Z229" s="23"/>
    </row>
    <row r="230">
      <c r="A230" s="2"/>
      <c r="B230" s="2"/>
      <c r="C230" s="2"/>
      <c r="D230" s="2"/>
      <c r="E230" s="2"/>
      <c r="F230" s="2"/>
      <c r="G230" s="2"/>
      <c r="H230" s="2"/>
      <c r="I230" s="2"/>
      <c r="J230" s="2"/>
      <c r="K230" s="2"/>
      <c r="L230" s="2"/>
      <c r="M230" s="2"/>
      <c r="N230" s="2"/>
      <c r="O230" s="2"/>
      <c r="P230" s="2"/>
      <c r="Q230" s="23"/>
      <c r="R230" s="23"/>
      <c r="S230" s="23"/>
      <c r="T230" s="23"/>
      <c r="U230" s="23"/>
      <c r="V230" s="23"/>
      <c r="W230" s="23"/>
      <c r="X230" s="23"/>
      <c r="Y230" s="23"/>
      <c r="Z230" s="23"/>
    </row>
    <row r="231">
      <c r="A231" s="2"/>
      <c r="B231" s="2"/>
      <c r="C231" s="2"/>
      <c r="D231" s="2"/>
      <c r="E231" s="2"/>
      <c r="F231" s="2"/>
      <c r="G231" s="2"/>
      <c r="H231" s="2"/>
      <c r="I231" s="2"/>
      <c r="J231" s="2"/>
      <c r="K231" s="2"/>
      <c r="L231" s="2"/>
      <c r="M231" s="2"/>
      <c r="N231" s="2"/>
      <c r="O231" s="2"/>
      <c r="P231" s="2"/>
      <c r="Q231" s="23"/>
      <c r="R231" s="23"/>
      <c r="S231" s="23"/>
      <c r="T231" s="23"/>
      <c r="U231" s="23"/>
      <c r="V231" s="23"/>
      <c r="W231" s="23"/>
      <c r="X231" s="23"/>
      <c r="Y231" s="23"/>
      <c r="Z231" s="23"/>
    </row>
    <row r="232">
      <c r="A232" s="2"/>
      <c r="B232" s="2"/>
      <c r="C232" s="2"/>
      <c r="D232" s="2"/>
      <c r="E232" s="2"/>
      <c r="F232" s="2"/>
      <c r="G232" s="2"/>
      <c r="H232" s="2"/>
      <c r="I232" s="2"/>
      <c r="J232" s="2"/>
      <c r="K232" s="2"/>
      <c r="L232" s="2"/>
      <c r="M232" s="2"/>
      <c r="N232" s="2"/>
      <c r="O232" s="2"/>
      <c r="P232" s="2"/>
      <c r="Q232" s="23"/>
      <c r="R232" s="23"/>
      <c r="S232" s="23"/>
      <c r="T232" s="23"/>
      <c r="U232" s="23"/>
      <c r="V232" s="23"/>
      <c r="W232" s="23"/>
      <c r="X232" s="23"/>
      <c r="Y232" s="23"/>
      <c r="Z232" s="23"/>
    </row>
    <row r="233">
      <c r="A233" s="2"/>
      <c r="B233" s="2"/>
      <c r="C233" s="2"/>
      <c r="D233" s="2"/>
      <c r="E233" s="2"/>
      <c r="F233" s="2"/>
      <c r="G233" s="2"/>
      <c r="H233" s="2"/>
      <c r="I233" s="2"/>
      <c r="J233" s="2"/>
      <c r="K233" s="2"/>
      <c r="L233" s="2"/>
      <c r="M233" s="2"/>
      <c r="N233" s="2"/>
      <c r="O233" s="2"/>
      <c r="P233" s="2"/>
      <c r="Q233" s="23"/>
      <c r="R233" s="23"/>
      <c r="S233" s="23"/>
      <c r="T233" s="23"/>
      <c r="U233" s="23"/>
      <c r="V233" s="23"/>
      <c r="W233" s="23"/>
      <c r="X233" s="23"/>
      <c r="Y233" s="23"/>
      <c r="Z233" s="23"/>
    </row>
    <row r="234">
      <c r="A234" s="2"/>
      <c r="B234" s="2"/>
      <c r="C234" s="2"/>
      <c r="D234" s="2"/>
      <c r="E234" s="2"/>
      <c r="F234" s="2"/>
      <c r="G234" s="2"/>
      <c r="H234" s="2"/>
      <c r="I234" s="2"/>
      <c r="J234" s="2"/>
      <c r="K234" s="2"/>
      <c r="L234" s="2"/>
      <c r="M234" s="2"/>
      <c r="N234" s="2"/>
      <c r="O234" s="2"/>
      <c r="P234" s="2"/>
      <c r="Q234" s="23"/>
      <c r="R234" s="23"/>
      <c r="S234" s="23"/>
      <c r="T234" s="23"/>
      <c r="U234" s="23"/>
      <c r="V234" s="23"/>
      <c r="W234" s="23"/>
      <c r="X234" s="23"/>
      <c r="Y234" s="23"/>
      <c r="Z234" s="23"/>
    </row>
    <row r="235">
      <c r="A235" s="2"/>
      <c r="B235" s="2"/>
      <c r="C235" s="2"/>
      <c r="D235" s="2"/>
      <c r="E235" s="2"/>
      <c r="F235" s="2"/>
      <c r="G235" s="2"/>
      <c r="H235" s="2"/>
      <c r="I235" s="2"/>
      <c r="J235" s="2"/>
      <c r="K235" s="2"/>
      <c r="L235" s="2"/>
      <c r="M235" s="2"/>
      <c r="N235" s="2"/>
      <c r="O235" s="2"/>
      <c r="P235" s="2"/>
      <c r="Q235" s="23"/>
      <c r="R235" s="23"/>
      <c r="S235" s="23"/>
      <c r="T235" s="23"/>
      <c r="U235" s="23"/>
      <c r="V235" s="23"/>
      <c r="W235" s="23"/>
      <c r="X235" s="23"/>
      <c r="Y235" s="23"/>
      <c r="Z235" s="23"/>
    </row>
    <row r="236">
      <c r="A236" s="2"/>
      <c r="B236" s="2"/>
      <c r="C236" s="2"/>
      <c r="D236" s="2"/>
      <c r="E236" s="2"/>
      <c r="F236" s="2"/>
      <c r="G236" s="2"/>
      <c r="H236" s="2"/>
      <c r="I236" s="2"/>
      <c r="J236" s="2"/>
      <c r="K236" s="2"/>
      <c r="L236" s="2"/>
      <c r="M236" s="2"/>
      <c r="N236" s="2"/>
      <c r="O236" s="2"/>
      <c r="P236" s="2"/>
      <c r="Q236" s="23"/>
      <c r="R236" s="23"/>
      <c r="S236" s="23"/>
      <c r="T236" s="23"/>
      <c r="U236" s="23"/>
      <c r="V236" s="23"/>
      <c r="W236" s="23"/>
      <c r="X236" s="23"/>
      <c r="Y236" s="23"/>
      <c r="Z236" s="23"/>
    </row>
    <row r="237">
      <c r="A237" s="2"/>
      <c r="B237" s="2"/>
      <c r="C237" s="2"/>
      <c r="D237" s="2"/>
      <c r="E237" s="2"/>
      <c r="F237" s="2"/>
      <c r="G237" s="2"/>
      <c r="H237" s="2"/>
      <c r="I237" s="2"/>
      <c r="J237" s="2"/>
      <c r="K237" s="2"/>
      <c r="L237" s="2"/>
      <c r="M237" s="2"/>
      <c r="N237" s="2"/>
      <c r="O237" s="2"/>
      <c r="P237" s="2"/>
      <c r="Q237" s="23"/>
      <c r="R237" s="23"/>
      <c r="S237" s="23"/>
      <c r="T237" s="23"/>
      <c r="U237" s="23"/>
      <c r="V237" s="23"/>
      <c r="W237" s="23"/>
      <c r="X237" s="23"/>
      <c r="Y237" s="23"/>
      <c r="Z237" s="23"/>
    </row>
    <row r="238">
      <c r="A238" s="2"/>
      <c r="B238" s="2"/>
      <c r="C238" s="2"/>
      <c r="D238" s="2"/>
      <c r="E238" s="2"/>
      <c r="F238" s="2"/>
      <c r="G238" s="2"/>
      <c r="H238" s="2"/>
      <c r="I238" s="2"/>
      <c r="J238" s="2"/>
      <c r="K238" s="2"/>
      <c r="L238" s="2"/>
      <c r="M238" s="2"/>
      <c r="N238" s="2"/>
      <c r="O238" s="2"/>
      <c r="P238" s="2"/>
      <c r="Q238" s="23"/>
      <c r="R238" s="23"/>
      <c r="S238" s="23"/>
      <c r="T238" s="23"/>
      <c r="U238" s="23"/>
      <c r="V238" s="23"/>
      <c r="W238" s="23"/>
      <c r="X238" s="23"/>
      <c r="Y238" s="23"/>
      <c r="Z238" s="23"/>
    </row>
    <row r="239">
      <c r="A239" s="2"/>
      <c r="B239" s="2"/>
      <c r="C239" s="2"/>
      <c r="D239" s="2"/>
      <c r="E239" s="2"/>
      <c r="F239" s="2"/>
      <c r="G239" s="2"/>
      <c r="H239" s="2"/>
      <c r="I239" s="2"/>
      <c r="J239" s="2"/>
      <c r="K239" s="2"/>
      <c r="L239" s="2"/>
      <c r="M239" s="2"/>
      <c r="N239" s="2"/>
      <c r="O239" s="2"/>
      <c r="P239" s="2"/>
      <c r="Q239" s="23"/>
      <c r="R239" s="23"/>
      <c r="S239" s="23"/>
      <c r="T239" s="23"/>
      <c r="U239" s="23"/>
      <c r="V239" s="23"/>
      <c r="W239" s="23"/>
      <c r="X239" s="23"/>
      <c r="Y239" s="23"/>
      <c r="Z239" s="23"/>
    </row>
    <row r="240">
      <c r="A240" s="2"/>
      <c r="B240" s="2"/>
      <c r="C240" s="2"/>
      <c r="D240" s="2"/>
      <c r="E240" s="2"/>
      <c r="F240" s="2"/>
      <c r="G240" s="2"/>
      <c r="H240" s="2"/>
      <c r="I240" s="2"/>
      <c r="J240" s="2"/>
      <c r="K240" s="2"/>
      <c r="L240" s="2"/>
      <c r="M240" s="2"/>
      <c r="N240" s="2"/>
      <c r="O240" s="2"/>
      <c r="P240" s="2"/>
      <c r="Q240" s="23"/>
      <c r="R240" s="23"/>
      <c r="S240" s="23"/>
      <c r="T240" s="23"/>
      <c r="U240" s="23"/>
      <c r="V240" s="23"/>
      <c r="W240" s="23"/>
      <c r="X240" s="23"/>
      <c r="Y240" s="23"/>
      <c r="Z240" s="23"/>
    </row>
    <row r="241">
      <c r="A241" s="2"/>
      <c r="B241" s="2"/>
      <c r="C241" s="2"/>
      <c r="D241" s="2"/>
      <c r="E241" s="2"/>
      <c r="F241" s="2"/>
      <c r="G241" s="2"/>
      <c r="H241" s="2"/>
      <c r="I241" s="2"/>
      <c r="J241" s="2"/>
      <c r="K241" s="2"/>
      <c r="L241" s="2"/>
      <c r="M241" s="2"/>
      <c r="N241" s="2"/>
      <c r="O241" s="2"/>
      <c r="P241" s="2"/>
      <c r="Q241" s="23"/>
      <c r="R241" s="23"/>
      <c r="S241" s="23"/>
      <c r="T241" s="23"/>
      <c r="U241" s="23"/>
      <c r="V241" s="23"/>
      <c r="W241" s="23"/>
      <c r="X241" s="23"/>
      <c r="Y241" s="23"/>
      <c r="Z241" s="23"/>
    </row>
    <row r="242">
      <c r="A242" s="2"/>
      <c r="B242" s="2"/>
      <c r="C242" s="2"/>
      <c r="D242" s="2"/>
      <c r="E242" s="2"/>
      <c r="F242" s="2"/>
      <c r="G242" s="2"/>
      <c r="H242" s="2"/>
      <c r="I242" s="2"/>
      <c r="J242" s="2"/>
      <c r="K242" s="2"/>
      <c r="L242" s="2"/>
      <c r="M242" s="2"/>
      <c r="N242" s="2"/>
      <c r="O242" s="2"/>
      <c r="P242" s="2"/>
      <c r="Q242" s="23"/>
      <c r="R242" s="23"/>
      <c r="S242" s="23"/>
      <c r="T242" s="23"/>
      <c r="U242" s="23"/>
      <c r="V242" s="23"/>
      <c r="W242" s="23"/>
      <c r="X242" s="23"/>
      <c r="Y242" s="23"/>
      <c r="Z242" s="23"/>
    </row>
    <row r="243">
      <c r="A243" s="2"/>
      <c r="B243" s="2"/>
      <c r="C243" s="2"/>
      <c r="D243" s="2"/>
      <c r="E243" s="2"/>
      <c r="F243" s="2"/>
      <c r="G243" s="2"/>
      <c r="H243" s="2"/>
      <c r="I243" s="2"/>
      <c r="J243" s="2"/>
      <c r="K243" s="2"/>
      <c r="L243" s="2"/>
      <c r="M243" s="2"/>
      <c r="N243" s="2"/>
      <c r="O243" s="2"/>
      <c r="P243" s="2"/>
      <c r="Q243" s="23"/>
      <c r="R243" s="23"/>
      <c r="S243" s="23"/>
      <c r="T243" s="23"/>
      <c r="U243" s="23"/>
      <c r="V243" s="23"/>
      <c r="W243" s="23"/>
      <c r="X243" s="23"/>
      <c r="Y243" s="23"/>
      <c r="Z243" s="23"/>
    </row>
    <row r="244">
      <c r="A244" s="2"/>
      <c r="B244" s="2"/>
      <c r="C244" s="2"/>
      <c r="D244" s="2"/>
      <c r="E244" s="2"/>
      <c r="F244" s="2"/>
      <c r="G244" s="2"/>
      <c r="H244" s="2"/>
      <c r="I244" s="2"/>
      <c r="J244" s="2"/>
      <c r="K244" s="2"/>
      <c r="L244" s="2"/>
      <c r="M244" s="2"/>
      <c r="N244" s="2"/>
      <c r="O244" s="2"/>
      <c r="P244" s="2"/>
      <c r="Q244" s="23"/>
      <c r="R244" s="23"/>
      <c r="S244" s="23"/>
      <c r="T244" s="23"/>
      <c r="U244" s="23"/>
      <c r="V244" s="23"/>
      <c r="W244" s="23"/>
      <c r="X244" s="23"/>
      <c r="Y244" s="23"/>
      <c r="Z244" s="23"/>
    </row>
    <row r="245">
      <c r="A245" s="2"/>
      <c r="B245" s="2"/>
      <c r="C245" s="2"/>
      <c r="D245" s="2"/>
      <c r="E245" s="2"/>
      <c r="F245" s="2"/>
      <c r="G245" s="2"/>
      <c r="H245" s="2"/>
      <c r="I245" s="2"/>
      <c r="J245" s="2"/>
      <c r="K245" s="2"/>
      <c r="L245" s="2"/>
      <c r="M245" s="2"/>
      <c r="N245" s="2"/>
      <c r="O245" s="2"/>
      <c r="P245" s="2"/>
      <c r="Q245" s="23"/>
      <c r="R245" s="23"/>
      <c r="S245" s="23"/>
      <c r="T245" s="23"/>
      <c r="U245" s="23"/>
      <c r="V245" s="23"/>
      <c r="W245" s="23"/>
      <c r="X245" s="23"/>
      <c r="Y245" s="23"/>
      <c r="Z245" s="23"/>
    </row>
    <row r="246">
      <c r="A246" s="2"/>
      <c r="B246" s="2"/>
      <c r="C246" s="2"/>
      <c r="D246" s="2"/>
      <c r="E246" s="2"/>
      <c r="F246" s="2"/>
      <c r="G246" s="2"/>
      <c r="H246" s="2"/>
      <c r="I246" s="2"/>
      <c r="J246" s="2"/>
      <c r="K246" s="2"/>
      <c r="L246" s="2"/>
      <c r="M246" s="2"/>
      <c r="N246" s="2"/>
      <c r="O246" s="2"/>
      <c r="P246" s="2"/>
      <c r="Q246" s="23"/>
      <c r="R246" s="23"/>
      <c r="S246" s="23"/>
      <c r="T246" s="23"/>
      <c r="U246" s="23"/>
      <c r="V246" s="23"/>
      <c r="W246" s="23"/>
      <c r="X246" s="23"/>
      <c r="Y246" s="23"/>
      <c r="Z246" s="23"/>
    </row>
    <row r="247">
      <c r="A247" s="2"/>
      <c r="B247" s="2"/>
      <c r="C247" s="2"/>
      <c r="D247" s="2"/>
      <c r="E247" s="2"/>
      <c r="F247" s="2"/>
      <c r="G247" s="2"/>
      <c r="H247" s="2"/>
      <c r="I247" s="2"/>
      <c r="J247" s="2"/>
      <c r="K247" s="2"/>
      <c r="L247" s="2"/>
      <c r="M247" s="2"/>
      <c r="N247" s="2"/>
      <c r="O247" s="2"/>
      <c r="P247" s="2"/>
      <c r="Q247" s="23"/>
      <c r="R247" s="23"/>
      <c r="S247" s="23"/>
      <c r="T247" s="23"/>
      <c r="U247" s="23"/>
      <c r="V247" s="23"/>
      <c r="W247" s="23"/>
      <c r="X247" s="23"/>
      <c r="Y247" s="23"/>
      <c r="Z247" s="23"/>
    </row>
    <row r="248">
      <c r="A248" s="2"/>
      <c r="B248" s="2"/>
      <c r="C248" s="2"/>
      <c r="D248" s="2"/>
      <c r="E248" s="2"/>
      <c r="F248" s="2"/>
      <c r="G248" s="2"/>
      <c r="H248" s="2"/>
      <c r="I248" s="2"/>
      <c r="J248" s="2"/>
      <c r="K248" s="2"/>
      <c r="L248" s="2"/>
      <c r="M248" s="2"/>
      <c r="N248" s="2"/>
      <c r="O248" s="2"/>
      <c r="P248" s="2"/>
      <c r="Q248" s="23"/>
      <c r="R248" s="23"/>
      <c r="S248" s="23"/>
      <c r="T248" s="23"/>
      <c r="U248" s="23"/>
      <c r="V248" s="23"/>
      <c r="W248" s="23"/>
      <c r="X248" s="23"/>
      <c r="Y248" s="23"/>
      <c r="Z248" s="23"/>
    </row>
    <row r="249">
      <c r="A249" s="2"/>
      <c r="B249" s="2"/>
      <c r="C249" s="2"/>
      <c r="D249" s="2"/>
      <c r="E249" s="2"/>
      <c r="F249" s="2"/>
      <c r="G249" s="2"/>
      <c r="H249" s="2"/>
      <c r="I249" s="2"/>
      <c r="J249" s="2"/>
      <c r="K249" s="2"/>
      <c r="L249" s="2"/>
      <c r="M249" s="2"/>
      <c r="N249" s="2"/>
      <c r="O249" s="2"/>
      <c r="P249" s="2"/>
      <c r="Q249" s="23"/>
      <c r="R249" s="23"/>
      <c r="S249" s="23"/>
      <c r="T249" s="23"/>
      <c r="U249" s="23"/>
      <c r="V249" s="23"/>
      <c r="W249" s="23"/>
      <c r="X249" s="23"/>
      <c r="Y249" s="23"/>
      <c r="Z249" s="23"/>
    </row>
    <row r="250">
      <c r="A250" s="2"/>
      <c r="B250" s="2"/>
      <c r="C250" s="2"/>
      <c r="D250" s="2"/>
      <c r="E250" s="2"/>
      <c r="F250" s="2"/>
      <c r="G250" s="2"/>
      <c r="H250" s="2"/>
      <c r="I250" s="2"/>
      <c r="J250" s="2"/>
      <c r="K250" s="2"/>
      <c r="L250" s="2"/>
      <c r="M250" s="2"/>
      <c r="N250" s="2"/>
      <c r="O250" s="2"/>
      <c r="P250" s="2"/>
      <c r="Q250" s="23"/>
      <c r="R250" s="23"/>
      <c r="S250" s="23"/>
      <c r="T250" s="23"/>
      <c r="U250" s="23"/>
      <c r="V250" s="23"/>
      <c r="W250" s="23"/>
      <c r="X250" s="23"/>
      <c r="Y250" s="23"/>
      <c r="Z250" s="23"/>
    </row>
    <row r="251">
      <c r="A251" s="2"/>
      <c r="B251" s="2"/>
      <c r="C251" s="2"/>
      <c r="D251" s="2"/>
      <c r="E251" s="2"/>
      <c r="F251" s="2"/>
      <c r="G251" s="2"/>
      <c r="H251" s="2"/>
      <c r="I251" s="2"/>
      <c r="J251" s="2"/>
      <c r="K251" s="2"/>
      <c r="L251" s="2"/>
      <c r="M251" s="2"/>
      <c r="N251" s="2"/>
      <c r="O251" s="2"/>
      <c r="P251" s="2"/>
      <c r="Q251" s="23"/>
      <c r="R251" s="23"/>
      <c r="S251" s="23"/>
      <c r="T251" s="23"/>
      <c r="U251" s="23"/>
      <c r="V251" s="23"/>
      <c r="W251" s="23"/>
      <c r="X251" s="23"/>
      <c r="Y251" s="23"/>
      <c r="Z251" s="23"/>
    </row>
    <row r="252">
      <c r="A252" s="2"/>
      <c r="B252" s="2"/>
      <c r="C252" s="2"/>
      <c r="D252" s="2"/>
      <c r="E252" s="2"/>
      <c r="F252" s="2"/>
      <c r="G252" s="2"/>
      <c r="H252" s="2"/>
      <c r="I252" s="2"/>
      <c r="J252" s="2"/>
      <c r="K252" s="2"/>
      <c r="L252" s="2"/>
      <c r="M252" s="2"/>
      <c r="N252" s="2"/>
      <c r="O252" s="2"/>
      <c r="P252" s="2"/>
      <c r="Q252" s="23"/>
      <c r="R252" s="23"/>
      <c r="S252" s="23"/>
      <c r="T252" s="23"/>
      <c r="U252" s="23"/>
      <c r="V252" s="23"/>
      <c r="W252" s="23"/>
      <c r="X252" s="23"/>
      <c r="Y252" s="23"/>
      <c r="Z252" s="23"/>
    </row>
    <row r="253">
      <c r="A253" s="2"/>
      <c r="B253" s="2"/>
      <c r="C253" s="2"/>
      <c r="D253" s="2"/>
      <c r="E253" s="2"/>
      <c r="F253" s="2"/>
      <c r="G253" s="2"/>
      <c r="H253" s="2"/>
      <c r="I253" s="2"/>
      <c r="J253" s="2"/>
      <c r="K253" s="2"/>
      <c r="L253" s="2"/>
      <c r="M253" s="2"/>
      <c r="N253" s="2"/>
      <c r="O253" s="2"/>
      <c r="P253" s="2"/>
      <c r="Q253" s="23"/>
      <c r="R253" s="23"/>
      <c r="S253" s="23"/>
      <c r="T253" s="23"/>
      <c r="U253" s="23"/>
      <c r="V253" s="23"/>
      <c r="W253" s="23"/>
      <c r="X253" s="23"/>
      <c r="Y253" s="23"/>
      <c r="Z253" s="23"/>
    </row>
    <row r="254">
      <c r="A254" s="2"/>
      <c r="B254" s="2"/>
      <c r="C254" s="2"/>
      <c r="D254" s="2"/>
      <c r="E254" s="2"/>
      <c r="F254" s="2"/>
      <c r="G254" s="2"/>
      <c r="H254" s="2"/>
      <c r="I254" s="2"/>
      <c r="J254" s="2"/>
      <c r="K254" s="2"/>
      <c r="L254" s="2"/>
      <c r="M254" s="2"/>
      <c r="N254" s="2"/>
      <c r="O254" s="2"/>
      <c r="P254" s="2"/>
      <c r="Q254" s="23"/>
      <c r="R254" s="23"/>
      <c r="S254" s="23"/>
      <c r="T254" s="23"/>
      <c r="U254" s="23"/>
      <c r="V254" s="23"/>
      <c r="W254" s="23"/>
      <c r="X254" s="23"/>
      <c r="Y254" s="23"/>
      <c r="Z254" s="23"/>
    </row>
    <row r="255">
      <c r="A255" s="2"/>
      <c r="B255" s="2"/>
      <c r="C255" s="2"/>
      <c r="D255" s="2"/>
      <c r="E255" s="2"/>
      <c r="F255" s="2"/>
      <c r="G255" s="2"/>
      <c r="H255" s="2"/>
      <c r="I255" s="2"/>
      <c r="J255" s="2"/>
      <c r="K255" s="2"/>
      <c r="L255" s="2"/>
      <c r="M255" s="2"/>
      <c r="N255" s="2"/>
      <c r="O255" s="2"/>
      <c r="P255" s="2"/>
      <c r="Q255" s="23"/>
      <c r="R255" s="23"/>
      <c r="S255" s="23"/>
      <c r="T255" s="23"/>
      <c r="U255" s="23"/>
      <c r="V255" s="23"/>
      <c r="W255" s="23"/>
      <c r="X255" s="23"/>
      <c r="Y255" s="23"/>
      <c r="Z255" s="23"/>
    </row>
    <row r="256">
      <c r="A256" s="2"/>
      <c r="B256" s="2"/>
      <c r="C256" s="2"/>
      <c r="D256" s="2"/>
      <c r="E256" s="2"/>
      <c r="F256" s="2"/>
      <c r="G256" s="2"/>
      <c r="H256" s="2"/>
      <c r="I256" s="2"/>
      <c r="J256" s="2"/>
      <c r="K256" s="2"/>
      <c r="L256" s="2"/>
      <c r="M256" s="2"/>
      <c r="N256" s="2"/>
      <c r="O256" s="2"/>
      <c r="P256" s="2"/>
      <c r="Q256" s="23"/>
      <c r="R256" s="23"/>
      <c r="S256" s="23"/>
      <c r="T256" s="23"/>
      <c r="U256" s="23"/>
      <c r="V256" s="23"/>
      <c r="W256" s="23"/>
      <c r="X256" s="23"/>
      <c r="Y256" s="23"/>
      <c r="Z256" s="23"/>
    </row>
    <row r="257">
      <c r="A257" s="2"/>
      <c r="B257" s="2"/>
      <c r="C257" s="2"/>
      <c r="D257" s="2"/>
      <c r="E257" s="2"/>
      <c r="F257" s="2"/>
      <c r="G257" s="2"/>
      <c r="H257" s="2"/>
      <c r="I257" s="2"/>
      <c r="J257" s="2"/>
      <c r="K257" s="2"/>
      <c r="L257" s="2"/>
      <c r="M257" s="2"/>
      <c r="N257" s="2"/>
      <c r="O257" s="2"/>
      <c r="P257" s="2"/>
      <c r="Q257" s="23"/>
      <c r="R257" s="23"/>
      <c r="S257" s="23"/>
      <c r="T257" s="23"/>
      <c r="U257" s="23"/>
      <c r="V257" s="23"/>
      <c r="W257" s="23"/>
      <c r="X257" s="23"/>
      <c r="Y257" s="23"/>
      <c r="Z257" s="23"/>
    </row>
    <row r="258">
      <c r="A258" s="2"/>
      <c r="B258" s="2"/>
      <c r="C258" s="2"/>
      <c r="D258" s="2"/>
      <c r="E258" s="2"/>
      <c r="F258" s="2"/>
      <c r="G258" s="2"/>
      <c r="H258" s="2"/>
      <c r="I258" s="2"/>
      <c r="J258" s="2"/>
      <c r="K258" s="2"/>
      <c r="L258" s="2"/>
      <c r="M258" s="2"/>
      <c r="N258" s="2"/>
      <c r="O258" s="2"/>
      <c r="P258" s="2"/>
      <c r="Q258" s="23"/>
      <c r="R258" s="23"/>
      <c r="S258" s="23"/>
      <c r="T258" s="23"/>
      <c r="U258" s="23"/>
      <c r="V258" s="23"/>
      <c r="W258" s="23"/>
      <c r="X258" s="23"/>
      <c r="Y258" s="23"/>
      <c r="Z258" s="23"/>
    </row>
    <row r="259">
      <c r="A259" s="2"/>
      <c r="B259" s="2"/>
      <c r="C259" s="2"/>
      <c r="D259" s="2"/>
      <c r="E259" s="2"/>
      <c r="F259" s="2"/>
      <c r="G259" s="2"/>
      <c r="H259" s="2"/>
      <c r="I259" s="2"/>
      <c r="J259" s="2"/>
      <c r="K259" s="2"/>
      <c r="L259" s="2"/>
      <c r="M259" s="2"/>
      <c r="N259" s="2"/>
      <c r="O259" s="2"/>
      <c r="P259" s="2"/>
      <c r="Q259" s="23"/>
      <c r="R259" s="23"/>
      <c r="S259" s="23"/>
      <c r="T259" s="23"/>
      <c r="U259" s="23"/>
      <c r="V259" s="23"/>
      <c r="W259" s="23"/>
      <c r="X259" s="23"/>
      <c r="Y259" s="23"/>
      <c r="Z259" s="23"/>
    </row>
    <row r="260">
      <c r="A260" s="2"/>
      <c r="B260" s="2"/>
      <c r="C260" s="2"/>
      <c r="D260" s="2"/>
      <c r="E260" s="2"/>
      <c r="F260" s="2"/>
      <c r="G260" s="2"/>
      <c r="H260" s="2"/>
      <c r="I260" s="2"/>
      <c r="J260" s="2"/>
      <c r="K260" s="2"/>
      <c r="L260" s="2"/>
      <c r="M260" s="2"/>
      <c r="N260" s="2"/>
      <c r="O260" s="2"/>
      <c r="P260" s="2"/>
      <c r="Q260" s="23"/>
      <c r="R260" s="23"/>
      <c r="S260" s="23"/>
      <c r="T260" s="23"/>
      <c r="U260" s="23"/>
      <c r="V260" s="23"/>
      <c r="W260" s="23"/>
      <c r="X260" s="23"/>
      <c r="Y260" s="23"/>
      <c r="Z260" s="23"/>
    </row>
    <row r="261">
      <c r="A261" s="2"/>
      <c r="B261" s="2"/>
      <c r="C261" s="2"/>
      <c r="D261" s="2"/>
      <c r="E261" s="2"/>
      <c r="F261" s="2"/>
      <c r="G261" s="2"/>
      <c r="H261" s="2"/>
      <c r="I261" s="2"/>
      <c r="J261" s="2"/>
      <c r="K261" s="2"/>
      <c r="L261" s="2"/>
      <c r="M261" s="2"/>
      <c r="N261" s="2"/>
      <c r="O261" s="2"/>
      <c r="P261" s="2"/>
      <c r="Q261" s="23"/>
      <c r="R261" s="23"/>
      <c r="S261" s="23"/>
      <c r="T261" s="23"/>
      <c r="U261" s="23"/>
      <c r="V261" s="23"/>
      <c r="W261" s="23"/>
      <c r="X261" s="23"/>
      <c r="Y261" s="23"/>
      <c r="Z261" s="23"/>
    </row>
    <row r="262">
      <c r="A262" s="2"/>
      <c r="B262" s="2"/>
      <c r="C262" s="2"/>
      <c r="D262" s="2"/>
      <c r="E262" s="2"/>
      <c r="F262" s="2"/>
      <c r="G262" s="2"/>
      <c r="H262" s="2"/>
      <c r="I262" s="2"/>
      <c r="J262" s="2"/>
      <c r="K262" s="2"/>
      <c r="L262" s="2"/>
      <c r="M262" s="2"/>
      <c r="N262" s="2"/>
      <c r="O262" s="2"/>
      <c r="P262" s="2"/>
      <c r="Q262" s="23"/>
      <c r="R262" s="23"/>
      <c r="S262" s="23"/>
      <c r="T262" s="23"/>
      <c r="U262" s="23"/>
      <c r="V262" s="23"/>
      <c r="W262" s="23"/>
      <c r="X262" s="23"/>
      <c r="Y262" s="23"/>
      <c r="Z262" s="23"/>
    </row>
    <row r="263">
      <c r="A263" s="2"/>
      <c r="B263" s="2"/>
      <c r="C263" s="2"/>
      <c r="D263" s="2"/>
      <c r="E263" s="2"/>
      <c r="F263" s="2"/>
      <c r="G263" s="2"/>
      <c r="H263" s="2"/>
      <c r="I263" s="2"/>
      <c r="J263" s="2"/>
      <c r="K263" s="2"/>
      <c r="L263" s="2"/>
      <c r="M263" s="2"/>
      <c r="N263" s="2"/>
      <c r="O263" s="2"/>
      <c r="P263" s="2"/>
      <c r="Q263" s="23"/>
      <c r="R263" s="23"/>
      <c r="S263" s="23"/>
      <c r="T263" s="23"/>
      <c r="U263" s="23"/>
      <c r="V263" s="23"/>
      <c r="W263" s="23"/>
      <c r="X263" s="23"/>
      <c r="Y263" s="23"/>
      <c r="Z263" s="23"/>
    </row>
    <row r="264">
      <c r="A264" s="2"/>
      <c r="B264" s="2"/>
      <c r="C264" s="2"/>
      <c r="D264" s="2"/>
      <c r="E264" s="2"/>
      <c r="F264" s="2"/>
      <c r="G264" s="2"/>
      <c r="H264" s="2"/>
      <c r="I264" s="2"/>
      <c r="J264" s="2"/>
      <c r="K264" s="2"/>
      <c r="L264" s="2"/>
      <c r="M264" s="2"/>
      <c r="N264" s="2"/>
      <c r="O264" s="2"/>
      <c r="P264" s="2"/>
      <c r="Q264" s="23"/>
      <c r="R264" s="23"/>
      <c r="S264" s="23"/>
      <c r="T264" s="23"/>
      <c r="U264" s="23"/>
      <c r="V264" s="23"/>
      <c r="W264" s="23"/>
      <c r="X264" s="23"/>
      <c r="Y264" s="23"/>
      <c r="Z264" s="23"/>
    </row>
    <row r="265">
      <c r="A265" s="2"/>
      <c r="B265" s="2"/>
      <c r="C265" s="2"/>
      <c r="D265" s="2"/>
      <c r="E265" s="2"/>
      <c r="F265" s="2"/>
      <c r="G265" s="2"/>
      <c r="H265" s="2"/>
      <c r="I265" s="2"/>
      <c r="J265" s="2"/>
      <c r="K265" s="2"/>
      <c r="L265" s="2"/>
      <c r="M265" s="2"/>
      <c r="N265" s="2"/>
      <c r="O265" s="2"/>
      <c r="P265" s="2"/>
      <c r="Q265" s="23"/>
      <c r="R265" s="23"/>
      <c r="S265" s="23"/>
      <c r="T265" s="23"/>
      <c r="U265" s="23"/>
      <c r="V265" s="23"/>
      <c r="W265" s="23"/>
      <c r="X265" s="23"/>
      <c r="Y265" s="23"/>
      <c r="Z265" s="23"/>
    </row>
    <row r="266">
      <c r="A266" s="2"/>
      <c r="B266" s="2"/>
      <c r="C266" s="2"/>
      <c r="D266" s="2"/>
      <c r="E266" s="2"/>
      <c r="F266" s="2"/>
      <c r="G266" s="2"/>
      <c r="H266" s="2"/>
      <c r="I266" s="2"/>
      <c r="J266" s="2"/>
      <c r="K266" s="2"/>
      <c r="L266" s="2"/>
      <c r="M266" s="2"/>
      <c r="N266" s="2"/>
      <c r="O266" s="2"/>
      <c r="P266" s="2"/>
      <c r="Q266" s="23"/>
      <c r="R266" s="23"/>
      <c r="S266" s="23"/>
      <c r="T266" s="23"/>
      <c r="U266" s="23"/>
      <c r="V266" s="23"/>
      <c r="W266" s="23"/>
      <c r="X266" s="23"/>
      <c r="Y266" s="23"/>
      <c r="Z266" s="23"/>
    </row>
    <row r="267">
      <c r="A267" s="2"/>
      <c r="B267" s="2"/>
      <c r="C267" s="2"/>
      <c r="D267" s="2"/>
      <c r="E267" s="2"/>
      <c r="F267" s="2"/>
      <c r="G267" s="2"/>
      <c r="H267" s="2"/>
      <c r="I267" s="2"/>
      <c r="J267" s="2"/>
      <c r="K267" s="2"/>
      <c r="L267" s="2"/>
      <c r="M267" s="2"/>
      <c r="N267" s="2"/>
      <c r="O267" s="2"/>
      <c r="P267" s="2"/>
      <c r="Q267" s="23"/>
      <c r="R267" s="23"/>
      <c r="S267" s="23"/>
      <c r="T267" s="23"/>
      <c r="U267" s="23"/>
      <c r="V267" s="23"/>
      <c r="W267" s="23"/>
      <c r="X267" s="23"/>
      <c r="Y267" s="23"/>
      <c r="Z267" s="23"/>
    </row>
    <row r="268">
      <c r="A268" s="2"/>
      <c r="B268" s="2"/>
      <c r="C268" s="2"/>
      <c r="D268" s="2"/>
      <c r="E268" s="2"/>
      <c r="F268" s="2"/>
      <c r="G268" s="2"/>
      <c r="H268" s="2"/>
      <c r="I268" s="2"/>
      <c r="J268" s="2"/>
      <c r="K268" s="2"/>
      <c r="L268" s="2"/>
      <c r="M268" s="2"/>
      <c r="N268" s="2"/>
      <c r="O268" s="2"/>
      <c r="P268" s="2"/>
      <c r="Q268" s="23"/>
      <c r="R268" s="23"/>
      <c r="S268" s="23"/>
      <c r="T268" s="23"/>
      <c r="U268" s="23"/>
      <c r="V268" s="23"/>
      <c r="W268" s="23"/>
      <c r="X268" s="23"/>
      <c r="Y268" s="23"/>
      <c r="Z268" s="23"/>
    </row>
    <row r="269">
      <c r="A269" s="2"/>
      <c r="B269" s="2"/>
      <c r="C269" s="2"/>
      <c r="D269" s="2"/>
      <c r="E269" s="2"/>
      <c r="F269" s="2"/>
      <c r="G269" s="2"/>
      <c r="H269" s="2"/>
      <c r="I269" s="2"/>
      <c r="J269" s="2"/>
      <c r="K269" s="2"/>
      <c r="L269" s="2"/>
      <c r="M269" s="2"/>
      <c r="N269" s="2"/>
      <c r="O269" s="2"/>
      <c r="P269" s="2"/>
      <c r="Q269" s="23"/>
      <c r="R269" s="23"/>
      <c r="S269" s="23"/>
      <c r="T269" s="23"/>
      <c r="U269" s="23"/>
      <c r="V269" s="23"/>
      <c r="W269" s="23"/>
      <c r="X269" s="23"/>
      <c r="Y269" s="23"/>
      <c r="Z269" s="23"/>
    </row>
    <row r="270">
      <c r="A270" s="2"/>
      <c r="B270" s="2"/>
      <c r="C270" s="2"/>
      <c r="D270" s="2"/>
      <c r="E270" s="2"/>
      <c r="F270" s="2"/>
      <c r="G270" s="2"/>
      <c r="H270" s="2"/>
      <c r="I270" s="2"/>
      <c r="J270" s="2"/>
      <c r="K270" s="2"/>
      <c r="L270" s="2"/>
      <c r="M270" s="2"/>
      <c r="N270" s="2"/>
      <c r="O270" s="2"/>
      <c r="P270" s="2"/>
      <c r="Q270" s="23"/>
      <c r="R270" s="23"/>
      <c r="S270" s="23"/>
      <c r="T270" s="23"/>
      <c r="U270" s="23"/>
      <c r="V270" s="23"/>
      <c r="W270" s="23"/>
      <c r="X270" s="23"/>
      <c r="Y270" s="23"/>
      <c r="Z270" s="23"/>
    </row>
    <row r="271">
      <c r="A271" s="2"/>
      <c r="B271" s="2"/>
      <c r="C271" s="2"/>
      <c r="D271" s="2"/>
      <c r="E271" s="2"/>
      <c r="F271" s="2"/>
      <c r="G271" s="2"/>
      <c r="H271" s="2"/>
      <c r="I271" s="2"/>
      <c r="J271" s="2"/>
      <c r="K271" s="2"/>
      <c r="L271" s="2"/>
      <c r="M271" s="2"/>
      <c r="N271" s="2"/>
      <c r="O271" s="2"/>
      <c r="P271" s="2"/>
      <c r="Q271" s="23"/>
      <c r="R271" s="23"/>
      <c r="S271" s="23"/>
      <c r="T271" s="23"/>
      <c r="U271" s="23"/>
      <c r="V271" s="23"/>
      <c r="W271" s="23"/>
      <c r="X271" s="23"/>
      <c r="Y271" s="23"/>
      <c r="Z271" s="23"/>
    </row>
    <row r="272">
      <c r="A272" s="2"/>
      <c r="B272" s="2"/>
      <c r="C272" s="2"/>
      <c r="D272" s="2"/>
      <c r="E272" s="2"/>
      <c r="F272" s="2"/>
      <c r="G272" s="2"/>
      <c r="H272" s="2"/>
      <c r="I272" s="2"/>
      <c r="J272" s="2"/>
      <c r="K272" s="2"/>
      <c r="L272" s="2"/>
      <c r="M272" s="2"/>
      <c r="N272" s="2"/>
      <c r="O272" s="2"/>
      <c r="P272" s="2"/>
      <c r="Q272" s="23"/>
      <c r="R272" s="23"/>
      <c r="S272" s="23"/>
      <c r="T272" s="23"/>
      <c r="U272" s="23"/>
      <c r="V272" s="23"/>
      <c r="W272" s="23"/>
      <c r="X272" s="23"/>
      <c r="Y272" s="23"/>
      <c r="Z272" s="23"/>
    </row>
    <row r="273">
      <c r="A273" s="2"/>
      <c r="B273" s="2"/>
      <c r="C273" s="2"/>
      <c r="D273" s="2"/>
      <c r="E273" s="2"/>
      <c r="F273" s="2"/>
      <c r="G273" s="2"/>
      <c r="H273" s="2"/>
      <c r="I273" s="2"/>
      <c r="J273" s="2"/>
      <c r="K273" s="2"/>
      <c r="L273" s="2"/>
      <c r="M273" s="2"/>
      <c r="N273" s="2"/>
      <c r="O273" s="2"/>
      <c r="P273" s="2"/>
      <c r="Q273" s="23"/>
      <c r="R273" s="23"/>
      <c r="S273" s="23"/>
      <c r="T273" s="23"/>
      <c r="U273" s="23"/>
      <c r="V273" s="23"/>
      <c r="W273" s="23"/>
      <c r="X273" s="23"/>
      <c r="Y273" s="23"/>
      <c r="Z273" s="23"/>
    </row>
    <row r="274">
      <c r="A274" s="2"/>
      <c r="B274" s="2"/>
      <c r="C274" s="2"/>
      <c r="D274" s="2"/>
      <c r="E274" s="2"/>
      <c r="F274" s="2"/>
      <c r="G274" s="2"/>
      <c r="H274" s="2"/>
      <c r="I274" s="2"/>
      <c r="J274" s="2"/>
      <c r="K274" s="2"/>
      <c r="L274" s="2"/>
      <c r="M274" s="2"/>
      <c r="N274" s="2"/>
      <c r="O274" s="2"/>
      <c r="P274" s="2"/>
      <c r="Q274" s="23"/>
      <c r="R274" s="23"/>
      <c r="S274" s="23"/>
      <c r="T274" s="23"/>
      <c r="U274" s="23"/>
      <c r="V274" s="23"/>
      <c r="W274" s="23"/>
      <c r="X274" s="23"/>
      <c r="Y274" s="23"/>
      <c r="Z274" s="23"/>
    </row>
    <row r="275">
      <c r="A275" s="2"/>
      <c r="B275" s="2"/>
      <c r="C275" s="2"/>
      <c r="D275" s="2"/>
      <c r="E275" s="2"/>
      <c r="F275" s="2"/>
      <c r="G275" s="2"/>
      <c r="H275" s="2"/>
      <c r="I275" s="2"/>
      <c r="J275" s="2"/>
      <c r="K275" s="2"/>
      <c r="L275" s="2"/>
      <c r="M275" s="2"/>
      <c r="N275" s="2"/>
      <c r="O275" s="2"/>
      <c r="P275" s="2"/>
      <c r="Q275" s="23"/>
      <c r="R275" s="23"/>
      <c r="S275" s="23"/>
      <c r="T275" s="23"/>
      <c r="U275" s="23"/>
      <c r="V275" s="23"/>
      <c r="W275" s="23"/>
      <c r="X275" s="23"/>
      <c r="Y275" s="23"/>
      <c r="Z275" s="23"/>
    </row>
    <row r="276">
      <c r="A276" s="2"/>
      <c r="B276" s="2"/>
      <c r="C276" s="2"/>
      <c r="D276" s="2"/>
      <c r="E276" s="2"/>
      <c r="F276" s="2"/>
      <c r="G276" s="2"/>
      <c r="H276" s="2"/>
      <c r="I276" s="2"/>
      <c r="J276" s="2"/>
      <c r="K276" s="2"/>
      <c r="L276" s="2"/>
      <c r="M276" s="2"/>
      <c r="N276" s="2"/>
      <c r="O276" s="2"/>
      <c r="P276" s="2"/>
      <c r="Q276" s="23"/>
      <c r="R276" s="23"/>
      <c r="S276" s="23"/>
      <c r="T276" s="23"/>
      <c r="U276" s="23"/>
      <c r="V276" s="23"/>
      <c r="W276" s="23"/>
      <c r="X276" s="23"/>
      <c r="Y276" s="23"/>
      <c r="Z276" s="23"/>
    </row>
    <row r="277">
      <c r="A277" s="2"/>
      <c r="B277" s="2"/>
      <c r="C277" s="2"/>
      <c r="D277" s="2"/>
      <c r="E277" s="2"/>
      <c r="F277" s="2"/>
      <c r="G277" s="2"/>
      <c r="H277" s="2"/>
      <c r="I277" s="2"/>
      <c r="J277" s="2"/>
      <c r="K277" s="2"/>
      <c r="L277" s="2"/>
      <c r="M277" s="2"/>
      <c r="N277" s="2"/>
      <c r="O277" s="2"/>
      <c r="P277" s="2"/>
      <c r="Q277" s="23"/>
      <c r="R277" s="23"/>
      <c r="S277" s="23"/>
      <c r="T277" s="23"/>
      <c r="U277" s="23"/>
      <c r="V277" s="23"/>
      <c r="W277" s="23"/>
      <c r="X277" s="23"/>
      <c r="Y277" s="23"/>
      <c r="Z277" s="23"/>
    </row>
    <row r="278">
      <c r="A278" s="2"/>
      <c r="B278" s="2"/>
      <c r="C278" s="2"/>
      <c r="D278" s="2"/>
      <c r="E278" s="2"/>
      <c r="F278" s="2"/>
      <c r="G278" s="2"/>
      <c r="H278" s="2"/>
      <c r="I278" s="2"/>
      <c r="J278" s="2"/>
      <c r="K278" s="2"/>
      <c r="L278" s="2"/>
      <c r="M278" s="2"/>
      <c r="N278" s="2"/>
      <c r="O278" s="2"/>
      <c r="P278" s="2"/>
      <c r="Q278" s="23"/>
      <c r="R278" s="23"/>
      <c r="S278" s="23"/>
      <c r="T278" s="23"/>
      <c r="U278" s="23"/>
      <c r="V278" s="23"/>
      <c r="W278" s="23"/>
      <c r="X278" s="23"/>
      <c r="Y278" s="23"/>
      <c r="Z278" s="23"/>
    </row>
    <row r="279">
      <c r="A279" s="2"/>
      <c r="B279" s="2"/>
      <c r="C279" s="2"/>
      <c r="D279" s="2"/>
      <c r="E279" s="2"/>
      <c r="F279" s="2"/>
      <c r="G279" s="2"/>
      <c r="H279" s="2"/>
      <c r="I279" s="2"/>
      <c r="J279" s="2"/>
      <c r="K279" s="2"/>
      <c r="L279" s="2"/>
      <c r="M279" s="2"/>
      <c r="N279" s="2"/>
      <c r="O279" s="2"/>
      <c r="P279" s="2"/>
      <c r="Q279" s="23"/>
      <c r="R279" s="23"/>
      <c r="S279" s="23"/>
      <c r="T279" s="23"/>
      <c r="U279" s="23"/>
      <c r="V279" s="23"/>
      <c r="W279" s="23"/>
      <c r="X279" s="23"/>
      <c r="Y279" s="23"/>
      <c r="Z279" s="23"/>
    </row>
    <row r="280">
      <c r="A280" s="2"/>
      <c r="B280" s="2"/>
      <c r="C280" s="2"/>
      <c r="D280" s="2"/>
      <c r="E280" s="2"/>
      <c r="F280" s="2"/>
      <c r="G280" s="2"/>
      <c r="H280" s="2"/>
      <c r="I280" s="2"/>
      <c r="J280" s="2"/>
      <c r="K280" s="2"/>
      <c r="L280" s="2"/>
      <c r="M280" s="2"/>
      <c r="N280" s="2"/>
      <c r="O280" s="2"/>
      <c r="P280" s="2"/>
      <c r="Q280" s="23"/>
      <c r="R280" s="23"/>
      <c r="S280" s="23"/>
      <c r="T280" s="23"/>
      <c r="U280" s="23"/>
      <c r="V280" s="23"/>
      <c r="W280" s="23"/>
      <c r="X280" s="23"/>
      <c r="Y280" s="23"/>
      <c r="Z280" s="23"/>
    </row>
    <row r="281">
      <c r="A281" s="2"/>
      <c r="B281" s="2"/>
      <c r="C281" s="2"/>
      <c r="D281" s="2"/>
      <c r="E281" s="2"/>
      <c r="F281" s="2"/>
      <c r="G281" s="2"/>
      <c r="H281" s="2"/>
      <c r="I281" s="2"/>
      <c r="J281" s="2"/>
      <c r="K281" s="2"/>
      <c r="L281" s="2"/>
      <c r="M281" s="2"/>
      <c r="N281" s="2"/>
      <c r="O281" s="2"/>
      <c r="P281" s="2"/>
      <c r="Q281" s="23"/>
      <c r="R281" s="23"/>
      <c r="S281" s="23"/>
      <c r="T281" s="23"/>
      <c r="U281" s="23"/>
      <c r="V281" s="23"/>
      <c r="W281" s="23"/>
      <c r="X281" s="23"/>
      <c r="Y281" s="23"/>
      <c r="Z281" s="23"/>
    </row>
    <row r="282">
      <c r="A282" s="2"/>
      <c r="B282" s="2"/>
      <c r="C282" s="2"/>
      <c r="D282" s="2"/>
      <c r="E282" s="2"/>
      <c r="F282" s="2"/>
      <c r="G282" s="2"/>
      <c r="H282" s="2"/>
      <c r="I282" s="2"/>
      <c r="J282" s="2"/>
      <c r="K282" s="2"/>
      <c r="L282" s="2"/>
      <c r="M282" s="2"/>
      <c r="N282" s="2"/>
      <c r="O282" s="2"/>
      <c r="P282" s="2"/>
      <c r="Q282" s="23"/>
      <c r="R282" s="23"/>
      <c r="S282" s="23"/>
      <c r="T282" s="23"/>
      <c r="U282" s="23"/>
      <c r="V282" s="23"/>
      <c r="W282" s="23"/>
      <c r="X282" s="23"/>
      <c r="Y282" s="23"/>
      <c r="Z282" s="23"/>
    </row>
    <row r="283">
      <c r="A283" s="2"/>
      <c r="B283" s="2"/>
      <c r="C283" s="2"/>
      <c r="D283" s="2"/>
      <c r="E283" s="2"/>
      <c r="F283" s="2"/>
      <c r="G283" s="2"/>
      <c r="H283" s="2"/>
      <c r="I283" s="2"/>
      <c r="J283" s="2"/>
      <c r="K283" s="2"/>
      <c r="L283" s="2"/>
      <c r="M283" s="2"/>
      <c r="N283" s="2"/>
      <c r="O283" s="2"/>
      <c r="P283" s="2"/>
      <c r="Q283" s="23"/>
      <c r="R283" s="23"/>
      <c r="S283" s="23"/>
      <c r="T283" s="23"/>
      <c r="U283" s="23"/>
      <c r="V283" s="23"/>
      <c r="W283" s="23"/>
      <c r="X283" s="23"/>
      <c r="Y283" s="23"/>
      <c r="Z283" s="23"/>
    </row>
    <row r="284">
      <c r="A284" s="2"/>
      <c r="B284" s="2"/>
      <c r="C284" s="2"/>
      <c r="D284" s="2"/>
      <c r="E284" s="2"/>
      <c r="F284" s="2"/>
      <c r="G284" s="2"/>
      <c r="H284" s="2"/>
      <c r="I284" s="2"/>
      <c r="J284" s="2"/>
      <c r="K284" s="2"/>
      <c r="L284" s="2"/>
      <c r="M284" s="2"/>
      <c r="N284" s="2"/>
      <c r="O284" s="2"/>
      <c r="P284" s="2"/>
      <c r="Q284" s="23"/>
      <c r="R284" s="23"/>
      <c r="S284" s="23"/>
      <c r="T284" s="23"/>
      <c r="U284" s="23"/>
      <c r="V284" s="23"/>
      <c r="W284" s="23"/>
      <c r="X284" s="23"/>
      <c r="Y284" s="23"/>
      <c r="Z284" s="23"/>
    </row>
    <row r="285">
      <c r="A285" s="2"/>
      <c r="B285" s="2"/>
      <c r="C285" s="2"/>
      <c r="D285" s="2"/>
      <c r="E285" s="2"/>
      <c r="F285" s="2"/>
      <c r="G285" s="2"/>
      <c r="H285" s="2"/>
      <c r="I285" s="2"/>
      <c r="J285" s="2"/>
      <c r="K285" s="2"/>
      <c r="L285" s="2"/>
      <c r="M285" s="2"/>
      <c r="N285" s="2"/>
      <c r="O285" s="2"/>
      <c r="P285" s="2"/>
      <c r="Q285" s="23"/>
      <c r="R285" s="23"/>
      <c r="S285" s="23"/>
      <c r="T285" s="23"/>
      <c r="U285" s="23"/>
      <c r="V285" s="23"/>
      <c r="W285" s="23"/>
      <c r="X285" s="23"/>
      <c r="Y285" s="23"/>
      <c r="Z285" s="23"/>
    </row>
    <row r="286">
      <c r="A286" s="2"/>
      <c r="B286" s="2"/>
      <c r="C286" s="2"/>
      <c r="D286" s="2"/>
      <c r="E286" s="2"/>
      <c r="F286" s="2"/>
      <c r="G286" s="2"/>
      <c r="H286" s="2"/>
      <c r="I286" s="2"/>
      <c r="J286" s="2"/>
      <c r="K286" s="2"/>
      <c r="L286" s="2"/>
      <c r="M286" s="2"/>
      <c r="N286" s="2"/>
      <c r="O286" s="2"/>
      <c r="P286" s="2"/>
      <c r="Q286" s="23"/>
      <c r="R286" s="23"/>
      <c r="S286" s="23"/>
      <c r="T286" s="23"/>
      <c r="U286" s="23"/>
      <c r="V286" s="23"/>
      <c r="W286" s="23"/>
      <c r="X286" s="23"/>
      <c r="Y286" s="23"/>
      <c r="Z286" s="23"/>
    </row>
    <row r="287">
      <c r="A287" s="2"/>
      <c r="B287" s="2"/>
      <c r="C287" s="2"/>
      <c r="D287" s="2"/>
      <c r="E287" s="2"/>
      <c r="F287" s="2"/>
      <c r="G287" s="2"/>
      <c r="H287" s="2"/>
      <c r="I287" s="2"/>
      <c r="J287" s="2"/>
      <c r="K287" s="2"/>
      <c r="L287" s="2"/>
      <c r="M287" s="2"/>
      <c r="N287" s="2"/>
      <c r="O287" s="2"/>
      <c r="P287" s="2"/>
      <c r="Q287" s="23"/>
      <c r="R287" s="23"/>
      <c r="S287" s="23"/>
      <c r="T287" s="23"/>
      <c r="U287" s="23"/>
      <c r="V287" s="23"/>
      <c r="W287" s="23"/>
      <c r="X287" s="23"/>
      <c r="Y287" s="23"/>
      <c r="Z287" s="23"/>
    </row>
    <row r="288">
      <c r="A288" s="2"/>
      <c r="B288" s="2"/>
      <c r="C288" s="2"/>
      <c r="D288" s="2"/>
      <c r="E288" s="2"/>
      <c r="F288" s="2"/>
      <c r="G288" s="2"/>
      <c r="H288" s="2"/>
      <c r="I288" s="2"/>
      <c r="J288" s="2"/>
      <c r="K288" s="2"/>
      <c r="L288" s="2"/>
      <c r="M288" s="2"/>
      <c r="N288" s="2"/>
      <c r="O288" s="2"/>
      <c r="P288" s="2"/>
      <c r="Q288" s="23"/>
      <c r="R288" s="23"/>
      <c r="S288" s="23"/>
      <c r="T288" s="23"/>
      <c r="U288" s="23"/>
      <c r="V288" s="23"/>
      <c r="W288" s="23"/>
      <c r="X288" s="23"/>
      <c r="Y288" s="23"/>
      <c r="Z288" s="23"/>
    </row>
    <row r="289">
      <c r="A289" s="2"/>
      <c r="B289" s="2"/>
      <c r="C289" s="2"/>
      <c r="D289" s="2"/>
      <c r="E289" s="2"/>
      <c r="F289" s="2"/>
      <c r="G289" s="2"/>
      <c r="H289" s="2"/>
      <c r="I289" s="2"/>
      <c r="J289" s="2"/>
      <c r="K289" s="2"/>
      <c r="L289" s="2"/>
      <c r="M289" s="2"/>
      <c r="N289" s="2"/>
      <c r="O289" s="2"/>
      <c r="P289" s="2"/>
      <c r="Q289" s="23"/>
      <c r="R289" s="23"/>
      <c r="S289" s="23"/>
      <c r="T289" s="23"/>
      <c r="U289" s="23"/>
      <c r="V289" s="23"/>
      <c r="W289" s="23"/>
      <c r="X289" s="23"/>
      <c r="Y289" s="23"/>
      <c r="Z289" s="23"/>
    </row>
    <row r="290">
      <c r="A290" s="2"/>
      <c r="B290" s="2"/>
      <c r="C290" s="2"/>
      <c r="D290" s="2"/>
      <c r="E290" s="2"/>
      <c r="F290" s="2"/>
      <c r="G290" s="2"/>
      <c r="H290" s="2"/>
      <c r="I290" s="2"/>
      <c r="J290" s="2"/>
      <c r="K290" s="2"/>
      <c r="L290" s="2"/>
      <c r="M290" s="2"/>
      <c r="N290" s="2"/>
      <c r="O290" s="2"/>
      <c r="P290" s="2"/>
      <c r="Q290" s="23"/>
      <c r="R290" s="23"/>
      <c r="S290" s="23"/>
      <c r="T290" s="23"/>
      <c r="U290" s="23"/>
      <c r="V290" s="23"/>
      <c r="W290" s="23"/>
      <c r="X290" s="23"/>
      <c r="Y290" s="23"/>
      <c r="Z290" s="23"/>
    </row>
    <row r="291">
      <c r="A291" s="2"/>
      <c r="B291" s="2"/>
      <c r="C291" s="2"/>
      <c r="D291" s="2"/>
      <c r="E291" s="2"/>
      <c r="F291" s="2"/>
      <c r="G291" s="2"/>
      <c r="H291" s="2"/>
      <c r="I291" s="2"/>
      <c r="J291" s="2"/>
      <c r="K291" s="2"/>
      <c r="L291" s="2"/>
      <c r="M291" s="2"/>
      <c r="N291" s="2"/>
      <c r="O291" s="2"/>
      <c r="P291" s="2"/>
      <c r="Q291" s="23"/>
      <c r="R291" s="23"/>
      <c r="S291" s="23"/>
      <c r="T291" s="23"/>
      <c r="U291" s="23"/>
      <c r="V291" s="23"/>
      <c r="W291" s="23"/>
      <c r="X291" s="23"/>
      <c r="Y291" s="23"/>
      <c r="Z291" s="23"/>
    </row>
    <row r="292">
      <c r="A292" s="2"/>
      <c r="B292" s="2"/>
      <c r="C292" s="2"/>
      <c r="D292" s="2"/>
      <c r="E292" s="2"/>
      <c r="F292" s="2"/>
      <c r="G292" s="2"/>
      <c r="H292" s="2"/>
      <c r="I292" s="2"/>
      <c r="J292" s="2"/>
      <c r="K292" s="2"/>
      <c r="L292" s="2"/>
      <c r="M292" s="2"/>
      <c r="N292" s="2"/>
      <c r="O292" s="2"/>
      <c r="P292" s="2"/>
      <c r="Q292" s="23"/>
      <c r="R292" s="23"/>
      <c r="S292" s="23"/>
      <c r="T292" s="23"/>
      <c r="U292" s="23"/>
      <c r="V292" s="23"/>
      <c r="W292" s="23"/>
      <c r="X292" s="23"/>
      <c r="Y292" s="23"/>
      <c r="Z292" s="23"/>
    </row>
    <row r="293">
      <c r="A293" s="2"/>
      <c r="B293" s="2"/>
      <c r="C293" s="2"/>
      <c r="D293" s="2"/>
      <c r="E293" s="2"/>
      <c r="F293" s="2"/>
      <c r="G293" s="2"/>
      <c r="H293" s="2"/>
      <c r="I293" s="2"/>
      <c r="J293" s="2"/>
      <c r="K293" s="2"/>
      <c r="L293" s="2"/>
      <c r="M293" s="2"/>
      <c r="N293" s="2"/>
      <c r="O293" s="2"/>
      <c r="P293" s="2"/>
      <c r="Q293" s="23"/>
      <c r="R293" s="23"/>
      <c r="S293" s="23"/>
      <c r="T293" s="23"/>
      <c r="U293" s="23"/>
      <c r="V293" s="23"/>
      <c r="W293" s="23"/>
      <c r="X293" s="23"/>
      <c r="Y293" s="23"/>
      <c r="Z293" s="23"/>
    </row>
    <row r="294">
      <c r="A294" s="2"/>
      <c r="B294" s="2"/>
      <c r="C294" s="2"/>
      <c r="D294" s="2"/>
      <c r="E294" s="2"/>
      <c r="F294" s="2"/>
      <c r="G294" s="2"/>
      <c r="H294" s="2"/>
      <c r="I294" s="2"/>
      <c r="J294" s="2"/>
      <c r="K294" s="2"/>
      <c r="L294" s="2"/>
      <c r="M294" s="2"/>
      <c r="N294" s="2"/>
      <c r="O294" s="2"/>
      <c r="P294" s="2"/>
      <c r="Q294" s="23"/>
      <c r="R294" s="23"/>
      <c r="S294" s="23"/>
      <c r="T294" s="23"/>
      <c r="U294" s="23"/>
      <c r="V294" s="23"/>
      <c r="W294" s="23"/>
      <c r="X294" s="23"/>
      <c r="Y294" s="23"/>
      <c r="Z294" s="23"/>
    </row>
    <row r="295">
      <c r="A295" s="2"/>
      <c r="B295" s="2"/>
      <c r="C295" s="2"/>
      <c r="D295" s="2"/>
      <c r="E295" s="2"/>
      <c r="F295" s="2"/>
      <c r="G295" s="2"/>
      <c r="H295" s="2"/>
      <c r="I295" s="2"/>
      <c r="J295" s="2"/>
      <c r="K295" s="2"/>
      <c r="L295" s="2"/>
      <c r="M295" s="2"/>
      <c r="N295" s="2"/>
      <c r="O295" s="2"/>
      <c r="P295" s="2"/>
      <c r="Q295" s="23"/>
      <c r="R295" s="23"/>
      <c r="S295" s="23"/>
      <c r="T295" s="23"/>
      <c r="U295" s="23"/>
      <c r="V295" s="23"/>
      <c r="W295" s="23"/>
      <c r="X295" s="23"/>
      <c r="Y295" s="23"/>
      <c r="Z295" s="23"/>
    </row>
    <row r="296">
      <c r="A296" s="2"/>
      <c r="B296" s="2"/>
      <c r="C296" s="2"/>
      <c r="D296" s="2"/>
      <c r="E296" s="2"/>
      <c r="F296" s="2"/>
      <c r="G296" s="2"/>
      <c r="H296" s="2"/>
      <c r="I296" s="2"/>
      <c r="J296" s="2"/>
      <c r="K296" s="2"/>
      <c r="L296" s="2"/>
      <c r="M296" s="2"/>
      <c r="N296" s="2"/>
      <c r="O296" s="2"/>
      <c r="P296" s="2"/>
      <c r="Q296" s="23"/>
      <c r="R296" s="23"/>
      <c r="S296" s="23"/>
      <c r="T296" s="23"/>
      <c r="U296" s="23"/>
      <c r="V296" s="23"/>
      <c r="W296" s="23"/>
      <c r="X296" s="23"/>
      <c r="Y296" s="23"/>
      <c r="Z296" s="23"/>
    </row>
    <row r="297">
      <c r="A297" s="2"/>
      <c r="B297" s="2"/>
      <c r="C297" s="2"/>
      <c r="D297" s="2"/>
      <c r="E297" s="2"/>
      <c r="F297" s="2"/>
      <c r="G297" s="2"/>
      <c r="H297" s="2"/>
      <c r="I297" s="2"/>
      <c r="J297" s="2"/>
      <c r="K297" s="2"/>
      <c r="L297" s="2"/>
      <c r="M297" s="2"/>
      <c r="N297" s="2"/>
      <c r="O297" s="2"/>
      <c r="P297" s="2"/>
      <c r="Q297" s="23"/>
      <c r="R297" s="23"/>
      <c r="S297" s="23"/>
      <c r="T297" s="23"/>
      <c r="U297" s="23"/>
      <c r="V297" s="23"/>
      <c r="W297" s="23"/>
      <c r="X297" s="23"/>
      <c r="Y297" s="23"/>
      <c r="Z297" s="23"/>
    </row>
    <row r="298">
      <c r="A298" s="2"/>
      <c r="B298" s="2"/>
      <c r="C298" s="2"/>
      <c r="D298" s="2"/>
      <c r="E298" s="2"/>
      <c r="F298" s="2"/>
      <c r="G298" s="2"/>
      <c r="H298" s="2"/>
      <c r="I298" s="2"/>
      <c r="J298" s="2"/>
      <c r="K298" s="2"/>
      <c r="L298" s="2"/>
      <c r="M298" s="2"/>
      <c r="N298" s="2"/>
      <c r="O298" s="2"/>
      <c r="P298" s="2"/>
      <c r="Q298" s="23"/>
      <c r="R298" s="23"/>
      <c r="S298" s="23"/>
      <c r="T298" s="23"/>
      <c r="U298" s="23"/>
      <c r="V298" s="23"/>
      <c r="W298" s="23"/>
      <c r="X298" s="23"/>
      <c r="Y298" s="23"/>
      <c r="Z298" s="23"/>
    </row>
    <row r="299">
      <c r="A299" s="2"/>
      <c r="B299" s="2"/>
      <c r="C299" s="2"/>
      <c r="D299" s="2"/>
      <c r="E299" s="2"/>
      <c r="F299" s="2"/>
      <c r="G299" s="2"/>
      <c r="H299" s="2"/>
      <c r="I299" s="2"/>
      <c r="J299" s="2"/>
      <c r="K299" s="2"/>
      <c r="L299" s="2"/>
      <c r="M299" s="2"/>
      <c r="N299" s="2"/>
      <c r="O299" s="2"/>
      <c r="P299" s="2"/>
      <c r="Q299" s="23"/>
      <c r="R299" s="23"/>
      <c r="S299" s="23"/>
      <c r="T299" s="23"/>
      <c r="U299" s="23"/>
      <c r="V299" s="23"/>
      <c r="W299" s="23"/>
      <c r="X299" s="23"/>
      <c r="Y299" s="23"/>
      <c r="Z299" s="23"/>
    </row>
    <row r="300">
      <c r="A300" s="2"/>
      <c r="B300" s="2"/>
      <c r="C300" s="2"/>
      <c r="D300" s="2"/>
      <c r="E300" s="2"/>
      <c r="F300" s="2"/>
      <c r="G300" s="2"/>
      <c r="H300" s="2"/>
      <c r="I300" s="2"/>
      <c r="J300" s="2"/>
      <c r="K300" s="2"/>
      <c r="L300" s="2"/>
      <c r="M300" s="2"/>
      <c r="N300" s="2"/>
      <c r="O300" s="2"/>
      <c r="P300" s="2"/>
      <c r="Q300" s="23"/>
      <c r="R300" s="23"/>
      <c r="S300" s="23"/>
      <c r="T300" s="23"/>
      <c r="U300" s="23"/>
      <c r="V300" s="23"/>
      <c r="W300" s="23"/>
      <c r="X300" s="23"/>
      <c r="Y300" s="23"/>
      <c r="Z300" s="23"/>
    </row>
    <row r="301">
      <c r="A301" s="2"/>
      <c r="B301" s="2"/>
      <c r="C301" s="2"/>
      <c r="D301" s="2"/>
      <c r="E301" s="2"/>
      <c r="F301" s="2"/>
      <c r="G301" s="2"/>
      <c r="H301" s="2"/>
      <c r="I301" s="2"/>
      <c r="J301" s="2"/>
      <c r="K301" s="2"/>
      <c r="L301" s="2"/>
      <c r="M301" s="2"/>
      <c r="N301" s="2"/>
      <c r="O301" s="2"/>
      <c r="P301" s="2"/>
      <c r="Q301" s="23"/>
      <c r="R301" s="23"/>
      <c r="S301" s="23"/>
      <c r="T301" s="23"/>
      <c r="U301" s="23"/>
      <c r="V301" s="23"/>
      <c r="W301" s="23"/>
      <c r="X301" s="23"/>
      <c r="Y301" s="23"/>
      <c r="Z301" s="23"/>
    </row>
    <row r="302">
      <c r="A302" s="2"/>
      <c r="B302" s="2"/>
      <c r="C302" s="2"/>
      <c r="D302" s="2"/>
      <c r="E302" s="2"/>
      <c r="F302" s="2"/>
      <c r="G302" s="2"/>
      <c r="H302" s="2"/>
      <c r="I302" s="2"/>
      <c r="J302" s="2"/>
      <c r="K302" s="2"/>
      <c r="L302" s="2"/>
      <c r="M302" s="2"/>
      <c r="N302" s="2"/>
      <c r="O302" s="2"/>
      <c r="P302" s="2"/>
      <c r="Q302" s="23"/>
      <c r="R302" s="23"/>
      <c r="S302" s="23"/>
      <c r="T302" s="23"/>
      <c r="U302" s="23"/>
      <c r="V302" s="23"/>
      <c r="W302" s="23"/>
      <c r="X302" s="23"/>
      <c r="Y302" s="23"/>
      <c r="Z302" s="23"/>
    </row>
    <row r="303">
      <c r="A303" s="2"/>
      <c r="B303" s="2"/>
      <c r="C303" s="2"/>
      <c r="D303" s="2"/>
      <c r="E303" s="2"/>
      <c r="F303" s="2"/>
      <c r="G303" s="2"/>
      <c r="H303" s="2"/>
      <c r="I303" s="2"/>
      <c r="J303" s="2"/>
      <c r="K303" s="2"/>
      <c r="L303" s="2"/>
      <c r="M303" s="2"/>
      <c r="N303" s="2"/>
      <c r="O303" s="2"/>
      <c r="P303" s="2"/>
      <c r="Q303" s="23"/>
      <c r="R303" s="23"/>
      <c r="S303" s="23"/>
      <c r="T303" s="23"/>
      <c r="U303" s="23"/>
      <c r="V303" s="23"/>
      <c r="W303" s="23"/>
      <c r="X303" s="23"/>
      <c r="Y303" s="23"/>
      <c r="Z303" s="23"/>
    </row>
    <row r="304">
      <c r="A304" s="2"/>
      <c r="B304" s="2"/>
      <c r="C304" s="2"/>
      <c r="D304" s="2"/>
      <c r="E304" s="2"/>
      <c r="F304" s="2"/>
      <c r="G304" s="2"/>
      <c r="H304" s="2"/>
      <c r="I304" s="2"/>
      <c r="J304" s="2"/>
      <c r="K304" s="2"/>
      <c r="L304" s="2"/>
      <c r="M304" s="2"/>
      <c r="N304" s="2"/>
      <c r="O304" s="2"/>
      <c r="P304" s="2"/>
      <c r="Q304" s="23"/>
      <c r="R304" s="23"/>
      <c r="S304" s="23"/>
      <c r="T304" s="23"/>
      <c r="U304" s="23"/>
      <c r="V304" s="23"/>
      <c r="W304" s="23"/>
      <c r="X304" s="23"/>
      <c r="Y304" s="23"/>
      <c r="Z304" s="23"/>
    </row>
    <row r="305">
      <c r="A305" s="2"/>
      <c r="B305" s="2"/>
      <c r="C305" s="2"/>
      <c r="D305" s="2"/>
      <c r="E305" s="2"/>
      <c r="F305" s="2"/>
      <c r="G305" s="2"/>
      <c r="H305" s="2"/>
      <c r="I305" s="2"/>
      <c r="J305" s="2"/>
      <c r="K305" s="2"/>
      <c r="L305" s="2"/>
      <c r="M305" s="2"/>
      <c r="N305" s="2"/>
      <c r="O305" s="2"/>
      <c r="P305" s="2"/>
      <c r="Q305" s="23"/>
      <c r="R305" s="23"/>
      <c r="S305" s="23"/>
      <c r="T305" s="23"/>
      <c r="U305" s="23"/>
      <c r="V305" s="23"/>
      <c r="W305" s="23"/>
      <c r="X305" s="23"/>
      <c r="Y305" s="23"/>
      <c r="Z305" s="23"/>
    </row>
    <row r="306">
      <c r="A306" s="2"/>
      <c r="B306" s="2"/>
      <c r="C306" s="2"/>
      <c r="D306" s="2"/>
      <c r="E306" s="2"/>
      <c r="F306" s="2"/>
      <c r="G306" s="2"/>
      <c r="H306" s="2"/>
      <c r="I306" s="2"/>
      <c r="J306" s="2"/>
      <c r="K306" s="2"/>
      <c r="L306" s="2"/>
      <c r="M306" s="2"/>
      <c r="N306" s="2"/>
      <c r="O306" s="2"/>
      <c r="P306" s="2"/>
      <c r="Q306" s="23"/>
      <c r="R306" s="23"/>
      <c r="S306" s="23"/>
      <c r="T306" s="23"/>
      <c r="U306" s="23"/>
      <c r="V306" s="23"/>
      <c r="W306" s="23"/>
      <c r="X306" s="23"/>
      <c r="Y306" s="23"/>
      <c r="Z306" s="23"/>
    </row>
    <row r="307">
      <c r="A307" s="2"/>
      <c r="B307" s="2"/>
      <c r="C307" s="2"/>
      <c r="D307" s="2"/>
      <c r="E307" s="2"/>
      <c r="F307" s="2"/>
      <c r="G307" s="2"/>
      <c r="H307" s="2"/>
      <c r="I307" s="2"/>
      <c r="J307" s="2"/>
      <c r="K307" s="2"/>
      <c r="L307" s="2"/>
      <c r="M307" s="2"/>
      <c r="N307" s="2"/>
      <c r="O307" s="2"/>
      <c r="P307" s="2"/>
      <c r="Q307" s="23"/>
      <c r="R307" s="23"/>
      <c r="S307" s="23"/>
      <c r="T307" s="23"/>
      <c r="U307" s="23"/>
      <c r="V307" s="23"/>
      <c r="W307" s="23"/>
      <c r="X307" s="23"/>
      <c r="Y307" s="23"/>
      <c r="Z307" s="23"/>
    </row>
    <row r="308">
      <c r="A308" s="2"/>
      <c r="B308" s="2"/>
      <c r="C308" s="2"/>
      <c r="D308" s="2"/>
      <c r="E308" s="2"/>
      <c r="F308" s="2"/>
      <c r="G308" s="2"/>
      <c r="H308" s="2"/>
      <c r="I308" s="2"/>
      <c r="J308" s="2"/>
      <c r="K308" s="2"/>
      <c r="L308" s="2"/>
      <c r="M308" s="2"/>
      <c r="N308" s="2"/>
      <c r="O308" s="2"/>
      <c r="P308" s="2"/>
      <c r="Q308" s="23"/>
      <c r="R308" s="23"/>
      <c r="S308" s="23"/>
      <c r="T308" s="23"/>
      <c r="U308" s="23"/>
      <c r="V308" s="23"/>
      <c r="W308" s="23"/>
      <c r="X308" s="23"/>
      <c r="Y308" s="23"/>
      <c r="Z308" s="23"/>
    </row>
    <row r="309">
      <c r="A309" s="2"/>
      <c r="B309" s="2"/>
      <c r="C309" s="2"/>
      <c r="D309" s="2"/>
      <c r="E309" s="2"/>
      <c r="F309" s="2"/>
      <c r="G309" s="2"/>
      <c r="H309" s="2"/>
      <c r="I309" s="2"/>
      <c r="J309" s="2"/>
      <c r="K309" s="2"/>
      <c r="L309" s="2"/>
      <c r="M309" s="2"/>
      <c r="N309" s="2"/>
      <c r="O309" s="2"/>
      <c r="P309" s="2"/>
      <c r="Q309" s="23"/>
      <c r="R309" s="23"/>
      <c r="S309" s="23"/>
      <c r="T309" s="23"/>
      <c r="U309" s="23"/>
      <c r="V309" s="23"/>
      <c r="W309" s="23"/>
      <c r="X309" s="23"/>
      <c r="Y309" s="23"/>
      <c r="Z309" s="23"/>
    </row>
    <row r="310">
      <c r="A310" s="2"/>
      <c r="B310" s="2"/>
      <c r="C310" s="2"/>
      <c r="D310" s="2"/>
      <c r="E310" s="2"/>
      <c r="F310" s="2"/>
      <c r="G310" s="2"/>
      <c r="H310" s="2"/>
      <c r="I310" s="2"/>
      <c r="J310" s="2"/>
      <c r="K310" s="2"/>
      <c r="L310" s="2"/>
      <c r="M310" s="2"/>
      <c r="N310" s="2"/>
      <c r="O310" s="2"/>
      <c r="P310" s="2"/>
      <c r="Q310" s="23"/>
      <c r="R310" s="23"/>
      <c r="S310" s="23"/>
      <c r="T310" s="23"/>
      <c r="U310" s="23"/>
      <c r="V310" s="23"/>
      <c r="W310" s="23"/>
      <c r="X310" s="23"/>
      <c r="Y310" s="23"/>
      <c r="Z310" s="23"/>
    </row>
    <row r="311">
      <c r="A311" s="2"/>
      <c r="B311" s="2"/>
      <c r="C311" s="2"/>
      <c r="D311" s="2"/>
      <c r="E311" s="2"/>
      <c r="F311" s="2"/>
      <c r="G311" s="2"/>
      <c r="H311" s="2"/>
      <c r="I311" s="2"/>
      <c r="J311" s="2"/>
      <c r="K311" s="2"/>
      <c r="L311" s="2"/>
      <c r="M311" s="2"/>
      <c r="N311" s="2"/>
      <c r="O311" s="2"/>
      <c r="P311" s="2"/>
      <c r="Q311" s="23"/>
      <c r="R311" s="23"/>
      <c r="S311" s="23"/>
      <c r="T311" s="23"/>
      <c r="U311" s="23"/>
      <c r="V311" s="23"/>
      <c r="W311" s="23"/>
      <c r="X311" s="23"/>
      <c r="Y311" s="23"/>
      <c r="Z311" s="23"/>
    </row>
    <row r="312">
      <c r="A312" s="2"/>
      <c r="B312" s="2"/>
      <c r="C312" s="2"/>
      <c r="D312" s="2"/>
      <c r="E312" s="2"/>
      <c r="F312" s="2"/>
      <c r="G312" s="2"/>
      <c r="H312" s="2"/>
      <c r="I312" s="2"/>
      <c r="J312" s="2"/>
      <c r="K312" s="2"/>
      <c r="L312" s="2"/>
      <c r="M312" s="2"/>
      <c r="N312" s="2"/>
      <c r="O312" s="2"/>
      <c r="P312" s="2"/>
      <c r="Q312" s="23"/>
      <c r="R312" s="23"/>
      <c r="S312" s="23"/>
      <c r="T312" s="23"/>
      <c r="U312" s="23"/>
      <c r="V312" s="23"/>
      <c r="W312" s="23"/>
      <c r="X312" s="23"/>
      <c r="Y312" s="23"/>
      <c r="Z312" s="23"/>
    </row>
    <row r="313">
      <c r="A313" s="2"/>
      <c r="B313" s="2"/>
      <c r="C313" s="2"/>
      <c r="D313" s="2"/>
      <c r="E313" s="2"/>
      <c r="F313" s="2"/>
      <c r="G313" s="2"/>
      <c r="H313" s="2"/>
      <c r="I313" s="2"/>
      <c r="J313" s="2"/>
      <c r="K313" s="2"/>
      <c r="L313" s="2"/>
      <c r="M313" s="2"/>
      <c r="N313" s="2"/>
      <c r="O313" s="2"/>
      <c r="P313" s="2"/>
      <c r="Q313" s="23"/>
      <c r="R313" s="23"/>
      <c r="S313" s="23"/>
      <c r="T313" s="23"/>
      <c r="U313" s="23"/>
      <c r="V313" s="23"/>
      <c r="W313" s="23"/>
      <c r="X313" s="23"/>
      <c r="Y313" s="23"/>
      <c r="Z313" s="23"/>
    </row>
    <row r="314">
      <c r="A314" s="2"/>
      <c r="B314" s="2"/>
      <c r="C314" s="2"/>
      <c r="D314" s="2"/>
      <c r="E314" s="2"/>
      <c r="F314" s="2"/>
      <c r="G314" s="2"/>
      <c r="H314" s="2"/>
      <c r="I314" s="2"/>
      <c r="J314" s="2"/>
      <c r="K314" s="2"/>
      <c r="L314" s="2"/>
      <c r="M314" s="2"/>
      <c r="N314" s="2"/>
      <c r="O314" s="2"/>
      <c r="P314" s="2"/>
      <c r="Q314" s="23"/>
      <c r="R314" s="23"/>
      <c r="S314" s="23"/>
      <c r="T314" s="23"/>
      <c r="U314" s="23"/>
      <c r="V314" s="23"/>
      <c r="W314" s="23"/>
      <c r="X314" s="23"/>
      <c r="Y314" s="23"/>
      <c r="Z314" s="23"/>
    </row>
    <row r="315">
      <c r="A315" s="2"/>
      <c r="B315" s="2"/>
      <c r="C315" s="2"/>
      <c r="D315" s="2"/>
      <c r="E315" s="2"/>
      <c r="F315" s="2"/>
      <c r="G315" s="2"/>
      <c r="H315" s="2"/>
      <c r="I315" s="2"/>
      <c r="J315" s="2"/>
      <c r="K315" s="2"/>
      <c r="L315" s="2"/>
      <c r="M315" s="2"/>
      <c r="N315" s="2"/>
      <c r="O315" s="2"/>
      <c r="P315" s="2"/>
      <c r="Q315" s="23"/>
      <c r="R315" s="23"/>
      <c r="S315" s="23"/>
      <c r="T315" s="23"/>
      <c r="U315" s="23"/>
      <c r="V315" s="23"/>
      <c r="W315" s="23"/>
      <c r="X315" s="23"/>
      <c r="Y315" s="23"/>
      <c r="Z315" s="23"/>
    </row>
    <row r="316">
      <c r="A316" s="2"/>
      <c r="B316" s="2"/>
      <c r="C316" s="2"/>
      <c r="D316" s="2"/>
      <c r="E316" s="2"/>
      <c r="F316" s="2"/>
      <c r="G316" s="2"/>
      <c r="H316" s="2"/>
      <c r="I316" s="2"/>
      <c r="J316" s="2"/>
      <c r="K316" s="2"/>
      <c r="L316" s="2"/>
      <c r="M316" s="2"/>
      <c r="N316" s="2"/>
      <c r="O316" s="2"/>
      <c r="P316" s="2"/>
      <c r="Q316" s="23"/>
      <c r="R316" s="23"/>
      <c r="S316" s="23"/>
      <c r="T316" s="23"/>
      <c r="U316" s="23"/>
      <c r="V316" s="23"/>
      <c r="W316" s="23"/>
      <c r="X316" s="23"/>
      <c r="Y316" s="23"/>
      <c r="Z316" s="23"/>
    </row>
    <row r="317">
      <c r="A317" s="2"/>
      <c r="B317" s="2"/>
      <c r="C317" s="2"/>
      <c r="D317" s="2"/>
      <c r="E317" s="2"/>
      <c r="F317" s="2"/>
      <c r="G317" s="2"/>
      <c r="H317" s="2"/>
      <c r="I317" s="2"/>
      <c r="J317" s="2"/>
      <c r="K317" s="2"/>
      <c r="L317" s="2"/>
      <c r="M317" s="2"/>
      <c r="N317" s="2"/>
      <c r="O317" s="2"/>
      <c r="P317" s="2"/>
      <c r="Q317" s="23"/>
      <c r="R317" s="23"/>
      <c r="S317" s="23"/>
      <c r="T317" s="23"/>
      <c r="U317" s="23"/>
      <c r="V317" s="23"/>
      <c r="W317" s="23"/>
      <c r="X317" s="23"/>
      <c r="Y317" s="23"/>
      <c r="Z317" s="23"/>
    </row>
    <row r="318">
      <c r="A318" s="2"/>
      <c r="B318" s="2"/>
      <c r="C318" s="2"/>
      <c r="D318" s="2"/>
      <c r="E318" s="2"/>
      <c r="F318" s="2"/>
      <c r="G318" s="2"/>
      <c r="H318" s="2"/>
      <c r="I318" s="2"/>
      <c r="J318" s="2"/>
      <c r="K318" s="2"/>
      <c r="L318" s="2"/>
      <c r="M318" s="2"/>
      <c r="N318" s="2"/>
      <c r="O318" s="2"/>
      <c r="P318" s="2"/>
      <c r="Q318" s="23"/>
      <c r="R318" s="23"/>
      <c r="S318" s="23"/>
      <c r="T318" s="23"/>
      <c r="U318" s="23"/>
      <c r="V318" s="23"/>
      <c r="W318" s="23"/>
      <c r="X318" s="23"/>
      <c r="Y318" s="23"/>
      <c r="Z318" s="23"/>
    </row>
    <row r="319">
      <c r="A319" s="2"/>
      <c r="B319" s="2"/>
      <c r="C319" s="2"/>
      <c r="D319" s="2"/>
      <c r="E319" s="2"/>
      <c r="F319" s="2"/>
      <c r="G319" s="2"/>
      <c r="H319" s="2"/>
      <c r="I319" s="2"/>
      <c r="J319" s="2"/>
      <c r="K319" s="2"/>
      <c r="L319" s="2"/>
      <c r="M319" s="2"/>
      <c r="N319" s="2"/>
      <c r="O319" s="2"/>
      <c r="P319" s="2"/>
      <c r="Q319" s="23"/>
      <c r="R319" s="23"/>
      <c r="S319" s="23"/>
      <c r="T319" s="23"/>
      <c r="U319" s="23"/>
      <c r="V319" s="23"/>
      <c r="W319" s="23"/>
      <c r="X319" s="23"/>
      <c r="Y319" s="23"/>
      <c r="Z319" s="23"/>
    </row>
    <row r="320">
      <c r="A320" s="2"/>
      <c r="B320" s="2"/>
      <c r="C320" s="2"/>
      <c r="D320" s="2"/>
      <c r="E320" s="2"/>
      <c r="F320" s="2"/>
      <c r="G320" s="2"/>
      <c r="H320" s="2"/>
      <c r="I320" s="2"/>
      <c r="J320" s="2"/>
      <c r="K320" s="2"/>
      <c r="L320" s="2"/>
      <c r="M320" s="2"/>
      <c r="N320" s="2"/>
      <c r="O320" s="2"/>
      <c r="P320" s="2"/>
      <c r="Q320" s="23"/>
      <c r="R320" s="23"/>
      <c r="S320" s="23"/>
      <c r="T320" s="23"/>
      <c r="U320" s="23"/>
      <c r="V320" s="23"/>
      <c r="W320" s="23"/>
      <c r="X320" s="23"/>
      <c r="Y320" s="23"/>
      <c r="Z320" s="23"/>
    </row>
    <row r="321">
      <c r="A321" s="2"/>
      <c r="B321" s="2"/>
      <c r="C321" s="2"/>
      <c r="D321" s="2"/>
      <c r="E321" s="2"/>
      <c r="F321" s="2"/>
      <c r="G321" s="2"/>
      <c r="H321" s="2"/>
      <c r="I321" s="2"/>
      <c r="J321" s="2"/>
      <c r="K321" s="2"/>
      <c r="L321" s="2"/>
      <c r="M321" s="2"/>
      <c r="N321" s="2"/>
      <c r="O321" s="2"/>
      <c r="P321" s="2"/>
      <c r="Q321" s="23"/>
      <c r="R321" s="23"/>
      <c r="S321" s="23"/>
      <c r="T321" s="23"/>
      <c r="U321" s="23"/>
      <c r="V321" s="23"/>
      <c r="W321" s="23"/>
      <c r="X321" s="23"/>
      <c r="Y321" s="23"/>
      <c r="Z321" s="23"/>
    </row>
    <row r="322">
      <c r="A322" s="2"/>
      <c r="B322" s="2"/>
      <c r="C322" s="2"/>
      <c r="D322" s="2"/>
      <c r="E322" s="2"/>
      <c r="F322" s="2"/>
      <c r="G322" s="2"/>
      <c r="H322" s="2"/>
      <c r="I322" s="2"/>
      <c r="J322" s="2"/>
      <c r="K322" s="2"/>
      <c r="L322" s="2"/>
      <c r="M322" s="2"/>
      <c r="N322" s="2"/>
      <c r="O322" s="2"/>
      <c r="P322" s="2"/>
      <c r="Q322" s="23"/>
      <c r="R322" s="23"/>
      <c r="S322" s="23"/>
      <c r="T322" s="23"/>
      <c r="U322" s="23"/>
      <c r="V322" s="23"/>
      <c r="W322" s="23"/>
      <c r="X322" s="23"/>
      <c r="Y322" s="23"/>
      <c r="Z322" s="23"/>
    </row>
    <row r="323">
      <c r="A323" s="2"/>
      <c r="B323" s="2"/>
      <c r="C323" s="2"/>
      <c r="D323" s="2"/>
      <c r="E323" s="2"/>
      <c r="F323" s="2"/>
      <c r="G323" s="2"/>
      <c r="H323" s="2"/>
      <c r="I323" s="2"/>
      <c r="J323" s="2"/>
      <c r="K323" s="2"/>
      <c r="L323" s="2"/>
      <c r="M323" s="2"/>
      <c r="N323" s="2"/>
      <c r="O323" s="2"/>
      <c r="P323" s="2"/>
      <c r="Q323" s="23"/>
      <c r="R323" s="23"/>
      <c r="S323" s="23"/>
      <c r="T323" s="23"/>
      <c r="U323" s="23"/>
      <c r="V323" s="23"/>
      <c r="W323" s="23"/>
      <c r="X323" s="23"/>
      <c r="Y323" s="23"/>
      <c r="Z323" s="23"/>
    </row>
    <row r="324">
      <c r="A324" s="2"/>
      <c r="B324" s="2"/>
      <c r="C324" s="2"/>
      <c r="D324" s="2"/>
      <c r="E324" s="2"/>
      <c r="F324" s="2"/>
      <c r="G324" s="2"/>
      <c r="H324" s="2"/>
      <c r="I324" s="2"/>
      <c r="J324" s="2"/>
      <c r="K324" s="2"/>
      <c r="L324" s="2"/>
      <c r="M324" s="2"/>
      <c r="N324" s="2"/>
      <c r="O324" s="2"/>
      <c r="P324" s="2"/>
      <c r="Q324" s="23"/>
      <c r="R324" s="23"/>
      <c r="S324" s="23"/>
      <c r="T324" s="23"/>
      <c r="U324" s="23"/>
      <c r="V324" s="23"/>
      <c r="W324" s="23"/>
      <c r="X324" s="23"/>
      <c r="Y324" s="23"/>
      <c r="Z324" s="23"/>
    </row>
    <row r="325">
      <c r="A325" s="2"/>
      <c r="B325" s="2"/>
      <c r="C325" s="2"/>
      <c r="D325" s="2"/>
      <c r="E325" s="2"/>
      <c r="F325" s="2"/>
      <c r="G325" s="2"/>
      <c r="H325" s="2"/>
      <c r="I325" s="2"/>
      <c r="J325" s="2"/>
      <c r="K325" s="2"/>
      <c r="L325" s="2"/>
      <c r="M325" s="2"/>
      <c r="N325" s="2"/>
      <c r="O325" s="2"/>
      <c r="P325" s="2"/>
      <c r="Q325" s="23"/>
      <c r="R325" s="23"/>
      <c r="S325" s="23"/>
      <c r="T325" s="23"/>
      <c r="U325" s="23"/>
      <c r="V325" s="23"/>
      <c r="W325" s="23"/>
      <c r="X325" s="23"/>
      <c r="Y325" s="23"/>
      <c r="Z325" s="23"/>
    </row>
    <row r="326">
      <c r="A326" s="2"/>
      <c r="B326" s="2"/>
      <c r="C326" s="2"/>
      <c r="D326" s="2"/>
      <c r="E326" s="2"/>
      <c r="F326" s="2"/>
      <c r="G326" s="2"/>
      <c r="H326" s="2"/>
      <c r="I326" s="2"/>
      <c r="J326" s="2"/>
      <c r="K326" s="2"/>
      <c r="L326" s="2"/>
      <c r="M326" s="2"/>
      <c r="N326" s="2"/>
      <c r="O326" s="2"/>
      <c r="P326" s="2"/>
      <c r="Q326" s="23"/>
      <c r="R326" s="23"/>
      <c r="S326" s="23"/>
      <c r="T326" s="23"/>
      <c r="U326" s="23"/>
      <c r="V326" s="23"/>
      <c r="W326" s="23"/>
      <c r="X326" s="23"/>
      <c r="Y326" s="23"/>
      <c r="Z326" s="23"/>
    </row>
    <row r="327">
      <c r="A327" s="2"/>
      <c r="B327" s="2"/>
      <c r="C327" s="2"/>
      <c r="D327" s="2"/>
      <c r="E327" s="2"/>
      <c r="F327" s="2"/>
      <c r="G327" s="2"/>
      <c r="H327" s="2"/>
      <c r="I327" s="2"/>
      <c r="J327" s="2"/>
      <c r="K327" s="2"/>
      <c r="L327" s="2"/>
      <c r="M327" s="2"/>
      <c r="N327" s="2"/>
      <c r="O327" s="2"/>
      <c r="P327" s="2"/>
      <c r="Q327" s="23"/>
      <c r="R327" s="23"/>
      <c r="S327" s="23"/>
      <c r="T327" s="23"/>
      <c r="U327" s="23"/>
      <c r="V327" s="23"/>
      <c r="W327" s="23"/>
      <c r="X327" s="23"/>
      <c r="Y327" s="23"/>
      <c r="Z327" s="23"/>
    </row>
    <row r="328">
      <c r="A328" s="2"/>
      <c r="B328" s="2"/>
      <c r="C328" s="2"/>
      <c r="D328" s="2"/>
      <c r="E328" s="2"/>
      <c r="F328" s="2"/>
      <c r="G328" s="2"/>
      <c r="H328" s="2"/>
      <c r="I328" s="2"/>
      <c r="J328" s="2"/>
      <c r="K328" s="2"/>
      <c r="L328" s="2"/>
      <c r="M328" s="2"/>
      <c r="N328" s="2"/>
      <c r="O328" s="2"/>
      <c r="P328" s="2"/>
      <c r="Q328" s="23"/>
      <c r="R328" s="23"/>
      <c r="S328" s="23"/>
      <c r="T328" s="23"/>
      <c r="U328" s="23"/>
      <c r="V328" s="23"/>
      <c r="W328" s="23"/>
      <c r="X328" s="23"/>
      <c r="Y328" s="23"/>
      <c r="Z328" s="23"/>
    </row>
    <row r="329">
      <c r="A329" s="2"/>
      <c r="B329" s="2"/>
      <c r="C329" s="2"/>
      <c r="D329" s="2"/>
      <c r="E329" s="2"/>
      <c r="F329" s="2"/>
      <c r="G329" s="2"/>
      <c r="H329" s="2"/>
      <c r="I329" s="2"/>
      <c r="J329" s="2"/>
      <c r="K329" s="2"/>
      <c r="L329" s="2"/>
      <c r="M329" s="2"/>
      <c r="N329" s="2"/>
      <c r="O329" s="2"/>
      <c r="P329" s="2"/>
      <c r="Q329" s="23"/>
      <c r="R329" s="23"/>
      <c r="S329" s="23"/>
      <c r="T329" s="23"/>
      <c r="U329" s="23"/>
      <c r="V329" s="23"/>
      <c r="W329" s="23"/>
      <c r="X329" s="23"/>
      <c r="Y329" s="23"/>
      <c r="Z329" s="23"/>
    </row>
    <row r="330">
      <c r="A330" s="2"/>
      <c r="B330" s="2"/>
      <c r="C330" s="2"/>
      <c r="D330" s="2"/>
      <c r="E330" s="2"/>
      <c r="F330" s="2"/>
      <c r="G330" s="2"/>
      <c r="H330" s="2"/>
      <c r="I330" s="2"/>
      <c r="J330" s="2"/>
      <c r="K330" s="2"/>
      <c r="L330" s="2"/>
      <c r="M330" s="2"/>
      <c r="N330" s="2"/>
      <c r="O330" s="2"/>
      <c r="P330" s="2"/>
      <c r="Q330" s="23"/>
      <c r="R330" s="23"/>
      <c r="S330" s="23"/>
      <c r="T330" s="23"/>
      <c r="U330" s="23"/>
      <c r="V330" s="23"/>
      <c r="W330" s="23"/>
      <c r="X330" s="23"/>
      <c r="Y330" s="23"/>
      <c r="Z330" s="23"/>
    </row>
    <row r="331">
      <c r="A331" s="2"/>
      <c r="B331" s="2"/>
      <c r="C331" s="2"/>
      <c r="D331" s="2"/>
      <c r="E331" s="2"/>
      <c r="F331" s="2"/>
      <c r="G331" s="2"/>
      <c r="H331" s="2"/>
      <c r="I331" s="2"/>
      <c r="J331" s="2"/>
      <c r="K331" s="2"/>
      <c r="L331" s="2"/>
      <c r="M331" s="2"/>
      <c r="N331" s="2"/>
      <c r="O331" s="2"/>
      <c r="P331" s="2"/>
      <c r="Q331" s="23"/>
      <c r="R331" s="23"/>
      <c r="S331" s="23"/>
      <c r="T331" s="23"/>
      <c r="U331" s="23"/>
      <c r="V331" s="23"/>
      <c r="W331" s="23"/>
      <c r="X331" s="23"/>
      <c r="Y331" s="23"/>
      <c r="Z331" s="23"/>
    </row>
    <row r="332">
      <c r="A332" s="2"/>
      <c r="B332" s="2"/>
      <c r="C332" s="2"/>
      <c r="D332" s="2"/>
      <c r="E332" s="2"/>
      <c r="F332" s="2"/>
      <c r="G332" s="2"/>
      <c r="H332" s="2"/>
      <c r="I332" s="2"/>
      <c r="J332" s="2"/>
      <c r="K332" s="2"/>
      <c r="L332" s="2"/>
      <c r="M332" s="2"/>
      <c r="N332" s="2"/>
      <c r="O332" s="2"/>
      <c r="P332" s="2"/>
      <c r="Q332" s="23"/>
      <c r="R332" s="23"/>
      <c r="S332" s="23"/>
      <c r="T332" s="23"/>
      <c r="U332" s="23"/>
      <c r="V332" s="23"/>
      <c r="W332" s="23"/>
      <c r="X332" s="23"/>
      <c r="Y332" s="23"/>
      <c r="Z332" s="23"/>
    </row>
    <row r="333">
      <c r="A333" s="2"/>
      <c r="B333" s="2"/>
      <c r="C333" s="2"/>
      <c r="D333" s="2"/>
      <c r="E333" s="2"/>
      <c r="F333" s="2"/>
      <c r="G333" s="2"/>
      <c r="H333" s="2"/>
      <c r="I333" s="2"/>
      <c r="J333" s="2"/>
      <c r="K333" s="2"/>
      <c r="L333" s="2"/>
      <c r="M333" s="2"/>
      <c r="N333" s="2"/>
      <c r="O333" s="2"/>
      <c r="P333" s="2"/>
      <c r="Q333" s="23"/>
      <c r="R333" s="23"/>
      <c r="S333" s="23"/>
      <c r="T333" s="23"/>
      <c r="U333" s="23"/>
      <c r="V333" s="23"/>
      <c r="W333" s="23"/>
      <c r="X333" s="23"/>
      <c r="Y333" s="23"/>
      <c r="Z333" s="23"/>
    </row>
    <row r="334">
      <c r="A334" s="2"/>
      <c r="B334" s="2"/>
      <c r="C334" s="2"/>
      <c r="D334" s="2"/>
      <c r="E334" s="2"/>
      <c r="F334" s="2"/>
      <c r="G334" s="2"/>
      <c r="H334" s="2"/>
      <c r="I334" s="2"/>
      <c r="J334" s="2"/>
      <c r="K334" s="2"/>
      <c r="L334" s="2"/>
      <c r="M334" s="2"/>
      <c r="N334" s="2"/>
      <c r="O334" s="2"/>
      <c r="P334" s="2"/>
      <c r="Q334" s="23"/>
      <c r="R334" s="23"/>
      <c r="S334" s="23"/>
      <c r="T334" s="23"/>
      <c r="U334" s="23"/>
      <c r="V334" s="23"/>
      <c r="W334" s="23"/>
      <c r="X334" s="23"/>
      <c r="Y334" s="23"/>
      <c r="Z334" s="23"/>
    </row>
    <row r="335">
      <c r="A335" s="2"/>
      <c r="B335" s="2"/>
      <c r="C335" s="2"/>
      <c r="D335" s="2"/>
      <c r="E335" s="2"/>
      <c r="F335" s="2"/>
      <c r="G335" s="2"/>
      <c r="H335" s="2"/>
      <c r="I335" s="2"/>
      <c r="J335" s="2"/>
      <c r="K335" s="2"/>
      <c r="L335" s="2"/>
      <c r="M335" s="2"/>
      <c r="N335" s="2"/>
      <c r="O335" s="2"/>
      <c r="P335" s="2"/>
      <c r="Q335" s="23"/>
      <c r="R335" s="23"/>
      <c r="S335" s="23"/>
      <c r="T335" s="23"/>
      <c r="U335" s="23"/>
      <c r="V335" s="23"/>
      <c r="W335" s="23"/>
      <c r="X335" s="23"/>
      <c r="Y335" s="23"/>
      <c r="Z335" s="23"/>
    </row>
    <row r="336">
      <c r="A336" s="2"/>
      <c r="B336" s="2"/>
      <c r="C336" s="2"/>
      <c r="D336" s="2"/>
      <c r="E336" s="2"/>
      <c r="F336" s="2"/>
      <c r="G336" s="2"/>
      <c r="H336" s="2"/>
      <c r="I336" s="2"/>
      <c r="J336" s="2"/>
      <c r="K336" s="2"/>
      <c r="L336" s="2"/>
      <c r="M336" s="2"/>
      <c r="N336" s="2"/>
      <c r="O336" s="2"/>
      <c r="P336" s="2"/>
      <c r="Q336" s="23"/>
      <c r="R336" s="23"/>
      <c r="S336" s="23"/>
      <c r="T336" s="23"/>
      <c r="U336" s="23"/>
      <c r="V336" s="23"/>
      <c r="W336" s="23"/>
      <c r="X336" s="23"/>
      <c r="Y336" s="23"/>
      <c r="Z336" s="23"/>
    </row>
    <row r="337">
      <c r="A337" s="2"/>
      <c r="B337" s="2"/>
      <c r="C337" s="2"/>
      <c r="D337" s="2"/>
      <c r="E337" s="2"/>
      <c r="F337" s="2"/>
      <c r="G337" s="2"/>
      <c r="H337" s="2"/>
      <c r="I337" s="2"/>
      <c r="J337" s="2"/>
      <c r="K337" s="2"/>
      <c r="L337" s="2"/>
      <c r="M337" s="2"/>
      <c r="N337" s="2"/>
      <c r="O337" s="2"/>
      <c r="P337" s="2"/>
      <c r="Q337" s="23"/>
      <c r="R337" s="23"/>
      <c r="S337" s="23"/>
      <c r="T337" s="23"/>
      <c r="U337" s="23"/>
      <c r="V337" s="23"/>
      <c r="W337" s="23"/>
      <c r="X337" s="23"/>
      <c r="Y337" s="23"/>
      <c r="Z337" s="23"/>
    </row>
    <row r="338">
      <c r="A338" s="2"/>
      <c r="B338" s="2"/>
      <c r="C338" s="2"/>
      <c r="D338" s="2"/>
      <c r="E338" s="2"/>
      <c r="F338" s="2"/>
      <c r="G338" s="2"/>
      <c r="H338" s="2"/>
      <c r="I338" s="2"/>
      <c r="J338" s="2"/>
      <c r="K338" s="2"/>
      <c r="L338" s="2"/>
      <c r="M338" s="2"/>
      <c r="N338" s="2"/>
      <c r="O338" s="2"/>
      <c r="P338" s="2"/>
      <c r="Q338" s="23"/>
      <c r="R338" s="23"/>
      <c r="S338" s="23"/>
      <c r="T338" s="23"/>
      <c r="U338" s="23"/>
      <c r="V338" s="23"/>
      <c r="W338" s="23"/>
      <c r="X338" s="23"/>
      <c r="Y338" s="23"/>
      <c r="Z338" s="23"/>
    </row>
    <row r="339">
      <c r="A339" s="2"/>
      <c r="B339" s="2"/>
      <c r="C339" s="2"/>
      <c r="D339" s="2"/>
      <c r="E339" s="2"/>
      <c r="F339" s="2"/>
      <c r="G339" s="2"/>
      <c r="H339" s="2"/>
      <c r="I339" s="2"/>
      <c r="J339" s="2"/>
      <c r="K339" s="2"/>
      <c r="L339" s="2"/>
      <c r="M339" s="2"/>
      <c r="N339" s="2"/>
      <c r="O339" s="2"/>
      <c r="P339" s="2"/>
      <c r="Q339" s="23"/>
      <c r="R339" s="23"/>
      <c r="S339" s="23"/>
      <c r="T339" s="23"/>
      <c r="U339" s="23"/>
      <c r="V339" s="23"/>
      <c r="W339" s="23"/>
      <c r="X339" s="23"/>
      <c r="Y339" s="23"/>
      <c r="Z339" s="23"/>
    </row>
    <row r="340">
      <c r="A340" s="2"/>
      <c r="B340" s="2"/>
      <c r="C340" s="2"/>
      <c r="D340" s="2"/>
      <c r="E340" s="2"/>
      <c r="F340" s="2"/>
      <c r="G340" s="2"/>
      <c r="H340" s="2"/>
      <c r="I340" s="2"/>
      <c r="J340" s="2"/>
      <c r="K340" s="2"/>
      <c r="L340" s="2"/>
      <c r="M340" s="2"/>
      <c r="N340" s="2"/>
      <c r="O340" s="2"/>
      <c r="P340" s="2"/>
      <c r="Q340" s="23"/>
      <c r="R340" s="23"/>
      <c r="S340" s="23"/>
      <c r="T340" s="23"/>
      <c r="U340" s="23"/>
      <c r="V340" s="23"/>
      <c r="W340" s="23"/>
      <c r="X340" s="23"/>
      <c r="Y340" s="23"/>
      <c r="Z340" s="23"/>
    </row>
    <row r="341">
      <c r="A341" s="2"/>
      <c r="B341" s="2"/>
      <c r="C341" s="2"/>
      <c r="D341" s="2"/>
      <c r="E341" s="2"/>
      <c r="F341" s="2"/>
      <c r="G341" s="2"/>
      <c r="H341" s="2"/>
      <c r="I341" s="2"/>
      <c r="J341" s="2"/>
      <c r="K341" s="2"/>
      <c r="L341" s="2"/>
      <c r="M341" s="2"/>
      <c r="N341" s="2"/>
      <c r="O341" s="2"/>
      <c r="P341" s="2"/>
      <c r="Q341" s="23"/>
      <c r="R341" s="23"/>
      <c r="S341" s="23"/>
      <c r="T341" s="23"/>
      <c r="U341" s="23"/>
      <c r="V341" s="23"/>
      <c r="W341" s="23"/>
      <c r="X341" s="23"/>
      <c r="Y341" s="23"/>
      <c r="Z341" s="23"/>
    </row>
    <row r="342">
      <c r="A342" s="2"/>
      <c r="B342" s="2"/>
      <c r="C342" s="2"/>
      <c r="D342" s="2"/>
      <c r="E342" s="2"/>
      <c r="F342" s="2"/>
      <c r="G342" s="2"/>
      <c r="H342" s="2"/>
      <c r="I342" s="2"/>
      <c r="J342" s="2"/>
      <c r="K342" s="2"/>
      <c r="L342" s="2"/>
      <c r="M342" s="2"/>
      <c r="N342" s="2"/>
      <c r="O342" s="2"/>
      <c r="P342" s="2"/>
      <c r="Q342" s="23"/>
      <c r="R342" s="23"/>
      <c r="S342" s="23"/>
      <c r="T342" s="23"/>
      <c r="U342" s="23"/>
      <c r="V342" s="23"/>
      <c r="W342" s="23"/>
      <c r="X342" s="23"/>
      <c r="Y342" s="23"/>
      <c r="Z342" s="23"/>
    </row>
    <row r="343">
      <c r="A343" s="2"/>
      <c r="B343" s="2"/>
      <c r="C343" s="2"/>
      <c r="D343" s="2"/>
      <c r="E343" s="2"/>
      <c r="F343" s="2"/>
      <c r="G343" s="2"/>
      <c r="H343" s="2"/>
      <c r="I343" s="2"/>
      <c r="J343" s="2"/>
      <c r="K343" s="2"/>
      <c r="L343" s="2"/>
      <c r="M343" s="2"/>
      <c r="N343" s="2"/>
      <c r="O343" s="2"/>
      <c r="P343" s="2"/>
      <c r="Q343" s="23"/>
      <c r="R343" s="23"/>
      <c r="S343" s="23"/>
      <c r="T343" s="23"/>
      <c r="U343" s="23"/>
      <c r="V343" s="23"/>
      <c r="W343" s="23"/>
      <c r="X343" s="23"/>
      <c r="Y343" s="23"/>
      <c r="Z343" s="23"/>
    </row>
    <row r="344">
      <c r="A344" s="2"/>
      <c r="B344" s="2"/>
      <c r="C344" s="2"/>
      <c r="D344" s="2"/>
      <c r="E344" s="2"/>
      <c r="F344" s="2"/>
      <c r="G344" s="2"/>
      <c r="H344" s="2"/>
      <c r="I344" s="2"/>
      <c r="J344" s="2"/>
      <c r="K344" s="2"/>
      <c r="L344" s="2"/>
      <c r="M344" s="2"/>
      <c r="N344" s="2"/>
      <c r="O344" s="2"/>
      <c r="P344" s="2"/>
      <c r="Q344" s="23"/>
      <c r="R344" s="23"/>
      <c r="S344" s="23"/>
      <c r="T344" s="23"/>
      <c r="U344" s="23"/>
      <c r="V344" s="23"/>
      <c r="W344" s="23"/>
      <c r="X344" s="23"/>
      <c r="Y344" s="23"/>
      <c r="Z344" s="23"/>
    </row>
    <row r="345">
      <c r="A345" s="2"/>
      <c r="B345" s="2"/>
      <c r="C345" s="2"/>
      <c r="D345" s="2"/>
      <c r="E345" s="2"/>
      <c r="F345" s="2"/>
      <c r="G345" s="2"/>
      <c r="H345" s="2"/>
      <c r="I345" s="2"/>
      <c r="J345" s="2"/>
      <c r="K345" s="2"/>
      <c r="L345" s="2"/>
      <c r="M345" s="2"/>
      <c r="N345" s="2"/>
      <c r="O345" s="2"/>
      <c r="P345" s="2"/>
      <c r="Q345" s="23"/>
      <c r="R345" s="23"/>
      <c r="S345" s="23"/>
      <c r="T345" s="23"/>
      <c r="U345" s="23"/>
      <c r="V345" s="23"/>
      <c r="W345" s="23"/>
      <c r="X345" s="23"/>
      <c r="Y345" s="23"/>
      <c r="Z345" s="23"/>
    </row>
    <row r="346">
      <c r="A346" s="2"/>
      <c r="B346" s="2"/>
      <c r="C346" s="2"/>
      <c r="D346" s="2"/>
      <c r="E346" s="2"/>
      <c r="F346" s="2"/>
      <c r="G346" s="2"/>
      <c r="H346" s="2"/>
      <c r="I346" s="2"/>
      <c r="J346" s="2"/>
      <c r="K346" s="2"/>
      <c r="L346" s="2"/>
      <c r="M346" s="2"/>
      <c r="N346" s="2"/>
      <c r="O346" s="2"/>
      <c r="P346" s="2"/>
      <c r="Q346" s="23"/>
      <c r="R346" s="23"/>
      <c r="S346" s="23"/>
      <c r="T346" s="23"/>
      <c r="U346" s="23"/>
      <c r="V346" s="23"/>
      <c r="W346" s="23"/>
      <c r="X346" s="23"/>
      <c r="Y346" s="23"/>
      <c r="Z346" s="23"/>
    </row>
    <row r="347">
      <c r="A347" s="2"/>
      <c r="B347" s="2"/>
      <c r="C347" s="2"/>
      <c r="D347" s="2"/>
      <c r="E347" s="2"/>
      <c r="F347" s="2"/>
      <c r="G347" s="2"/>
      <c r="H347" s="2"/>
      <c r="I347" s="2"/>
      <c r="J347" s="2"/>
      <c r="K347" s="2"/>
      <c r="L347" s="2"/>
      <c r="M347" s="2"/>
      <c r="N347" s="2"/>
      <c r="O347" s="2"/>
      <c r="P347" s="2"/>
      <c r="Q347" s="23"/>
      <c r="R347" s="23"/>
      <c r="S347" s="23"/>
      <c r="T347" s="23"/>
      <c r="U347" s="23"/>
      <c r="V347" s="23"/>
      <c r="W347" s="23"/>
      <c r="X347" s="23"/>
      <c r="Y347" s="23"/>
      <c r="Z347" s="23"/>
    </row>
    <row r="348">
      <c r="A348" s="2"/>
      <c r="B348" s="2"/>
      <c r="C348" s="2"/>
      <c r="D348" s="2"/>
      <c r="E348" s="2"/>
      <c r="F348" s="2"/>
      <c r="G348" s="2"/>
      <c r="H348" s="2"/>
      <c r="I348" s="2"/>
      <c r="J348" s="2"/>
      <c r="K348" s="2"/>
      <c r="L348" s="2"/>
      <c r="M348" s="2"/>
      <c r="N348" s="2"/>
      <c r="O348" s="2"/>
      <c r="P348" s="2"/>
      <c r="Q348" s="23"/>
      <c r="R348" s="23"/>
      <c r="S348" s="23"/>
      <c r="T348" s="23"/>
      <c r="U348" s="23"/>
      <c r="V348" s="23"/>
      <c r="W348" s="23"/>
      <c r="X348" s="23"/>
      <c r="Y348" s="23"/>
      <c r="Z348" s="23"/>
    </row>
    <row r="349">
      <c r="A349" s="2"/>
      <c r="B349" s="2"/>
      <c r="C349" s="2"/>
      <c r="D349" s="2"/>
      <c r="E349" s="2"/>
      <c r="F349" s="2"/>
      <c r="G349" s="2"/>
      <c r="H349" s="2"/>
      <c r="I349" s="2"/>
      <c r="J349" s="2"/>
      <c r="K349" s="2"/>
      <c r="L349" s="2"/>
      <c r="M349" s="2"/>
      <c r="N349" s="2"/>
      <c r="O349" s="2"/>
      <c r="P349" s="2"/>
      <c r="Q349" s="23"/>
      <c r="R349" s="23"/>
      <c r="S349" s="23"/>
      <c r="T349" s="23"/>
      <c r="U349" s="23"/>
      <c r="V349" s="23"/>
      <c r="W349" s="23"/>
      <c r="X349" s="23"/>
      <c r="Y349" s="23"/>
      <c r="Z349" s="23"/>
    </row>
    <row r="350">
      <c r="A350" s="2"/>
      <c r="B350" s="2"/>
      <c r="C350" s="2"/>
      <c r="D350" s="2"/>
      <c r="E350" s="2"/>
      <c r="F350" s="2"/>
      <c r="G350" s="2"/>
      <c r="H350" s="2"/>
      <c r="I350" s="2"/>
      <c r="J350" s="2"/>
      <c r="K350" s="2"/>
      <c r="L350" s="2"/>
      <c r="M350" s="2"/>
      <c r="N350" s="2"/>
      <c r="O350" s="2"/>
      <c r="P350" s="2"/>
      <c r="Q350" s="23"/>
      <c r="R350" s="23"/>
      <c r="S350" s="23"/>
      <c r="T350" s="23"/>
      <c r="U350" s="23"/>
      <c r="V350" s="23"/>
      <c r="W350" s="23"/>
      <c r="X350" s="23"/>
      <c r="Y350" s="23"/>
      <c r="Z350" s="23"/>
    </row>
    <row r="351">
      <c r="A351" s="2"/>
      <c r="B351" s="2"/>
      <c r="C351" s="2"/>
      <c r="D351" s="2"/>
      <c r="E351" s="2"/>
      <c r="F351" s="2"/>
      <c r="G351" s="2"/>
      <c r="H351" s="2"/>
      <c r="I351" s="2"/>
      <c r="J351" s="2"/>
      <c r="K351" s="2"/>
      <c r="L351" s="2"/>
      <c r="M351" s="2"/>
      <c r="N351" s="2"/>
      <c r="O351" s="2"/>
      <c r="P351" s="2"/>
      <c r="Q351" s="23"/>
      <c r="R351" s="23"/>
      <c r="S351" s="23"/>
      <c r="T351" s="23"/>
      <c r="U351" s="23"/>
      <c r="V351" s="23"/>
      <c r="W351" s="23"/>
      <c r="X351" s="23"/>
      <c r="Y351" s="23"/>
      <c r="Z351" s="23"/>
    </row>
    <row r="352">
      <c r="A352" s="2"/>
      <c r="B352" s="2"/>
      <c r="C352" s="2"/>
      <c r="D352" s="2"/>
      <c r="E352" s="2"/>
      <c r="F352" s="2"/>
      <c r="G352" s="2"/>
      <c r="H352" s="2"/>
      <c r="I352" s="2"/>
      <c r="J352" s="2"/>
      <c r="K352" s="2"/>
      <c r="L352" s="2"/>
      <c r="M352" s="2"/>
      <c r="N352" s="2"/>
      <c r="O352" s="2"/>
      <c r="P352" s="2"/>
      <c r="Q352" s="23"/>
      <c r="R352" s="23"/>
      <c r="S352" s="23"/>
      <c r="T352" s="23"/>
      <c r="U352" s="23"/>
      <c r="V352" s="23"/>
      <c r="W352" s="23"/>
      <c r="X352" s="23"/>
      <c r="Y352" s="23"/>
      <c r="Z352" s="23"/>
    </row>
    <row r="353">
      <c r="A353" s="2"/>
      <c r="B353" s="2"/>
      <c r="C353" s="2"/>
      <c r="D353" s="2"/>
      <c r="E353" s="2"/>
      <c r="F353" s="2"/>
      <c r="G353" s="2"/>
      <c r="H353" s="2"/>
      <c r="I353" s="2"/>
      <c r="J353" s="2"/>
      <c r="K353" s="2"/>
      <c r="L353" s="2"/>
      <c r="M353" s="2"/>
      <c r="N353" s="2"/>
      <c r="O353" s="2"/>
      <c r="P353" s="2"/>
      <c r="Q353" s="23"/>
      <c r="R353" s="23"/>
      <c r="S353" s="23"/>
      <c r="T353" s="23"/>
      <c r="U353" s="23"/>
      <c r="V353" s="23"/>
      <c r="W353" s="23"/>
      <c r="X353" s="23"/>
      <c r="Y353" s="23"/>
      <c r="Z353" s="23"/>
    </row>
    <row r="354">
      <c r="A354" s="2"/>
      <c r="B354" s="2"/>
      <c r="C354" s="2"/>
      <c r="D354" s="2"/>
      <c r="E354" s="2"/>
      <c r="F354" s="2"/>
      <c r="G354" s="2"/>
      <c r="H354" s="2"/>
      <c r="I354" s="2"/>
      <c r="J354" s="2"/>
      <c r="K354" s="2"/>
      <c r="L354" s="2"/>
      <c r="M354" s="2"/>
      <c r="N354" s="2"/>
      <c r="O354" s="2"/>
      <c r="P354" s="2"/>
      <c r="Q354" s="23"/>
      <c r="R354" s="23"/>
      <c r="S354" s="23"/>
      <c r="T354" s="23"/>
      <c r="U354" s="23"/>
      <c r="V354" s="23"/>
      <c r="W354" s="23"/>
      <c r="X354" s="23"/>
      <c r="Y354" s="23"/>
      <c r="Z354" s="23"/>
    </row>
    <row r="355">
      <c r="A355" s="2"/>
      <c r="B355" s="2"/>
      <c r="C355" s="2"/>
      <c r="D355" s="2"/>
      <c r="E355" s="2"/>
      <c r="F355" s="2"/>
      <c r="G355" s="2"/>
      <c r="H355" s="2"/>
      <c r="I355" s="2"/>
      <c r="J355" s="2"/>
      <c r="K355" s="2"/>
      <c r="L355" s="2"/>
      <c r="M355" s="2"/>
      <c r="N355" s="2"/>
      <c r="O355" s="2"/>
      <c r="P355" s="2"/>
      <c r="Q355" s="23"/>
      <c r="R355" s="23"/>
      <c r="S355" s="23"/>
      <c r="T355" s="23"/>
      <c r="U355" s="23"/>
      <c r="V355" s="23"/>
      <c r="W355" s="23"/>
      <c r="X355" s="23"/>
      <c r="Y355" s="23"/>
      <c r="Z355" s="23"/>
    </row>
    <row r="356">
      <c r="A356" s="2"/>
      <c r="B356" s="2"/>
      <c r="C356" s="2"/>
      <c r="D356" s="2"/>
      <c r="E356" s="2"/>
      <c r="F356" s="2"/>
      <c r="G356" s="2"/>
      <c r="H356" s="2"/>
      <c r="I356" s="2"/>
      <c r="J356" s="2"/>
      <c r="K356" s="2"/>
      <c r="L356" s="2"/>
      <c r="M356" s="2"/>
      <c r="N356" s="2"/>
      <c r="O356" s="2"/>
      <c r="P356" s="2"/>
      <c r="Q356" s="23"/>
      <c r="R356" s="23"/>
      <c r="S356" s="23"/>
      <c r="T356" s="23"/>
      <c r="U356" s="23"/>
      <c r="V356" s="23"/>
      <c r="W356" s="23"/>
      <c r="X356" s="23"/>
      <c r="Y356" s="23"/>
      <c r="Z356" s="23"/>
    </row>
    <row r="357">
      <c r="A357" s="2"/>
      <c r="B357" s="2"/>
      <c r="C357" s="2"/>
      <c r="D357" s="2"/>
      <c r="E357" s="2"/>
      <c r="F357" s="2"/>
      <c r="G357" s="2"/>
      <c r="H357" s="2"/>
      <c r="I357" s="2"/>
      <c r="J357" s="2"/>
      <c r="K357" s="2"/>
      <c r="L357" s="2"/>
      <c r="M357" s="2"/>
      <c r="N357" s="2"/>
      <c r="O357" s="2"/>
      <c r="P357" s="2"/>
      <c r="Q357" s="23"/>
      <c r="R357" s="23"/>
      <c r="S357" s="23"/>
      <c r="T357" s="23"/>
      <c r="U357" s="23"/>
      <c r="V357" s="23"/>
      <c r="W357" s="23"/>
      <c r="X357" s="23"/>
      <c r="Y357" s="23"/>
      <c r="Z357" s="23"/>
    </row>
    <row r="358">
      <c r="A358" s="2"/>
      <c r="B358" s="2"/>
      <c r="C358" s="2"/>
      <c r="D358" s="2"/>
      <c r="E358" s="2"/>
      <c r="F358" s="2"/>
      <c r="G358" s="2"/>
      <c r="H358" s="2"/>
      <c r="I358" s="2"/>
      <c r="J358" s="2"/>
      <c r="K358" s="2"/>
      <c r="L358" s="2"/>
      <c r="M358" s="2"/>
      <c r="N358" s="2"/>
      <c r="O358" s="2"/>
      <c r="P358" s="2"/>
      <c r="Q358" s="23"/>
      <c r="R358" s="23"/>
      <c r="S358" s="23"/>
      <c r="T358" s="23"/>
      <c r="U358" s="23"/>
      <c r="V358" s="23"/>
      <c r="W358" s="23"/>
      <c r="X358" s="23"/>
      <c r="Y358" s="23"/>
      <c r="Z358" s="23"/>
    </row>
    <row r="359">
      <c r="A359" s="2"/>
      <c r="B359" s="2"/>
      <c r="C359" s="2"/>
      <c r="D359" s="2"/>
      <c r="E359" s="2"/>
      <c r="F359" s="2"/>
      <c r="G359" s="2"/>
      <c r="H359" s="2"/>
      <c r="I359" s="2"/>
      <c r="J359" s="2"/>
      <c r="K359" s="2"/>
      <c r="L359" s="2"/>
      <c r="M359" s="2"/>
      <c r="N359" s="2"/>
      <c r="O359" s="2"/>
      <c r="P359" s="2"/>
      <c r="Q359" s="23"/>
      <c r="R359" s="23"/>
      <c r="S359" s="23"/>
      <c r="T359" s="23"/>
      <c r="U359" s="23"/>
      <c r="V359" s="23"/>
      <c r="W359" s="23"/>
      <c r="X359" s="23"/>
      <c r="Y359" s="23"/>
      <c r="Z359" s="23"/>
    </row>
    <row r="360">
      <c r="A360" s="2"/>
      <c r="B360" s="2"/>
      <c r="C360" s="2"/>
      <c r="D360" s="2"/>
      <c r="E360" s="2"/>
      <c r="F360" s="2"/>
      <c r="G360" s="2"/>
      <c r="H360" s="2"/>
      <c r="I360" s="2"/>
      <c r="J360" s="2"/>
      <c r="K360" s="2"/>
      <c r="L360" s="2"/>
      <c r="M360" s="2"/>
      <c r="N360" s="2"/>
      <c r="O360" s="2"/>
      <c r="P360" s="2"/>
      <c r="Q360" s="23"/>
      <c r="R360" s="23"/>
      <c r="S360" s="23"/>
      <c r="T360" s="23"/>
      <c r="U360" s="23"/>
      <c r="V360" s="23"/>
      <c r="W360" s="23"/>
      <c r="X360" s="23"/>
      <c r="Y360" s="23"/>
      <c r="Z360" s="23"/>
    </row>
    <row r="361">
      <c r="A361" s="2"/>
      <c r="B361" s="2"/>
      <c r="C361" s="2"/>
      <c r="D361" s="2"/>
      <c r="E361" s="2"/>
      <c r="F361" s="2"/>
      <c r="G361" s="2"/>
      <c r="H361" s="2"/>
      <c r="I361" s="2"/>
      <c r="J361" s="2"/>
      <c r="K361" s="2"/>
      <c r="L361" s="2"/>
      <c r="M361" s="2"/>
      <c r="N361" s="2"/>
      <c r="O361" s="2"/>
      <c r="P361" s="2"/>
      <c r="Q361" s="23"/>
      <c r="R361" s="23"/>
      <c r="S361" s="23"/>
      <c r="T361" s="23"/>
      <c r="U361" s="23"/>
      <c r="V361" s="23"/>
      <c r="W361" s="23"/>
      <c r="X361" s="23"/>
      <c r="Y361" s="23"/>
      <c r="Z361" s="23"/>
    </row>
    <row r="362">
      <c r="A362" s="2"/>
      <c r="B362" s="2"/>
      <c r="C362" s="2"/>
      <c r="D362" s="2"/>
      <c r="E362" s="2"/>
      <c r="F362" s="2"/>
      <c r="G362" s="2"/>
      <c r="H362" s="2"/>
      <c r="I362" s="2"/>
      <c r="J362" s="2"/>
      <c r="K362" s="2"/>
      <c r="L362" s="2"/>
      <c r="M362" s="2"/>
      <c r="N362" s="2"/>
      <c r="O362" s="2"/>
      <c r="P362" s="2"/>
      <c r="Q362" s="23"/>
      <c r="R362" s="23"/>
      <c r="S362" s="23"/>
      <c r="T362" s="23"/>
      <c r="U362" s="23"/>
      <c r="V362" s="23"/>
      <c r="W362" s="23"/>
      <c r="X362" s="23"/>
      <c r="Y362" s="23"/>
      <c r="Z362" s="23"/>
    </row>
    <row r="363">
      <c r="A363" s="2"/>
      <c r="B363" s="2"/>
      <c r="C363" s="2"/>
      <c r="D363" s="2"/>
      <c r="E363" s="2"/>
      <c r="F363" s="2"/>
      <c r="G363" s="2"/>
      <c r="H363" s="2"/>
      <c r="I363" s="2"/>
      <c r="J363" s="2"/>
      <c r="K363" s="2"/>
      <c r="L363" s="2"/>
      <c r="M363" s="2"/>
      <c r="N363" s="2"/>
      <c r="O363" s="2"/>
      <c r="P363" s="2"/>
      <c r="Q363" s="23"/>
      <c r="R363" s="23"/>
      <c r="S363" s="23"/>
      <c r="T363" s="23"/>
      <c r="U363" s="23"/>
      <c r="V363" s="23"/>
      <c r="W363" s="23"/>
      <c r="X363" s="23"/>
      <c r="Y363" s="23"/>
      <c r="Z363" s="23"/>
    </row>
    <row r="364">
      <c r="A364" s="2"/>
      <c r="B364" s="2"/>
      <c r="C364" s="2"/>
      <c r="D364" s="2"/>
      <c r="E364" s="2"/>
      <c r="F364" s="2"/>
      <c r="G364" s="2"/>
      <c r="H364" s="2"/>
      <c r="I364" s="2"/>
      <c r="J364" s="2"/>
      <c r="K364" s="2"/>
      <c r="L364" s="2"/>
      <c r="M364" s="2"/>
      <c r="N364" s="2"/>
      <c r="O364" s="2"/>
      <c r="P364" s="2"/>
      <c r="Q364" s="23"/>
      <c r="R364" s="23"/>
      <c r="S364" s="23"/>
      <c r="T364" s="23"/>
      <c r="U364" s="23"/>
      <c r="V364" s="23"/>
      <c r="W364" s="23"/>
      <c r="X364" s="23"/>
      <c r="Y364" s="23"/>
      <c r="Z364" s="23"/>
    </row>
    <row r="365">
      <c r="A365" s="2"/>
      <c r="B365" s="2"/>
      <c r="C365" s="2"/>
      <c r="D365" s="2"/>
      <c r="E365" s="2"/>
      <c r="F365" s="2"/>
      <c r="G365" s="2"/>
      <c r="H365" s="2"/>
      <c r="I365" s="2"/>
      <c r="J365" s="2"/>
      <c r="K365" s="2"/>
      <c r="L365" s="2"/>
      <c r="M365" s="2"/>
      <c r="N365" s="2"/>
      <c r="O365" s="2"/>
      <c r="P365" s="2"/>
      <c r="Q365" s="23"/>
      <c r="R365" s="23"/>
      <c r="S365" s="23"/>
      <c r="T365" s="23"/>
      <c r="U365" s="23"/>
      <c r="V365" s="23"/>
      <c r="W365" s="23"/>
      <c r="X365" s="23"/>
      <c r="Y365" s="23"/>
      <c r="Z365" s="23"/>
    </row>
    <row r="366">
      <c r="A366" s="2"/>
      <c r="B366" s="2"/>
      <c r="C366" s="2"/>
      <c r="D366" s="2"/>
      <c r="E366" s="2"/>
      <c r="F366" s="2"/>
      <c r="G366" s="2"/>
      <c r="H366" s="2"/>
      <c r="I366" s="2"/>
      <c r="J366" s="2"/>
      <c r="K366" s="2"/>
      <c r="L366" s="2"/>
      <c r="M366" s="2"/>
      <c r="N366" s="2"/>
      <c r="O366" s="2"/>
      <c r="P366" s="2"/>
      <c r="Q366" s="23"/>
      <c r="R366" s="23"/>
      <c r="S366" s="23"/>
      <c r="T366" s="23"/>
      <c r="U366" s="23"/>
      <c r="V366" s="23"/>
      <c r="W366" s="23"/>
      <c r="X366" s="23"/>
      <c r="Y366" s="23"/>
      <c r="Z366" s="23"/>
    </row>
    <row r="367">
      <c r="A367" s="2"/>
      <c r="B367" s="2"/>
      <c r="C367" s="2"/>
      <c r="D367" s="2"/>
      <c r="E367" s="2"/>
      <c r="F367" s="2"/>
      <c r="G367" s="2"/>
      <c r="H367" s="2"/>
      <c r="I367" s="2"/>
      <c r="J367" s="2"/>
      <c r="K367" s="2"/>
      <c r="L367" s="2"/>
      <c r="M367" s="2"/>
      <c r="N367" s="2"/>
      <c r="O367" s="2"/>
      <c r="P367" s="2"/>
      <c r="Q367" s="23"/>
      <c r="R367" s="23"/>
      <c r="S367" s="23"/>
      <c r="T367" s="23"/>
      <c r="U367" s="23"/>
      <c r="V367" s="23"/>
      <c r="W367" s="23"/>
      <c r="X367" s="23"/>
      <c r="Y367" s="23"/>
      <c r="Z367" s="23"/>
    </row>
    <row r="368">
      <c r="A368" s="2"/>
      <c r="B368" s="2"/>
      <c r="C368" s="2"/>
      <c r="D368" s="2"/>
      <c r="E368" s="2"/>
      <c r="F368" s="2"/>
      <c r="G368" s="2"/>
      <c r="H368" s="2"/>
      <c r="I368" s="2"/>
      <c r="J368" s="2"/>
      <c r="K368" s="2"/>
      <c r="L368" s="2"/>
      <c r="M368" s="2"/>
      <c r="N368" s="2"/>
      <c r="O368" s="2"/>
      <c r="P368" s="2"/>
      <c r="Q368" s="23"/>
      <c r="R368" s="23"/>
      <c r="S368" s="23"/>
      <c r="T368" s="23"/>
      <c r="U368" s="23"/>
      <c r="V368" s="23"/>
      <c r="W368" s="23"/>
      <c r="X368" s="23"/>
      <c r="Y368" s="23"/>
      <c r="Z368" s="23"/>
    </row>
    <row r="369">
      <c r="A369" s="2"/>
      <c r="B369" s="2"/>
      <c r="C369" s="2"/>
      <c r="D369" s="2"/>
      <c r="E369" s="2"/>
      <c r="F369" s="2"/>
      <c r="G369" s="2"/>
      <c r="H369" s="2"/>
      <c r="I369" s="2"/>
      <c r="J369" s="2"/>
      <c r="K369" s="2"/>
      <c r="L369" s="2"/>
      <c r="M369" s="2"/>
      <c r="N369" s="2"/>
      <c r="O369" s="2"/>
      <c r="P369" s="2"/>
      <c r="Q369" s="23"/>
      <c r="R369" s="23"/>
      <c r="S369" s="23"/>
      <c r="T369" s="23"/>
      <c r="U369" s="23"/>
      <c r="V369" s="23"/>
      <c r="W369" s="23"/>
      <c r="X369" s="23"/>
      <c r="Y369" s="23"/>
      <c r="Z369" s="23"/>
    </row>
    <row r="370">
      <c r="A370" s="2"/>
      <c r="B370" s="2"/>
      <c r="C370" s="2"/>
      <c r="D370" s="2"/>
      <c r="E370" s="2"/>
      <c r="F370" s="2"/>
      <c r="G370" s="2"/>
      <c r="H370" s="2"/>
      <c r="I370" s="2"/>
      <c r="J370" s="2"/>
      <c r="K370" s="2"/>
      <c r="L370" s="2"/>
      <c r="M370" s="2"/>
      <c r="N370" s="2"/>
      <c r="O370" s="2"/>
      <c r="P370" s="2"/>
      <c r="Q370" s="23"/>
      <c r="R370" s="23"/>
      <c r="S370" s="23"/>
      <c r="T370" s="23"/>
      <c r="U370" s="23"/>
      <c r="V370" s="23"/>
      <c r="W370" s="23"/>
      <c r="X370" s="23"/>
      <c r="Y370" s="23"/>
      <c r="Z370" s="23"/>
    </row>
    <row r="371">
      <c r="A371" s="2"/>
      <c r="B371" s="2"/>
      <c r="C371" s="2"/>
      <c r="D371" s="2"/>
      <c r="E371" s="2"/>
      <c r="F371" s="2"/>
      <c r="G371" s="2"/>
      <c r="H371" s="2"/>
      <c r="I371" s="2"/>
      <c r="J371" s="2"/>
      <c r="K371" s="2"/>
      <c r="L371" s="2"/>
      <c r="M371" s="2"/>
      <c r="N371" s="2"/>
      <c r="O371" s="2"/>
      <c r="P371" s="2"/>
      <c r="Q371" s="23"/>
      <c r="R371" s="23"/>
      <c r="S371" s="23"/>
      <c r="T371" s="23"/>
      <c r="U371" s="23"/>
      <c r="V371" s="23"/>
      <c r="W371" s="23"/>
      <c r="X371" s="23"/>
      <c r="Y371" s="23"/>
      <c r="Z371" s="23"/>
    </row>
    <row r="372">
      <c r="A372" s="2"/>
      <c r="B372" s="2"/>
      <c r="C372" s="2"/>
      <c r="D372" s="2"/>
      <c r="E372" s="2"/>
      <c r="F372" s="2"/>
      <c r="G372" s="2"/>
      <c r="H372" s="2"/>
      <c r="I372" s="2"/>
      <c r="J372" s="2"/>
      <c r="K372" s="2"/>
      <c r="L372" s="2"/>
      <c r="M372" s="2"/>
      <c r="N372" s="2"/>
      <c r="O372" s="2"/>
      <c r="P372" s="2"/>
      <c r="Q372" s="23"/>
      <c r="R372" s="23"/>
      <c r="S372" s="23"/>
      <c r="T372" s="23"/>
      <c r="U372" s="23"/>
      <c r="V372" s="23"/>
      <c r="W372" s="23"/>
      <c r="X372" s="23"/>
      <c r="Y372" s="23"/>
      <c r="Z372" s="23"/>
    </row>
    <row r="373">
      <c r="A373" s="2"/>
      <c r="B373" s="2"/>
      <c r="C373" s="2"/>
      <c r="D373" s="2"/>
      <c r="E373" s="2"/>
      <c r="F373" s="2"/>
      <c r="G373" s="2"/>
      <c r="H373" s="2"/>
      <c r="I373" s="2"/>
      <c r="J373" s="2"/>
      <c r="K373" s="2"/>
      <c r="L373" s="2"/>
      <c r="M373" s="2"/>
      <c r="N373" s="2"/>
      <c r="O373" s="2"/>
      <c r="P373" s="2"/>
      <c r="Q373" s="23"/>
      <c r="R373" s="23"/>
      <c r="S373" s="23"/>
      <c r="T373" s="23"/>
      <c r="U373" s="23"/>
      <c r="V373" s="23"/>
      <c r="W373" s="23"/>
      <c r="X373" s="23"/>
      <c r="Y373" s="23"/>
      <c r="Z373" s="23"/>
    </row>
    <row r="374">
      <c r="A374" s="2"/>
      <c r="B374" s="2"/>
      <c r="C374" s="2"/>
      <c r="D374" s="2"/>
      <c r="E374" s="2"/>
      <c r="F374" s="2"/>
      <c r="G374" s="2"/>
      <c r="H374" s="2"/>
      <c r="I374" s="2"/>
      <c r="J374" s="2"/>
      <c r="K374" s="2"/>
      <c r="L374" s="2"/>
      <c r="M374" s="2"/>
      <c r="N374" s="2"/>
      <c r="O374" s="2"/>
      <c r="P374" s="2"/>
      <c r="Q374" s="23"/>
      <c r="R374" s="23"/>
      <c r="S374" s="23"/>
      <c r="T374" s="23"/>
      <c r="U374" s="23"/>
      <c r="V374" s="23"/>
      <c r="W374" s="23"/>
      <c r="X374" s="23"/>
      <c r="Y374" s="23"/>
      <c r="Z374" s="23"/>
    </row>
    <row r="375">
      <c r="A375" s="2"/>
      <c r="B375" s="2"/>
      <c r="C375" s="2"/>
      <c r="D375" s="2"/>
      <c r="E375" s="2"/>
      <c r="F375" s="2"/>
      <c r="G375" s="2"/>
      <c r="H375" s="2"/>
      <c r="I375" s="2"/>
      <c r="J375" s="2"/>
      <c r="K375" s="2"/>
      <c r="L375" s="2"/>
      <c r="M375" s="2"/>
      <c r="N375" s="2"/>
      <c r="O375" s="2"/>
      <c r="P375" s="2"/>
      <c r="Q375" s="23"/>
      <c r="R375" s="23"/>
      <c r="S375" s="23"/>
      <c r="T375" s="23"/>
      <c r="U375" s="23"/>
      <c r="V375" s="23"/>
      <c r="W375" s="23"/>
      <c r="X375" s="23"/>
      <c r="Y375" s="23"/>
      <c r="Z375" s="23"/>
    </row>
    <row r="376">
      <c r="A376" s="2"/>
      <c r="B376" s="2"/>
      <c r="C376" s="2"/>
      <c r="D376" s="2"/>
      <c r="E376" s="2"/>
      <c r="F376" s="2"/>
      <c r="G376" s="2"/>
      <c r="H376" s="2"/>
      <c r="I376" s="2"/>
      <c r="J376" s="2"/>
      <c r="K376" s="2"/>
      <c r="L376" s="2"/>
      <c r="M376" s="2"/>
      <c r="N376" s="2"/>
      <c r="O376" s="2"/>
      <c r="P376" s="2"/>
      <c r="Q376" s="23"/>
      <c r="R376" s="23"/>
      <c r="S376" s="23"/>
      <c r="T376" s="23"/>
      <c r="U376" s="23"/>
      <c r="V376" s="23"/>
      <c r="W376" s="23"/>
      <c r="X376" s="23"/>
      <c r="Y376" s="23"/>
      <c r="Z376" s="23"/>
    </row>
    <row r="377">
      <c r="A377" s="2"/>
      <c r="B377" s="2"/>
      <c r="C377" s="2"/>
      <c r="D377" s="2"/>
      <c r="E377" s="2"/>
      <c r="F377" s="2"/>
      <c r="G377" s="2"/>
      <c r="H377" s="2"/>
      <c r="I377" s="2"/>
      <c r="J377" s="2"/>
      <c r="K377" s="2"/>
      <c r="L377" s="2"/>
      <c r="M377" s="2"/>
      <c r="N377" s="2"/>
      <c r="O377" s="2"/>
      <c r="P377" s="2"/>
      <c r="Q377" s="23"/>
      <c r="R377" s="23"/>
      <c r="S377" s="23"/>
      <c r="T377" s="23"/>
      <c r="U377" s="23"/>
      <c r="V377" s="23"/>
      <c r="W377" s="23"/>
      <c r="X377" s="23"/>
      <c r="Y377" s="23"/>
      <c r="Z377" s="23"/>
    </row>
    <row r="378">
      <c r="A378" s="2"/>
      <c r="B378" s="2"/>
      <c r="C378" s="2"/>
      <c r="D378" s="2"/>
      <c r="E378" s="2"/>
      <c r="F378" s="2"/>
      <c r="G378" s="2"/>
      <c r="H378" s="2"/>
      <c r="I378" s="2"/>
      <c r="J378" s="2"/>
      <c r="K378" s="2"/>
      <c r="L378" s="2"/>
      <c r="M378" s="2"/>
      <c r="N378" s="2"/>
      <c r="O378" s="2"/>
      <c r="P378" s="2"/>
      <c r="Q378" s="23"/>
      <c r="R378" s="23"/>
      <c r="S378" s="23"/>
      <c r="T378" s="23"/>
      <c r="U378" s="23"/>
      <c r="V378" s="23"/>
      <c r="W378" s="23"/>
      <c r="X378" s="23"/>
      <c r="Y378" s="23"/>
      <c r="Z378" s="23"/>
    </row>
    <row r="379">
      <c r="A379" s="2"/>
      <c r="B379" s="2"/>
      <c r="C379" s="2"/>
      <c r="D379" s="2"/>
      <c r="E379" s="2"/>
      <c r="F379" s="2"/>
      <c r="G379" s="2"/>
      <c r="H379" s="2"/>
      <c r="I379" s="2"/>
      <c r="J379" s="2"/>
      <c r="K379" s="2"/>
      <c r="L379" s="2"/>
      <c r="M379" s="2"/>
      <c r="N379" s="2"/>
      <c r="O379" s="2"/>
      <c r="P379" s="2"/>
      <c r="Q379" s="23"/>
      <c r="R379" s="23"/>
      <c r="S379" s="23"/>
      <c r="T379" s="23"/>
      <c r="U379" s="23"/>
      <c r="V379" s="23"/>
      <c r="W379" s="23"/>
      <c r="X379" s="23"/>
      <c r="Y379" s="23"/>
      <c r="Z379" s="23"/>
    </row>
    <row r="380">
      <c r="A380" s="2"/>
      <c r="B380" s="2"/>
      <c r="C380" s="2"/>
      <c r="D380" s="2"/>
      <c r="E380" s="2"/>
      <c r="F380" s="2"/>
      <c r="G380" s="2"/>
      <c r="H380" s="2"/>
      <c r="I380" s="2"/>
      <c r="J380" s="2"/>
      <c r="K380" s="2"/>
      <c r="L380" s="2"/>
      <c r="M380" s="2"/>
      <c r="N380" s="2"/>
      <c r="O380" s="2"/>
      <c r="P380" s="2"/>
      <c r="Q380" s="23"/>
      <c r="R380" s="23"/>
      <c r="S380" s="23"/>
      <c r="T380" s="23"/>
      <c r="U380" s="23"/>
      <c r="V380" s="23"/>
      <c r="W380" s="23"/>
      <c r="X380" s="23"/>
      <c r="Y380" s="23"/>
      <c r="Z380" s="23"/>
    </row>
    <row r="381">
      <c r="A381" s="2"/>
      <c r="B381" s="2"/>
      <c r="C381" s="2"/>
      <c r="D381" s="2"/>
      <c r="E381" s="2"/>
      <c r="F381" s="2"/>
      <c r="G381" s="2"/>
      <c r="H381" s="2"/>
      <c r="I381" s="2"/>
      <c r="J381" s="2"/>
      <c r="K381" s="2"/>
      <c r="L381" s="2"/>
      <c r="M381" s="2"/>
      <c r="N381" s="2"/>
      <c r="O381" s="2"/>
      <c r="P381" s="2"/>
      <c r="Q381" s="23"/>
      <c r="R381" s="23"/>
      <c r="S381" s="23"/>
      <c r="T381" s="23"/>
      <c r="U381" s="23"/>
      <c r="V381" s="23"/>
      <c r="W381" s="23"/>
      <c r="X381" s="23"/>
      <c r="Y381" s="23"/>
      <c r="Z381" s="23"/>
    </row>
    <row r="382">
      <c r="A382" s="2"/>
      <c r="B382" s="2"/>
      <c r="C382" s="2"/>
      <c r="D382" s="2"/>
      <c r="E382" s="2"/>
      <c r="F382" s="2"/>
      <c r="G382" s="2"/>
      <c r="H382" s="2"/>
      <c r="I382" s="2"/>
      <c r="J382" s="2"/>
      <c r="K382" s="2"/>
      <c r="L382" s="2"/>
      <c r="M382" s="2"/>
      <c r="N382" s="2"/>
      <c r="O382" s="2"/>
      <c r="P382" s="2"/>
      <c r="Q382" s="23"/>
      <c r="R382" s="23"/>
      <c r="S382" s="23"/>
      <c r="T382" s="23"/>
      <c r="U382" s="23"/>
      <c r="V382" s="23"/>
      <c r="W382" s="23"/>
      <c r="X382" s="23"/>
      <c r="Y382" s="23"/>
      <c r="Z382" s="23"/>
    </row>
    <row r="383">
      <c r="A383" s="2"/>
      <c r="B383" s="2"/>
      <c r="C383" s="2"/>
      <c r="D383" s="2"/>
      <c r="E383" s="2"/>
      <c r="F383" s="2"/>
      <c r="G383" s="2"/>
      <c r="H383" s="2"/>
      <c r="I383" s="2"/>
      <c r="J383" s="2"/>
      <c r="K383" s="2"/>
      <c r="L383" s="2"/>
      <c r="M383" s="2"/>
      <c r="N383" s="2"/>
      <c r="O383" s="2"/>
      <c r="P383" s="2"/>
      <c r="Q383" s="23"/>
      <c r="R383" s="23"/>
      <c r="S383" s="23"/>
      <c r="T383" s="23"/>
      <c r="U383" s="23"/>
      <c r="V383" s="23"/>
      <c r="W383" s="23"/>
      <c r="X383" s="23"/>
      <c r="Y383" s="23"/>
      <c r="Z383" s="23"/>
    </row>
    <row r="384">
      <c r="A384" s="2"/>
      <c r="B384" s="2"/>
      <c r="C384" s="2"/>
      <c r="D384" s="2"/>
      <c r="E384" s="2"/>
      <c r="F384" s="2"/>
      <c r="G384" s="2"/>
      <c r="H384" s="2"/>
      <c r="I384" s="2"/>
      <c r="J384" s="2"/>
      <c r="K384" s="2"/>
      <c r="L384" s="2"/>
      <c r="M384" s="2"/>
      <c r="N384" s="2"/>
      <c r="O384" s="2"/>
      <c r="P384" s="2"/>
      <c r="Q384" s="23"/>
      <c r="R384" s="23"/>
      <c r="S384" s="23"/>
      <c r="T384" s="23"/>
      <c r="U384" s="23"/>
      <c r="V384" s="23"/>
      <c r="W384" s="23"/>
      <c r="X384" s="23"/>
      <c r="Y384" s="23"/>
      <c r="Z384" s="23"/>
    </row>
    <row r="385">
      <c r="A385" s="2"/>
      <c r="B385" s="2"/>
      <c r="C385" s="2"/>
      <c r="D385" s="2"/>
      <c r="E385" s="2"/>
      <c r="F385" s="2"/>
      <c r="G385" s="2"/>
      <c r="H385" s="2"/>
      <c r="I385" s="2"/>
      <c r="J385" s="2"/>
      <c r="K385" s="2"/>
      <c r="L385" s="2"/>
      <c r="M385" s="2"/>
      <c r="N385" s="2"/>
      <c r="O385" s="2"/>
      <c r="P385" s="2"/>
      <c r="Q385" s="23"/>
      <c r="R385" s="23"/>
      <c r="S385" s="23"/>
      <c r="T385" s="23"/>
      <c r="U385" s="23"/>
      <c r="V385" s="23"/>
      <c r="W385" s="23"/>
      <c r="X385" s="23"/>
      <c r="Y385" s="23"/>
      <c r="Z385" s="23"/>
    </row>
    <row r="386">
      <c r="A386" s="2"/>
      <c r="B386" s="2"/>
      <c r="C386" s="2"/>
      <c r="D386" s="2"/>
      <c r="E386" s="2"/>
      <c r="F386" s="2"/>
      <c r="G386" s="2"/>
      <c r="H386" s="2"/>
      <c r="I386" s="2"/>
      <c r="J386" s="2"/>
      <c r="K386" s="2"/>
      <c r="L386" s="2"/>
      <c r="M386" s="2"/>
      <c r="N386" s="2"/>
      <c r="O386" s="2"/>
      <c r="P386" s="2"/>
      <c r="Q386" s="23"/>
      <c r="R386" s="23"/>
      <c r="S386" s="23"/>
      <c r="T386" s="23"/>
      <c r="U386" s="23"/>
      <c r="V386" s="23"/>
      <c r="W386" s="23"/>
      <c r="X386" s="23"/>
      <c r="Y386" s="23"/>
      <c r="Z386" s="23"/>
    </row>
    <row r="387">
      <c r="A387" s="2"/>
      <c r="B387" s="2"/>
      <c r="C387" s="2"/>
      <c r="D387" s="2"/>
      <c r="E387" s="2"/>
      <c r="F387" s="2"/>
      <c r="G387" s="2"/>
      <c r="H387" s="2"/>
      <c r="I387" s="2"/>
      <c r="J387" s="2"/>
      <c r="K387" s="2"/>
      <c r="L387" s="2"/>
      <c r="M387" s="2"/>
      <c r="N387" s="2"/>
      <c r="O387" s="2"/>
      <c r="P387" s="2"/>
      <c r="Q387" s="23"/>
      <c r="R387" s="23"/>
      <c r="S387" s="23"/>
      <c r="T387" s="23"/>
      <c r="U387" s="23"/>
      <c r="V387" s="23"/>
      <c r="W387" s="23"/>
      <c r="X387" s="23"/>
      <c r="Y387" s="23"/>
      <c r="Z387" s="23"/>
    </row>
    <row r="388">
      <c r="A388" s="2"/>
      <c r="B388" s="2"/>
      <c r="C388" s="2"/>
      <c r="D388" s="2"/>
      <c r="E388" s="2"/>
      <c r="F388" s="2"/>
      <c r="G388" s="2"/>
      <c r="H388" s="2"/>
      <c r="I388" s="2"/>
      <c r="J388" s="2"/>
      <c r="K388" s="2"/>
      <c r="L388" s="2"/>
      <c r="M388" s="2"/>
      <c r="N388" s="2"/>
      <c r="O388" s="2"/>
      <c r="P388" s="2"/>
      <c r="Q388" s="23"/>
      <c r="R388" s="23"/>
      <c r="S388" s="23"/>
      <c r="T388" s="23"/>
      <c r="U388" s="23"/>
      <c r="V388" s="23"/>
      <c r="W388" s="23"/>
      <c r="X388" s="23"/>
      <c r="Y388" s="23"/>
      <c r="Z388" s="23"/>
    </row>
    <row r="389">
      <c r="A389" s="2"/>
      <c r="B389" s="2"/>
      <c r="C389" s="2"/>
      <c r="D389" s="2"/>
      <c r="E389" s="2"/>
      <c r="F389" s="2"/>
      <c r="G389" s="2"/>
      <c r="H389" s="2"/>
      <c r="I389" s="2"/>
      <c r="J389" s="2"/>
      <c r="K389" s="2"/>
      <c r="L389" s="2"/>
      <c r="M389" s="2"/>
      <c r="N389" s="2"/>
      <c r="O389" s="2"/>
      <c r="P389" s="2"/>
      <c r="Q389" s="23"/>
      <c r="R389" s="23"/>
      <c r="S389" s="23"/>
      <c r="T389" s="23"/>
      <c r="U389" s="23"/>
      <c r="V389" s="23"/>
      <c r="W389" s="23"/>
      <c r="X389" s="23"/>
      <c r="Y389" s="23"/>
      <c r="Z389" s="23"/>
    </row>
    <row r="390">
      <c r="A390" s="2"/>
      <c r="B390" s="2"/>
      <c r="C390" s="2"/>
      <c r="D390" s="2"/>
      <c r="E390" s="2"/>
      <c r="F390" s="2"/>
      <c r="G390" s="2"/>
      <c r="H390" s="2"/>
      <c r="I390" s="2"/>
      <c r="J390" s="2"/>
      <c r="K390" s="2"/>
      <c r="L390" s="2"/>
      <c r="M390" s="2"/>
      <c r="N390" s="2"/>
      <c r="O390" s="2"/>
      <c r="P390" s="2"/>
      <c r="Q390" s="23"/>
      <c r="R390" s="23"/>
      <c r="S390" s="23"/>
      <c r="T390" s="23"/>
      <c r="U390" s="23"/>
      <c r="V390" s="23"/>
      <c r="W390" s="23"/>
      <c r="X390" s="23"/>
      <c r="Y390" s="23"/>
      <c r="Z390" s="23"/>
    </row>
    <row r="391">
      <c r="A391" s="2"/>
      <c r="B391" s="2"/>
      <c r="C391" s="2"/>
      <c r="D391" s="2"/>
      <c r="E391" s="2"/>
      <c r="F391" s="2"/>
      <c r="G391" s="2"/>
      <c r="H391" s="2"/>
      <c r="I391" s="2"/>
      <c r="J391" s="2"/>
      <c r="K391" s="2"/>
      <c r="L391" s="2"/>
      <c r="M391" s="2"/>
      <c r="N391" s="2"/>
      <c r="O391" s="2"/>
      <c r="P391" s="2"/>
      <c r="Q391" s="23"/>
      <c r="R391" s="23"/>
      <c r="S391" s="23"/>
      <c r="T391" s="23"/>
      <c r="U391" s="23"/>
      <c r="V391" s="23"/>
      <c r="W391" s="23"/>
      <c r="X391" s="23"/>
      <c r="Y391" s="23"/>
      <c r="Z391" s="23"/>
    </row>
    <row r="392">
      <c r="A392" s="2"/>
      <c r="B392" s="2"/>
      <c r="C392" s="2"/>
      <c r="D392" s="2"/>
      <c r="E392" s="2"/>
      <c r="F392" s="2"/>
      <c r="G392" s="2"/>
      <c r="H392" s="2"/>
      <c r="I392" s="2"/>
      <c r="J392" s="2"/>
      <c r="K392" s="2"/>
      <c r="L392" s="2"/>
      <c r="M392" s="2"/>
      <c r="N392" s="2"/>
      <c r="O392" s="2"/>
      <c r="P392" s="2"/>
      <c r="Q392" s="23"/>
      <c r="R392" s="23"/>
      <c r="S392" s="23"/>
      <c r="T392" s="23"/>
      <c r="U392" s="23"/>
      <c r="V392" s="23"/>
      <c r="W392" s="23"/>
      <c r="X392" s="23"/>
      <c r="Y392" s="23"/>
      <c r="Z392" s="23"/>
    </row>
    <row r="393">
      <c r="A393" s="2"/>
      <c r="B393" s="2"/>
      <c r="C393" s="2"/>
      <c r="D393" s="2"/>
      <c r="E393" s="2"/>
      <c r="F393" s="2"/>
      <c r="G393" s="2"/>
      <c r="H393" s="2"/>
      <c r="I393" s="2"/>
      <c r="J393" s="2"/>
      <c r="K393" s="2"/>
      <c r="L393" s="2"/>
      <c r="M393" s="2"/>
      <c r="N393" s="2"/>
      <c r="O393" s="2"/>
      <c r="P393" s="2"/>
      <c r="Q393" s="23"/>
      <c r="R393" s="23"/>
      <c r="S393" s="23"/>
      <c r="T393" s="23"/>
      <c r="U393" s="23"/>
      <c r="V393" s="23"/>
      <c r="W393" s="23"/>
      <c r="X393" s="23"/>
      <c r="Y393" s="23"/>
      <c r="Z393" s="23"/>
    </row>
    <row r="394">
      <c r="A394" s="2"/>
      <c r="B394" s="2"/>
      <c r="C394" s="2"/>
      <c r="D394" s="2"/>
      <c r="E394" s="2"/>
      <c r="F394" s="2"/>
      <c r="G394" s="2"/>
      <c r="H394" s="2"/>
      <c r="I394" s="2"/>
      <c r="J394" s="2"/>
      <c r="K394" s="2"/>
      <c r="L394" s="2"/>
      <c r="M394" s="2"/>
      <c r="N394" s="2"/>
      <c r="O394" s="2"/>
      <c r="P394" s="2"/>
      <c r="Q394" s="23"/>
      <c r="R394" s="23"/>
      <c r="S394" s="23"/>
      <c r="T394" s="23"/>
      <c r="U394" s="23"/>
      <c r="V394" s="23"/>
      <c r="W394" s="23"/>
      <c r="X394" s="23"/>
      <c r="Y394" s="23"/>
      <c r="Z394" s="23"/>
    </row>
    <row r="395">
      <c r="A395" s="2"/>
      <c r="B395" s="2"/>
      <c r="C395" s="2"/>
      <c r="D395" s="2"/>
      <c r="E395" s="2"/>
      <c r="F395" s="2"/>
      <c r="G395" s="2"/>
      <c r="H395" s="2"/>
      <c r="I395" s="2"/>
      <c r="J395" s="2"/>
      <c r="K395" s="2"/>
      <c r="L395" s="2"/>
      <c r="M395" s="2"/>
      <c r="N395" s="2"/>
      <c r="O395" s="2"/>
      <c r="P395" s="2"/>
      <c r="Q395" s="23"/>
      <c r="R395" s="23"/>
      <c r="S395" s="23"/>
      <c r="T395" s="23"/>
      <c r="U395" s="23"/>
      <c r="V395" s="23"/>
      <c r="W395" s="23"/>
      <c r="X395" s="23"/>
      <c r="Y395" s="23"/>
      <c r="Z395" s="23"/>
    </row>
    <row r="396">
      <c r="A396" s="2"/>
      <c r="B396" s="2"/>
      <c r="C396" s="2"/>
      <c r="D396" s="2"/>
      <c r="E396" s="2"/>
      <c r="F396" s="2"/>
      <c r="G396" s="2"/>
      <c r="H396" s="2"/>
      <c r="I396" s="2"/>
      <c r="J396" s="2"/>
      <c r="K396" s="2"/>
      <c r="L396" s="2"/>
      <c r="M396" s="2"/>
      <c r="N396" s="2"/>
      <c r="O396" s="2"/>
      <c r="P396" s="2"/>
      <c r="Q396" s="23"/>
      <c r="R396" s="23"/>
      <c r="S396" s="23"/>
      <c r="T396" s="23"/>
      <c r="U396" s="23"/>
      <c r="V396" s="23"/>
      <c r="W396" s="23"/>
      <c r="X396" s="23"/>
      <c r="Y396" s="23"/>
      <c r="Z396" s="23"/>
    </row>
    <row r="397">
      <c r="A397" s="2"/>
      <c r="B397" s="2"/>
      <c r="C397" s="2"/>
      <c r="D397" s="2"/>
      <c r="E397" s="2"/>
      <c r="F397" s="2"/>
      <c r="G397" s="2"/>
      <c r="H397" s="2"/>
      <c r="I397" s="2"/>
      <c r="J397" s="2"/>
      <c r="K397" s="2"/>
      <c r="L397" s="2"/>
      <c r="M397" s="2"/>
      <c r="N397" s="2"/>
      <c r="O397" s="2"/>
      <c r="P397" s="2"/>
      <c r="Q397" s="23"/>
      <c r="R397" s="23"/>
      <c r="S397" s="23"/>
      <c r="T397" s="23"/>
      <c r="U397" s="23"/>
      <c r="V397" s="23"/>
      <c r="W397" s="23"/>
      <c r="X397" s="23"/>
      <c r="Y397" s="23"/>
      <c r="Z397" s="23"/>
    </row>
    <row r="398">
      <c r="A398" s="2"/>
      <c r="B398" s="2"/>
      <c r="C398" s="2"/>
      <c r="D398" s="2"/>
      <c r="E398" s="2"/>
      <c r="F398" s="2"/>
      <c r="G398" s="2"/>
      <c r="H398" s="2"/>
      <c r="I398" s="2"/>
      <c r="J398" s="2"/>
      <c r="K398" s="2"/>
      <c r="L398" s="2"/>
      <c r="M398" s="2"/>
      <c r="N398" s="2"/>
      <c r="O398" s="2"/>
      <c r="P398" s="2"/>
      <c r="Q398" s="23"/>
      <c r="R398" s="23"/>
      <c r="S398" s="23"/>
      <c r="T398" s="23"/>
      <c r="U398" s="23"/>
      <c r="V398" s="23"/>
      <c r="W398" s="23"/>
      <c r="X398" s="23"/>
      <c r="Y398" s="23"/>
      <c r="Z398" s="23"/>
    </row>
    <row r="399">
      <c r="A399" s="2"/>
      <c r="B399" s="2"/>
      <c r="C399" s="2"/>
      <c r="D399" s="2"/>
      <c r="E399" s="2"/>
      <c r="F399" s="2"/>
      <c r="G399" s="2"/>
      <c r="H399" s="2"/>
      <c r="I399" s="2"/>
      <c r="J399" s="2"/>
      <c r="K399" s="2"/>
      <c r="L399" s="2"/>
      <c r="M399" s="2"/>
      <c r="N399" s="2"/>
      <c r="O399" s="2"/>
      <c r="P399" s="2"/>
      <c r="Q399" s="23"/>
      <c r="R399" s="23"/>
      <c r="S399" s="23"/>
      <c r="T399" s="23"/>
      <c r="U399" s="23"/>
      <c r="V399" s="23"/>
      <c r="W399" s="23"/>
      <c r="X399" s="23"/>
      <c r="Y399" s="23"/>
      <c r="Z399" s="23"/>
    </row>
    <row r="400">
      <c r="A400" s="2"/>
      <c r="B400" s="2"/>
      <c r="C400" s="2"/>
      <c r="D400" s="2"/>
      <c r="E400" s="2"/>
      <c r="F400" s="2"/>
      <c r="G400" s="2"/>
      <c r="H400" s="2"/>
      <c r="I400" s="2"/>
      <c r="J400" s="2"/>
      <c r="K400" s="2"/>
      <c r="L400" s="2"/>
      <c r="M400" s="2"/>
      <c r="N400" s="2"/>
      <c r="O400" s="2"/>
      <c r="P400" s="2"/>
      <c r="Q400" s="23"/>
      <c r="R400" s="23"/>
      <c r="S400" s="23"/>
      <c r="T400" s="23"/>
      <c r="U400" s="23"/>
      <c r="V400" s="23"/>
      <c r="W400" s="23"/>
      <c r="X400" s="23"/>
      <c r="Y400" s="23"/>
      <c r="Z400" s="23"/>
    </row>
    <row r="401">
      <c r="A401" s="2"/>
      <c r="B401" s="2"/>
      <c r="C401" s="2"/>
      <c r="D401" s="2"/>
      <c r="E401" s="2"/>
      <c r="F401" s="2"/>
      <c r="G401" s="2"/>
      <c r="H401" s="2"/>
      <c r="I401" s="2"/>
      <c r="J401" s="2"/>
      <c r="K401" s="2"/>
      <c r="L401" s="2"/>
      <c r="M401" s="2"/>
      <c r="N401" s="2"/>
      <c r="O401" s="2"/>
      <c r="P401" s="2"/>
      <c r="Q401" s="23"/>
      <c r="R401" s="23"/>
      <c r="S401" s="23"/>
      <c r="T401" s="23"/>
      <c r="U401" s="23"/>
      <c r="V401" s="23"/>
      <c r="W401" s="23"/>
      <c r="X401" s="23"/>
      <c r="Y401" s="23"/>
      <c r="Z401" s="23"/>
    </row>
    <row r="402">
      <c r="A402" s="2"/>
      <c r="B402" s="2"/>
      <c r="C402" s="2"/>
      <c r="D402" s="2"/>
      <c r="E402" s="2"/>
      <c r="F402" s="2"/>
      <c r="G402" s="2"/>
      <c r="H402" s="2"/>
      <c r="I402" s="2"/>
      <c r="J402" s="2"/>
      <c r="K402" s="2"/>
      <c r="L402" s="2"/>
      <c r="M402" s="2"/>
      <c r="N402" s="2"/>
      <c r="O402" s="2"/>
      <c r="P402" s="2"/>
      <c r="Q402" s="23"/>
      <c r="R402" s="23"/>
      <c r="S402" s="23"/>
      <c r="T402" s="23"/>
      <c r="U402" s="23"/>
      <c r="V402" s="23"/>
      <c r="W402" s="23"/>
      <c r="X402" s="23"/>
      <c r="Y402" s="23"/>
      <c r="Z402" s="23"/>
    </row>
    <row r="403">
      <c r="A403" s="2"/>
      <c r="B403" s="2"/>
      <c r="C403" s="2"/>
      <c r="D403" s="2"/>
      <c r="E403" s="2"/>
      <c r="F403" s="2"/>
      <c r="G403" s="2"/>
      <c r="H403" s="2"/>
      <c r="I403" s="2"/>
      <c r="J403" s="2"/>
      <c r="K403" s="2"/>
      <c r="L403" s="2"/>
      <c r="M403" s="2"/>
      <c r="N403" s="2"/>
      <c r="O403" s="2"/>
      <c r="P403" s="2"/>
      <c r="Q403" s="23"/>
      <c r="R403" s="23"/>
      <c r="S403" s="23"/>
      <c r="T403" s="23"/>
      <c r="U403" s="23"/>
      <c r="V403" s="23"/>
      <c r="W403" s="23"/>
      <c r="X403" s="23"/>
      <c r="Y403" s="23"/>
      <c r="Z403" s="23"/>
    </row>
    <row r="404">
      <c r="A404" s="2"/>
      <c r="B404" s="2"/>
      <c r="C404" s="2"/>
      <c r="D404" s="2"/>
      <c r="E404" s="2"/>
      <c r="F404" s="2"/>
      <c r="G404" s="2"/>
      <c r="H404" s="2"/>
      <c r="I404" s="2"/>
      <c r="J404" s="2"/>
      <c r="K404" s="2"/>
      <c r="L404" s="2"/>
      <c r="M404" s="2"/>
      <c r="N404" s="2"/>
      <c r="O404" s="2"/>
      <c r="P404" s="2"/>
      <c r="Q404" s="23"/>
      <c r="R404" s="23"/>
      <c r="S404" s="23"/>
      <c r="T404" s="23"/>
      <c r="U404" s="23"/>
      <c r="V404" s="23"/>
      <c r="W404" s="23"/>
      <c r="X404" s="23"/>
      <c r="Y404" s="23"/>
      <c r="Z404" s="23"/>
    </row>
    <row r="405">
      <c r="A405" s="2"/>
      <c r="B405" s="2"/>
      <c r="C405" s="2"/>
      <c r="D405" s="2"/>
      <c r="E405" s="2"/>
      <c r="F405" s="2"/>
      <c r="G405" s="2"/>
      <c r="H405" s="2"/>
      <c r="I405" s="2"/>
      <c r="J405" s="2"/>
      <c r="K405" s="2"/>
      <c r="L405" s="2"/>
      <c r="M405" s="2"/>
      <c r="N405" s="2"/>
      <c r="O405" s="2"/>
      <c r="P405" s="2"/>
      <c r="Q405" s="23"/>
      <c r="R405" s="23"/>
      <c r="S405" s="23"/>
      <c r="T405" s="23"/>
      <c r="U405" s="23"/>
      <c r="V405" s="23"/>
      <c r="W405" s="23"/>
      <c r="X405" s="23"/>
      <c r="Y405" s="23"/>
      <c r="Z405" s="23"/>
    </row>
    <row r="406">
      <c r="A406" s="2"/>
      <c r="B406" s="2"/>
      <c r="C406" s="2"/>
      <c r="D406" s="2"/>
      <c r="E406" s="2"/>
      <c r="F406" s="2"/>
      <c r="G406" s="2"/>
      <c r="H406" s="2"/>
      <c r="I406" s="2"/>
      <c r="J406" s="2"/>
      <c r="K406" s="2"/>
      <c r="L406" s="2"/>
      <c r="M406" s="2"/>
      <c r="N406" s="2"/>
      <c r="O406" s="2"/>
      <c r="P406" s="2"/>
      <c r="Q406" s="23"/>
      <c r="R406" s="23"/>
      <c r="S406" s="23"/>
      <c r="T406" s="23"/>
      <c r="U406" s="23"/>
      <c r="V406" s="23"/>
      <c r="W406" s="23"/>
      <c r="X406" s="23"/>
      <c r="Y406" s="23"/>
      <c r="Z406" s="23"/>
    </row>
    <row r="407">
      <c r="A407" s="2"/>
      <c r="B407" s="2"/>
      <c r="C407" s="2"/>
      <c r="D407" s="2"/>
      <c r="E407" s="2"/>
      <c r="F407" s="2"/>
      <c r="G407" s="2"/>
      <c r="H407" s="2"/>
      <c r="I407" s="2"/>
      <c r="J407" s="2"/>
      <c r="K407" s="2"/>
      <c r="L407" s="2"/>
      <c r="M407" s="2"/>
      <c r="N407" s="2"/>
      <c r="O407" s="2"/>
      <c r="P407" s="2"/>
      <c r="Q407" s="23"/>
      <c r="R407" s="23"/>
      <c r="S407" s="23"/>
      <c r="T407" s="23"/>
      <c r="U407" s="23"/>
      <c r="V407" s="23"/>
      <c r="W407" s="23"/>
      <c r="X407" s="23"/>
      <c r="Y407" s="23"/>
      <c r="Z407" s="23"/>
    </row>
    <row r="408">
      <c r="A408" s="2"/>
      <c r="B408" s="2"/>
      <c r="C408" s="2"/>
      <c r="D408" s="2"/>
      <c r="E408" s="2"/>
      <c r="F408" s="2"/>
      <c r="G408" s="2"/>
      <c r="H408" s="2"/>
      <c r="I408" s="2"/>
      <c r="J408" s="2"/>
      <c r="K408" s="2"/>
      <c r="L408" s="2"/>
      <c r="M408" s="2"/>
      <c r="N408" s="2"/>
      <c r="O408" s="2"/>
      <c r="P408" s="2"/>
      <c r="Q408" s="23"/>
      <c r="R408" s="23"/>
      <c r="S408" s="23"/>
      <c r="T408" s="23"/>
      <c r="U408" s="23"/>
      <c r="V408" s="23"/>
      <c r="W408" s="23"/>
      <c r="X408" s="23"/>
      <c r="Y408" s="23"/>
      <c r="Z408" s="23"/>
    </row>
    <row r="409">
      <c r="A409" s="2"/>
      <c r="B409" s="2"/>
      <c r="C409" s="2"/>
      <c r="D409" s="2"/>
      <c r="E409" s="2"/>
      <c r="F409" s="2"/>
      <c r="G409" s="2"/>
      <c r="H409" s="2"/>
      <c r="I409" s="2"/>
      <c r="J409" s="2"/>
      <c r="K409" s="2"/>
      <c r="L409" s="2"/>
      <c r="M409" s="2"/>
      <c r="N409" s="2"/>
      <c r="O409" s="2"/>
      <c r="P409" s="2"/>
      <c r="Q409" s="23"/>
      <c r="R409" s="23"/>
      <c r="S409" s="23"/>
      <c r="T409" s="23"/>
      <c r="U409" s="23"/>
      <c r="V409" s="23"/>
      <c r="W409" s="23"/>
      <c r="X409" s="23"/>
      <c r="Y409" s="23"/>
      <c r="Z409" s="23"/>
    </row>
    <row r="410">
      <c r="A410" s="2"/>
      <c r="B410" s="2"/>
      <c r="C410" s="2"/>
      <c r="D410" s="2"/>
      <c r="E410" s="2"/>
      <c r="F410" s="2"/>
      <c r="G410" s="2"/>
      <c r="H410" s="2"/>
      <c r="I410" s="2"/>
      <c r="J410" s="2"/>
      <c r="K410" s="2"/>
      <c r="L410" s="2"/>
      <c r="M410" s="2"/>
      <c r="N410" s="2"/>
      <c r="O410" s="2"/>
      <c r="P410" s="2"/>
      <c r="Q410" s="23"/>
      <c r="R410" s="23"/>
      <c r="S410" s="23"/>
      <c r="T410" s="23"/>
      <c r="U410" s="23"/>
      <c r="V410" s="23"/>
      <c r="W410" s="23"/>
      <c r="X410" s="23"/>
      <c r="Y410" s="23"/>
      <c r="Z410" s="23"/>
    </row>
    <row r="411">
      <c r="A411" s="2"/>
      <c r="B411" s="2"/>
      <c r="C411" s="2"/>
      <c r="D411" s="2"/>
      <c r="E411" s="2"/>
      <c r="F411" s="2"/>
      <c r="G411" s="2"/>
      <c r="H411" s="2"/>
      <c r="I411" s="2"/>
      <c r="J411" s="2"/>
      <c r="K411" s="2"/>
      <c r="L411" s="2"/>
      <c r="M411" s="2"/>
      <c r="N411" s="2"/>
      <c r="O411" s="2"/>
      <c r="P411" s="2"/>
      <c r="Q411" s="23"/>
      <c r="R411" s="23"/>
      <c r="S411" s="23"/>
      <c r="T411" s="23"/>
      <c r="U411" s="23"/>
      <c r="V411" s="23"/>
      <c r="W411" s="23"/>
      <c r="X411" s="23"/>
      <c r="Y411" s="23"/>
      <c r="Z411" s="23"/>
    </row>
    <row r="412">
      <c r="A412" s="2"/>
      <c r="B412" s="2"/>
      <c r="C412" s="2"/>
      <c r="D412" s="2"/>
      <c r="E412" s="2"/>
      <c r="F412" s="2"/>
      <c r="G412" s="2"/>
      <c r="H412" s="2"/>
      <c r="I412" s="2"/>
      <c r="J412" s="2"/>
      <c r="K412" s="2"/>
      <c r="L412" s="2"/>
      <c r="M412" s="2"/>
      <c r="N412" s="2"/>
      <c r="O412" s="2"/>
      <c r="P412" s="2"/>
      <c r="Q412" s="23"/>
      <c r="R412" s="23"/>
      <c r="S412" s="23"/>
      <c r="T412" s="23"/>
      <c r="U412" s="23"/>
      <c r="V412" s="23"/>
      <c r="W412" s="23"/>
      <c r="X412" s="23"/>
      <c r="Y412" s="23"/>
      <c r="Z412" s="23"/>
    </row>
    <row r="413">
      <c r="A413" s="2"/>
      <c r="B413" s="2"/>
      <c r="C413" s="2"/>
      <c r="D413" s="2"/>
      <c r="E413" s="2"/>
      <c r="F413" s="2"/>
      <c r="G413" s="2"/>
      <c r="H413" s="2"/>
      <c r="I413" s="2"/>
      <c r="J413" s="2"/>
      <c r="K413" s="2"/>
      <c r="L413" s="2"/>
      <c r="M413" s="2"/>
      <c r="N413" s="2"/>
      <c r="O413" s="2"/>
      <c r="P413" s="2"/>
      <c r="Q413" s="23"/>
      <c r="R413" s="23"/>
      <c r="S413" s="23"/>
      <c r="T413" s="23"/>
      <c r="U413" s="23"/>
      <c r="V413" s="23"/>
      <c r="W413" s="23"/>
      <c r="X413" s="23"/>
      <c r="Y413" s="23"/>
      <c r="Z413" s="23"/>
    </row>
    <row r="414">
      <c r="A414" s="2"/>
      <c r="B414" s="2"/>
      <c r="C414" s="2"/>
      <c r="D414" s="2"/>
      <c r="E414" s="2"/>
      <c r="F414" s="2"/>
      <c r="G414" s="2"/>
      <c r="H414" s="2"/>
      <c r="I414" s="2"/>
      <c r="J414" s="2"/>
      <c r="K414" s="2"/>
      <c r="L414" s="2"/>
      <c r="M414" s="2"/>
      <c r="N414" s="2"/>
      <c r="O414" s="2"/>
      <c r="P414" s="2"/>
      <c r="Q414" s="23"/>
      <c r="R414" s="23"/>
      <c r="S414" s="23"/>
      <c r="T414" s="23"/>
      <c r="U414" s="23"/>
      <c r="V414" s="23"/>
      <c r="W414" s="23"/>
      <c r="X414" s="23"/>
      <c r="Y414" s="23"/>
      <c r="Z414" s="23"/>
    </row>
    <row r="415">
      <c r="A415" s="2"/>
      <c r="B415" s="2"/>
      <c r="C415" s="2"/>
      <c r="D415" s="2"/>
      <c r="E415" s="2"/>
      <c r="F415" s="2"/>
      <c r="G415" s="2"/>
      <c r="H415" s="2"/>
      <c r="I415" s="2"/>
      <c r="J415" s="2"/>
      <c r="K415" s="2"/>
      <c r="L415" s="2"/>
      <c r="M415" s="2"/>
      <c r="N415" s="2"/>
      <c r="O415" s="2"/>
      <c r="P415" s="2"/>
      <c r="Q415" s="23"/>
      <c r="R415" s="23"/>
      <c r="S415" s="23"/>
      <c r="T415" s="23"/>
      <c r="U415" s="23"/>
      <c r="V415" s="23"/>
      <c r="W415" s="23"/>
      <c r="X415" s="23"/>
      <c r="Y415" s="23"/>
      <c r="Z415" s="23"/>
    </row>
    <row r="416">
      <c r="A416" s="2"/>
      <c r="B416" s="2"/>
      <c r="C416" s="2"/>
      <c r="D416" s="2"/>
      <c r="E416" s="2"/>
      <c r="F416" s="2"/>
      <c r="G416" s="2"/>
      <c r="H416" s="2"/>
      <c r="I416" s="2"/>
      <c r="J416" s="2"/>
      <c r="K416" s="2"/>
      <c r="L416" s="2"/>
      <c r="M416" s="2"/>
      <c r="N416" s="2"/>
      <c r="O416" s="2"/>
      <c r="P416" s="2"/>
      <c r="Q416" s="23"/>
      <c r="R416" s="23"/>
      <c r="S416" s="23"/>
      <c r="T416" s="23"/>
      <c r="U416" s="23"/>
      <c r="V416" s="23"/>
      <c r="W416" s="23"/>
      <c r="X416" s="23"/>
      <c r="Y416" s="23"/>
      <c r="Z416" s="23"/>
    </row>
    <row r="417">
      <c r="A417" s="2"/>
      <c r="B417" s="2"/>
      <c r="C417" s="2"/>
      <c r="D417" s="2"/>
      <c r="E417" s="2"/>
      <c r="F417" s="2"/>
      <c r="G417" s="2"/>
      <c r="H417" s="2"/>
      <c r="I417" s="2"/>
      <c r="J417" s="2"/>
      <c r="K417" s="2"/>
      <c r="L417" s="2"/>
      <c r="M417" s="2"/>
      <c r="N417" s="2"/>
      <c r="O417" s="2"/>
      <c r="P417" s="2"/>
      <c r="Q417" s="23"/>
      <c r="R417" s="23"/>
      <c r="S417" s="23"/>
      <c r="T417" s="23"/>
      <c r="U417" s="23"/>
      <c r="V417" s="23"/>
      <c r="W417" s="23"/>
      <c r="X417" s="23"/>
      <c r="Y417" s="23"/>
      <c r="Z417" s="23"/>
    </row>
    <row r="418">
      <c r="A418" s="2"/>
      <c r="B418" s="2"/>
      <c r="C418" s="2"/>
      <c r="D418" s="2"/>
      <c r="E418" s="2"/>
      <c r="F418" s="2"/>
      <c r="G418" s="2"/>
      <c r="H418" s="2"/>
      <c r="I418" s="2"/>
      <c r="J418" s="2"/>
      <c r="K418" s="2"/>
      <c r="L418" s="2"/>
      <c r="M418" s="2"/>
      <c r="N418" s="2"/>
      <c r="O418" s="2"/>
      <c r="P418" s="2"/>
      <c r="Q418" s="23"/>
      <c r="R418" s="23"/>
      <c r="S418" s="23"/>
      <c r="T418" s="23"/>
      <c r="U418" s="23"/>
      <c r="V418" s="23"/>
      <c r="W418" s="23"/>
      <c r="X418" s="23"/>
      <c r="Y418" s="23"/>
      <c r="Z418" s="23"/>
    </row>
    <row r="419">
      <c r="A419" s="2"/>
      <c r="B419" s="2"/>
      <c r="C419" s="2"/>
      <c r="D419" s="2"/>
      <c r="E419" s="2"/>
      <c r="F419" s="2"/>
      <c r="G419" s="2"/>
      <c r="H419" s="2"/>
      <c r="I419" s="2"/>
      <c r="J419" s="2"/>
      <c r="K419" s="2"/>
      <c r="L419" s="2"/>
      <c r="M419" s="2"/>
      <c r="N419" s="2"/>
      <c r="O419" s="2"/>
      <c r="P419" s="2"/>
      <c r="Q419" s="23"/>
      <c r="R419" s="23"/>
      <c r="S419" s="23"/>
      <c r="T419" s="23"/>
      <c r="U419" s="23"/>
      <c r="V419" s="23"/>
      <c r="W419" s="23"/>
      <c r="X419" s="23"/>
      <c r="Y419" s="23"/>
      <c r="Z419" s="23"/>
    </row>
    <row r="420">
      <c r="A420" s="2"/>
      <c r="B420" s="2"/>
      <c r="C420" s="2"/>
      <c r="D420" s="2"/>
      <c r="E420" s="2"/>
      <c r="F420" s="2"/>
      <c r="G420" s="2"/>
      <c r="H420" s="2"/>
      <c r="I420" s="2"/>
      <c r="J420" s="2"/>
      <c r="K420" s="2"/>
      <c r="L420" s="2"/>
      <c r="M420" s="2"/>
      <c r="N420" s="2"/>
      <c r="O420" s="2"/>
      <c r="P420" s="2"/>
      <c r="Q420" s="23"/>
      <c r="R420" s="23"/>
      <c r="S420" s="23"/>
      <c r="T420" s="23"/>
      <c r="U420" s="23"/>
      <c r="V420" s="23"/>
      <c r="W420" s="23"/>
      <c r="X420" s="23"/>
      <c r="Y420" s="23"/>
      <c r="Z420" s="23"/>
    </row>
    <row r="421">
      <c r="A421" s="2"/>
      <c r="B421" s="2"/>
      <c r="C421" s="2"/>
      <c r="D421" s="2"/>
      <c r="E421" s="2"/>
      <c r="F421" s="2"/>
      <c r="G421" s="2"/>
      <c r="H421" s="2"/>
      <c r="I421" s="2"/>
      <c r="J421" s="2"/>
      <c r="K421" s="2"/>
      <c r="L421" s="2"/>
      <c r="M421" s="2"/>
      <c r="N421" s="2"/>
      <c r="O421" s="2"/>
      <c r="P421" s="2"/>
      <c r="Q421" s="23"/>
      <c r="R421" s="23"/>
      <c r="S421" s="23"/>
      <c r="T421" s="23"/>
      <c r="U421" s="23"/>
      <c r="V421" s="23"/>
      <c r="W421" s="23"/>
      <c r="X421" s="23"/>
      <c r="Y421" s="23"/>
      <c r="Z421" s="23"/>
    </row>
    <row r="422">
      <c r="A422" s="2"/>
      <c r="B422" s="2"/>
      <c r="C422" s="2"/>
      <c r="D422" s="2"/>
      <c r="E422" s="2"/>
      <c r="F422" s="2"/>
      <c r="G422" s="2"/>
      <c r="H422" s="2"/>
      <c r="I422" s="2"/>
      <c r="J422" s="2"/>
      <c r="K422" s="2"/>
      <c r="L422" s="2"/>
      <c r="M422" s="2"/>
      <c r="N422" s="2"/>
      <c r="O422" s="2"/>
      <c r="P422" s="2"/>
      <c r="Q422" s="23"/>
      <c r="R422" s="23"/>
      <c r="S422" s="23"/>
      <c r="T422" s="23"/>
      <c r="U422" s="23"/>
      <c r="V422" s="23"/>
      <c r="W422" s="23"/>
      <c r="X422" s="23"/>
      <c r="Y422" s="23"/>
      <c r="Z422" s="23"/>
    </row>
    <row r="423">
      <c r="A423" s="2"/>
      <c r="B423" s="2"/>
      <c r="C423" s="2"/>
      <c r="D423" s="2"/>
      <c r="E423" s="2"/>
      <c r="F423" s="2"/>
      <c r="G423" s="2"/>
      <c r="H423" s="2"/>
      <c r="I423" s="2"/>
      <c r="J423" s="2"/>
      <c r="K423" s="2"/>
      <c r="L423" s="2"/>
      <c r="M423" s="2"/>
      <c r="N423" s="2"/>
      <c r="O423" s="2"/>
      <c r="P423" s="2"/>
      <c r="Q423" s="23"/>
      <c r="R423" s="23"/>
      <c r="S423" s="23"/>
      <c r="T423" s="23"/>
      <c r="U423" s="23"/>
      <c r="V423" s="23"/>
      <c r="W423" s="23"/>
      <c r="X423" s="23"/>
      <c r="Y423" s="23"/>
      <c r="Z423" s="23"/>
    </row>
    <row r="424">
      <c r="A424" s="2"/>
      <c r="B424" s="2"/>
      <c r="C424" s="2"/>
      <c r="D424" s="2"/>
      <c r="E424" s="2"/>
      <c r="F424" s="2"/>
      <c r="G424" s="2"/>
      <c r="H424" s="2"/>
      <c r="I424" s="2"/>
      <c r="J424" s="2"/>
      <c r="K424" s="2"/>
      <c r="L424" s="2"/>
      <c r="M424" s="2"/>
      <c r="N424" s="2"/>
      <c r="O424" s="2"/>
      <c r="P424" s="2"/>
      <c r="Q424" s="23"/>
      <c r="R424" s="23"/>
      <c r="S424" s="23"/>
      <c r="T424" s="23"/>
      <c r="U424" s="23"/>
      <c r="V424" s="23"/>
      <c r="W424" s="23"/>
      <c r="X424" s="23"/>
      <c r="Y424" s="23"/>
      <c r="Z424" s="23"/>
    </row>
    <row r="425">
      <c r="A425" s="2"/>
      <c r="B425" s="2"/>
      <c r="C425" s="2"/>
      <c r="D425" s="2"/>
      <c r="E425" s="2"/>
      <c r="F425" s="2"/>
      <c r="G425" s="2"/>
      <c r="H425" s="2"/>
      <c r="I425" s="2"/>
      <c r="J425" s="2"/>
      <c r="K425" s="2"/>
      <c r="L425" s="2"/>
      <c r="M425" s="2"/>
      <c r="N425" s="2"/>
      <c r="O425" s="2"/>
      <c r="P425" s="2"/>
      <c r="Q425" s="23"/>
      <c r="R425" s="23"/>
      <c r="S425" s="23"/>
      <c r="T425" s="23"/>
      <c r="U425" s="23"/>
      <c r="V425" s="23"/>
      <c r="W425" s="23"/>
      <c r="X425" s="23"/>
      <c r="Y425" s="23"/>
      <c r="Z425" s="23"/>
    </row>
    <row r="426">
      <c r="A426" s="2"/>
      <c r="B426" s="2"/>
      <c r="C426" s="2"/>
      <c r="D426" s="2"/>
      <c r="E426" s="2"/>
      <c r="F426" s="2"/>
      <c r="G426" s="2"/>
      <c r="H426" s="2"/>
      <c r="I426" s="2"/>
      <c r="J426" s="2"/>
      <c r="K426" s="2"/>
      <c r="L426" s="2"/>
      <c r="M426" s="2"/>
      <c r="N426" s="2"/>
      <c r="O426" s="2"/>
      <c r="P426" s="2"/>
      <c r="Q426" s="23"/>
      <c r="R426" s="23"/>
      <c r="S426" s="23"/>
      <c r="T426" s="23"/>
      <c r="U426" s="23"/>
      <c r="V426" s="23"/>
      <c r="W426" s="23"/>
      <c r="X426" s="23"/>
      <c r="Y426" s="23"/>
      <c r="Z426" s="23"/>
    </row>
    <row r="427">
      <c r="A427" s="2"/>
      <c r="B427" s="2"/>
      <c r="C427" s="2"/>
      <c r="D427" s="2"/>
      <c r="E427" s="2"/>
      <c r="F427" s="2"/>
      <c r="G427" s="2"/>
      <c r="H427" s="2"/>
      <c r="I427" s="2"/>
      <c r="J427" s="2"/>
      <c r="K427" s="2"/>
      <c r="L427" s="2"/>
      <c r="M427" s="2"/>
      <c r="N427" s="2"/>
      <c r="O427" s="2"/>
      <c r="P427" s="2"/>
      <c r="Q427" s="23"/>
      <c r="R427" s="23"/>
      <c r="S427" s="23"/>
      <c r="T427" s="23"/>
      <c r="U427" s="23"/>
      <c r="V427" s="23"/>
      <c r="W427" s="23"/>
      <c r="X427" s="23"/>
      <c r="Y427" s="23"/>
      <c r="Z427" s="23"/>
    </row>
    <row r="428">
      <c r="A428" s="2"/>
      <c r="B428" s="2"/>
      <c r="C428" s="2"/>
      <c r="D428" s="2"/>
      <c r="E428" s="2"/>
      <c r="F428" s="2"/>
      <c r="G428" s="2"/>
      <c r="H428" s="2"/>
      <c r="I428" s="2"/>
      <c r="J428" s="2"/>
      <c r="K428" s="2"/>
      <c r="L428" s="2"/>
      <c r="M428" s="2"/>
      <c r="N428" s="2"/>
      <c r="O428" s="2"/>
      <c r="P428" s="2"/>
      <c r="Q428" s="23"/>
      <c r="R428" s="23"/>
      <c r="S428" s="23"/>
      <c r="T428" s="23"/>
      <c r="U428" s="23"/>
      <c r="V428" s="23"/>
      <c r="W428" s="23"/>
      <c r="X428" s="23"/>
      <c r="Y428" s="23"/>
      <c r="Z428" s="23"/>
    </row>
    <row r="429">
      <c r="A429" s="2"/>
      <c r="B429" s="2"/>
      <c r="C429" s="2"/>
      <c r="D429" s="2"/>
      <c r="E429" s="2"/>
      <c r="F429" s="2"/>
      <c r="G429" s="2"/>
      <c r="H429" s="2"/>
      <c r="I429" s="2"/>
      <c r="J429" s="2"/>
      <c r="K429" s="2"/>
      <c r="L429" s="2"/>
      <c r="M429" s="2"/>
      <c r="N429" s="2"/>
      <c r="O429" s="2"/>
      <c r="P429" s="2"/>
      <c r="Q429" s="23"/>
      <c r="R429" s="23"/>
      <c r="S429" s="23"/>
      <c r="T429" s="23"/>
      <c r="U429" s="23"/>
      <c r="V429" s="23"/>
      <c r="W429" s="23"/>
      <c r="X429" s="23"/>
      <c r="Y429" s="23"/>
      <c r="Z429" s="23"/>
    </row>
    <row r="430">
      <c r="A430" s="2"/>
      <c r="B430" s="2"/>
      <c r="C430" s="2"/>
      <c r="D430" s="2"/>
      <c r="E430" s="2"/>
      <c r="F430" s="2"/>
      <c r="G430" s="2"/>
      <c r="H430" s="2"/>
      <c r="I430" s="2"/>
      <c r="J430" s="2"/>
      <c r="K430" s="2"/>
      <c r="L430" s="2"/>
      <c r="M430" s="2"/>
      <c r="N430" s="2"/>
      <c r="O430" s="2"/>
      <c r="P430" s="2"/>
      <c r="Q430" s="23"/>
      <c r="R430" s="23"/>
      <c r="S430" s="23"/>
      <c r="T430" s="23"/>
      <c r="U430" s="23"/>
      <c r="V430" s="23"/>
      <c r="W430" s="23"/>
      <c r="X430" s="23"/>
      <c r="Y430" s="23"/>
      <c r="Z430" s="23"/>
    </row>
    <row r="431">
      <c r="A431" s="2"/>
      <c r="B431" s="2"/>
      <c r="C431" s="2"/>
      <c r="D431" s="2"/>
      <c r="E431" s="2"/>
      <c r="F431" s="2"/>
      <c r="G431" s="2"/>
      <c r="H431" s="2"/>
      <c r="I431" s="2"/>
      <c r="J431" s="2"/>
      <c r="K431" s="2"/>
      <c r="L431" s="2"/>
      <c r="M431" s="2"/>
      <c r="N431" s="2"/>
      <c r="O431" s="2"/>
      <c r="P431" s="2"/>
      <c r="Q431" s="23"/>
      <c r="R431" s="23"/>
      <c r="S431" s="23"/>
      <c r="T431" s="23"/>
      <c r="U431" s="23"/>
      <c r="V431" s="23"/>
      <c r="W431" s="23"/>
      <c r="X431" s="23"/>
      <c r="Y431" s="23"/>
      <c r="Z431" s="23"/>
    </row>
    <row r="432">
      <c r="A432" s="2"/>
      <c r="B432" s="2"/>
      <c r="C432" s="2"/>
      <c r="D432" s="2"/>
      <c r="E432" s="2"/>
      <c r="F432" s="2"/>
      <c r="G432" s="2"/>
      <c r="H432" s="2"/>
      <c r="I432" s="2"/>
      <c r="J432" s="2"/>
      <c r="K432" s="2"/>
      <c r="L432" s="2"/>
      <c r="M432" s="2"/>
      <c r="N432" s="2"/>
      <c r="O432" s="2"/>
      <c r="P432" s="2"/>
      <c r="Q432" s="23"/>
      <c r="R432" s="23"/>
      <c r="S432" s="23"/>
      <c r="T432" s="23"/>
      <c r="U432" s="23"/>
      <c r="V432" s="23"/>
      <c r="W432" s="23"/>
      <c r="X432" s="23"/>
      <c r="Y432" s="23"/>
      <c r="Z432" s="23"/>
    </row>
    <row r="433">
      <c r="A433" s="2"/>
      <c r="B433" s="2"/>
      <c r="C433" s="2"/>
      <c r="D433" s="2"/>
      <c r="E433" s="2"/>
      <c r="F433" s="2"/>
      <c r="G433" s="2"/>
      <c r="H433" s="2"/>
      <c r="I433" s="2"/>
      <c r="J433" s="2"/>
      <c r="K433" s="2"/>
      <c r="L433" s="2"/>
      <c r="M433" s="2"/>
      <c r="N433" s="2"/>
      <c r="O433" s="2"/>
      <c r="P433" s="2"/>
      <c r="Q433" s="23"/>
      <c r="R433" s="23"/>
      <c r="S433" s="23"/>
      <c r="T433" s="23"/>
      <c r="U433" s="23"/>
      <c r="V433" s="23"/>
      <c r="W433" s="23"/>
      <c r="X433" s="23"/>
      <c r="Y433" s="23"/>
      <c r="Z433" s="23"/>
    </row>
    <row r="434">
      <c r="A434" s="2"/>
      <c r="B434" s="2"/>
      <c r="C434" s="2"/>
      <c r="D434" s="2"/>
      <c r="E434" s="2"/>
      <c r="F434" s="2"/>
      <c r="G434" s="2"/>
      <c r="H434" s="2"/>
      <c r="I434" s="2"/>
      <c r="J434" s="2"/>
      <c r="K434" s="2"/>
      <c r="L434" s="2"/>
      <c r="M434" s="2"/>
      <c r="N434" s="2"/>
      <c r="O434" s="2"/>
      <c r="P434" s="2"/>
      <c r="Q434" s="23"/>
      <c r="R434" s="23"/>
      <c r="S434" s="23"/>
      <c r="T434" s="23"/>
      <c r="U434" s="23"/>
      <c r="V434" s="23"/>
      <c r="W434" s="23"/>
      <c r="X434" s="23"/>
      <c r="Y434" s="23"/>
      <c r="Z434" s="23"/>
    </row>
    <row r="435">
      <c r="A435" s="2"/>
      <c r="B435" s="2"/>
      <c r="C435" s="2"/>
      <c r="D435" s="2"/>
      <c r="E435" s="2"/>
      <c r="F435" s="2"/>
      <c r="G435" s="2"/>
      <c r="H435" s="2"/>
      <c r="I435" s="2"/>
      <c r="J435" s="2"/>
      <c r="K435" s="2"/>
      <c r="L435" s="2"/>
      <c r="M435" s="2"/>
      <c r="N435" s="2"/>
      <c r="O435" s="2"/>
      <c r="P435" s="2"/>
      <c r="Q435" s="23"/>
      <c r="R435" s="23"/>
      <c r="S435" s="23"/>
      <c r="T435" s="23"/>
      <c r="U435" s="23"/>
      <c r="V435" s="23"/>
      <c r="W435" s="23"/>
      <c r="X435" s="23"/>
      <c r="Y435" s="23"/>
      <c r="Z435" s="23"/>
    </row>
    <row r="436">
      <c r="A436" s="2"/>
      <c r="B436" s="2"/>
      <c r="C436" s="2"/>
      <c r="D436" s="2"/>
      <c r="E436" s="2"/>
      <c r="F436" s="2"/>
      <c r="G436" s="2"/>
      <c r="H436" s="2"/>
      <c r="I436" s="2"/>
      <c r="J436" s="2"/>
      <c r="K436" s="2"/>
      <c r="L436" s="2"/>
      <c r="M436" s="2"/>
      <c r="N436" s="2"/>
      <c r="O436" s="2"/>
      <c r="P436" s="2"/>
      <c r="Q436" s="23"/>
      <c r="R436" s="23"/>
      <c r="S436" s="23"/>
      <c r="T436" s="23"/>
      <c r="U436" s="23"/>
      <c r="V436" s="23"/>
      <c r="W436" s="23"/>
      <c r="X436" s="23"/>
      <c r="Y436" s="23"/>
      <c r="Z436" s="23"/>
    </row>
    <row r="437">
      <c r="A437" s="2"/>
      <c r="B437" s="2"/>
      <c r="C437" s="2"/>
      <c r="D437" s="2"/>
      <c r="E437" s="2"/>
      <c r="F437" s="2"/>
      <c r="G437" s="2"/>
      <c r="H437" s="2"/>
      <c r="I437" s="2"/>
      <c r="J437" s="2"/>
      <c r="K437" s="2"/>
      <c r="L437" s="2"/>
      <c r="M437" s="2"/>
      <c r="N437" s="2"/>
      <c r="O437" s="2"/>
      <c r="P437" s="2"/>
      <c r="Q437" s="23"/>
      <c r="R437" s="23"/>
      <c r="S437" s="23"/>
      <c r="T437" s="23"/>
      <c r="U437" s="23"/>
      <c r="V437" s="23"/>
      <c r="W437" s="23"/>
      <c r="X437" s="23"/>
      <c r="Y437" s="23"/>
      <c r="Z437" s="23"/>
    </row>
    <row r="438">
      <c r="A438" s="2"/>
      <c r="B438" s="2"/>
      <c r="C438" s="2"/>
      <c r="D438" s="2"/>
      <c r="E438" s="2"/>
      <c r="F438" s="2"/>
      <c r="G438" s="2"/>
      <c r="H438" s="2"/>
      <c r="I438" s="2"/>
      <c r="J438" s="2"/>
      <c r="K438" s="2"/>
      <c r="L438" s="2"/>
      <c r="M438" s="2"/>
      <c r="N438" s="2"/>
      <c r="O438" s="2"/>
      <c r="P438" s="2"/>
      <c r="Q438" s="23"/>
      <c r="R438" s="23"/>
      <c r="S438" s="23"/>
      <c r="T438" s="23"/>
      <c r="U438" s="23"/>
      <c r="V438" s="23"/>
      <c r="W438" s="23"/>
      <c r="X438" s="23"/>
      <c r="Y438" s="23"/>
      <c r="Z438" s="23"/>
    </row>
    <row r="439">
      <c r="A439" s="2"/>
      <c r="B439" s="2"/>
      <c r="C439" s="2"/>
      <c r="D439" s="2"/>
      <c r="E439" s="2"/>
      <c r="F439" s="2"/>
      <c r="G439" s="2"/>
      <c r="H439" s="2"/>
      <c r="I439" s="2"/>
      <c r="J439" s="2"/>
      <c r="K439" s="2"/>
      <c r="L439" s="2"/>
      <c r="M439" s="2"/>
      <c r="N439" s="2"/>
      <c r="O439" s="2"/>
      <c r="P439" s="2"/>
      <c r="Q439" s="23"/>
      <c r="R439" s="23"/>
      <c r="S439" s="23"/>
      <c r="T439" s="23"/>
      <c r="U439" s="23"/>
      <c r="V439" s="23"/>
      <c r="W439" s="23"/>
      <c r="X439" s="23"/>
      <c r="Y439" s="23"/>
      <c r="Z439" s="23"/>
    </row>
    <row r="440">
      <c r="A440" s="2"/>
      <c r="B440" s="2"/>
      <c r="C440" s="2"/>
      <c r="D440" s="2"/>
      <c r="E440" s="2"/>
      <c r="F440" s="2"/>
      <c r="G440" s="2"/>
      <c r="H440" s="2"/>
      <c r="I440" s="2"/>
      <c r="J440" s="2"/>
      <c r="K440" s="2"/>
      <c r="L440" s="2"/>
      <c r="M440" s="2"/>
      <c r="N440" s="2"/>
      <c r="O440" s="2"/>
      <c r="P440" s="2"/>
      <c r="Q440" s="23"/>
      <c r="R440" s="23"/>
      <c r="S440" s="23"/>
      <c r="T440" s="23"/>
      <c r="U440" s="23"/>
      <c r="V440" s="23"/>
      <c r="W440" s="23"/>
      <c r="X440" s="23"/>
      <c r="Y440" s="23"/>
      <c r="Z440" s="23"/>
    </row>
    <row r="441">
      <c r="A441" s="2"/>
      <c r="B441" s="2"/>
      <c r="C441" s="2"/>
      <c r="D441" s="2"/>
      <c r="E441" s="2"/>
      <c r="F441" s="2"/>
      <c r="G441" s="2"/>
      <c r="H441" s="2"/>
      <c r="I441" s="2"/>
      <c r="J441" s="2"/>
      <c r="K441" s="2"/>
      <c r="L441" s="2"/>
      <c r="M441" s="2"/>
      <c r="N441" s="2"/>
      <c r="O441" s="2"/>
      <c r="P441" s="2"/>
      <c r="Q441" s="23"/>
      <c r="R441" s="23"/>
      <c r="S441" s="23"/>
      <c r="T441" s="23"/>
      <c r="U441" s="23"/>
      <c r="V441" s="23"/>
      <c r="W441" s="23"/>
      <c r="X441" s="23"/>
      <c r="Y441" s="23"/>
      <c r="Z441" s="23"/>
    </row>
    <row r="442">
      <c r="A442" s="2"/>
      <c r="B442" s="2"/>
      <c r="C442" s="2"/>
      <c r="D442" s="2"/>
      <c r="E442" s="2"/>
      <c r="F442" s="2"/>
      <c r="G442" s="2"/>
      <c r="H442" s="2"/>
      <c r="I442" s="2"/>
      <c r="J442" s="2"/>
      <c r="K442" s="2"/>
      <c r="L442" s="2"/>
      <c r="M442" s="2"/>
      <c r="N442" s="2"/>
      <c r="O442" s="2"/>
      <c r="P442" s="2"/>
      <c r="Q442" s="23"/>
      <c r="R442" s="23"/>
      <c r="S442" s="23"/>
      <c r="T442" s="23"/>
      <c r="U442" s="23"/>
      <c r="V442" s="23"/>
      <c r="W442" s="23"/>
      <c r="X442" s="23"/>
      <c r="Y442" s="23"/>
      <c r="Z442" s="23"/>
    </row>
    <row r="443">
      <c r="A443" s="2"/>
      <c r="B443" s="2"/>
      <c r="C443" s="2"/>
      <c r="D443" s="2"/>
      <c r="E443" s="2"/>
      <c r="F443" s="2"/>
      <c r="G443" s="2"/>
      <c r="H443" s="2"/>
      <c r="I443" s="2"/>
      <c r="J443" s="2"/>
      <c r="K443" s="2"/>
      <c r="L443" s="2"/>
      <c r="M443" s="2"/>
      <c r="N443" s="2"/>
      <c r="O443" s="2"/>
      <c r="P443" s="2"/>
      <c r="Q443" s="23"/>
      <c r="R443" s="23"/>
      <c r="S443" s="23"/>
      <c r="T443" s="23"/>
      <c r="U443" s="23"/>
      <c r="V443" s="23"/>
      <c r="W443" s="23"/>
      <c r="X443" s="23"/>
      <c r="Y443" s="23"/>
      <c r="Z443" s="23"/>
    </row>
    <row r="444">
      <c r="A444" s="2"/>
      <c r="B444" s="2"/>
      <c r="C444" s="2"/>
      <c r="D444" s="2"/>
      <c r="E444" s="2"/>
      <c r="F444" s="2"/>
      <c r="G444" s="2"/>
      <c r="H444" s="2"/>
      <c r="I444" s="2"/>
      <c r="J444" s="2"/>
      <c r="K444" s="2"/>
      <c r="L444" s="2"/>
      <c r="M444" s="2"/>
      <c r="N444" s="2"/>
      <c r="O444" s="2"/>
      <c r="P444" s="2"/>
      <c r="Q444" s="23"/>
      <c r="R444" s="23"/>
      <c r="S444" s="23"/>
      <c r="T444" s="23"/>
      <c r="U444" s="23"/>
      <c r="V444" s="23"/>
      <c r="W444" s="23"/>
      <c r="X444" s="23"/>
      <c r="Y444" s="23"/>
      <c r="Z444" s="23"/>
    </row>
    <row r="445">
      <c r="A445" s="2"/>
      <c r="B445" s="2"/>
      <c r="C445" s="2"/>
      <c r="D445" s="2"/>
      <c r="E445" s="2"/>
      <c r="F445" s="2"/>
      <c r="G445" s="2"/>
      <c r="H445" s="2"/>
      <c r="I445" s="2"/>
      <c r="J445" s="2"/>
      <c r="K445" s="2"/>
      <c r="L445" s="2"/>
      <c r="M445" s="2"/>
      <c r="N445" s="2"/>
      <c r="O445" s="2"/>
      <c r="P445" s="2"/>
      <c r="Q445" s="23"/>
      <c r="R445" s="23"/>
      <c r="S445" s="23"/>
      <c r="T445" s="23"/>
      <c r="U445" s="23"/>
      <c r="V445" s="23"/>
      <c r="W445" s="23"/>
      <c r="X445" s="23"/>
      <c r="Y445" s="23"/>
      <c r="Z445" s="23"/>
    </row>
    <row r="446">
      <c r="A446" s="2"/>
      <c r="B446" s="2"/>
      <c r="C446" s="2"/>
      <c r="D446" s="2"/>
      <c r="E446" s="2"/>
      <c r="F446" s="2"/>
      <c r="G446" s="2"/>
      <c r="H446" s="2"/>
      <c r="I446" s="2"/>
      <c r="J446" s="2"/>
      <c r="K446" s="2"/>
      <c r="L446" s="2"/>
      <c r="M446" s="2"/>
      <c r="N446" s="2"/>
      <c r="O446" s="2"/>
      <c r="P446" s="2"/>
      <c r="Q446" s="23"/>
      <c r="R446" s="23"/>
      <c r="S446" s="23"/>
      <c r="T446" s="23"/>
      <c r="U446" s="23"/>
      <c r="V446" s="23"/>
      <c r="W446" s="23"/>
      <c r="X446" s="23"/>
      <c r="Y446" s="23"/>
      <c r="Z446" s="23"/>
    </row>
    <row r="447">
      <c r="A447" s="2"/>
      <c r="B447" s="2"/>
      <c r="C447" s="2"/>
      <c r="D447" s="2"/>
      <c r="E447" s="2"/>
      <c r="F447" s="2"/>
      <c r="G447" s="2"/>
      <c r="H447" s="2"/>
      <c r="I447" s="2"/>
      <c r="J447" s="2"/>
      <c r="K447" s="2"/>
      <c r="L447" s="2"/>
      <c r="M447" s="2"/>
      <c r="N447" s="2"/>
      <c r="O447" s="2"/>
      <c r="P447" s="2"/>
      <c r="Q447" s="23"/>
      <c r="R447" s="23"/>
      <c r="S447" s="23"/>
      <c r="T447" s="23"/>
      <c r="U447" s="23"/>
      <c r="V447" s="23"/>
      <c r="W447" s="23"/>
      <c r="X447" s="23"/>
      <c r="Y447" s="23"/>
      <c r="Z447" s="23"/>
    </row>
    <row r="448">
      <c r="A448" s="2"/>
      <c r="B448" s="2"/>
      <c r="C448" s="2"/>
      <c r="D448" s="2"/>
      <c r="E448" s="2"/>
      <c r="F448" s="2"/>
      <c r="G448" s="2"/>
      <c r="H448" s="2"/>
      <c r="I448" s="2"/>
      <c r="J448" s="2"/>
      <c r="K448" s="2"/>
      <c r="L448" s="2"/>
      <c r="M448" s="2"/>
      <c r="N448" s="2"/>
      <c r="O448" s="2"/>
      <c r="P448" s="2"/>
      <c r="Q448" s="23"/>
      <c r="R448" s="23"/>
      <c r="S448" s="23"/>
      <c r="T448" s="23"/>
      <c r="U448" s="23"/>
      <c r="V448" s="23"/>
      <c r="W448" s="23"/>
      <c r="X448" s="23"/>
      <c r="Y448" s="23"/>
      <c r="Z448" s="23"/>
    </row>
    <row r="449">
      <c r="A449" s="2"/>
      <c r="B449" s="2"/>
      <c r="C449" s="2"/>
      <c r="D449" s="2"/>
      <c r="E449" s="2"/>
      <c r="F449" s="2"/>
      <c r="G449" s="2"/>
      <c r="H449" s="2"/>
      <c r="I449" s="2"/>
      <c r="J449" s="2"/>
      <c r="K449" s="2"/>
      <c r="L449" s="2"/>
      <c r="M449" s="2"/>
      <c r="N449" s="2"/>
      <c r="O449" s="2"/>
      <c r="P449" s="2"/>
      <c r="Q449" s="23"/>
      <c r="R449" s="23"/>
      <c r="S449" s="23"/>
      <c r="T449" s="23"/>
      <c r="U449" s="23"/>
      <c r="V449" s="23"/>
      <c r="W449" s="23"/>
      <c r="X449" s="23"/>
      <c r="Y449" s="23"/>
      <c r="Z449" s="23"/>
    </row>
    <row r="450">
      <c r="A450" s="2"/>
      <c r="B450" s="2"/>
      <c r="C450" s="2"/>
      <c r="D450" s="2"/>
      <c r="E450" s="2"/>
      <c r="F450" s="2"/>
      <c r="G450" s="2"/>
      <c r="H450" s="2"/>
      <c r="I450" s="2"/>
      <c r="J450" s="2"/>
      <c r="K450" s="2"/>
      <c r="L450" s="2"/>
      <c r="M450" s="2"/>
      <c r="N450" s="2"/>
      <c r="O450" s="2"/>
      <c r="P450" s="2"/>
      <c r="Q450" s="23"/>
      <c r="R450" s="23"/>
      <c r="S450" s="23"/>
      <c r="T450" s="23"/>
      <c r="U450" s="23"/>
      <c r="V450" s="23"/>
      <c r="W450" s="23"/>
      <c r="X450" s="23"/>
      <c r="Y450" s="23"/>
      <c r="Z450" s="23"/>
    </row>
    <row r="451">
      <c r="A451" s="2"/>
      <c r="B451" s="2"/>
      <c r="C451" s="2"/>
      <c r="D451" s="2"/>
      <c r="E451" s="2"/>
      <c r="F451" s="2"/>
      <c r="G451" s="2"/>
      <c r="H451" s="2"/>
      <c r="I451" s="2"/>
      <c r="J451" s="2"/>
      <c r="K451" s="2"/>
      <c r="L451" s="2"/>
      <c r="M451" s="2"/>
      <c r="N451" s="2"/>
      <c r="O451" s="2"/>
      <c r="P451" s="2"/>
      <c r="Q451" s="23"/>
      <c r="R451" s="23"/>
      <c r="S451" s="23"/>
      <c r="T451" s="23"/>
      <c r="U451" s="23"/>
      <c r="V451" s="23"/>
      <c r="W451" s="23"/>
      <c r="X451" s="23"/>
      <c r="Y451" s="23"/>
      <c r="Z451" s="23"/>
    </row>
    <row r="452">
      <c r="A452" s="2"/>
      <c r="B452" s="2"/>
      <c r="C452" s="2"/>
      <c r="D452" s="2"/>
      <c r="E452" s="2"/>
      <c r="F452" s="2"/>
      <c r="G452" s="2"/>
      <c r="H452" s="2"/>
      <c r="I452" s="2"/>
      <c r="J452" s="2"/>
      <c r="K452" s="2"/>
      <c r="L452" s="2"/>
      <c r="M452" s="2"/>
      <c r="N452" s="2"/>
      <c r="O452" s="2"/>
      <c r="P452" s="2"/>
      <c r="Q452" s="23"/>
      <c r="R452" s="23"/>
      <c r="S452" s="23"/>
      <c r="T452" s="23"/>
      <c r="U452" s="23"/>
      <c r="V452" s="23"/>
      <c r="W452" s="23"/>
      <c r="X452" s="23"/>
      <c r="Y452" s="23"/>
      <c r="Z452" s="23"/>
    </row>
    <row r="453">
      <c r="A453" s="2"/>
      <c r="B453" s="2"/>
      <c r="C453" s="2"/>
      <c r="D453" s="2"/>
      <c r="E453" s="2"/>
      <c r="F453" s="2"/>
      <c r="G453" s="2"/>
      <c r="H453" s="2"/>
      <c r="I453" s="2"/>
      <c r="J453" s="2"/>
      <c r="K453" s="2"/>
      <c r="L453" s="2"/>
      <c r="M453" s="2"/>
      <c r="N453" s="2"/>
      <c r="O453" s="2"/>
      <c r="P453" s="2"/>
      <c r="Q453" s="23"/>
      <c r="R453" s="23"/>
      <c r="S453" s="23"/>
      <c r="T453" s="23"/>
      <c r="U453" s="23"/>
      <c r="V453" s="23"/>
      <c r="W453" s="23"/>
      <c r="X453" s="23"/>
      <c r="Y453" s="23"/>
      <c r="Z453" s="23"/>
    </row>
    <row r="454">
      <c r="A454" s="2"/>
      <c r="B454" s="2"/>
      <c r="C454" s="2"/>
      <c r="D454" s="2"/>
      <c r="E454" s="2"/>
      <c r="F454" s="2"/>
      <c r="G454" s="2"/>
      <c r="H454" s="2"/>
      <c r="I454" s="2"/>
      <c r="J454" s="2"/>
      <c r="K454" s="2"/>
      <c r="L454" s="2"/>
      <c r="M454" s="2"/>
      <c r="N454" s="2"/>
      <c r="O454" s="2"/>
      <c r="P454" s="2"/>
      <c r="Q454" s="23"/>
      <c r="R454" s="23"/>
      <c r="S454" s="23"/>
      <c r="T454" s="23"/>
      <c r="U454" s="23"/>
      <c r="V454" s="23"/>
      <c r="W454" s="23"/>
      <c r="X454" s="23"/>
      <c r="Y454" s="23"/>
      <c r="Z454" s="23"/>
    </row>
    <row r="455">
      <c r="A455" s="2"/>
      <c r="B455" s="2"/>
      <c r="C455" s="2"/>
      <c r="D455" s="2"/>
      <c r="E455" s="2"/>
      <c r="F455" s="2"/>
      <c r="G455" s="2"/>
      <c r="H455" s="2"/>
      <c r="I455" s="2"/>
      <c r="J455" s="2"/>
      <c r="K455" s="2"/>
      <c r="L455" s="2"/>
      <c r="M455" s="2"/>
      <c r="N455" s="2"/>
      <c r="O455" s="2"/>
      <c r="P455" s="2"/>
      <c r="Q455" s="23"/>
      <c r="R455" s="23"/>
      <c r="S455" s="23"/>
      <c r="T455" s="23"/>
      <c r="U455" s="23"/>
      <c r="V455" s="23"/>
      <c r="W455" s="23"/>
      <c r="X455" s="23"/>
      <c r="Y455" s="23"/>
      <c r="Z455" s="23"/>
    </row>
    <row r="456">
      <c r="A456" s="2"/>
      <c r="B456" s="2"/>
      <c r="C456" s="2"/>
      <c r="D456" s="2"/>
      <c r="E456" s="2"/>
      <c r="F456" s="2"/>
      <c r="G456" s="2"/>
      <c r="H456" s="2"/>
      <c r="I456" s="2"/>
      <c r="J456" s="2"/>
      <c r="K456" s="2"/>
      <c r="L456" s="2"/>
      <c r="M456" s="2"/>
      <c r="N456" s="2"/>
      <c r="O456" s="2"/>
      <c r="P456" s="2"/>
      <c r="Q456" s="23"/>
      <c r="R456" s="23"/>
      <c r="S456" s="23"/>
      <c r="T456" s="23"/>
      <c r="U456" s="23"/>
      <c r="V456" s="23"/>
      <c r="W456" s="23"/>
      <c r="X456" s="23"/>
      <c r="Y456" s="23"/>
      <c r="Z456" s="23"/>
    </row>
    <row r="457">
      <c r="A457" s="2"/>
      <c r="B457" s="2"/>
      <c r="C457" s="2"/>
      <c r="D457" s="2"/>
      <c r="E457" s="2"/>
      <c r="F457" s="2"/>
      <c r="G457" s="2"/>
      <c r="H457" s="2"/>
      <c r="I457" s="2"/>
      <c r="J457" s="2"/>
      <c r="K457" s="2"/>
      <c r="L457" s="2"/>
      <c r="M457" s="2"/>
      <c r="N457" s="2"/>
      <c r="O457" s="2"/>
      <c r="P457" s="2"/>
      <c r="Q457" s="23"/>
      <c r="R457" s="23"/>
      <c r="S457" s="23"/>
      <c r="T457" s="23"/>
      <c r="U457" s="23"/>
      <c r="V457" s="23"/>
      <c r="W457" s="23"/>
      <c r="X457" s="23"/>
      <c r="Y457" s="23"/>
      <c r="Z457" s="23"/>
    </row>
    <row r="458">
      <c r="A458" s="2"/>
      <c r="B458" s="2"/>
      <c r="C458" s="2"/>
      <c r="D458" s="2"/>
      <c r="E458" s="2"/>
      <c r="F458" s="2"/>
      <c r="G458" s="2"/>
      <c r="H458" s="2"/>
      <c r="I458" s="2"/>
      <c r="J458" s="2"/>
      <c r="K458" s="2"/>
      <c r="L458" s="2"/>
      <c r="M458" s="2"/>
      <c r="N458" s="2"/>
      <c r="O458" s="2"/>
      <c r="P458" s="2"/>
      <c r="Q458" s="23"/>
      <c r="R458" s="23"/>
      <c r="S458" s="23"/>
      <c r="T458" s="23"/>
      <c r="U458" s="23"/>
      <c r="V458" s="23"/>
      <c r="W458" s="23"/>
      <c r="X458" s="23"/>
      <c r="Y458" s="23"/>
      <c r="Z458" s="23"/>
    </row>
    <row r="459">
      <c r="A459" s="2"/>
      <c r="B459" s="2"/>
      <c r="C459" s="2"/>
      <c r="D459" s="2"/>
      <c r="E459" s="2"/>
      <c r="F459" s="2"/>
      <c r="G459" s="2"/>
      <c r="H459" s="2"/>
      <c r="I459" s="2"/>
      <c r="J459" s="2"/>
      <c r="K459" s="2"/>
      <c r="L459" s="2"/>
      <c r="M459" s="2"/>
      <c r="N459" s="2"/>
      <c r="O459" s="2"/>
      <c r="P459" s="2"/>
      <c r="Q459" s="23"/>
      <c r="R459" s="23"/>
      <c r="S459" s="23"/>
      <c r="T459" s="23"/>
      <c r="U459" s="23"/>
      <c r="V459" s="23"/>
      <c r="W459" s="23"/>
      <c r="X459" s="23"/>
      <c r="Y459" s="23"/>
      <c r="Z459" s="23"/>
    </row>
    <row r="460">
      <c r="A460" s="2"/>
      <c r="B460" s="2"/>
      <c r="C460" s="2"/>
      <c r="D460" s="2"/>
      <c r="E460" s="2"/>
      <c r="F460" s="2"/>
      <c r="G460" s="2"/>
      <c r="H460" s="2"/>
      <c r="I460" s="2"/>
      <c r="J460" s="2"/>
      <c r="K460" s="2"/>
      <c r="L460" s="2"/>
      <c r="M460" s="2"/>
      <c r="N460" s="2"/>
      <c r="O460" s="2"/>
      <c r="P460" s="2"/>
      <c r="Q460" s="23"/>
      <c r="R460" s="23"/>
      <c r="S460" s="23"/>
      <c r="T460" s="23"/>
      <c r="U460" s="23"/>
      <c r="V460" s="23"/>
      <c r="W460" s="23"/>
      <c r="X460" s="23"/>
      <c r="Y460" s="23"/>
      <c r="Z460" s="23"/>
    </row>
    <row r="461">
      <c r="A461" s="2"/>
      <c r="B461" s="2"/>
      <c r="C461" s="2"/>
      <c r="D461" s="2"/>
      <c r="E461" s="2"/>
      <c r="F461" s="2"/>
      <c r="G461" s="2"/>
      <c r="H461" s="2"/>
      <c r="I461" s="2"/>
      <c r="J461" s="2"/>
      <c r="K461" s="2"/>
      <c r="L461" s="2"/>
      <c r="M461" s="2"/>
      <c r="N461" s="2"/>
      <c r="O461" s="2"/>
      <c r="P461" s="2"/>
      <c r="Q461" s="23"/>
      <c r="R461" s="23"/>
      <c r="S461" s="23"/>
      <c r="T461" s="23"/>
      <c r="U461" s="23"/>
      <c r="V461" s="23"/>
      <c r="W461" s="23"/>
      <c r="X461" s="23"/>
      <c r="Y461" s="23"/>
      <c r="Z461" s="23"/>
    </row>
    <row r="462">
      <c r="A462" s="2"/>
      <c r="B462" s="2"/>
      <c r="C462" s="2"/>
      <c r="D462" s="2"/>
      <c r="E462" s="2"/>
      <c r="F462" s="2"/>
      <c r="G462" s="2"/>
      <c r="H462" s="2"/>
      <c r="I462" s="2"/>
      <c r="J462" s="2"/>
      <c r="K462" s="2"/>
      <c r="L462" s="2"/>
      <c r="M462" s="2"/>
      <c r="N462" s="2"/>
      <c r="O462" s="2"/>
      <c r="P462" s="2"/>
      <c r="Q462" s="23"/>
      <c r="R462" s="23"/>
      <c r="S462" s="23"/>
      <c r="T462" s="23"/>
      <c r="U462" s="23"/>
      <c r="V462" s="23"/>
      <c r="W462" s="23"/>
      <c r="X462" s="23"/>
      <c r="Y462" s="23"/>
      <c r="Z462" s="23"/>
    </row>
    <row r="463">
      <c r="A463" s="2"/>
      <c r="B463" s="2"/>
      <c r="C463" s="2"/>
      <c r="D463" s="2"/>
      <c r="E463" s="2"/>
      <c r="F463" s="2"/>
      <c r="G463" s="2"/>
      <c r="H463" s="2"/>
      <c r="I463" s="2"/>
      <c r="J463" s="2"/>
      <c r="K463" s="2"/>
      <c r="L463" s="2"/>
      <c r="M463" s="2"/>
      <c r="N463" s="2"/>
      <c r="O463" s="2"/>
      <c r="P463" s="2"/>
      <c r="Q463" s="23"/>
      <c r="R463" s="23"/>
      <c r="S463" s="23"/>
      <c r="T463" s="23"/>
      <c r="U463" s="23"/>
      <c r="V463" s="23"/>
      <c r="W463" s="23"/>
      <c r="X463" s="23"/>
      <c r="Y463" s="23"/>
      <c r="Z463" s="23"/>
    </row>
    <row r="464">
      <c r="A464" s="2"/>
      <c r="B464" s="2"/>
      <c r="C464" s="2"/>
      <c r="D464" s="2"/>
      <c r="E464" s="2"/>
      <c r="F464" s="2"/>
      <c r="G464" s="2"/>
      <c r="H464" s="2"/>
      <c r="I464" s="2"/>
      <c r="J464" s="2"/>
      <c r="K464" s="2"/>
      <c r="L464" s="2"/>
      <c r="M464" s="2"/>
      <c r="N464" s="2"/>
      <c r="O464" s="2"/>
      <c r="P464" s="2"/>
      <c r="Q464" s="23"/>
      <c r="R464" s="23"/>
      <c r="S464" s="23"/>
      <c r="T464" s="23"/>
      <c r="U464" s="23"/>
      <c r="V464" s="23"/>
      <c r="W464" s="23"/>
      <c r="X464" s="23"/>
      <c r="Y464" s="23"/>
      <c r="Z464" s="23"/>
    </row>
    <row r="465">
      <c r="A465" s="2"/>
      <c r="B465" s="2"/>
      <c r="C465" s="2"/>
      <c r="D465" s="2"/>
      <c r="E465" s="2"/>
      <c r="F465" s="2"/>
      <c r="G465" s="2"/>
      <c r="H465" s="2"/>
      <c r="I465" s="2"/>
      <c r="J465" s="2"/>
      <c r="K465" s="2"/>
      <c r="L465" s="2"/>
      <c r="M465" s="2"/>
      <c r="N465" s="2"/>
      <c r="O465" s="2"/>
      <c r="P465" s="2"/>
      <c r="Q465" s="23"/>
      <c r="R465" s="23"/>
      <c r="S465" s="23"/>
      <c r="T465" s="23"/>
      <c r="U465" s="23"/>
      <c r="V465" s="23"/>
      <c r="W465" s="23"/>
      <c r="X465" s="23"/>
      <c r="Y465" s="23"/>
      <c r="Z465" s="23"/>
    </row>
    <row r="466">
      <c r="A466" s="2"/>
      <c r="B466" s="2"/>
      <c r="C466" s="2"/>
      <c r="D466" s="2"/>
      <c r="E466" s="2"/>
      <c r="F466" s="2"/>
      <c r="G466" s="2"/>
      <c r="H466" s="2"/>
      <c r="I466" s="2"/>
      <c r="J466" s="2"/>
      <c r="K466" s="2"/>
      <c r="L466" s="2"/>
      <c r="M466" s="2"/>
      <c r="N466" s="2"/>
      <c r="O466" s="2"/>
      <c r="P466" s="2"/>
      <c r="Q466" s="23"/>
      <c r="R466" s="23"/>
      <c r="S466" s="23"/>
      <c r="T466" s="23"/>
      <c r="U466" s="23"/>
      <c r="V466" s="23"/>
      <c r="W466" s="23"/>
      <c r="X466" s="23"/>
      <c r="Y466" s="23"/>
      <c r="Z466" s="23"/>
    </row>
    <row r="467">
      <c r="A467" s="2"/>
      <c r="B467" s="2"/>
      <c r="C467" s="2"/>
      <c r="D467" s="2"/>
      <c r="E467" s="2"/>
      <c r="F467" s="2"/>
      <c r="G467" s="2"/>
      <c r="H467" s="2"/>
      <c r="I467" s="2"/>
      <c r="J467" s="2"/>
      <c r="K467" s="2"/>
      <c r="L467" s="2"/>
      <c r="M467" s="2"/>
      <c r="N467" s="2"/>
      <c r="O467" s="2"/>
      <c r="P467" s="2"/>
      <c r="Q467" s="23"/>
      <c r="R467" s="23"/>
      <c r="S467" s="23"/>
      <c r="T467" s="23"/>
      <c r="U467" s="23"/>
      <c r="V467" s="23"/>
      <c r="W467" s="23"/>
      <c r="X467" s="23"/>
      <c r="Y467" s="23"/>
      <c r="Z467" s="23"/>
    </row>
    <row r="468">
      <c r="A468" s="2"/>
      <c r="B468" s="2"/>
      <c r="C468" s="2"/>
      <c r="D468" s="2"/>
      <c r="E468" s="2"/>
      <c r="F468" s="2"/>
      <c r="G468" s="2"/>
      <c r="H468" s="2"/>
      <c r="I468" s="2"/>
      <c r="J468" s="2"/>
      <c r="K468" s="2"/>
      <c r="L468" s="2"/>
      <c r="M468" s="2"/>
      <c r="N468" s="2"/>
      <c r="O468" s="2"/>
      <c r="P468" s="2"/>
      <c r="Q468" s="23"/>
      <c r="R468" s="23"/>
      <c r="S468" s="23"/>
      <c r="T468" s="23"/>
      <c r="U468" s="23"/>
      <c r="V468" s="23"/>
      <c r="W468" s="23"/>
      <c r="X468" s="23"/>
      <c r="Y468" s="23"/>
      <c r="Z468" s="23"/>
    </row>
    <row r="469">
      <c r="A469" s="2"/>
      <c r="B469" s="2"/>
      <c r="C469" s="2"/>
      <c r="D469" s="2"/>
      <c r="E469" s="2"/>
      <c r="F469" s="2"/>
      <c r="G469" s="2"/>
      <c r="H469" s="2"/>
      <c r="I469" s="2"/>
      <c r="J469" s="2"/>
      <c r="K469" s="2"/>
      <c r="L469" s="2"/>
      <c r="M469" s="2"/>
      <c r="N469" s="2"/>
      <c r="O469" s="2"/>
      <c r="P469" s="2"/>
      <c r="Q469" s="23"/>
      <c r="R469" s="23"/>
      <c r="S469" s="23"/>
      <c r="T469" s="23"/>
      <c r="U469" s="23"/>
      <c r="V469" s="23"/>
      <c r="W469" s="23"/>
      <c r="X469" s="23"/>
      <c r="Y469" s="23"/>
      <c r="Z469" s="23"/>
    </row>
    <row r="470">
      <c r="A470" s="2"/>
      <c r="B470" s="2"/>
      <c r="C470" s="2"/>
      <c r="D470" s="2"/>
      <c r="E470" s="2"/>
      <c r="F470" s="2"/>
      <c r="G470" s="2"/>
      <c r="H470" s="2"/>
      <c r="I470" s="2"/>
      <c r="J470" s="2"/>
      <c r="K470" s="2"/>
      <c r="L470" s="2"/>
      <c r="M470" s="2"/>
      <c r="N470" s="2"/>
      <c r="O470" s="2"/>
      <c r="P470" s="2"/>
      <c r="Q470" s="23"/>
      <c r="R470" s="23"/>
      <c r="S470" s="23"/>
      <c r="T470" s="23"/>
      <c r="U470" s="23"/>
      <c r="V470" s="23"/>
      <c r="W470" s="23"/>
      <c r="X470" s="23"/>
      <c r="Y470" s="23"/>
      <c r="Z470" s="23"/>
    </row>
    <row r="471">
      <c r="A471" s="2"/>
      <c r="B471" s="2"/>
      <c r="C471" s="2"/>
      <c r="D471" s="2"/>
      <c r="E471" s="2"/>
      <c r="F471" s="2"/>
      <c r="G471" s="2"/>
      <c r="H471" s="2"/>
      <c r="I471" s="2"/>
      <c r="J471" s="2"/>
      <c r="K471" s="2"/>
      <c r="L471" s="2"/>
      <c r="M471" s="2"/>
      <c r="N471" s="2"/>
      <c r="O471" s="2"/>
      <c r="P471" s="2"/>
      <c r="Q471" s="23"/>
      <c r="R471" s="23"/>
      <c r="S471" s="23"/>
      <c r="T471" s="23"/>
      <c r="U471" s="23"/>
      <c r="V471" s="23"/>
      <c r="W471" s="23"/>
      <c r="X471" s="23"/>
      <c r="Y471" s="23"/>
      <c r="Z471" s="23"/>
    </row>
    <row r="472">
      <c r="A472" s="2"/>
      <c r="B472" s="2"/>
      <c r="C472" s="2"/>
      <c r="D472" s="2"/>
      <c r="E472" s="2"/>
      <c r="F472" s="2"/>
      <c r="G472" s="2"/>
      <c r="H472" s="2"/>
      <c r="I472" s="2"/>
      <c r="J472" s="2"/>
      <c r="K472" s="2"/>
      <c r="L472" s="2"/>
      <c r="M472" s="2"/>
      <c r="N472" s="2"/>
      <c r="O472" s="2"/>
      <c r="P472" s="2"/>
      <c r="Q472" s="23"/>
      <c r="R472" s="23"/>
      <c r="S472" s="23"/>
      <c r="T472" s="23"/>
      <c r="U472" s="23"/>
      <c r="V472" s="23"/>
      <c r="W472" s="23"/>
      <c r="X472" s="23"/>
      <c r="Y472" s="23"/>
      <c r="Z472" s="23"/>
    </row>
    <row r="473">
      <c r="A473" s="2"/>
      <c r="B473" s="2"/>
      <c r="C473" s="2"/>
      <c r="D473" s="2"/>
      <c r="E473" s="2"/>
      <c r="F473" s="2"/>
      <c r="G473" s="2"/>
      <c r="H473" s="2"/>
      <c r="I473" s="2"/>
      <c r="J473" s="2"/>
      <c r="K473" s="2"/>
      <c r="L473" s="2"/>
      <c r="M473" s="2"/>
      <c r="N473" s="2"/>
      <c r="O473" s="2"/>
      <c r="P473" s="2"/>
      <c r="Q473" s="23"/>
      <c r="R473" s="23"/>
      <c r="S473" s="23"/>
      <c r="T473" s="23"/>
      <c r="U473" s="23"/>
      <c r="V473" s="23"/>
      <c r="W473" s="23"/>
      <c r="X473" s="23"/>
      <c r="Y473" s="23"/>
      <c r="Z473" s="23"/>
    </row>
    <row r="474">
      <c r="A474" s="2"/>
      <c r="B474" s="2"/>
      <c r="C474" s="2"/>
      <c r="D474" s="2"/>
      <c r="E474" s="2"/>
      <c r="F474" s="2"/>
      <c r="G474" s="2"/>
      <c r="H474" s="2"/>
      <c r="I474" s="2"/>
      <c r="J474" s="2"/>
      <c r="K474" s="2"/>
      <c r="L474" s="2"/>
      <c r="M474" s="2"/>
      <c r="N474" s="2"/>
      <c r="O474" s="2"/>
      <c r="P474" s="2"/>
      <c r="Q474" s="23"/>
      <c r="R474" s="23"/>
      <c r="S474" s="23"/>
      <c r="T474" s="23"/>
      <c r="U474" s="23"/>
      <c r="V474" s="23"/>
      <c r="W474" s="23"/>
      <c r="X474" s="23"/>
      <c r="Y474" s="23"/>
      <c r="Z474" s="23"/>
    </row>
    <row r="475">
      <c r="A475" s="2"/>
      <c r="B475" s="2"/>
      <c r="C475" s="2"/>
      <c r="D475" s="2"/>
      <c r="E475" s="2"/>
      <c r="F475" s="2"/>
      <c r="G475" s="2"/>
      <c r="H475" s="2"/>
      <c r="I475" s="2"/>
      <c r="J475" s="2"/>
      <c r="K475" s="2"/>
      <c r="L475" s="2"/>
      <c r="M475" s="2"/>
      <c r="N475" s="2"/>
      <c r="O475" s="2"/>
      <c r="P475" s="2"/>
      <c r="Q475" s="23"/>
      <c r="R475" s="23"/>
      <c r="S475" s="23"/>
      <c r="T475" s="23"/>
      <c r="U475" s="23"/>
      <c r="V475" s="23"/>
      <c r="W475" s="23"/>
      <c r="X475" s="23"/>
      <c r="Y475" s="23"/>
      <c r="Z475" s="23"/>
    </row>
    <row r="476">
      <c r="A476" s="2"/>
      <c r="B476" s="2"/>
      <c r="C476" s="2"/>
      <c r="D476" s="2"/>
      <c r="E476" s="2"/>
      <c r="F476" s="2"/>
      <c r="G476" s="2"/>
      <c r="H476" s="2"/>
      <c r="I476" s="2"/>
      <c r="J476" s="2"/>
      <c r="K476" s="2"/>
      <c r="L476" s="2"/>
      <c r="M476" s="2"/>
      <c r="N476" s="2"/>
      <c r="O476" s="2"/>
      <c r="P476" s="2"/>
      <c r="Q476" s="23"/>
      <c r="R476" s="23"/>
      <c r="S476" s="23"/>
      <c r="T476" s="23"/>
      <c r="U476" s="23"/>
      <c r="V476" s="23"/>
      <c r="W476" s="23"/>
      <c r="X476" s="23"/>
      <c r="Y476" s="23"/>
      <c r="Z476" s="23"/>
    </row>
    <row r="477">
      <c r="A477" s="2"/>
      <c r="B477" s="2"/>
      <c r="C477" s="2"/>
      <c r="D477" s="2"/>
      <c r="E477" s="2"/>
      <c r="F477" s="2"/>
      <c r="G477" s="2"/>
      <c r="H477" s="2"/>
      <c r="I477" s="2"/>
      <c r="J477" s="2"/>
      <c r="K477" s="2"/>
      <c r="L477" s="2"/>
      <c r="M477" s="2"/>
      <c r="N477" s="2"/>
      <c r="O477" s="2"/>
      <c r="P477" s="2"/>
      <c r="Q477" s="23"/>
      <c r="R477" s="23"/>
      <c r="S477" s="23"/>
      <c r="T477" s="23"/>
      <c r="U477" s="23"/>
      <c r="V477" s="23"/>
      <c r="W477" s="23"/>
      <c r="X477" s="23"/>
      <c r="Y477" s="23"/>
      <c r="Z477" s="23"/>
    </row>
    <row r="478">
      <c r="A478" s="2"/>
      <c r="B478" s="2"/>
      <c r="C478" s="2"/>
      <c r="D478" s="2"/>
      <c r="E478" s="2"/>
      <c r="F478" s="2"/>
      <c r="G478" s="2"/>
      <c r="H478" s="2"/>
      <c r="I478" s="2"/>
      <c r="J478" s="2"/>
      <c r="K478" s="2"/>
      <c r="L478" s="2"/>
      <c r="M478" s="2"/>
      <c r="N478" s="2"/>
      <c r="O478" s="2"/>
      <c r="P478" s="2"/>
      <c r="Q478" s="23"/>
      <c r="R478" s="23"/>
      <c r="S478" s="23"/>
      <c r="T478" s="23"/>
      <c r="U478" s="23"/>
      <c r="V478" s="23"/>
      <c r="W478" s="23"/>
      <c r="X478" s="23"/>
      <c r="Y478" s="23"/>
      <c r="Z478" s="23"/>
    </row>
    <row r="479">
      <c r="A479" s="2"/>
      <c r="B479" s="2"/>
      <c r="C479" s="2"/>
      <c r="D479" s="2"/>
      <c r="E479" s="2"/>
      <c r="F479" s="2"/>
      <c r="G479" s="2"/>
      <c r="H479" s="2"/>
      <c r="I479" s="2"/>
      <c r="J479" s="2"/>
      <c r="K479" s="2"/>
      <c r="L479" s="2"/>
      <c r="M479" s="2"/>
      <c r="N479" s="2"/>
      <c r="O479" s="2"/>
      <c r="P479" s="2"/>
      <c r="Q479" s="23"/>
      <c r="R479" s="23"/>
      <c r="S479" s="23"/>
      <c r="T479" s="23"/>
      <c r="U479" s="23"/>
      <c r="V479" s="23"/>
      <c r="W479" s="23"/>
      <c r="X479" s="23"/>
      <c r="Y479" s="23"/>
      <c r="Z479" s="23"/>
    </row>
    <row r="480">
      <c r="A480" s="2"/>
      <c r="B480" s="2"/>
      <c r="C480" s="2"/>
      <c r="D480" s="2"/>
      <c r="E480" s="2"/>
      <c r="F480" s="2"/>
      <c r="G480" s="2"/>
      <c r="H480" s="2"/>
      <c r="I480" s="2"/>
      <c r="J480" s="2"/>
      <c r="K480" s="2"/>
      <c r="L480" s="2"/>
      <c r="M480" s="2"/>
      <c r="N480" s="2"/>
      <c r="O480" s="2"/>
      <c r="P480" s="2"/>
      <c r="Q480" s="23"/>
      <c r="R480" s="23"/>
      <c r="S480" s="23"/>
      <c r="T480" s="23"/>
      <c r="U480" s="23"/>
      <c r="V480" s="23"/>
      <c r="W480" s="23"/>
      <c r="X480" s="23"/>
      <c r="Y480" s="23"/>
      <c r="Z480" s="23"/>
    </row>
    <row r="481">
      <c r="A481" s="2"/>
      <c r="B481" s="2"/>
      <c r="C481" s="2"/>
      <c r="D481" s="2"/>
      <c r="E481" s="2"/>
      <c r="F481" s="2"/>
      <c r="G481" s="2"/>
      <c r="H481" s="2"/>
      <c r="I481" s="2"/>
      <c r="J481" s="2"/>
      <c r="K481" s="2"/>
      <c r="L481" s="2"/>
      <c r="M481" s="2"/>
      <c r="N481" s="2"/>
      <c r="O481" s="2"/>
      <c r="P481" s="2"/>
      <c r="Q481" s="23"/>
      <c r="R481" s="23"/>
      <c r="S481" s="23"/>
      <c r="T481" s="23"/>
      <c r="U481" s="23"/>
      <c r="V481" s="23"/>
      <c r="W481" s="23"/>
      <c r="X481" s="23"/>
      <c r="Y481" s="23"/>
      <c r="Z481" s="23"/>
    </row>
    <row r="482">
      <c r="A482" s="2"/>
      <c r="B482" s="2"/>
      <c r="C482" s="2"/>
      <c r="D482" s="2"/>
      <c r="E482" s="2"/>
      <c r="F482" s="2"/>
      <c r="G482" s="2"/>
      <c r="H482" s="2"/>
      <c r="I482" s="2"/>
      <c r="J482" s="2"/>
      <c r="K482" s="2"/>
      <c r="L482" s="2"/>
      <c r="M482" s="2"/>
      <c r="N482" s="2"/>
      <c r="O482" s="2"/>
      <c r="P482" s="2"/>
      <c r="Q482" s="23"/>
      <c r="R482" s="23"/>
      <c r="S482" s="23"/>
      <c r="T482" s="23"/>
      <c r="U482" s="23"/>
      <c r="V482" s="23"/>
      <c r="W482" s="23"/>
      <c r="X482" s="23"/>
      <c r="Y482" s="23"/>
      <c r="Z482" s="23"/>
    </row>
    <row r="483">
      <c r="A483" s="2"/>
      <c r="B483" s="2"/>
      <c r="C483" s="2"/>
      <c r="D483" s="2"/>
      <c r="E483" s="2"/>
      <c r="F483" s="2"/>
      <c r="G483" s="2"/>
      <c r="H483" s="2"/>
      <c r="I483" s="2"/>
      <c r="J483" s="2"/>
      <c r="K483" s="2"/>
      <c r="L483" s="2"/>
      <c r="M483" s="2"/>
      <c r="N483" s="2"/>
      <c r="O483" s="2"/>
      <c r="P483" s="2"/>
      <c r="Q483" s="23"/>
      <c r="R483" s="23"/>
      <c r="S483" s="23"/>
      <c r="T483" s="23"/>
      <c r="U483" s="23"/>
      <c r="V483" s="23"/>
      <c r="W483" s="23"/>
      <c r="X483" s="23"/>
      <c r="Y483" s="23"/>
      <c r="Z483" s="23"/>
    </row>
    <row r="484">
      <c r="A484" s="2"/>
      <c r="B484" s="2"/>
      <c r="C484" s="2"/>
      <c r="D484" s="2"/>
      <c r="E484" s="2"/>
      <c r="F484" s="2"/>
      <c r="G484" s="2"/>
      <c r="H484" s="2"/>
      <c r="I484" s="2"/>
      <c r="J484" s="2"/>
      <c r="K484" s="2"/>
      <c r="L484" s="2"/>
      <c r="M484" s="2"/>
      <c r="N484" s="2"/>
      <c r="O484" s="2"/>
      <c r="P484" s="2"/>
      <c r="Q484" s="23"/>
      <c r="R484" s="23"/>
      <c r="S484" s="23"/>
      <c r="T484" s="23"/>
      <c r="U484" s="23"/>
      <c r="V484" s="23"/>
      <c r="W484" s="23"/>
      <c r="X484" s="23"/>
      <c r="Y484" s="23"/>
      <c r="Z484" s="23"/>
    </row>
    <row r="485">
      <c r="A485" s="2"/>
      <c r="B485" s="2"/>
      <c r="C485" s="2"/>
      <c r="D485" s="2"/>
      <c r="E485" s="2"/>
      <c r="F485" s="2"/>
      <c r="G485" s="2"/>
      <c r="H485" s="2"/>
      <c r="I485" s="2"/>
      <c r="J485" s="2"/>
      <c r="K485" s="2"/>
      <c r="L485" s="2"/>
      <c r="M485" s="2"/>
      <c r="N485" s="2"/>
      <c r="O485" s="2"/>
      <c r="P485" s="2"/>
      <c r="Q485" s="23"/>
      <c r="R485" s="23"/>
      <c r="S485" s="23"/>
      <c r="T485" s="23"/>
      <c r="U485" s="23"/>
      <c r="V485" s="23"/>
      <c r="W485" s="23"/>
      <c r="X485" s="23"/>
      <c r="Y485" s="23"/>
      <c r="Z485" s="23"/>
    </row>
    <row r="486">
      <c r="A486" s="2"/>
      <c r="B486" s="2"/>
      <c r="C486" s="2"/>
      <c r="D486" s="2"/>
      <c r="E486" s="2"/>
      <c r="F486" s="2"/>
      <c r="G486" s="2"/>
      <c r="H486" s="2"/>
      <c r="I486" s="2"/>
      <c r="J486" s="2"/>
      <c r="K486" s="2"/>
      <c r="L486" s="2"/>
      <c r="M486" s="2"/>
      <c r="N486" s="2"/>
      <c r="O486" s="2"/>
      <c r="P486" s="2"/>
      <c r="Q486" s="23"/>
      <c r="R486" s="23"/>
      <c r="S486" s="23"/>
      <c r="T486" s="23"/>
      <c r="U486" s="23"/>
      <c r="V486" s="23"/>
      <c r="W486" s="23"/>
      <c r="X486" s="23"/>
      <c r="Y486" s="23"/>
      <c r="Z486" s="23"/>
    </row>
    <row r="487">
      <c r="A487" s="2"/>
      <c r="B487" s="2"/>
      <c r="C487" s="2"/>
      <c r="D487" s="2"/>
      <c r="E487" s="2"/>
      <c r="F487" s="2"/>
      <c r="G487" s="2"/>
      <c r="H487" s="2"/>
      <c r="I487" s="2"/>
      <c r="J487" s="2"/>
      <c r="K487" s="2"/>
      <c r="L487" s="2"/>
      <c r="M487" s="2"/>
      <c r="N487" s="2"/>
      <c r="O487" s="2"/>
      <c r="P487" s="2"/>
      <c r="Q487" s="23"/>
      <c r="R487" s="23"/>
      <c r="S487" s="23"/>
      <c r="T487" s="23"/>
      <c r="U487" s="23"/>
      <c r="V487" s="23"/>
      <c r="W487" s="23"/>
      <c r="X487" s="23"/>
      <c r="Y487" s="23"/>
      <c r="Z487" s="23"/>
    </row>
    <row r="488">
      <c r="A488" s="2"/>
      <c r="B488" s="2"/>
      <c r="C488" s="2"/>
      <c r="D488" s="2"/>
      <c r="E488" s="2"/>
      <c r="F488" s="2"/>
      <c r="G488" s="2"/>
      <c r="H488" s="2"/>
      <c r="I488" s="2"/>
      <c r="J488" s="2"/>
      <c r="K488" s="2"/>
      <c r="L488" s="2"/>
      <c r="M488" s="2"/>
      <c r="N488" s="2"/>
      <c r="O488" s="2"/>
      <c r="P488" s="2"/>
      <c r="Q488" s="23"/>
      <c r="R488" s="23"/>
      <c r="S488" s="23"/>
      <c r="T488" s="23"/>
      <c r="U488" s="23"/>
      <c r="V488" s="23"/>
      <c r="W488" s="23"/>
      <c r="X488" s="23"/>
      <c r="Y488" s="23"/>
      <c r="Z488" s="23"/>
    </row>
    <row r="489">
      <c r="A489" s="2"/>
      <c r="B489" s="2"/>
      <c r="C489" s="2"/>
      <c r="D489" s="2"/>
      <c r="E489" s="2"/>
      <c r="F489" s="2"/>
      <c r="G489" s="2"/>
      <c r="H489" s="2"/>
      <c r="I489" s="2"/>
      <c r="J489" s="2"/>
      <c r="K489" s="2"/>
      <c r="L489" s="2"/>
      <c r="M489" s="2"/>
      <c r="N489" s="2"/>
      <c r="O489" s="2"/>
      <c r="P489" s="2"/>
      <c r="Q489" s="23"/>
      <c r="R489" s="23"/>
      <c r="S489" s="23"/>
      <c r="T489" s="23"/>
      <c r="U489" s="23"/>
      <c r="V489" s="23"/>
      <c r="W489" s="23"/>
      <c r="X489" s="23"/>
      <c r="Y489" s="23"/>
      <c r="Z489" s="23"/>
    </row>
    <row r="490">
      <c r="A490" s="2"/>
      <c r="B490" s="2"/>
      <c r="C490" s="2"/>
      <c r="D490" s="2"/>
      <c r="E490" s="2"/>
      <c r="F490" s="2"/>
      <c r="G490" s="2"/>
      <c r="H490" s="2"/>
      <c r="I490" s="2"/>
      <c r="J490" s="2"/>
      <c r="K490" s="2"/>
      <c r="L490" s="2"/>
      <c r="M490" s="2"/>
      <c r="N490" s="2"/>
      <c r="O490" s="2"/>
      <c r="P490" s="2"/>
      <c r="Q490" s="23"/>
      <c r="R490" s="23"/>
      <c r="S490" s="23"/>
      <c r="T490" s="23"/>
      <c r="U490" s="23"/>
      <c r="V490" s="23"/>
      <c r="W490" s="23"/>
      <c r="X490" s="23"/>
      <c r="Y490" s="23"/>
      <c r="Z490" s="23"/>
    </row>
    <row r="491">
      <c r="A491" s="2"/>
      <c r="B491" s="2"/>
      <c r="C491" s="2"/>
      <c r="D491" s="2"/>
      <c r="E491" s="2"/>
      <c r="F491" s="2"/>
      <c r="G491" s="2"/>
      <c r="H491" s="2"/>
      <c r="I491" s="2"/>
      <c r="J491" s="2"/>
      <c r="K491" s="2"/>
      <c r="L491" s="2"/>
      <c r="M491" s="2"/>
      <c r="N491" s="2"/>
      <c r="O491" s="2"/>
      <c r="P491" s="2"/>
      <c r="Q491" s="23"/>
      <c r="R491" s="23"/>
      <c r="S491" s="23"/>
      <c r="T491" s="23"/>
      <c r="U491" s="23"/>
      <c r="V491" s="23"/>
      <c r="W491" s="23"/>
      <c r="X491" s="23"/>
      <c r="Y491" s="23"/>
      <c r="Z491" s="23"/>
    </row>
    <row r="492">
      <c r="A492" s="2"/>
      <c r="B492" s="2"/>
      <c r="C492" s="2"/>
      <c r="D492" s="2"/>
      <c r="E492" s="2"/>
      <c r="F492" s="2"/>
      <c r="G492" s="2"/>
      <c r="H492" s="2"/>
      <c r="I492" s="2"/>
      <c r="J492" s="2"/>
      <c r="K492" s="2"/>
      <c r="L492" s="2"/>
      <c r="M492" s="2"/>
      <c r="N492" s="2"/>
      <c r="O492" s="2"/>
      <c r="P492" s="2"/>
      <c r="Q492" s="23"/>
      <c r="R492" s="23"/>
      <c r="S492" s="23"/>
      <c r="T492" s="23"/>
      <c r="U492" s="23"/>
      <c r="V492" s="23"/>
      <c r="W492" s="23"/>
      <c r="X492" s="23"/>
      <c r="Y492" s="23"/>
      <c r="Z492" s="23"/>
    </row>
    <row r="493">
      <c r="A493" s="2"/>
      <c r="B493" s="2"/>
      <c r="C493" s="2"/>
      <c r="D493" s="2"/>
      <c r="E493" s="2"/>
      <c r="F493" s="2"/>
      <c r="G493" s="2"/>
      <c r="H493" s="2"/>
      <c r="I493" s="2"/>
      <c r="J493" s="2"/>
      <c r="K493" s="2"/>
      <c r="L493" s="2"/>
      <c r="M493" s="2"/>
      <c r="N493" s="2"/>
      <c r="O493" s="2"/>
      <c r="P493" s="2"/>
      <c r="Q493" s="23"/>
      <c r="R493" s="23"/>
      <c r="S493" s="23"/>
      <c r="T493" s="23"/>
      <c r="U493" s="23"/>
      <c r="V493" s="23"/>
      <c r="W493" s="23"/>
      <c r="X493" s="23"/>
      <c r="Y493" s="23"/>
      <c r="Z493" s="23"/>
    </row>
    <row r="494">
      <c r="A494" s="2"/>
      <c r="B494" s="2"/>
      <c r="C494" s="2"/>
      <c r="D494" s="2"/>
      <c r="E494" s="2"/>
      <c r="F494" s="2"/>
      <c r="G494" s="2"/>
      <c r="H494" s="2"/>
      <c r="I494" s="2"/>
      <c r="J494" s="2"/>
      <c r="K494" s="2"/>
      <c r="L494" s="2"/>
      <c r="M494" s="2"/>
      <c r="N494" s="2"/>
      <c r="O494" s="2"/>
      <c r="P494" s="2"/>
      <c r="Q494" s="23"/>
      <c r="R494" s="23"/>
      <c r="S494" s="23"/>
      <c r="T494" s="23"/>
      <c r="U494" s="23"/>
      <c r="V494" s="23"/>
      <c r="W494" s="23"/>
      <c r="X494" s="23"/>
      <c r="Y494" s="23"/>
      <c r="Z494" s="23"/>
    </row>
    <row r="495">
      <c r="A495" s="2"/>
      <c r="B495" s="2"/>
      <c r="C495" s="2"/>
      <c r="D495" s="2"/>
      <c r="E495" s="2"/>
      <c r="F495" s="2"/>
      <c r="G495" s="2"/>
      <c r="H495" s="2"/>
      <c r="I495" s="2"/>
      <c r="J495" s="2"/>
      <c r="K495" s="2"/>
      <c r="L495" s="2"/>
      <c r="M495" s="2"/>
      <c r="N495" s="2"/>
      <c r="O495" s="2"/>
      <c r="P495" s="2"/>
      <c r="Q495" s="23"/>
      <c r="R495" s="23"/>
      <c r="S495" s="23"/>
      <c r="T495" s="23"/>
      <c r="U495" s="23"/>
      <c r="V495" s="23"/>
      <c r="W495" s="23"/>
      <c r="X495" s="23"/>
      <c r="Y495" s="23"/>
      <c r="Z495" s="23"/>
    </row>
    <row r="496">
      <c r="A496" s="2"/>
      <c r="B496" s="2"/>
      <c r="C496" s="2"/>
      <c r="D496" s="2"/>
      <c r="E496" s="2"/>
      <c r="F496" s="2"/>
      <c r="G496" s="2"/>
      <c r="H496" s="2"/>
      <c r="I496" s="2"/>
      <c r="J496" s="2"/>
      <c r="K496" s="2"/>
      <c r="L496" s="2"/>
      <c r="M496" s="2"/>
      <c r="N496" s="2"/>
      <c r="O496" s="2"/>
      <c r="P496" s="2"/>
      <c r="Q496" s="23"/>
      <c r="R496" s="23"/>
      <c r="S496" s="23"/>
      <c r="T496" s="23"/>
      <c r="U496" s="23"/>
      <c r="V496" s="23"/>
      <c r="W496" s="23"/>
      <c r="X496" s="23"/>
      <c r="Y496" s="23"/>
      <c r="Z496" s="23"/>
    </row>
    <row r="497">
      <c r="A497" s="2"/>
      <c r="B497" s="2"/>
      <c r="C497" s="2"/>
      <c r="D497" s="2"/>
      <c r="E497" s="2"/>
      <c r="F497" s="2"/>
      <c r="G497" s="2"/>
      <c r="H497" s="2"/>
      <c r="I497" s="2"/>
      <c r="J497" s="2"/>
      <c r="K497" s="2"/>
      <c r="L497" s="2"/>
      <c r="M497" s="2"/>
      <c r="N497" s="2"/>
      <c r="O497" s="2"/>
      <c r="P497" s="2"/>
      <c r="Q497" s="23"/>
      <c r="R497" s="23"/>
      <c r="S497" s="23"/>
      <c r="T497" s="23"/>
      <c r="U497" s="23"/>
      <c r="V497" s="23"/>
      <c r="W497" s="23"/>
      <c r="X497" s="23"/>
      <c r="Y497" s="23"/>
      <c r="Z497" s="23"/>
    </row>
    <row r="498">
      <c r="A498" s="2"/>
      <c r="B498" s="2"/>
      <c r="C498" s="2"/>
      <c r="D498" s="2"/>
      <c r="E498" s="2"/>
      <c r="F498" s="2"/>
      <c r="G498" s="2"/>
      <c r="H498" s="2"/>
      <c r="I498" s="2"/>
      <c r="J498" s="2"/>
      <c r="K498" s="2"/>
      <c r="L498" s="2"/>
      <c r="M498" s="2"/>
      <c r="N498" s="2"/>
      <c r="O498" s="2"/>
      <c r="P498" s="2"/>
      <c r="Q498" s="23"/>
      <c r="R498" s="23"/>
      <c r="S498" s="23"/>
      <c r="T498" s="23"/>
      <c r="U498" s="23"/>
      <c r="V498" s="23"/>
      <c r="W498" s="23"/>
      <c r="X498" s="23"/>
      <c r="Y498" s="23"/>
      <c r="Z498" s="23"/>
    </row>
    <row r="499">
      <c r="A499" s="2"/>
      <c r="B499" s="2"/>
      <c r="C499" s="2"/>
      <c r="D499" s="2"/>
      <c r="E499" s="2"/>
      <c r="F499" s="2"/>
      <c r="G499" s="2"/>
      <c r="H499" s="2"/>
      <c r="I499" s="2"/>
      <c r="J499" s="2"/>
      <c r="K499" s="2"/>
      <c r="L499" s="2"/>
      <c r="M499" s="2"/>
      <c r="N499" s="2"/>
      <c r="O499" s="2"/>
      <c r="P499" s="2"/>
      <c r="Q499" s="23"/>
      <c r="R499" s="23"/>
      <c r="S499" s="23"/>
      <c r="T499" s="23"/>
      <c r="U499" s="23"/>
      <c r="V499" s="23"/>
      <c r="W499" s="23"/>
      <c r="X499" s="23"/>
      <c r="Y499" s="23"/>
      <c r="Z499" s="23"/>
    </row>
    <row r="500">
      <c r="A500" s="2"/>
      <c r="B500" s="2"/>
      <c r="C500" s="2"/>
      <c r="D500" s="2"/>
      <c r="E500" s="2"/>
      <c r="F500" s="2"/>
      <c r="G500" s="2"/>
      <c r="H500" s="2"/>
      <c r="I500" s="2"/>
      <c r="J500" s="2"/>
      <c r="K500" s="2"/>
      <c r="L500" s="2"/>
      <c r="M500" s="2"/>
      <c r="N500" s="2"/>
      <c r="O500" s="2"/>
      <c r="P500" s="2"/>
      <c r="Q500" s="23"/>
      <c r="R500" s="23"/>
      <c r="S500" s="23"/>
      <c r="T500" s="23"/>
      <c r="U500" s="23"/>
      <c r="V500" s="23"/>
      <c r="W500" s="23"/>
      <c r="X500" s="23"/>
      <c r="Y500" s="23"/>
      <c r="Z500" s="23"/>
    </row>
    <row r="501">
      <c r="A501" s="2"/>
      <c r="B501" s="2"/>
      <c r="C501" s="2"/>
      <c r="D501" s="2"/>
      <c r="E501" s="2"/>
      <c r="F501" s="2"/>
      <c r="G501" s="2"/>
      <c r="H501" s="2"/>
      <c r="I501" s="2"/>
      <c r="J501" s="2"/>
      <c r="K501" s="2"/>
      <c r="L501" s="2"/>
      <c r="M501" s="2"/>
      <c r="N501" s="2"/>
      <c r="O501" s="2"/>
      <c r="P501" s="2"/>
      <c r="Q501" s="23"/>
      <c r="R501" s="23"/>
      <c r="S501" s="23"/>
      <c r="T501" s="23"/>
      <c r="U501" s="23"/>
      <c r="V501" s="23"/>
      <c r="W501" s="23"/>
      <c r="X501" s="23"/>
      <c r="Y501" s="23"/>
      <c r="Z501" s="23"/>
    </row>
    <row r="502">
      <c r="A502" s="2"/>
      <c r="B502" s="2"/>
      <c r="C502" s="2"/>
      <c r="D502" s="2"/>
      <c r="E502" s="2"/>
      <c r="F502" s="2"/>
      <c r="G502" s="2"/>
      <c r="H502" s="2"/>
      <c r="I502" s="2"/>
      <c r="J502" s="2"/>
      <c r="K502" s="2"/>
      <c r="L502" s="2"/>
      <c r="M502" s="2"/>
      <c r="N502" s="2"/>
      <c r="O502" s="2"/>
      <c r="P502" s="2"/>
      <c r="Q502" s="23"/>
      <c r="R502" s="23"/>
      <c r="S502" s="23"/>
      <c r="T502" s="23"/>
      <c r="U502" s="23"/>
      <c r="V502" s="23"/>
      <c r="W502" s="23"/>
      <c r="X502" s="23"/>
      <c r="Y502" s="23"/>
      <c r="Z502" s="23"/>
    </row>
    <row r="503">
      <c r="A503" s="2"/>
      <c r="B503" s="2"/>
      <c r="C503" s="2"/>
      <c r="D503" s="2"/>
      <c r="E503" s="2"/>
      <c r="F503" s="2"/>
      <c r="G503" s="2"/>
      <c r="H503" s="2"/>
      <c r="I503" s="2"/>
      <c r="J503" s="2"/>
      <c r="K503" s="2"/>
      <c r="L503" s="2"/>
      <c r="M503" s="2"/>
      <c r="N503" s="2"/>
      <c r="O503" s="2"/>
      <c r="P503" s="2"/>
      <c r="Q503" s="23"/>
      <c r="R503" s="23"/>
      <c r="S503" s="23"/>
      <c r="T503" s="23"/>
      <c r="U503" s="23"/>
      <c r="V503" s="23"/>
      <c r="W503" s="23"/>
      <c r="X503" s="23"/>
      <c r="Y503" s="23"/>
      <c r="Z503" s="23"/>
    </row>
    <row r="504">
      <c r="A504" s="2"/>
      <c r="B504" s="2"/>
      <c r="C504" s="2"/>
      <c r="D504" s="2"/>
      <c r="E504" s="2"/>
      <c r="F504" s="2"/>
      <c r="G504" s="2"/>
      <c r="H504" s="2"/>
      <c r="I504" s="2"/>
      <c r="J504" s="2"/>
      <c r="K504" s="2"/>
      <c r="L504" s="2"/>
      <c r="M504" s="2"/>
      <c r="N504" s="2"/>
      <c r="O504" s="2"/>
      <c r="P504" s="2"/>
      <c r="Q504" s="23"/>
      <c r="R504" s="23"/>
      <c r="S504" s="23"/>
      <c r="T504" s="23"/>
      <c r="U504" s="23"/>
      <c r="V504" s="23"/>
      <c r="W504" s="23"/>
      <c r="X504" s="23"/>
      <c r="Y504" s="23"/>
      <c r="Z504" s="23"/>
    </row>
    <row r="505">
      <c r="A505" s="2"/>
      <c r="B505" s="2"/>
      <c r="C505" s="2"/>
      <c r="D505" s="2"/>
      <c r="E505" s="2"/>
      <c r="F505" s="2"/>
      <c r="G505" s="2"/>
      <c r="H505" s="2"/>
      <c r="I505" s="2"/>
      <c r="J505" s="2"/>
      <c r="K505" s="2"/>
      <c r="L505" s="2"/>
      <c r="M505" s="2"/>
      <c r="N505" s="2"/>
      <c r="O505" s="2"/>
      <c r="P505" s="2"/>
      <c r="Q505" s="23"/>
      <c r="R505" s="23"/>
      <c r="S505" s="23"/>
      <c r="T505" s="23"/>
      <c r="U505" s="23"/>
      <c r="V505" s="23"/>
      <c r="W505" s="23"/>
      <c r="X505" s="23"/>
      <c r="Y505" s="23"/>
      <c r="Z505" s="23"/>
    </row>
    <row r="506">
      <c r="A506" s="2"/>
      <c r="B506" s="2"/>
      <c r="C506" s="2"/>
      <c r="D506" s="2"/>
      <c r="E506" s="2"/>
      <c r="F506" s="2"/>
      <c r="G506" s="2"/>
      <c r="H506" s="2"/>
      <c r="I506" s="2"/>
      <c r="J506" s="2"/>
      <c r="K506" s="2"/>
      <c r="L506" s="2"/>
      <c r="M506" s="2"/>
      <c r="N506" s="2"/>
      <c r="O506" s="2"/>
      <c r="P506" s="2"/>
      <c r="Q506" s="23"/>
      <c r="R506" s="23"/>
      <c r="S506" s="23"/>
      <c r="T506" s="23"/>
      <c r="U506" s="23"/>
      <c r="V506" s="23"/>
      <c r="W506" s="23"/>
      <c r="X506" s="23"/>
      <c r="Y506" s="23"/>
      <c r="Z506" s="23"/>
    </row>
    <row r="507">
      <c r="A507" s="2"/>
      <c r="B507" s="2"/>
      <c r="C507" s="2"/>
      <c r="D507" s="2"/>
      <c r="E507" s="2"/>
      <c r="F507" s="2"/>
      <c r="G507" s="2"/>
      <c r="H507" s="2"/>
      <c r="I507" s="2"/>
      <c r="J507" s="2"/>
      <c r="K507" s="2"/>
      <c r="L507" s="2"/>
      <c r="M507" s="2"/>
      <c r="N507" s="2"/>
      <c r="O507" s="2"/>
      <c r="P507" s="2"/>
      <c r="Q507" s="23"/>
      <c r="R507" s="23"/>
      <c r="S507" s="23"/>
      <c r="T507" s="23"/>
      <c r="U507" s="23"/>
      <c r="V507" s="23"/>
      <c r="W507" s="23"/>
      <c r="X507" s="23"/>
      <c r="Y507" s="23"/>
      <c r="Z507" s="23"/>
    </row>
    <row r="508">
      <c r="A508" s="2"/>
      <c r="B508" s="2"/>
      <c r="C508" s="2"/>
      <c r="D508" s="2"/>
      <c r="E508" s="2"/>
      <c r="F508" s="2"/>
      <c r="G508" s="2"/>
      <c r="H508" s="2"/>
      <c r="I508" s="2"/>
      <c r="J508" s="2"/>
      <c r="K508" s="2"/>
      <c r="L508" s="2"/>
      <c r="M508" s="2"/>
      <c r="N508" s="2"/>
      <c r="O508" s="2"/>
      <c r="P508" s="2"/>
      <c r="Q508" s="23"/>
      <c r="R508" s="23"/>
      <c r="S508" s="23"/>
      <c r="T508" s="23"/>
      <c r="U508" s="23"/>
      <c r="V508" s="23"/>
      <c r="W508" s="23"/>
      <c r="X508" s="23"/>
      <c r="Y508" s="23"/>
      <c r="Z508" s="23"/>
    </row>
    <row r="509">
      <c r="A509" s="2"/>
      <c r="B509" s="2"/>
      <c r="C509" s="2"/>
      <c r="D509" s="2"/>
      <c r="E509" s="2"/>
      <c r="F509" s="2"/>
      <c r="G509" s="2"/>
      <c r="H509" s="2"/>
      <c r="I509" s="2"/>
      <c r="J509" s="2"/>
      <c r="K509" s="2"/>
      <c r="L509" s="2"/>
      <c r="M509" s="2"/>
      <c r="N509" s="2"/>
      <c r="O509" s="2"/>
      <c r="P509" s="2"/>
      <c r="Q509" s="23"/>
      <c r="R509" s="23"/>
      <c r="S509" s="23"/>
      <c r="T509" s="23"/>
      <c r="U509" s="23"/>
      <c r="V509" s="23"/>
      <c r="W509" s="23"/>
      <c r="X509" s="23"/>
      <c r="Y509" s="23"/>
      <c r="Z509" s="23"/>
    </row>
    <row r="510">
      <c r="A510" s="2"/>
      <c r="B510" s="2"/>
      <c r="C510" s="2"/>
      <c r="D510" s="2"/>
      <c r="E510" s="2"/>
      <c r="F510" s="2"/>
      <c r="G510" s="2"/>
      <c r="H510" s="2"/>
      <c r="I510" s="2"/>
      <c r="J510" s="2"/>
      <c r="K510" s="2"/>
      <c r="L510" s="2"/>
      <c r="M510" s="2"/>
      <c r="N510" s="2"/>
      <c r="O510" s="2"/>
      <c r="P510" s="2"/>
      <c r="Q510" s="23"/>
      <c r="R510" s="23"/>
      <c r="S510" s="23"/>
      <c r="T510" s="23"/>
      <c r="U510" s="23"/>
      <c r="V510" s="23"/>
      <c r="W510" s="23"/>
      <c r="X510" s="23"/>
      <c r="Y510" s="23"/>
      <c r="Z510" s="23"/>
    </row>
    <row r="511">
      <c r="A511" s="2"/>
      <c r="B511" s="2"/>
      <c r="C511" s="2"/>
      <c r="D511" s="2"/>
      <c r="E511" s="2"/>
      <c r="F511" s="2"/>
      <c r="G511" s="2"/>
      <c r="H511" s="2"/>
      <c r="I511" s="2"/>
      <c r="J511" s="2"/>
      <c r="K511" s="2"/>
      <c r="L511" s="2"/>
      <c r="M511" s="2"/>
      <c r="N511" s="2"/>
      <c r="O511" s="2"/>
      <c r="P511" s="2"/>
      <c r="Q511" s="23"/>
      <c r="R511" s="23"/>
      <c r="S511" s="23"/>
      <c r="T511" s="23"/>
      <c r="U511" s="23"/>
      <c r="V511" s="23"/>
      <c r="W511" s="23"/>
      <c r="X511" s="23"/>
      <c r="Y511" s="23"/>
      <c r="Z511" s="23"/>
    </row>
    <row r="512">
      <c r="A512" s="2"/>
      <c r="B512" s="2"/>
      <c r="C512" s="2"/>
      <c r="D512" s="2"/>
      <c r="E512" s="2"/>
      <c r="F512" s="2"/>
      <c r="G512" s="2"/>
      <c r="H512" s="2"/>
      <c r="I512" s="2"/>
      <c r="J512" s="2"/>
      <c r="K512" s="2"/>
      <c r="L512" s="2"/>
      <c r="M512" s="2"/>
      <c r="N512" s="2"/>
      <c r="O512" s="2"/>
      <c r="P512" s="2"/>
      <c r="Q512" s="23"/>
      <c r="R512" s="23"/>
      <c r="S512" s="23"/>
      <c r="T512" s="23"/>
      <c r="U512" s="23"/>
      <c r="V512" s="23"/>
      <c r="W512" s="23"/>
      <c r="X512" s="23"/>
      <c r="Y512" s="23"/>
      <c r="Z512" s="23"/>
    </row>
    <row r="513">
      <c r="A513" s="2"/>
      <c r="B513" s="2"/>
      <c r="C513" s="2"/>
      <c r="D513" s="2"/>
      <c r="E513" s="2"/>
      <c r="F513" s="2"/>
      <c r="G513" s="2"/>
      <c r="H513" s="2"/>
      <c r="I513" s="2"/>
      <c r="J513" s="2"/>
      <c r="K513" s="2"/>
      <c r="L513" s="2"/>
      <c r="M513" s="2"/>
      <c r="N513" s="2"/>
      <c r="O513" s="2"/>
      <c r="P513" s="2"/>
      <c r="Q513" s="23"/>
      <c r="R513" s="23"/>
      <c r="S513" s="23"/>
      <c r="T513" s="23"/>
      <c r="U513" s="23"/>
      <c r="V513" s="23"/>
      <c r="W513" s="23"/>
      <c r="X513" s="23"/>
      <c r="Y513" s="23"/>
      <c r="Z513" s="23"/>
    </row>
    <row r="514">
      <c r="A514" s="2"/>
      <c r="B514" s="2"/>
      <c r="C514" s="2"/>
      <c r="D514" s="2"/>
      <c r="E514" s="2"/>
      <c r="F514" s="2"/>
      <c r="G514" s="2"/>
      <c r="H514" s="2"/>
      <c r="I514" s="2"/>
      <c r="J514" s="2"/>
      <c r="K514" s="2"/>
      <c r="L514" s="2"/>
      <c r="M514" s="2"/>
      <c r="N514" s="2"/>
      <c r="O514" s="2"/>
      <c r="P514" s="2"/>
      <c r="Q514" s="23"/>
      <c r="R514" s="23"/>
      <c r="S514" s="23"/>
      <c r="T514" s="23"/>
      <c r="U514" s="23"/>
      <c r="V514" s="23"/>
      <c r="W514" s="23"/>
      <c r="X514" s="23"/>
      <c r="Y514" s="23"/>
      <c r="Z514" s="23"/>
    </row>
    <row r="515">
      <c r="A515" s="2"/>
      <c r="B515" s="2"/>
      <c r="C515" s="2"/>
      <c r="D515" s="2"/>
      <c r="E515" s="2"/>
      <c r="F515" s="2"/>
      <c r="G515" s="2"/>
      <c r="H515" s="2"/>
      <c r="I515" s="2"/>
      <c r="J515" s="2"/>
      <c r="K515" s="2"/>
      <c r="L515" s="2"/>
      <c r="M515" s="2"/>
      <c r="N515" s="2"/>
      <c r="O515" s="2"/>
      <c r="P515" s="2"/>
      <c r="Q515" s="23"/>
      <c r="R515" s="23"/>
      <c r="S515" s="23"/>
      <c r="T515" s="23"/>
      <c r="U515" s="23"/>
      <c r="V515" s="23"/>
      <c r="W515" s="23"/>
      <c r="X515" s="23"/>
      <c r="Y515" s="23"/>
      <c r="Z515" s="23"/>
    </row>
    <row r="516">
      <c r="A516" s="2"/>
      <c r="B516" s="2"/>
      <c r="C516" s="2"/>
      <c r="D516" s="2"/>
      <c r="E516" s="2"/>
      <c r="F516" s="2"/>
      <c r="G516" s="2"/>
      <c r="H516" s="2"/>
      <c r="I516" s="2"/>
      <c r="J516" s="2"/>
      <c r="K516" s="2"/>
      <c r="L516" s="2"/>
      <c r="M516" s="2"/>
      <c r="N516" s="2"/>
      <c r="O516" s="2"/>
      <c r="P516" s="2"/>
      <c r="Q516" s="23"/>
      <c r="R516" s="23"/>
      <c r="S516" s="23"/>
      <c r="T516" s="23"/>
      <c r="U516" s="23"/>
      <c r="V516" s="23"/>
      <c r="W516" s="23"/>
      <c r="X516" s="23"/>
      <c r="Y516" s="23"/>
      <c r="Z516" s="23"/>
    </row>
    <row r="517">
      <c r="A517" s="2"/>
      <c r="B517" s="2"/>
      <c r="C517" s="2"/>
      <c r="D517" s="2"/>
      <c r="E517" s="2"/>
      <c r="F517" s="2"/>
      <c r="G517" s="2"/>
      <c r="H517" s="2"/>
      <c r="I517" s="2"/>
      <c r="J517" s="2"/>
      <c r="K517" s="2"/>
      <c r="L517" s="2"/>
      <c r="M517" s="2"/>
      <c r="N517" s="2"/>
      <c r="O517" s="2"/>
      <c r="P517" s="2"/>
      <c r="Q517" s="23"/>
      <c r="R517" s="23"/>
      <c r="S517" s="23"/>
      <c r="T517" s="23"/>
      <c r="U517" s="23"/>
      <c r="V517" s="23"/>
      <c r="W517" s="23"/>
      <c r="X517" s="23"/>
      <c r="Y517" s="23"/>
      <c r="Z517" s="23"/>
    </row>
    <row r="518">
      <c r="A518" s="2"/>
      <c r="B518" s="2"/>
      <c r="C518" s="2"/>
      <c r="D518" s="2"/>
      <c r="E518" s="2"/>
      <c r="F518" s="2"/>
      <c r="G518" s="2"/>
      <c r="H518" s="2"/>
      <c r="I518" s="2"/>
      <c r="J518" s="2"/>
      <c r="K518" s="2"/>
      <c r="L518" s="2"/>
      <c r="M518" s="2"/>
      <c r="N518" s="2"/>
      <c r="O518" s="2"/>
      <c r="P518" s="2"/>
      <c r="Q518" s="23"/>
      <c r="R518" s="23"/>
      <c r="S518" s="23"/>
      <c r="T518" s="23"/>
      <c r="U518" s="23"/>
      <c r="V518" s="23"/>
      <c r="W518" s="23"/>
      <c r="X518" s="23"/>
      <c r="Y518" s="23"/>
      <c r="Z518" s="23"/>
    </row>
    <row r="519">
      <c r="A519" s="2"/>
      <c r="B519" s="2"/>
      <c r="C519" s="2"/>
      <c r="D519" s="2"/>
      <c r="E519" s="2"/>
      <c r="F519" s="2"/>
      <c r="G519" s="2"/>
      <c r="H519" s="2"/>
      <c r="I519" s="2"/>
      <c r="J519" s="2"/>
      <c r="K519" s="2"/>
      <c r="L519" s="2"/>
      <c r="M519" s="2"/>
      <c r="N519" s="2"/>
      <c r="O519" s="2"/>
      <c r="P519" s="2"/>
      <c r="Q519" s="23"/>
      <c r="R519" s="23"/>
      <c r="S519" s="23"/>
      <c r="T519" s="23"/>
      <c r="U519" s="23"/>
      <c r="V519" s="23"/>
      <c r="W519" s="23"/>
      <c r="X519" s="23"/>
      <c r="Y519" s="23"/>
      <c r="Z519" s="23"/>
    </row>
    <row r="520">
      <c r="A520" s="2"/>
      <c r="B520" s="2"/>
      <c r="C520" s="2"/>
      <c r="D520" s="2"/>
      <c r="E520" s="2"/>
      <c r="F520" s="2"/>
      <c r="G520" s="2"/>
      <c r="H520" s="2"/>
      <c r="I520" s="2"/>
      <c r="J520" s="2"/>
      <c r="K520" s="2"/>
      <c r="L520" s="2"/>
      <c r="M520" s="2"/>
      <c r="N520" s="2"/>
      <c r="O520" s="2"/>
      <c r="P520" s="2"/>
      <c r="Q520" s="23"/>
      <c r="R520" s="23"/>
      <c r="S520" s="23"/>
      <c r="T520" s="23"/>
      <c r="U520" s="23"/>
      <c r="V520" s="23"/>
      <c r="W520" s="23"/>
      <c r="X520" s="23"/>
      <c r="Y520" s="23"/>
      <c r="Z520" s="23"/>
    </row>
    <row r="521">
      <c r="A521" s="2"/>
      <c r="B521" s="2"/>
      <c r="C521" s="2"/>
      <c r="D521" s="2"/>
      <c r="E521" s="2"/>
      <c r="F521" s="2"/>
      <c r="G521" s="2"/>
      <c r="H521" s="2"/>
      <c r="I521" s="2"/>
      <c r="J521" s="2"/>
      <c r="K521" s="2"/>
      <c r="L521" s="2"/>
      <c r="M521" s="2"/>
      <c r="N521" s="2"/>
      <c r="O521" s="2"/>
      <c r="P521" s="2"/>
      <c r="Q521" s="23"/>
      <c r="R521" s="23"/>
      <c r="S521" s="23"/>
      <c r="T521" s="23"/>
      <c r="U521" s="23"/>
      <c r="V521" s="23"/>
      <c r="W521" s="23"/>
      <c r="X521" s="23"/>
      <c r="Y521" s="23"/>
      <c r="Z521" s="23"/>
    </row>
    <row r="522">
      <c r="A522" s="2"/>
      <c r="B522" s="2"/>
      <c r="C522" s="2"/>
      <c r="D522" s="2"/>
      <c r="E522" s="2"/>
      <c r="F522" s="2"/>
      <c r="G522" s="2"/>
      <c r="H522" s="2"/>
      <c r="I522" s="2"/>
      <c r="J522" s="2"/>
      <c r="K522" s="2"/>
      <c r="L522" s="2"/>
      <c r="M522" s="2"/>
      <c r="N522" s="2"/>
      <c r="O522" s="2"/>
      <c r="P522" s="2"/>
      <c r="Q522" s="23"/>
      <c r="R522" s="23"/>
      <c r="S522" s="23"/>
      <c r="T522" s="23"/>
      <c r="U522" s="23"/>
      <c r="V522" s="23"/>
      <c r="W522" s="23"/>
      <c r="X522" s="23"/>
      <c r="Y522" s="23"/>
      <c r="Z522" s="23"/>
    </row>
    <row r="523">
      <c r="A523" s="2"/>
      <c r="B523" s="2"/>
      <c r="C523" s="2"/>
      <c r="D523" s="2"/>
      <c r="E523" s="2"/>
      <c r="F523" s="2"/>
      <c r="G523" s="2"/>
      <c r="H523" s="2"/>
      <c r="I523" s="2"/>
      <c r="J523" s="2"/>
      <c r="K523" s="2"/>
      <c r="L523" s="2"/>
      <c r="M523" s="2"/>
      <c r="N523" s="2"/>
      <c r="O523" s="2"/>
      <c r="P523" s="2"/>
      <c r="Q523" s="23"/>
      <c r="R523" s="23"/>
      <c r="S523" s="23"/>
      <c r="T523" s="23"/>
      <c r="U523" s="23"/>
      <c r="V523" s="23"/>
      <c r="W523" s="23"/>
      <c r="X523" s="23"/>
      <c r="Y523" s="23"/>
      <c r="Z523" s="23"/>
    </row>
    <row r="524">
      <c r="A524" s="2"/>
      <c r="B524" s="2"/>
      <c r="C524" s="2"/>
      <c r="D524" s="2"/>
      <c r="E524" s="2"/>
      <c r="F524" s="2"/>
      <c r="G524" s="2"/>
      <c r="H524" s="2"/>
      <c r="I524" s="2"/>
      <c r="J524" s="2"/>
      <c r="K524" s="2"/>
      <c r="L524" s="2"/>
      <c r="M524" s="2"/>
      <c r="N524" s="2"/>
      <c r="O524" s="2"/>
      <c r="P524" s="2"/>
      <c r="Q524" s="23"/>
      <c r="R524" s="23"/>
      <c r="S524" s="23"/>
      <c r="T524" s="23"/>
      <c r="U524" s="23"/>
      <c r="V524" s="23"/>
      <c r="W524" s="23"/>
      <c r="X524" s="23"/>
      <c r="Y524" s="23"/>
      <c r="Z524" s="23"/>
    </row>
    <row r="525">
      <c r="A525" s="2"/>
      <c r="B525" s="2"/>
      <c r="C525" s="2"/>
      <c r="D525" s="2"/>
      <c r="E525" s="2"/>
      <c r="F525" s="2"/>
      <c r="G525" s="2"/>
      <c r="H525" s="2"/>
      <c r="I525" s="2"/>
      <c r="J525" s="2"/>
      <c r="K525" s="2"/>
      <c r="L525" s="2"/>
      <c r="M525" s="2"/>
      <c r="N525" s="2"/>
      <c r="O525" s="2"/>
      <c r="P525" s="2"/>
      <c r="Q525" s="23"/>
      <c r="R525" s="23"/>
      <c r="S525" s="23"/>
      <c r="T525" s="23"/>
      <c r="U525" s="23"/>
      <c r="V525" s="23"/>
      <c r="W525" s="23"/>
      <c r="X525" s="23"/>
      <c r="Y525" s="23"/>
      <c r="Z525" s="23"/>
    </row>
    <row r="526">
      <c r="A526" s="2"/>
      <c r="B526" s="2"/>
      <c r="C526" s="2"/>
      <c r="D526" s="2"/>
      <c r="E526" s="2"/>
      <c r="F526" s="2"/>
      <c r="G526" s="2"/>
      <c r="H526" s="2"/>
      <c r="I526" s="2"/>
      <c r="J526" s="2"/>
      <c r="K526" s="2"/>
      <c r="L526" s="2"/>
      <c r="M526" s="2"/>
      <c r="N526" s="2"/>
      <c r="O526" s="2"/>
      <c r="P526" s="2"/>
      <c r="Q526" s="23"/>
      <c r="R526" s="23"/>
      <c r="S526" s="23"/>
      <c r="T526" s="23"/>
      <c r="U526" s="23"/>
      <c r="V526" s="23"/>
      <c r="W526" s="23"/>
      <c r="X526" s="23"/>
      <c r="Y526" s="23"/>
      <c r="Z526" s="23"/>
    </row>
    <row r="527">
      <c r="A527" s="2"/>
      <c r="B527" s="2"/>
      <c r="C527" s="2"/>
      <c r="D527" s="2"/>
      <c r="E527" s="2"/>
      <c r="F527" s="2"/>
      <c r="G527" s="2"/>
      <c r="H527" s="2"/>
      <c r="I527" s="2"/>
      <c r="J527" s="2"/>
      <c r="K527" s="2"/>
      <c r="L527" s="2"/>
      <c r="M527" s="2"/>
      <c r="N527" s="2"/>
      <c r="O527" s="2"/>
      <c r="P527" s="2"/>
      <c r="Q527" s="23"/>
      <c r="R527" s="23"/>
      <c r="S527" s="23"/>
      <c r="T527" s="23"/>
      <c r="U527" s="23"/>
      <c r="V527" s="23"/>
      <c r="W527" s="23"/>
      <c r="X527" s="23"/>
      <c r="Y527" s="23"/>
      <c r="Z527" s="23"/>
    </row>
    <row r="528">
      <c r="A528" s="2"/>
      <c r="B528" s="2"/>
      <c r="C528" s="2"/>
      <c r="D528" s="2"/>
      <c r="E528" s="2"/>
      <c r="F528" s="2"/>
      <c r="G528" s="2"/>
      <c r="H528" s="2"/>
      <c r="I528" s="2"/>
      <c r="J528" s="2"/>
      <c r="K528" s="2"/>
      <c r="L528" s="2"/>
      <c r="M528" s="2"/>
      <c r="N528" s="2"/>
      <c r="O528" s="2"/>
      <c r="P528" s="2"/>
      <c r="Q528" s="23"/>
      <c r="R528" s="23"/>
      <c r="S528" s="23"/>
      <c r="T528" s="23"/>
      <c r="U528" s="23"/>
      <c r="V528" s="23"/>
      <c r="W528" s="23"/>
      <c r="X528" s="23"/>
      <c r="Y528" s="23"/>
      <c r="Z528" s="23"/>
    </row>
    <row r="529">
      <c r="A529" s="2"/>
      <c r="B529" s="2"/>
      <c r="C529" s="2"/>
      <c r="D529" s="2"/>
      <c r="E529" s="2"/>
      <c r="F529" s="2"/>
      <c r="G529" s="2"/>
      <c r="H529" s="2"/>
      <c r="I529" s="2"/>
      <c r="J529" s="2"/>
      <c r="K529" s="2"/>
      <c r="L529" s="2"/>
      <c r="M529" s="2"/>
      <c r="N529" s="2"/>
      <c r="O529" s="2"/>
      <c r="P529" s="2"/>
      <c r="Q529" s="23"/>
      <c r="R529" s="23"/>
      <c r="S529" s="23"/>
      <c r="T529" s="23"/>
      <c r="U529" s="23"/>
      <c r="V529" s="23"/>
      <c r="W529" s="23"/>
      <c r="X529" s="23"/>
      <c r="Y529" s="23"/>
      <c r="Z529" s="23"/>
    </row>
    <row r="530">
      <c r="A530" s="2"/>
      <c r="B530" s="2"/>
      <c r="C530" s="2"/>
      <c r="D530" s="2"/>
      <c r="E530" s="2"/>
      <c r="F530" s="2"/>
      <c r="G530" s="2"/>
      <c r="H530" s="2"/>
      <c r="I530" s="2"/>
      <c r="J530" s="2"/>
      <c r="K530" s="2"/>
      <c r="L530" s="2"/>
      <c r="M530" s="2"/>
      <c r="N530" s="2"/>
      <c r="O530" s="2"/>
      <c r="P530" s="2"/>
      <c r="Q530" s="23"/>
      <c r="R530" s="23"/>
      <c r="S530" s="23"/>
      <c r="T530" s="23"/>
      <c r="U530" s="23"/>
      <c r="V530" s="23"/>
      <c r="W530" s="23"/>
      <c r="X530" s="23"/>
      <c r="Y530" s="23"/>
      <c r="Z530" s="23"/>
    </row>
    <row r="531">
      <c r="A531" s="2"/>
      <c r="B531" s="2"/>
      <c r="C531" s="2"/>
      <c r="D531" s="2"/>
      <c r="E531" s="2"/>
      <c r="F531" s="2"/>
      <c r="G531" s="2"/>
      <c r="H531" s="2"/>
      <c r="I531" s="2"/>
      <c r="J531" s="2"/>
      <c r="K531" s="2"/>
      <c r="L531" s="2"/>
      <c r="M531" s="2"/>
      <c r="N531" s="2"/>
      <c r="O531" s="2"/>
      <c r="P531" s="2"/>
      <c r="Q531" s="23"/>
      <c r="R531" s="23"/>
      <c r="S531" s="23"/>
      <c r="T531" s="23"/>
      <c r="U531" s="23"/>
      <c r="V531" s="23"/>
      <c r="W531" s="23"/>
      <c r="X531" s="23"/>
      <c r="Y531" s="23"/>
      <c r="Z531" s="23"/>
    </row>
    <row r="532">
      <c r="A532" s="2"/>
      <c r="B532" s="2"/>
      <c r="C532" s="2"/>
      <c r="D532" s="2"/>
      <c r="E532" s="2"/>
      <c r="F532" s="2"/>
      <c r="G532" s="2"/>
      <c r="H532" s="2"/>
      <c r="I532" s="2"/>
      <c r="J532" s="2"/>
      <c r="K532" s="2"/>
      <c r="L532" s="2"/>
      <c r="M532" s="2"/>
      <c r="N532" s="2"/>
      <c r="O532" s="2"/>
      <c r="P532" s="2"/>
      <c r="Q532" s="23"/>
      <c r="R532" s="23"/>
      <c r="S532" s="23"/>
      <c r="T532" s="23"/>
      <c r="U532" s="23"/>
      <c r="V532" s="23"/>
      <c r="W532" s="23"/>
      <c r="X532" s="23"/>
      <c r="Y532" s="23"/>
      <c r="Z532" s="23"/>
    </row>
    <row r="533">
      <c r="A533" s="2"/>
      <c r="B533" s="2"/>
      <c r="C533" s="2"/>
      <c r="D533" s="2"/>
      <c r="E533" s="2"/>
      <c r="F533" s="2"/>
      <c r="G533" s="2"/>
      <c r="H533" s="2"/>
      <c r="I533" s="2"/>
      <c r="J533" s="2"/>
      <c r="K533" s="2"/>
      <c r="L533" s="2"/>
      <c r="M533" s="2"/>
      <c r="N533" s="2"/>
      <c r="O533" s="2"/>
      <c r="P533" s="2"/>
      <c r="Q533" s="23"/>
      <c r="R533" s="23"/>
      <c r="S533" s="23"/>
      <c r="T533" s="23"/>
      <c r="U533" s="23"/>
      <c r="V533" s="23"/>
      <c r="W533" s="23"/>
      <c r="X533" s="23"/>
      <c r="Y533" s="23"/>
      <c r="Z533" s="23"/>
    </row>
    <row r="534">
      <c r="A534" s="2"/>
      <c r="B534" s="2"/>
      <c r="C534" s="2"/>
      <c r="D534" s="2"/>
      <c r="E534" s="2"/>
      <c r="F534" s="2"/>
      <c r="G534" s="2"/>
      <c r="H534" s="2"/>
      <c r="I534" s="2"/>
      <c r="J534" s="2"/>
      <c r="K534" s="2"/>
      <c r="L534" s="2"/>
      <c r="M534" s="2"/>
      <c r="N534" s="2"/>
      <c r="O534" s="2"/>
      <c r="P534" s="2"/>
      <c r="Q534" s="23"/>
      <c r="R534" s="23"/>
      <c r="S534" s="23"/>
      <c r="T534" s="23"/>
      <c r="U534" s="23"/>
      <c r="V534" s="23"/>
      <c r="W534" s="23"/>
      <c r="X534" s="23"/>
      <c r="Y534" s="23"/>
      <c r="Z534" s="23"/>
    </row>
    <row r="535">
      <c r="A535" s="2"/>
      <c r="B535" s="2"/>
      <c r="C535" s="2"/>
      <c r="D535" s="2"/>
      <c r="E535" s="2"/>
      <c r="F535" s="2"/>
      <c r="G535" s="2"/>
      <c r="H535" s="2"/>
      <c r="I535" s="2"/>
      <c r="J535" s="2"/>
      <c r="K535" s="2"/>
      <c r="L535" s="2"/>
      <c r="M535" s="2"/>
      <c r="N535" s="2"/>
      <c r="O535" s="2"/>
      <c r="P535" s="2"/>
      <c r="Q535" s="23"/>
      <c r="R535" s="23"/>
      <c r="S535" s="23"/>
      <c r="T535" s="23"/>
      <c r="U535" s="23"/>
      <c r="V535" s="23"/>
      <c r="W535" s="23"/>
      <c r="X535" s="23"/>
      <c r="Y535" s="23"/>
      <c r="Z535" s="23"/>
    </row>
    <row r="536">
      <c r="A536" s="2"/>
      <c r="B536" s="2"/>
      <c r="C536" s="2"/>
      <c r="D536" s="2"/>
      <c r="E536" s="2"/>
      <c r="F536" s="2"/>
      <c r="G536" s="2"/>
      <c r="H536" s="2"/>
      <c r="I536" s="2"/>
      <c r="J536" s="2"/>
      <c r="K536" s="2"/>
      <c r="L536" s="2"/>
      <c r="M536" s="2"/>
      <c r="N536" s="2"/>
      <c r="O536" s="2"/>
      <c r="P536" s="2"/>
      <c r="Q536" s="23"/>
      <c r="R536" s="23"/>
      <c r="S536" s="23"/>
      <c r="T536" s="23"/>
      <c r="U536" s="23"/>
      <c r="V536" s="23"/>
      <c r="W536" s="23"/>
      <c r="X536" s="23"/>
      <c r="Y536" s="23"/>
      <c r="Z536" s="23"/>
    </row>
    <row r="537">
      <c r="A537" s="2"/>
      <c r="B537" s="2"/>
      <c r="C537" s="2"/>
      <c r="D537" s="2"/>
      <c r="E537" s="2"/>
      <c r="F537" s="2"/>
      <c r="G537" s="2"/>
      <c r="H537" s="2"/>
      <c r="I537" s="2"/>
      <c r="J537" s="2"/>
      <c r="K537" s="2"/>
      <c r="L537" s="2"/>
      <c r="M537" s="2"/>
      <c r="N537" s="2"/>
      <c r="O537" s="2"/>
      <c r="P537" s="2"/>
      <c r="Q537" s="23"/>
      <c r="R537" s="23"/>
      <c r="S537" s="23"/>
      <c r="T537" s="23"/>
      <c r="U537" s="23"/>
      <c r="V537" s="23"/>
      <c r="W537" s="23"/>
      <c r="X537" s="23"/>
      <c r="Y537" s="23"/>
      <c r="Z537" s="23"/>
    </row>
    <row r="538">
      <c r="A538" s="2"/>
      <c r="B538" s="2"/>
      <c r="C538" s="2"/>
      <c r="D538" s="2"/>
      <c r="E538" s="2"/>
      <c r="F538" s="2"/>
      <c r="G538" s="2"/>
      <c r="H538" s="2"/>
      <c r="I538" s="2"/>
      <c r="J538" s="2"/>
      <c r="K538" s="2"/>
      <c r="L538" s="2"/>
      <c r="M538" s="2"/>
      <c r="N538" s="2"/>
      <c r="O538" s="2"/>
      <c r="P538" s="2"/>
      <c r="Q538" s="23"/>
      <c r="R538" s="23"/>
      <c r="S538" s="23"/>
      <c r="T538" s="23"/>
      <c r="U538" s="23"/>
      <c r="V538" s="23"/>
      <c r="W538" s="23"/>
      <c r="X538" s="23"/>
      <c r="Y538" s="23"/>
      <c r="Z538" s="23"/>
    </row>
    <row r="539">
      <c r="A539" s="2"/>
      <c r="B539" s="2"/>
      <c r="C539" s="2"/>
      <c r="D539" s="2"/>
      <c r="E539" s="2"/>
      <c r="F539" s="2"/>
      <c r="G539" s="2"/>
      <c r="H539" s="2"/>
      <c r="I539" s="2"/>
      <c r="J539" s="2"/>
      <c r="K539" s="2"/>
      <c r="L539" s="2"/>
      <c r="M539" s="2"/>
      <c r="N539" s="2"/>
      <c r="O539" s="2"/>
      <c r="P539" s="2"/>
      <c r="Q539" s="23"/>
      <c r="R539" s="23"/>
      <c r="S539" s="23"/>
      <c r="T539" s="23"/>
      <c r="U539" s="23"/>
      <c r="V539" s="23"/>
      <c r="W539" s="23"/>
      <c r="X539" s="23"/>
      <c r="Y539" s="23"/>
      <c r="Z539" s="23"/>
    </row>
    <row r="540">
      <c r="A540" s="2"/>
      <c r="B540" s="2"/>
      <c r="C540" s="2"/>
      <c r="D540" s="2"/>
      <c r="E540" s="2"/>
      <c r="F540" s="2"/>
      <c r="G540" s="2"/>
      <c r="H540" s="2"/>
      <c r="I540" s="2"/>
      <c r="J540" s="2"/>
      <c r="K540" s="2"/>
      <c r="L540" s="2"/>
      <c r="M540" s="2"/>
      <c r="N540" s="2"/>
      <c r="O540" s="2"/>
      <c r="P540" s="2"/>
      <c r="Q540" s="23"/>
      <c r="R540" s="23"/>
      <c r="S540" s="23"/>
      <c r="T540" s="23"/>
      <c r="U540" s="23"/>
      <c r="V540" s="23"/>
      <c r="W540" s="23"/>
      <c r="X540" s="23"/>
      <c r="Y540" s="23"/>
      <c r="Z540" s="23"/>
    </row>
    <row r="541">
      <c r="A541" s="2"/>
      <c r="B541" s="2"/>
      <c r="C541" s="2"/>
      <c r="D541" s="2"/>
      <c r="E541" s="2"/>
      <c r="F541" s="2"/>
      <c r="G541" s="2"/>
      <c r="H541" s="2"/>
      <c r="I541" s="2"/>
      <c r="J541" s="2"/>
      <c r="K541" s="2"/>
      <c r="L541" s="2"/>
      <c r="M541" s="2"/>
      <c r="N541" s="2"/>
      <c r="O541" s="2"/>
      <c r="P541" s="2"/>
      <c r="Q541" s="23"/>
      <c r="R541" s="23"/>
      <c r="S541" s="23"/>
      <c r="T541" s="23"/>
      <c r="U541" s="23"/>
      <c r="V541" s="23"/>
      <c r="W541" s="23"/>
      <c r="X541" s="23"/>
      <c r="Y541" s="23"/>
      <c r="Z541" s="23"/>
    </row>
    <row r="542">
      <c r="A542" s="2"/>
      <c r="B542" s="2"/>
      <c r="C542" s="2"/>
      <c r="D542" s="2"/>
      <c r="E542" s="2"/>
      <c r="F542" s="2"/>
      <c r="G542" s="2"/>
      <c r="H542" s="2"/>
      <c r="I542" s="2"/>
      <c r="J542" s="2"/>
      <c r="K542" s="2"/>
      <c r="L542" s="2"/>
      <c r="M542" s="2"/>
      <c r="N542" s="2"/>
      <c r="O542" s="2"/>
      <c r="P542" s="2"/>
      <c r="Q542" s="23"/>
      <c r="R542" s="23"/>
      <c r="S542" s="23"/>
      <c r="T542" s="23"/>
      <c r="U542" s="23"/>
      <c r="V542" s="23"/>
      <c r="W542" s="23"/>
      <c r="X542" s="23"/>
      <c r="Y542" s="23"/>
      <c r="Z542" s="23"/>
    </row>
    <row r="543">
      <c r="A543" s="2"/>
      <c r="B543" s="2"/>
      <c r="C543" s="2"/>
      <c r="D543" s="2"/>
      <c r="E543" s="2"/>
      <c r="F543" s="2"/>
      <c r="G543" s="2"/>
      <c r="H543" s="2"/>
      <c r="I543" s="2"/>
      <c r="J543" s="2"/>
      <c r="K543" s="2"/>
      <c r="L543" s="2"/>
      <c r="M543" s="2"/>
      <c r="N543" s="2"/>
      <c r="O543" s="2"/>
      <c r="P543" s="2"/>
      <c r="Q543" s="23"/>
      <c r="R543" s="23"/>
      <c r="S543" s="23"/>
      <c r="T543" s="23"/>
      <c r="U543" s="23"/>
      <c r="V543" s="23"/>
      <c r="W543" s="23"/>
      <c r="X543" s="23"/>
      <c r="Y543" s="23"/>
      <c r="Z543" s="23"/>
    </row>
    <row r="544">
      <c r="A544" s="2"/>
      <c r="B544" s="2"/>
      <c r="C544" s="2"/>
      <c r="D544" s="2"/>
      <c r="E544" s="2"/>
      <c r="F544" s="2"/>
      <c r="G544" s="2"/>
      <c r="H544" s="2"/>
      <c r="I544" s="2"/>
      <c r="J544" s="2"/>
      <c r="K544" s="2"/>
      <c r="L544" s="2"/>
      <c r="M544" s="2"/>
      <c r="N544" s="2"/>
      <c r="O544" s="2"/>
      <c r="P544" s="2"/>
      <c r="Q544" s="23"/>
      <c r="R544" s="23"/>
      <c r="S544" s="23"/>
      <c r="T544" s="23"/>
      <c r="U544" s="23"/>
      <c r="V544" s="23"/>
      <c r="W544" s="23"/>
      <c r="X544" s="23"/>
      <c r="Y544" s="23"/>
      <c r="Z544" s="23"/>
    </row>
    <row r="545">
      <c r="A545" s="2"/>
      <c r="B545" s="2"/>
      <c r="C545" s="2"/>
      <c r="D545" s="2"/>
      <c r="E545" s="2"/>
      <c r="F545" s="2"/>
      <c r="G545" s="2"/>
      <c r="H545" s="2"/>
      <c r="I545" s="2"/>
      <c r="J545" s="2"/>
      <c r="K545" s="2"/>
      <c r="L545" s="2"/>
      <c r="M545" s="2"/>
      <c r="N545" s="2"/>
      <c r="O545" s="2"/>
      <c r="P545" s="2"/>
      <c r="Q545" s="23"/>
      <c r="R545" s="23"/>
      <c r="S545" s="23"/>
      <c r="T545" s="23"/>
      <c r="U545" s="23"/>
      <c r="V545" s="23"/>
      <c r="W545" s="23"/>
      <c r="X545" s="23"/>
      <c r="Y545" s="23"/>
      <c r="Z545" s="23"/>
    </row>
    <row r="546">
      <c r="A546" s="2"/>
      <c r="B546" s="2"/>
      <c r="C546" s="2"/>
      <c r="D546" s="2"/>
      <c r="E546" s="2"/>
      <c r="F546" s="2"/>
      <c r="G546" s="2"/>
      <c r="H546" s="2"/>
      <c r="I546" s="2"/>
      <c r="J546" s="2"/>
      <c r="K546" s="2"/>
      <c r="L546" s="2"/>
      <c r="M546" s="2"/>
      <c r="N546" s="2"/>
      <c r="O546" s="2"/>
      <c r="P546" s="2"/>
      <c r="Q546" s="23"/>
      <c r="R546" s="23"/>
      <c r="S546" s="23"/>
      <c r="T546" s="23"/>
      <c r="U546" s="23"/>
      <c r="V546" s="23"/>
      <c r="W546" s="23"/>
      <c r="X546" s="23"/>
      <c r="Y546" s="23"/>
      <c r="Z546" s="23"/>
    </row>
    <row r="547">
      <c r="A547" s="2"/>
      <c r="B547" s="2"/>
      <c r="C547" s="2"/>
      <c r="D547" s="2"/>
      <c r="E547" s="2"/>
      <c r="F547" s="2"/>
      <c r="G547" s="2"/>
      <c r="H547" s="2"/>
      <c r="I547" s="2"/>
      <c r="J547" s="2"/>
      <c r="K547" s="2"/>
      <c r="L547" s="2"/>
      <c r="M547" s="2"/>
      <c r="N547" s="2"/>
      <c r="O547" s="2"/>
      <c r="P547" s="2"/>
      <c r="Q547" s="23"/>
      <c r="R547" s="23"/>
      <c r="S547" s="23"/>
      <c r="T547" s="23"/>
      <c r="U547" s="23"/>
      <c r="V547" s="23"/>
      <c r="W547" s="23"/>
      <c r="X547" s="23"/>
      <c r="Y547" s="23"/>
      <c r="Z547" s="23"/>
    </row>
    <row r="548">
      <c r="A548" s="2"/>
      <c r="B548" s="2"/>
      <c r="C548" s="2"/>
      <c r="D548" s="2"/>
      <c r="E548" s="2"/>
      <c r="F548" s="2"/>
      <c r="G548" s="2"/>
      <c r="H548" s="2"/>
      <c r="I548" s="2"/>
      <c r="J548" s="2"/>
      <c r="K548" s="2"/>
      <c r="L548" s="2"/>
      <c r="M548" s="2"/>
      <c r="N548" s="2"/>
      <c r="O548" s="2"/>
      <c r="P548" s="2"/>
      <c r="Q548" s="23"/>
      <c r="R548" s="23"/>
      <c r="S548" s="23"/>
      <c r="T548" s="23"/>
      <c r="U548" s="23"/>
      <c r="V548" s="23"/>
      <c r="W548" s="23"/>
      <c r="X548" s="23"/>
      <c r="Y548" s="23"/>
      <c r="Z548" s="23"/>
    </row>
    <row r="549">
      <c r="A549" s="2"/>
      <c r="B549" s="2"/>
      <c r="C549" s="2"/>
      <c r="D549" s="2"/>
      <c r="E549" s="2"/>
      <c r="F549" s="2"/>
      <c r="G549" s="2"/>
      <c r="H549" s="2"/>
      <c r="I549" s="2"/>
      <c r="J549" s="2"/>
      <c r="K549" s="2"/>
      <c r="L549" s="2"/>
      <c r="M549" s="2"/>
      <c r="N549" s="2"/>
      <c r="O549" s="2"/>
      <c r="P549" s="2"/>
      <c r="Q549" s="23"/>
      <c r="R549" s="23"/>
      <c r="S549" s="23"/>
      <c r="T549" s="23"/>
      <c r="U549" s="23"/>
      <c r="V549" s="23"/>
      <c r="W549" s="23"/>
      <c r="X549" s="23"/>
      <c r="Y549" s="23"/>
      <c r="Z549" s="23"/>
    </row>
    <row r="550">
      <c r="A550" s="2"/>
      <c r="B550" s="2"/>
      <c r="C550" s="2"/>
      <c r="D550" s="2"/>
      <c r="E550" s="2"/>
      <c r="F550" s="2"/>
      <c r="G550" s="2"/>
      <c r="H550" s="2"/>
      <c r="I550" s="2"/>
      <c r="J550" s="2"/>
      <c r="K550" s="2"/>
      <c r="L550" s="2"/>
      <c r="M550" s="2"/>
      <c r="N550" s="2"/>
      <c r="O550" s="2"/>
      <c r="P550" s="2"/>
      <c r="Q550" s="23"/>
      <c r="R550" s="23"/>
      <c r="S550" s="23"/>
      <c r="T550" s="23"/>
      <c r="U550" s="23"/>
      <c r="V550" s="23"/>
      <c r="W550" s="23"/>
      <c r="X550" s="23"/>
      <c r="Y550" s="23"/>
      <c r="Z550" s="23"/>
    </row>
    <row r="551">
      <c r="A551" s="2"/>
      <c r="B551" s="2"/>
      <c r="C551" s="2"/>
      <c r="D551" s="2"/>
      <c r="E551" s="2"/>
      <c r="F551" s="2"/>
      <c r="G551" s="2"/>
      <c r="H551" s="2"/>
      <c r="I551" s="2"/>
      <c r="J551" s="2"/>
      <c r="K551" s="2"/>
      <c r="L551" s="2"/>
      <c r="M551" s="2"/>
      <c r="N551" s="2"/>
      <c r="O551" s="2"/>
      <c r="P551" s="2"/>
      <c r="Q551" s="23"/>
      <c r="R551" s="23"/>
      <c r="S551" s="23"/>
      <c r="T551" s="23"/>
      <c r="U551" s="23"/>
      <c r="V551" s="23"/>
      <c r="W551" s="23"/>
      <c r="X551" s="23"/>
      <c r="Y551" s="23"/>
      <c r="Z551" s="23"/>
    </row>
    <row r="552">
      <c r="A552" s="2"/>
      <c r="B552" s="2"/>
      <c r="C552" s="2"/>
      <c r="D552" s="2"/>
      <c r="E552" s="2"/>
      <c r="F552" s="2"/>
      <c r="G552" s="2"/>
      <c r="H552" s="2"/>
      <c r="I552" s="2"/>
      <c r="J552" s="2"/>
      <c r="K552" s="2"/>
      <c r="L552" s="2"/>
      <c r="M552" s="2"/>
      <c r="N552" s="2"/>
      <c r="O552" s="2"/>
      <c r="P552" s="2"/>
      <c r="Q552" s="23"/>
      <c r="R552" s="23"/>
      <c r="S552" s="23"/>
      <c r="T552" s="23"/>
      <c r="U552" s="23"/>
      <c r="V552" s="23"/>
      <c r="W552" s="23"/>
      <c r="X552" s="23"/>
      <c r="Y552" s="23"/>
      <c r="Z552" s="23"/>
    </row>
    <row r="553">
      <c r="A553" s="2"/>
      <c r="B553" s="2"/>
      <c r="C553" s="2"/>
      <c r="D553" s="2"/>
      <c r="E553" s="2"/>
      <c r="F553" s="2"/>
      <c r="G553" s="2"/>
      <c r="H553" s="2"/>
      <c r="I553" s="2"/>
      <c r="J553" s="2"/>
      <c r="K553" s="2"/>
      <c r="L553" s="2"/>
      <c r="M553" s="2"/>
      <c r="N553" s="2"/>
      <c r="O553" s="2"/>
      <c r="P553" s="2"/>
      <c r="Q553" s="23"/>
      <c r="R553" s="23"/>
      <c r="S553" s="23"/>
      <c r="T553" s="23"/>
      <c r="U553" s="23"/>
      <c r="V553" s="23"/>
      <c r="W553" s="23"/>
      <c r="X553" s="23"/>
      <c r="Y553" s="23"/>
      <c r="Z553" s="23"/>
    </row>
    <row r="554">
      <c r="A554" s="2"/>
      <c r="B554" s="2"/>
      <c r="C554" s="2"/>
      <c r="D554" s="2"/>
      <c r="E554" s="2"/>
      <c r="F554" s="2"/>
      <c r="G554" s="2"/>
      <c r="H554" s="2"/>
      <c r="I554" s="2"/>
      <c r="J554" s="2"/>
      <c r="K554" s="2"/>
      <c r="L554" s="2"/>
      <c r="M554" s="2"/>
      <c r="N554" s="2"/>
      <c r="O554" s="2"/>
      <c r="P554" s="2"/>
      <c r="Q554" s="23"/>
      <c r="R554" s="23"/>
      <c r="S554" s="23"/>
      <c r="T554" s="23"/>
      <c r="U554" s="23"/>
      <c r="V554" s="23"/>
      <c r="W554" s="23"/>
      <c r="X554" s="23"/>
      <c r="Y554" s="23"/>
      <c r="Z554" s="23"/>
    </row>
    <row r="555">
      <c r="A555" s="2"/>
      <c r="B555" s="2"/>
      <c r="C555" s="2"/>
      <c r="D555" s="2"/>
      <c r="E555" s="2"/>
      <c r="F555" s="2"/>
      <c r="G555" s="2"/>
      <c r="H555" s="2"/>
      <c r="I555" s="2"/>
      <c r="J555" s="2"/>
      <c r="K555" s="2"/>
      <c r="L555" s="2"/>
      <c r="M555" s="2"/>
      <c r="N555" s="2"/>
      <c r="O555" s="2"/>
      <c r="P555" s="2"/>
      <c r="Q555" s="23"/>
      <c r="R555" s="23"/>
      <c r="S555" s="23"/>
      <c r="T555" s="23"/>
      <c r="U555" s="23"/>
      <c r="V555" s="23"/>
      <c r="W555" s="23"/>
      <c r="X555" s="23"/>
      <c r="Y555" s="23"/>
      <c r="Z555" s="23"/>
    </row>
    <row r="556">
      <c r="A556" s="2"/>
      <c r="B556" s="2"/>
      <c r="C556" s="2"/>
      <c r="D556" s="2"/>
      <c r="E556" s="2"/>
      <c r="F556" s="2"/>
      <c r="G556" s="2"/>
      <c r="H556" s="2"/>
      <c r="I556" s="2"/>
      <c r="J556" s="2"/>
      <c r="K556" s="2"/>
      <c r="L556" s="2"/>
      <c r="M556" s="2"/>
      <c r="N556" s="2"/>
      <c r="O556" s="2"/>
      <c r="P556" s="2"/>
      <c r="Q556" s="23"/>
      <c r="R556" s="23"/>
      <c r="S556" s="23"/>
      <c r="T556" s="23"/>
      <c r="U556" s="23"/>
      <c r="V556" s="23"/>
      <c r="W556" s="23"/>
      <c r="X556" s="23"/>
      <c r="Y556" s="23"/>
      <c r="Z556" s="23"/>
    </row>
    <row r="557">
      <c r="A557" s="2"/>
      <c r="B557" s="2"/>
      <c r="C557" s="2"/>
      <c r="D557" s="2"/>
      <c r="E557" s="2"/>
      <c r="F557" s="2"/>
      <c r="G557" s="2"/>
      <c r="H557" s="2"/>
      <c r="I557" s="2"/>
      <c r="J557" s="2"/>
      <c r="K557" s="2"/>
      <c r="L557" s="2"/>
      <c r="M557" s="2"/>
      <c r="N557" s="2"/>
      <c r="O557" s="2"/>
      <c r="P557" s="2"/>
      <c r="Q557" s="23"/>
      <c r="R557" s="23"/>
      <c r="S557" s="23"/>
      <c r="T557" s="23"/>
      <c r="U557" s="23"/>
      <c r="V557" s="23"/>
      <c r="W557" s="23"/>
      <c r="X557" s="23"/>
      <c r="Y557" s="23"/>
      <c r="Z557" s="23"/>
    </row>
    <row r="558">
      <c r="A558" s="2"/>
      <c r="B558" s="2"/>
      <c r="C558" s="2"/>
      <c r="D558" s="2"/>
      <c r="E558" s="2"/>
      <c r="F558" s="2"/>
      <c r="G558" s="2"/>
      <c r="H558" s="2"/>
      <c r="I558" s="2"/>
      <c r="J558" s="2"/>
      <c r="K558" s="2"/>
      <c r="L558" s="2"/>
      <c r="M558" s="2"/>
      <c r="N558" s="2"/>
      <c r="O558" s="2"/>
      <c r="P558" s="2"/>
      <c r="Q558" s="23"/>
      <c r="R558" s="23"/>
      <c r="S558" s="23"/>
      <c r="T558" s="23"/>
      <c r="U558" s="23"/>
      <c r="V558" s="23"/>
      <c r="W558" s="23"/>
      <c r="X558" s="23"/>
      <c r="Y558" s="23"/>
      <c r="Z558" s="23"/>
    </row>
    <row r="559">
      <c r="A559" s="2"/>
      <c r="B559" s="2"/>
      <c r="C559" s="2"/>
      <c r="D559" s="2"/>
      <c r="E559" s="2"/>
      <c r="F559" s="2"/>
      <c r="G559" s="2"/>
      <c r="H559" s="2"/>
      <c r="I559" s="2"/>
      <c r="J559" s="2"/>
      <c r="K559" s="2"/>
      <c r="L559" s="2"/>
      <c r="M559" s="2"/>
      <c r="N559" s="2"/>
      <c r="O559" s="2"/>
      <c r="P559" s="2"/>
      <c r="Q559" s="23"/>
      <c r="R559" s="23"/>
      <c r="S559" s="23"/>
      <c r="T559" s="23"/>
      <c r="U559" s="23"/>
      <c r="V559" s="23"/>
      <c r="W559" s="23"/>
      <c r="X559" s="23"/>
      <c r="Y559" s="23"/>
      <c r="Z559" s="23"/>
    </row>
    <row r="560">
      <c r="A560" s="2"/>
      <c r="B560" s="2"/>
      <c r="C560" s="2"/>
      <c r="D560" s="2"/>
      <c r="E560" s="2"/>
      <c r="F560" s="2"/>
      <c r="G560" s="2"/>
      <c r="H560" s="2"/>
      <c r="I560" s="2"/>
      <c r="J560" s="2"/>
      <c r="K560" s="2"/>
      <c r="L560" s="2"/>
      <c r="M560" s="2"/>
      <c r="N560" s="2"/>
      <c r="O560" s="2"/>
      <c r="P560" s="2"/>
      <c r="Q560" s="23"/>
      <c r="R560" s="23"/>
      <c r="S560" s="23"/>
      <c r="T560" s="23"/>
      <c r="U560" s="23"/>
      <c r="V560" s="23"/>
      <c r="W560" s="23"/>
      <c r="X560" s="23"/>
      <c r="Y560" s="23"/>
      <c r="Z560" s="23"/>
    </row>
    <row r="561">
      <c r="A561" s="2"/>
      <c r="B561" s="2"/>
      <c r="C561" s="2"/>
      <c r="D561" s="2"/>
      <c r="E561" s="2"/>
      <c r="F561" s="2"/>
      <c r="G561" s="2"/>
      <c r="H561" s="2"/>
      <c r="I561" s="2"/>
      <c r="J561" s="2"/>
      <c r="K561" s="2"/>
      <c r="L561" s="2"/>
      <c r="M561" s="2"/>
      <c r="N561" s="2"/>
      <c r="O561" s="2"/>
      <c r="P561" s="2"/>
      <c r="Q561" s="23"/>
      <c r="R561" s="23"/>
      <c r="S561" s="23"/>
      <c r="T561" s="23"/>
      <c r="U561" s="23"/>
      <c r="V561" s="23"/>
      <c r="W561" s="23"/>
      <c r="X561" s="23"/>
      <c r="Y561" s="23"/>
      <c r="Z561" s="23"/>
    </row>
    <row r="562">
      <c r="A562" s="2"/>
      <c r="B562" s="2"/>
      <c r="C562" s="2"/>
      <c r="D562" s="2"/>
      <c r="E562" s="2"/>
      <c r="F562" s="2"/>
      <c r="G562" s="2"/>
      <c r="H562" s="2"/>
      <c r="I562" s="2"/>
      <c r="J562" s="2"/>
      <c r="K562" s="2"/>
      <c r="L562" s="2"/>
      <c r="M562" s="2"/>
      <c r="N562" s="2"/>
      <c r="O562" s="2"/>
      <c r="P562" s="2"/>
      <c r="Q562" s="23"/>
      <c r="R562" s="23"/>
      <c r="S562" s="23"/>
      <c r="T562" s="23"/>
      <c r="U562" s="23"/>
      <c r="V562" s="23"/>
      <c r="W562" s="23"/>
      <c r="X562" s="23"/>
      <c r="Y562" s="23"/>
      <c r="Z562" s="23"/>
    </row>
    <row r="563">
      <c r="A563" s="2"/>
      <c r="B563" s="2"/>
      <c r="C563" s="2"/>
      <c r="D563" s="2"/>
      <c r="E563" s="2"/>
      <c r="F563" s="2"/>
      <c r="G563" s="2"/>
      <c r="H563" s="2"/>
      <c r="I563" s="2"/>
      <c r="J563" s="2"/>
      <c r="K563" s="2"/>
      <c r="L563" s="2"/>
      <c r="M563" s="2"/>
      <c r="N563" s="2"/>
      <c r="O563" s="2"/>
      <c r="P563" s="2"/>
      <c r="Q563" s="23"/>
      <c r="R563" s="23"/>
      <c r="S563" s="23"/>
      <c r="T563" s="23"/>
      <c r="U563" s="23"/>
      <c r="V563" s="23"/>
      <c r="W563" s="23"/>
      <c r="X563" s="23"/>
      <c r="Y563" s="23"/>
      <c r="Z563" s="23"/>
    </row>
    <row r="564">
      <c r="A564" s="2"/>
      <c r="B564" s="2"/>
      <c r="C564" s="2"/>
      <c r="D564" s="2"/>
      <c r="E564" s="2"/>
      <c r="F564" s="2"/>
      <c r="G564" s="2"/>
      <c r="H564" s="2"/>
      <c r="I564" s="2"/>
      <c r="J564" s="2"/>
      <c r="K564" s="2"/>
      <c r="L564" s="2"/>
      <c r="M564" s="2"/>
      <c r="N564" s="2"/>
      <c r="O564" s="2"/>
      <c r="P564" s="2"/>
      <c r="Q564" s="23"/>
      <c r="R564" s="23"/>
      <c r="S564" s="23"/>
      <c r="T564" s="23"/>
      <c r="U564" s="23"/>
      <c r="V564" s="23"/>
      <c r="W564" s="23"/>
      <c r="X564" s="23"/>
      <c r="Y564" s="23"/>
      <c r="Z564" s="23"/>
    </row>
    <row r="565">
      <c r="A565" s="2"/>
      <c r="B565" s="2"/>
      <c r="C565" s="2"/>
      <c r="D565" s="2"/>
      <c r="E565" s="2"/>
      <c r="F565" s="2"/>
      <c r="G565" s="2"/>
      <c r="H565" s="2"/>
      <c r="I565" s="2"/>
      <c r="J565" s="2"/>
      <c r="K565" s="2"/>
      <c r="L565" s="2"/>
      <c r="M565" s="2"/>
      <c r="N565" s="2"/>
      <c r="O565" s="2"/>
      <c r="P565" s="2"/>
      <c r="Q565" s="23"/>
      <c r="R565" s="23"/>
      <c r="S565" s="23"/>
      <c r="T565" s="23"/>
      <c r="U565" s="23"/>
      <c r="V565" s="23"/>
      <c r="W565" s="23"/>
      <c r="X565" s="23"/>
      <c r="Y565" s="23"/>
      <c r="Z565" s="23"/>
    </row>
    <row r="566">
      <c r="A566" s="2"/>
      <c r="B566" s="2"/>
      <c r="C566" s="2"/>
      <c r="D566" s="2"/>
      <c r="E566" s="2"/>
      <c r="F566" s="2"/>
      <c r="G566" s="2"/>
      <c r="H566" s="2"/>
      <c r="I566" s="2"/>
      <c r="J566" s="2"/>
      <c r="K566" s="2"/>
      <c r="L566" s="2"/>
      <c r="M566" s="2"/>
      <c r="N566" s="2"/>
      <c r="O566" s="2"/>
      <c r="P566" s="2"/>
      <c r="Q566" s="23"/>
      <c r="R566" s="23"/>
      <c r="S566" s="23"/>
      <c r="T566" s="23"/>
      <c r="U566" s="23"/>
      <c r="V566" s="23"/>
      <c r="W566" s="23"/>
      <c r="X566" s="23"/>
      <c r="Y566" s="23"/>
      <c r="Z566" s="23"/>
    </row>
    <row r="567">
      <c r="A567" s="2"/>
      <c r="B567" s="2"/>
      <c r="C567" s="2"/>
      <c r="D567" s="2"/>
      <c r="E567" s="2"/>
      <c r="F567" s="2"/>
      <c r="G567" s="2"/>
      <c r="H567" s="2"/>
      <c r="I567" s="2"/>
      <c r="J567" s="2"/>
      <c r="K567" s="2"/>
      <c r="L567" s="2"/>
      <c r="M567" s="2"/>
      <c r="N567" s="2"/>
      <c r="O567" s="2"/>
      <c r="P567" s="2"/>
      <c r="Q567" s="23"/>
      <c r="R567" s="23"/>
      <c r="S567" s="23"/>
      <c r="T567" s="23"/>
      <c r="U567" s="23"/>
      <c r="V567" s="23"/>
      <c r="W567" s="23"/>
      <c r="X567" s="23"/>
      <c r="Y567" s="23"/>
      <c r="Z567" s="23"/>
    </row>
    <row r="568">
      <c r="A568" s="2"/>
      <c r="B568" s="2"/>
      <c r="C568" s="2"/>
      <c r="D568" s="2"/>
      <c r="E568" s="2"/>
      <c r="F568" s="2"/>
      <c r="G568" s="2"/>
      <c r="H568" s="2"/>
      <c r="I568" s="2"/>
      <c r="J568" s="2"/>
      <c r="K568" s="2"/>
      <c r="L568" s="2"/>
      <c r="M568" s="2"/>
      <c r="N568" s="2"/>
      <c r="O568" s="2"/>
      <c r="P568" s="2"/>
      <c r="Q568" s="23"/>
      <c r="R568" s="23"/>
      <c r="S568" s="23"/>
      <c r="T568" s="23"/>
      <c r="U568" s="23"/>
      <c r="V568" s="23"/>
      <c r="W568" s="23"/>
      <c r="X568" s="23"/>
      <c r="Y568" s="23"/>
      <c r="Z568" s="23"/>
    </row>
    <row r="569">
      <c r="A569" s="2"/>
      <c r="B569" s="2"/>
      <c r="C569" s="2"/>
      <c r="D569" s="2"/>
      <c r="E569" s="2"/>
      <c r="F569" s="2"/>
      <c r="G569" s="2"/>
      <c r="H569" s="2"/>
      <c r="I569" s="2"/>
      <c r="J569" s="2"/>
      <c r="K569" s="2"/>
      <c r="L569" s="2"/>
      <c r="M569" s="2"/>
      <c r="N569" s="2"/>
      <c r="O569" s="2"/>
      <c r="P569" s="2"/>
      <c r="Q569" s="23"/>
      <c r="R569" s="23"/>
      <c r="S569" s="23"/>
      <c r="T569" s="23"/>
      <c r="U569" s="23"/>
      <c r="V569" s="23"/>
      <c r="W569" s="23"/>
      <c r="X569" s="23"/>
      <c r="Y569" s="23"/>
      <c r="Z569" s="23"/>
    </row>
    <row r="570">
      <c r="A570" s="2"/>
      <c r="B570" s="2"/>
      <c r="C570" s="2"/>
      <c r="D570" s="2"/>
      <c r="E570" s="2"/>
      <c r="F570" s="2"/>
      <c r="G570" s="2"/>
      <c r="H570" s="2"/>
      <c r="I570" s="2"/>
      <c r="J570" s="2"/>
      <c r="K570" s="2"/>
      <c r="L570" s="2"/>
      <c r="M570" s="2"/>
      <c r="N570" s="2"/>
      <c r="O570" s="2"/>
      <c r="P570" s="2"/>
      <c r="Q570" s="23"/>
      <c r="R570" s="23"/>
      <c r="S570" s="23"/>
      <c r="T570" s="23"/>
      <c r="U570" s="23"/>
      <c r="V570" s="23"/>
      <c r="W570" s="23"/>
      <c r="X570" s="23"/>
      <c r="Y570" s="23"/>
      <c r="Z570" s="23"/>
    </row>
    <row r="571">
      <c r="A571" s="2"/>
      <c r="B571" s="2"/>
      <c r="C571" s="2"/>
      <c r="D571" s="2"/>
      <c r="E571" s="2"/>
      <c r="F571" s="2"/>
      <c r="G571" s="2"/>
      <c r="H571" s="2"/>
      <c r="I571" s="2"/>
      <c r="J571" s="2"/>
      <c r="K571" s="2"/>
      <c r="L571" s="2"/>
      <c r="M571" s="2"/>
      <c r="N571" s="2"/>
      <c r="O571" s="2"/>
      <c r="P571" s="2"/>
      <c r="Q571" s="23"/>
      <c r="R571" s="23"/>
      <c r="S571" s="23"/>
      <c r="T571" s="23"/>
      <c r="U571" s="23"/>
      <c r="V571" s="23"/>
      <c r="W571" s="23"/>
      <c r="X571" s="23"/>
      <c r="Y571" s="23"/>
      <c r="Z571" s="23"/>
    </row>
    <row r="572">
      <c r="A572" s="2"/>
      <c r="B572" s="2"/>
      <c r="C572" s="2"/>
      <c r="D572" s="2"/>
      <c r="E572" s="2"/>
      <c r="F572" s="2"/>
      <c r="G572" s="2"/>
      <c r="H572" s="2"/>
      <c r="I572" s="2"/>
      <c r="J572" s="2"/>
      <c r="K572" s="2"/>
      <c r="L572" s="2"/>
      <c r="M572" s="2"/>
      <c r="N572" s="2"/>
      <c r="O572" s="2"/>
      <c r="P572" s="2"/>
      <c r="Q572" s="23"/>
      <c r="R572" s="23"/>
      <c r="S572" s="23"/>
      <c r="T572" s="23"/>
      <c r="U572" s="23"/>
      <c r="V572" s="23"/>
      <c r="W572" s="23"/>
      <c r="X572" s="23"/>
      <c r="Y572" s="23"/>
      <c r="Z572" s="23"/>
    </row>
    <row r="573">
      <c r="A573" s="2"/>
      <c r="B573" s="2"/>
      <c r="C573" s="2"/>
      <c r="D573" s="2"/>
      <c r="E573" s="2"/>
      <c r="F573" s="2"/>
      <c r="G573" s="2"/>
      <c r="H573" s="2"/>
      <c r="I573" s="2"/>
      <c r="J573" s="2"/>
      <c r="K573" s="2"/>
      <c r="L573" s="2"/>
      <c r="M573" s="2"/>
      <c r="N573" s="2"/>
      <c r="O573" s="2"/>
      <c r="P573" s="2"/>
      <c r="Q573" s="23"/>
      <c r="R573" s="23"/>
      <c r="S573" s="23"/>
      <c r="T573" s="23"/>
      <c r="U573" s="23"/>
      <c r="V573" s="23"/>
      <c r="W573" s="23"/>
      <c r="X573" s="23"/>
      <c r="Y573" s="23"/>
      <c r="Z573" s="23"/>
    </row>
    <row r="574">
      <c r="A574" s="2"/>
      <c r="B574" s="2"/>
      <c r="C574" s="2"/>
      <c r="D574" s="2"/>
      <c r="E574" s="2"/>
      <c r="F574" s="2"/>
      <c r="G574" s="2"/>
      <c r="H574" s="2"/>
      <c r="I574" s="2"/>
      <c r="J574" s="2"/>
      <c r="K574" s="2"/>
      <c r="L574" s="2"/>
      <c r="M574" s="2"/>
      <c r="N574" s="2"/>
      <c r="O574" s="2"/>
      <c r="P574" s="2"/>
      <c r="Q574" s="23"/>
      <c r="R574" s="23"/>
      <c r="S574" s="23"/>
      <c r="T574" s="23"/>
      <c r="U574" s="23"/>
      <c r="V574" s="23"/>
      <c r="W574" s="23"/>
      <c r="X574" s="23"/>
      <c r="Y574" s="23"/>
      <c r="Z574" s="23"/>
    </row>
    <row r="575">
      <c r="A575" s="2"/>
      <c r="B575" s="2"/>
      <c r="C575" s="2"/>
      <c r="D575" s="2"/>
      <c r="E575" s="2"/>
      <c r="F575" s="2"/>
      <c r="G575" s="2"/>
      <c r="H575" s="2"/>
      <c r="I575" s="2"/>
      <c r="J575" s="2"/>
      <c r="K575" s="2"/>
      <c r="L575" s="2"/>
      <c r="M575" s="2"/>
      <c r="N575" s="2"/>
      <c r="O575" s="2"/>
      <c r="P575" s="2"/>
      <c r="Q575" s="23"/>
      <c r="R575" s="23"/>
      <c r="S575" s="23"/>
      <c r="T575" s="23"/>
      <c r="U575" s="23"/>
      <c r="V575" s="23"/>
      <c r="W575" s="23"/>
      <c r="X575" s="23"/>
      <c r="Y575" s="23"/>
      <c r="Z575" s="23"/>
    </row>
    <row r="576">
      <c r="A576" s="2"/>
      <c r="B576" s="2"/>
      <c r="C576" s="2"/>
      <c r="D576" s="2"/>
      <c r="E576" s="2"/>
      <c r="F576" s="2"/>
      <c r="G576" s="2"/>
      <c r="H576" s="2"/>
      <c r="I576" s="2"/>
      <c r="J576" s="2"/>
      <c r="K576" s="2"/>
      <c r="L576" s="2"/>
      <c r="M576" s="2"/>
      <c r="N576" s="2"/>
      <c r="O576" s="2"/>
      <c r="P576" s="2"/>
      <c r="Q576" s="23"/>
      <c r="R576" s="23"/>
      <c r="S576" s="23"/>
      <c r="T576" s="23"/>
      <c r="U576" s="23"/>
      <c r="V576" s="23"/>
      <c r="W576" s="23"/>
      <c r="X576" s="23"/>
      <c r="Y576" s="23"/>
      <c r="Z576" s="23"/>
    </row>
    <row r="577">
      <c r="A577" s="2"/>
      <c r="B577" s="2"/>
      <c r="C577" s="2"/>
      <c r="D577" s="2"/>
      <c r="E577" s="2"/>
      <c r="F577" s="2"/>
      <c r="G577" s="2"/>
      <c r="H577" s="2"/>
      <c r="I577" s="2"/>
      <c r="J577" s="2"/>
      <c r="K577" s="2"/>
      <c r="L577" s="2"/>
      <c r="M577" s="2"/>
      <c r="N577" s="2"/>
      <c r="O577" s="2"/>
      <c r="P577" s="2"/>
      <c r="Q577" s="23"/>
      <c r="R577" s="23"/>
      <c r="S577" s="23"/>
      <c r="T577" s="23"/>
      <c r="U577" s="23"/>
      <c r="V577" s="23"/>
      <c r="W577" s="23"/>
      <c r="X577" s="23"/>
      <c r="Y577" s="23"/>
      <c r="Z577" s="23"/>
    </row>
    <row r="578">
      <c r="A578" s="2"/>
      <c r="B578" s="2"/>
      <c r="C578" s="2"/>
      <c r="D578" s="2"/>
      <c r="E578" s="2"/>
      <c r="F578" s="2"/>
      <c r="G578" s="2"/>
      <c r="H578" s="2"/>
      <c r="I578" s="2"/>
      <c r="J578" s="2"/>
      <c r="K578" s="2"/>
      <c r="L578" s="2"/>
      <c r="M578" s="2"/>
      <c r="N578" s="2"/>
      <c r="O578" s="2"/>
      <c r="P578" s="2"/>
      <c r="Q578" s="23"/>
      <c r="R578" s="23"/>
      <c r="S578" s="23"/>
      <c r="T578" s="23"/>
      <c r="U578" s="23"/>
      <c r="V578" s="23"/>
      <c r="W578" s="23"/>
      <c r="X578" s="23"/>
      <c r="Y578" s="23"/>
      <c r="Z578" s="23"/>
    </row>
    <row r="579">
      <c r="A579" s="2"/>
      <c r="B579" s="2"/>
      <c r="C579" s="2"/>
      <c r="D579" s="2"/>
      <c r="E579" s="2"/>
      <c r="F579" s="2"/>
      <c r="G579" s="2"/>
      <c r="H579" s="2"/>
      <c r="I579" s="2"/>
      <c r="J579" s="2"/>
      <c r="K579" s="2"/>
      <c r="L579" s="2"/>
      <c r="M579" s="2"/>
      <c r="N579" s="2"/>
      <c r="O579" s="2"/>
      <c r="P579" s="2"/>
      <c r="Q579" s="23"/>
      <c r="R579" s="23"/>
      <c r="S579" s="23"/>
      <c r="T579" s="23"/>
      <c r="U579" s="23"/>
      <c r="V579" s="23"/>
      <c r="W579" s="23"/>
      <c r="X579" s="23"/>
      <c r="Y579" s="23"/>
      <c r="Z579" s="23"/>
    </row>
    <row r="580">
      <c r="A580" s="2"/>
      <c r="B580" s="2"/>
      <c r="C580" s="2"/>
      <c r="D580" s="2"/>
      <c r="E580" s="2"/>
      <c r="F580" s="2"/>
      <c r="G580" s="2"/>
      <c r="H580" s="2"/>
      <c r="I580" s="2"/>
      <c r="J580" s="2"/>
      <c r="K580" s="2"/>
      <c r="L580" s="2"/>
      <c r="M580" s="2"/>
      <c r="N580" s="2"/>
      <c r="O580" s="2"/>
      <c r="P580" s="2"/>
      <c r="Q580" s="23"/>
      <c r="R580" s="23"/>
      <c r="S580" s="23"/>
      <c r="T580" s="23"/>
      <c r="U580" s="23"/>
      <c r="V580" s="23"/>
      <c r="W580" s="23"/>
      <c r="X580" s="23"/>
      <c r="Y580" s="23"/>
      <c r="Z580" s="23"/>
    </row>
    <row r="581">
      <c r="A581" s="2"/>
      <c r="B581" s="2"/>
      <c r="C581" s="2"/>
      <c r="D581" s="2"/>
      <c r="E581" s="2"/>
      <c r="F581" s="2"/>
      <c r="G581" s="2"/>
      <c r="H581" s="2"/>
      <c r="I581" s="2"/>
      <c r="J581" s="2"/>
      <c r="K581" s="2"/>
      <c r="L581" s="2"/>
      <c r="M581" s="2"/>
      <c r="N581" s="2"/>
      <c r="O581" s="2"/>
      <c r="P581" s="2"/>
      <c r="Q581" s="23"/>
      <c r="R581" s="23"/>
      <c r="S581" s="23"/>
      <c r="T581" s="23"/>
      <c r="U581" s="23"/>
      <c r="V581" s="23"/>
      <c r="W581" s="23"/>
      <c r="X581" s="23"/>
      <c r="Y581" s="23"/>
      <c r="Z581" s="23"/>
    </row>
    <row r="582">
      <c r="A582" s="2"/>
      <c r="B582" s="2"/>
      <c r="C582" s="2"/>
      <c r="D582" s="2"/>
      <c r="E582" s="2"/>
      <c r="F582" s="2"/>
      <c r="G582" s="2"/>
      <c r="H582" s="2"/>
      <c r="I582" s="2"/>
      <c r="J582" s="2"/>
      <c r="K582" s="2"/>
      <c r="L582" s="2"/>
      <c r="M582" s="2"/>
      <c r="N582" s="2"/>
      <c r="O582" s="2"/>
      <c r="P582" s="2"/>
      <c r="Q582" s="23"/>
      <c r="R582" s="23"/>
      <c r="S582" s="23"/>
      <c r="T582" s="23"/>
      <c r="U582" s="23"/>
      <c r="V582" s="23"/>
      <c r="W582" s="23"/>
      <c r="X582" s="23"/>
      <c r="Y582" s="23"/>
      <c r="Z582" s="23"/>
    </row>
    <row r="583">
      <c r="A583" s="2"/>
      <c r="B583" s="2"/>
      <c r="C583" s="2"/>
      <c r="D583" s="2"/>
      <c r="E583" s="2"/>
      <c r="F583" s="2"/>
      <c r="G583" s="2"/>
      <c r="H583" s="2"/>
      <c r="I583" s="2"/>
      <c r="J583" s="2"/>
      <c r="K583" s="2"/>
      <c r="L583" s="2"/>
      <c r="M583" s="2"/>
      <c r="N583" s="2"/>
      <c r="O583" s="2"/>
      <c r="P583" s="2"/>
      <c r="Q583" s="23"/>
      <c r="R583" s="23"/>
      <c r="S583" s="23"/>
      <c r="T583" s="23"/>
      <c r="U583" s="23"/>
      <c r="V583" s="23"/>
      <c r="W583" s="23"/>
      <c r="X583" s="23"/>
      <c r="Y583" s="23"/>
      <c r="Z583" s="23"/>
    </row>
    <row r="584">
      <c r="A584" s="2"/>
      <c r="B584" s="2"/>
      <c r="C584" s="2"/>
      <c r="D584" s="2"/>
      <c r="E584" s="2"/>
      <c r="F584" s="2"/>
      <c r="G584" s="2"/>
      <c r="H584" s="2"/>
      <c r="I584" s="2"/>
      <c r="J584" s="2"/>
      <c r="K584" s="2"/>
      <c r="L584" s="2"/>
      <c r="M584" s="2"/>
      <c r="N584" s="2"/>
      <c r="O584" s="2"/>
      <c r="P584" s="2"/>
      <c r="Q584" s="23"/>
      <c r="R584" s="23"/>
      <c r="S584" s="23"/>
      <c r="T584" s="23"/>
      <c r="U584" s="23"/>
      <c r="V584" s="23"/>
      <c r="W584" s="23"/>
      <c r="X584" s="23"/>
      <c r="Y584" s="23"/>
      <c r="Z584" s="23"/>
    </row>
    <row r="585">
      <c r="A585" s="2"/>
      <c r="B585" s="2"/>
      <c r="C585" s="2"/>
      <c r="D585" s="2"/>
      <c r="E585" s="2"/>
      <c r="F585" s="2"/>
      <c r="G585" s="2"/>
      <c r="H585" s="2"/>
      <c r="I585" s="2"/>
      <c r="J585" s="2"/>
      <c r="K585" s="2"/>
      <c r="L585" s="2"/>
      <c r="M585" s="2"/>
      <c r="N585" s="2"/>
      <c r="O585" s="2"/>
      <c r="P585" s="2"/>
      <c r="Q585" s="23"/>
      <c r="R585" s="23"/>
      <c r="S585" s="23"/>
      <c r="T585" s="23"/>
      <c r="U585" s="23"/>
      <c r="V585" s="23"/>
      <c r="W585" s="23"/>
      <c r="X585" s="23"/>
      <c r="Y585" s="23"/>
      <c r="Z585" s="23"/>
    </row>
    <row r="586">
      <c r="A586" s="2"/>
      <c r="B586" s="2"/>
      <c r="C586" s="2"/>
      <c r="D586" s="2"/>
      <c r="E586" s="2"/>
      <c r="F586" s="2"/>
      <c r="G586" s="2"/>
      <c r="H586" s="2"/>
      <c r="I586" s="2"/>
      <c r="J586" s="2"/>
      <c r="K586" s="2"/>
      <c r="L586" s="2"/>
      <c r="M586" s="2"/>
      <c r="N586" s="2"/>
      <c r="O586" s="2"/>
      <c r="P586" s="2"/>
      <c r="Q586" s="23"/>
      <c r="R586" s="23"/>
      <c r="S586" s="23"/>
      <c r="T586" s="23"/>
      <c r="U586" s="23"/>
      <c r="V586" s="23"/>
      <c r="W586" s="23"/>
      <c r="X586" s="23"/>
      <c r="Y586" s="23"/>
      <c r="Z586" s="23"/>
    </row>
    <row r="587">
      <c r="A587" s="2"/>
      <c r="B587" s="2"/>
      <c r="C587" s="2"/>
      <c r="D587" s="2"/>
      <c r="E587" s="2"/>
      <c r="F587" s="2"/>
      <c r="G587" s="2"/>
      <c r="H587" s="2"/>
      <c r="I587" s="2"/>
      <c r="J587" s="2"/>
      <c r="K587" s="2"/>
      <c r="L587" s="2"/>
      <c r="M587" s="2"/>
      <c r="N587" s="2"/>
      <c r="O587" s="2"/>
      <c r="P587" s="2"/>
      <c r="Q587" s="23"/>
      <c r="R587" s="23"/>
      <c r="S587" s="23"/>
      <c r="T587" s="23"/>
      <c r="U587" s="23"/>
      <c r="V587" s="23"/>
      <c r="W587" s="23"/>
      <c r="X587" s="23"/>
      <c r="Y587" s="23"/>
      <c r="Z587" s="23"/>
    </row>
    <row r="588">
      <c r="A588" s="2"/>
      <c r="B588" s="2"/>
      <c r="C588" s="2"/>
      <c r="D588" s="2"/>
      <c r="E588" s="2"/>
      <c r="F588" s="2"/>
      <c r="G588" s="2"/>
      <c r="H588" s="2"/>
      <c r="I588" s="2"/>
      <c r="J588" s="2"/>
      <c r="K588" s="2"/>
      <c r="L588" s="2"/>
      <c r="M588" s="2"/>
      <c r="N588" s="2"/>
      <c r="O588" s="2"/>
      <c r="P588" s="2"/>
      <c r="Q588" s="23"/>
      <c r="R588" s="23"/>
      <c r="S588" s="23"/>
      <c r="T588" s="23"/>
      <c r="U588" s="23"/>
      <c r="V588" s="23"/>
      <c r="W588" s="23"/>
      <c r="X588" s="23"/>
      <c r="Y588" s="23"/>
      <c r="Z588" s="23"/>
    </row>
    <row r="589">
      <c r="A589" s="2"/>
      <c r="B589" s="2"/>
      <c r="C589" s="2"/>
      <c r="D589" s="2"/>
      <c r="E589" s="2"/>
      <c r="F589" s="2"/>
      <c r="G589" s="2"/>
      <c r="H589" s="2"/>
      <c r="I589" s="2"/>
      <c r="J589" s="2"/>
      <c r="K589" s="2"/>
      <c r="L589" s="2"/>
      <c r="M589" s="2"/>
      <c r="N589" s="2"/>
      <c r="O589" s="2"/>
      <c r="P589" s="2"/>
      <c r="Q589" s="23"/>
      <c r="R589" s="23"/>
      <c r="S589" s="23"/>
      <c r="T589" s="23"/>
      <c r="U589" s="23"/>
      <c r="V589" s="23"/>
      <c r="W589" s="23"/>
      <c r="X589" s="23"/>
      <c r="Y589" s="23"/>
      <c r="Z589" s="23"/>
    </row>
    <row r="590">
      <c r="A590" s="2"/>
      <c r="B590" s="2"/>
      <c r="C590" s="2"/>
      <c r="D590" s="2"/>
      <c r="E590" s="2"/>
      <c r="F590" s="2"/>
      <c r="G590" s="2"/>
      <c r="H590" s="2"/>
      <c r="I590" s="2"/>
      <c r="J590" s="2"/>
      <c r="K590" s="2"/>
      <c r="L590" s="2"/>
      <c r="M590" s="2"/>
      <c r="N590" s="2"/>
      <c r="O590" s="2"/>
      <c r="P590" s="2"/>
      <c r="Q590" s="23"/>
      <c r="R590" s="23"/>
      <c r="S590" s="23"/>
      <c r="T590" s="23"/>
      <c r="U590" s="23"/>
      <c r="V590" s="23"/>
      <c r="W590" s="23"/>
      <c r="X590" s="23"/>
      <c r="Y590" s="23"/>
      <c r="Z590" s="23"/>
    </row>
    <row r="591">
      <c r="A591" s="2"/>
      <c r="B591" s="2"/>
      <c r="C591" s="2"/>
      <c r="D591" s="2"/>
      <c r="E591" s="2"/>
      <c r="F591" s="2"/>
      <c r="G591" s="2"/>
      <c r="H591" s="2"/>
      <c r="I591" s="2"/>
      <c r="J591" s="2"/>
      <c r="K591" s="2"/>
      <c r="L591" s="2"/>
      <c r="M591" s="2"/>
      <c r="N591" s="2"/>
      <c r="O591" s="2"/>
      <c r="P591" s="2"/>
      <c r="Q591" s="23"/>
      <c r="R591" s="23"/>
      <c r="S591" s="23"/>
      <c r="T591" s="23"/>
      <c r="U591" s="23"/>
      <c r="V591" s="23"/>
      <c r="W591" s="23"/>
      <c r="X591" s="23"/>
      <c r="Y591" s="23"/>
      <c r="Z591" s="23"/>
    </row>
    <row r="592">
      <c r="A592" s="2"/>
      <c r="B592" s="2"/>
      <c r="C592" s="2"/>
      <c r="D592" s="2"/>
      <c r="E592" s="2"/>
      <c r="F592" s="2"/>
      <c r="G592" s="2"/>
      <c r="H592" s="2"/>
      <c r="I592" s="2"/>
      <c r="J592" s="2"/>
      <c r="K592" s="2"/>
      <c r="L592" s="2"/>
      <c r="M592" s="2"/>
      <c r="N592" s="2"/>
      <c r="O592" s="2"/>
      <c r="P592" s="2"/>
      <c r="Q592" s="23"/>
      <c r="R592" s="23"/>
      <c r="S592" s="23"/>
      <c r="T592" s="23"/>
      <c r="U592" s="23"/>
      <c r="V592" s="23"/>
      <c r="W592" s="23"/>
      <c r="X592" s="23"/>
      <c r="Y592" s="23"/>
      <c r="Z592" s="23"/>
    </row>
    <row r="593">
      <c r="A593" s="2"/>
      <c r="B593" s="2"/>
      <c r="C593" s="2"/>
      <c r="D593" s="2"/>
      <c r="E593" s="2"/>
      <c r="F593" s="2"/>
      <c r="G593" s="2"/>
      <c r="H593" s="2"/>
      <c r="I593" s="2"/>
      <c r="J593" s="2"/>
      <c r="K593" s="2"/>
      <c r="L593" s="2"/>
      <c r="M593" s="2"/>
      <c r="N593" s="2"/>
      <c r="O593" s="2"/>
      <c r="P593" s="2"/>
      <c r="Q593" s="23"/>
      <c r="R593" s="23"/>
      <c r="S593" s="23"/>
      <c r="T593" s="23"/>
      <c r="U593" s="23"/>
      <c r="V593" s="23"/>
      <c r="W593" s="23"/>
      <c r="X593" s="23"/>
      <c r="Y593" s="23"/>
      <c r="Z593" s="23"/>
    </row>
    <row r="594">
      <c r="A594" s="2"/>
      <c r="B594" s="2"/>
      <c r="C594" s="2"/>
      <c r="D594" s="2"/>
      <c r="E594" s="2"/>
      <c r="F594" s="2"/>
      <c r="G594" s="2"/>
      <c r="H594" s="2"/>
      <c r="I594" s="2"/>
      <c r="J594" s="2"/>
      <c r="K594" s="2"/>
      <c r="L594" s="2"/>
      <c r="M594" s="2"/>
      <c r="N594" s="2"/>
      <c r="O594" s="2"/>
      <c r="P594" s="2"/>
      <c r="Q594" s="23"/>
      <c r="R594" s="23"/>
      <c r="S594" s="23"/>
      <c r="T594" s="23"/>
      <c r="U594" s="23"/>
      <c r="V594" s="23"/>
      <c r="W594" s="23"/>
      <c r="X594" s="23"/>
      <c r="Y594" s="23"/>
      <c r="Z594" s="23"/>
    </row>
    <row r="595">
      <c r="A595" s="2"/>
      <c r="B595" s="2"/>
      <c r="C595" s="2"/>
      <c r="D595" s="2"/>
      <c r="E595" s="2"/>
      <c r="F595" s="2"/>
      <c r="G595" s="2"/>
      <c r="H595" s="2"/>
      <c r="I595" s="2"/>
      <c r="J595" s="2"/>
      <c r="K595" s="2"/>
      <c r="L595" s="2"/>
      <c r="M595" s="2"/>
      <c r="N595" s="2"/>
      <c r="O595" s="2"/>
      <c r="P595" s="2"/>
      <c r="Q595" s="23"/>
      <c r="R595" s="23"/>
      <c r="S595" s="23"/>
      <c r="T595" s="23"/>
      <c r="U595" s="23"/>
      <c r="V595" s="23"/>
      <c r="W595" s="23"/>
      <c r="X595" s="23"/>
      <c r="Y595" s="23"/>
      <c r="Z595" s="23"/>
    </row>
    <row r="596">
      <c r="A596" s="2"/>
      <c r="B596" s="2"/>
      <c r="C596" s="2"/>
      <c r="D596" s="2"/>
      <c r="E596" s="2"/>
      <c r="F596" s="2"/>
      <c r="G596" s="2"/>
      <c r="H596" s="2"/>
      <c r="I596" s="2"/>
      <c r="J596" s="2"/>
      <c r="K596" s="2"/>
      <c r="L596" s="2"/>
      <c r="M596" s="2"/>
      <c r="N596" s="2"/>
      <c r="O596" s="2"/>
      <c r="P596" s="2"/>
      <c r="Q596" s="23"/>
      <c r="R596" s="23"/>
      <c r="S596" s="23"/>
      <c r="T596" s="23"/>
      <c r="U596" s="23"/>
      <c r="V596" s="23"/>
      <c r="W596" s="23"/>
      <c r="X596" s="23"/>
      <c r="Y596" s="23"/>
      <c r="Z596" s="23"/>
    </row>
    <row r="597">
      <c r="A597" s="2"/>
      <c r="B597" s="2"/>
      <c r="C597" s="2"/>
      <c r="D597" s="2"/>
      <c r="E597" s="2"/>
      <c r="F597" s="2"/>
      <c r="G597" s="2"/>
      <c r="H597" s="2"/>
      <c r="I597" s="2"/>
      <c r="J597" s="2"/>
      <c r="K597" s="2"/>
      <c r="L597" s="2"/>
      <c r="M597" s="2"/>
      <c r="N597" s="2"/>
      <c r="O597" s="2"/>
      <c r="P597" s="2"/>
      <c r="Q597" s="23"/>
      <c r="R597" s="23"/>
      <c r="S597" s="23"/>
      <c r="T597" s="23"/>
      <c r="U597" s="23"/>
      <c r="V597" s="23"/>
      <c r="W597" s="23"/>
      <c r="X597" s="23"/>
      <c r="Y597" s="23"/>
      <c r="Z597" s="23"/>
    </row>
    <row r="598">
      <c r="A598" s="2"/>
      <c r="B598" s="2"/>
      <c r="C598" s="2"/>
      <c r="D598" s="2"/>
      <c r="E598" s="2"/>
      <c r="F598" s="2"/>
      <c r="G598" s="2"/>
      <c r="H598" s="2"/>
      <c r="I598" s="2"/>
      <c r="J598" s="2"/>
      <c r="K598" s="2"/>
      <c r="L598" s="2"/>
      <c r="M598" s="2"/>
      <c r="N598" s="2"/>
      <c r="O598" s="2"/>
      <c r="P598" s="2"/>
      <c r="Q598" s="23"/>
      <c r="R598" s="23"/>
      <c r="S598" s="23"/>
      <c r="T598" s="23"/>
      <c r="U598" s="23"/>
      <c r="V598" s="23"/>
      <c r="W598" s="23"/>
      <c r="X598" s="23"/>
      <c r="Y598" s="23"/>
      <c r="Z598" s="23"/>
    </row>
    <row r="599">
      <c r="A599" s="2"/>
      <c r="B599" s="2"/>
      <c r="C599" s="2"/>
      <c r="D599" s="2"/>
      <c r="E599" s="2"/>
      <c r="F599" s="2"/>
      <c r="G599" s="2"/>
      <c r="H599" s="2"/>
      <c r="I599" s="2"/>
      <c r="J599" s="2"/>
      <c r="K599" s="2"/>
      <c r="L599" s="2"/>
      <c r="M599" s="2"/>
      <c r="N599" s="2"/>
      <c r="O599" s="2"/>
      <c r="P599" s="2"/>
      <c r="Q599" s="23"/>
      <c r="R599" s="23"/>
      <c r="S599" s="23"/>
      <c r="T599" s="23"/>
      <c r="U599" s="23"/>
      <c r="V599" s="23"/>
      <c r="W599" s="23"/>
      <c r="X599" s="23"/>
      <c r="Y599" s="23"/>
      <c r="Z599" s="23"/>
    </row>
    <row r="600">
      <c r="A600" s="2"/>
      <c r="B600" s="2"/>
      <c r="C600" s="2"/>
      <c r="D600" s="2"/>
      <c r="E600" s="2"/>
      <c r="F600" s="2"/>
      <c r="G600" s="2"/>
      <c r="H600" s="2"/>
      <c r="I600" s="2"/>
      <c r="J600" s="2"/>
      <c r="K600" s="2"/>
      <c r="L600" s="2"/>
      <c r="M600" s="2"/>
      <c r="N600" s="2"/>
      <c r="O600" s="2"/>
      <c r="P600" s="2"/>
      <c r="Q600" s="23"/>
      <c r="R600" s="23"/>
      <c r="S600" s="23"/>
      <c r="T600" s="23"/>
      <c r="U600" s="23"/>
      <c r="V600" s="23"/>
      <c r="W600" s="23"/>
      <c r="X600" s="23"/>
      <c r="Y600" s="23"/>
      <c r="Z600" s="23"/>
    </row>
    <row r="601">
      <c r="A601" s="2"/>
      <c r="B601" s="2"/>
      <c r="C601" s="2"/>
      <c r="D601" s="2"/>
      <c r="E601" s="2"/>
      <c r="F601" s="2"/>
      <c r="G601" s="2"/>
      <c r="H601" s="2"/>
      <c r="I601" s="2"/>
      <c r="J601" s="2"/>
      <c r="K601" s="2"/>
      <c r="L601" s="2"/>
      <c r="M601" s="2"/>
      <c r="N601" s="2"/>
      <c r="O601" s="2"/>
      <c r="P601" s="2"/>
      <c r="Q601" s="23"/>
      <c r="R601" s="23"/>
      <c r="S601" s="23"/>
      <c r="T601" s="23"/>
      <c r="U601" s="23"/>
      <c r="V601" s="23"/>
      <c r="W601" s="23"/>
      <c r="X601" s="23"/>
      <c r="Y601" s="23"/>
      <c r="Z601" s="23"/>
    </row>
    <row r="602">
      <c r="A602" s="2"/>
      <c r="B602" s="2"/>
      <c r="C602" s="2"/>
      <c r="D602" s="2"/>
      <c r="E602" s="2"/>
      <c r="F602" s="2"/>
      <c r="G602" s="2"/>
      <c r="H602" s="2"/>
      <c r="I602" s="2"/>
      <c r="J602" s="2"/>
      <c r="K602" s="2"/>
      <c r="L602" s="2"/>
      <c r="M602" s="2"/>
      <c r="N602" s="2"/>
      <c r="O602" s="2"/>
      <c r="P602" s="2"/>
      <c r="Q602" s="23"/>
      <c r="R602" s="23"/>
      <c r="S602" s="23"/>
      <c r="T602" s="23"/>
      <c r="U602" s="23"/>
      <c r="V602" s="23"/>
      <c r="W602" s="23"/>
      <c r="X602" s="23"/>
      <c r="Y602" s="23"/>
      <c r="Z602" s="23"/>
    </row>
    <row r="603">
      <c r="A603" s="2"/>
      <c r="B603" s="2"/>
      <c r="C603" s="2"/>
      <c r="D603" s="2"/>
      <c r="E603" s="2"/>
      <c r="F603" s="2"/>
      <c r="G603" s="2"/>
      <c r="H603" s="2"/>
      <c r="I603" s="2"/>
      <c r="J603" s="2"/>
      <c r="K603" s="2"/>
      <c r="L603" s="2"/>
      <c r="M603" s="2"/>
      <c r="N603" s="2"/>
      <c r="O603" s="2"/>
      <c r="P603" s="2"/>
      <c r="Q603" s="23"/>
      <c r="R603" s="23"/>
      <c r="S603" s="23"/>
      <c r="T603" s="23"/>
      <c r="U603" s="23"/>
      <c r="V603" s="23"/>
      <c r="W603" s="23"/>
      <c r="X603" s="23"/>
      <c r="Y603" s="23"/>
      <c r="Z603" s="23"/>
    </row>
    <row r="604">
      <c r="A604" s="2"/>
      <c r="B604" s="2"/>
      <c r="C604" s="2"/>
      <c r="D604" s="2"/>
      <c r="E604" s="2"/>
      <c r="F604" s="2"/>
      <c r="G604" s="2"/>
      <c r="H604" s="2"/>
      <c r="I604" s="2"/>
      <c r="J604" s="2"/>
      <c r="K604" s="2"/>
      <c r="L604" s="2"/>
      <c r="M604" s="2"/>
      <c r="N604" s="2"/>
      <c r="O604" s="2"/>
      <c r="P604" s="2"/>
      <c r="Q604" s="23"/>
      <c r="R604" s="23"/>
      <c r="S604" s="23"/>
      <c r="T604" s="23"/>
      <c r="U604" s="23"/>
      <c r="V604" s="23"/>
      <c r="W604" s="23"/>
      <c r="X604" s="23"/>
      <c r="Y604" s="23"/>
      <c r="Z604" s="23"/>
    </row>
    <row r="605">
      <c r="A605" s="2"/>
      <c r="B605" s="2"/>
      <c r="C605" s="2"/>
      <c r="D605" s="2"/>
      <c r="E605" s="2"/>
      <c r="F605" s="2"/>
      <c r="G605" s="2"/>
      <c r="H605" s="2"/>
      <c r="I605" s="2"/>
      <c r="J605" s="2"/>
      <c r="K605" s="2"/>
      <c r="L605" s="2"/>
      <c r="M605" s="2"/>
      <c r="N605" s="2"/>
      <c r="O605" s="2"/>
      <c r="P605" s="2"/>
      <c r="Q605" s="23"/>
      <c r="R605" s="23"/>
      <c r="S605" s="23"/>
      <c r="T605" s="23"/>
      <c r="U605" s="23"/>
      <c r="V605" s="23"/>
      <c r="W605" s="23"/>
      <c r="X605" s="23"/>
      <c r="Y605" s="23"/>
      <c r="Z605" s="23"/>
    </row>
    <row r="606">
      <c r="A606" s="2"/>
      <c r="B606" s="2"/>
      <c r="C606" s="2"/>
      <c r="D606" s="2"/>
      <c r="E606" s="2"/>
      <c r="F606" s="2"/>
      <c r="G606" s="2"/>
      <c r="H606" s="2"/>
      <c r="I606" s="2"/>
      <c r="J606" s="2"/>
      <c r="K606" s="2"/>
      <c r="L606" s="2"/>
      <c r="M606" s="2"/>
      <c r="N606" s="2"/>
      <c r="O606" s="2"/>
      <c r="P606" s="2"/>
      <c r="Q606" s="23"/>
      <c r="R606" s="23"/>
      <c r="S606" s="23"/>
      <c r="T606" s="23"/>
      <c r="U606" s="23"/>
      <c r="V606" s="23"/>
      <c r="W606" s="23"/>
      <c r="X606" s="23"/>
      <c r="Y606" s="23"/>
      <c r="Z606" s="23"/>
    </row>
    <row r="607">
      <c r="A607" s="2"/>
      <c r="B607" s="2"/>
      <c r="C607" s="2"/>
      <c r="D607" s="2"/>
      <c r="E607" s="2"/>
      <c r="F607" s="2"/>
      <c r="G607" s="2"/>
      <c r="H607" s="2"/>
      <c r="I607" s="2"/>
      <c r="J607" s="2"/>
      <c r="K607" s="2"/>
      <c r="L607" s="2"/>
      <c r="M607" s="2"/>
      <c r="N607" s="2"/>
      <c r="O607" s="2"/>
      <c r="P607" s="2"/>
      <c r="Q607" s="23"/>
      <c r="R607" s="23"/>
      <c r="S607" s="23"/>
      <c r="T607" s="23"/>
      <c r="U607" s="23"/>
      <c r="V607" s="23"/>
      <c r="W607" s="23"/>
      <c r="X607" s="23"/>
      <c r="Y607" s="23"/>
      <c r="Z607" s="23"/>
    </row>
    <row r="608">
      <c r="A608" s="2"/>
      <c r="B608" s="2"/>
      <c r="C608" s="2"/>
      <c r="D608" s="2"/>
      <c r="E608" s="2"/>
      <c r="F608" s="2"/>
      <c r="G608" s="2"/>
      <c r="H608" s="2"/>
      <c r="I608" s="2"/>
      <c r="J608" s="2"/>
      <c r="K608" s="2"/>
      <c r="L608" s="2"/>
      <c r="M608" s="2"/>
      <c r="N608" s="2"/>
      <c r="O608" s="2"/>
      <c r="P608" s="2"/>
      <c r="Q608" s="23"/>
      <c r="R608" s="23"/>
      <c r="S608" s="23"/>
      <c r="T608" s="23"/>
      <c r="U608" s="23"/>
      <c r="V608" s="23"/>
      <c r="W608" s="23"/>
      <c r="X608" s="23"/>
      <c r="Y608" s="23"/>
      <c r="Z608" s="23"/>
    </row>
    <row r="609">
      <c r="A609" s="2"/>
      <c r="B609" s="2"/>
      <c r="C609" s="2"/>
      <c r="D609" s="2"/>
      <c r="E609" s="2"/>
      <c r="F609" s="2"/>
      <c r="G609" s="2"/>
      <c r="H609" s="2"/>
      <c r="I609" s="2"/>
      <c r="J609" s="2"/>
      <c r="K609" s="2"/>
      <c r="L609" s="2"/>
      <c r="M609" s="2"/>
      <c r="N609" s="2"/>
      <c r="O609" s="2"/>
      <c r="P609" s="2"/>
      <c r="Q609" s="23"/>
      <c r="R609" s="23"/>
      <c r="S609" s="23"/>
      <c r="T609" s="23"/>
      <c r="U609" s="23"/>
      <c r="V609" s="23"/>
      <c r="W609" s="23"/>
      <c r="X609" s="23"/>
      <c r="Y609" s="23"/>
      <c r="Z609" s="23"/>
    </row>
    <row r="610">
      <c r="A610" s="2"/>
      <c r="B610" s="2"/>
      <c r="C610" s="2"/>
      <c r="D610" s="2"/>
      <c r="E610" s="2"/>
      <c r="F610" s="2"/>
      <c r="G610" s="2"/>
      <c r="H610" s="2"/>
      <c r="I610" s="2"/>
      <c r="J610" s="2"/>
      <c r="K610" s="2"/>
      <c r="L610" s="2"/>
      <c r="M610" s="2"/>
      <c r="N610" s="2"/>
      <c r="O610" s="2"/>
      <c r="P610" s="2"/>
      <c r="Q610" s="23"/>
      <c r="R610" s="23"/>
      <c r="S610" s="23"/>
      <c r="T610" s="23"/>
      <c r="U610" s="23"/>
      <c r="V610" s="23"/>
      <c r="W610" s="23"/>
      <c r="X610" s="23"/>
      <c r="Y610" s="23"/>
      <c r="Z610" s="23"/>
    </row>
    <row r="611">
      <c r="A611" s="2"/>
      <c r="B611" s="2"/>
      <c r="C611" s="2"/>
      <c r="D611" s="2"/>
      <c r="E611" s="2"/>
      <c r="F611" s="2"/>
      <c r="G611" s="2"/>
      <c r="H611" s="2"/>
      <c r="I611" s="2"/>
      <c r="J611" s="2"/>
      <c r="K611" s="2"/>
      <c r="L611" s="2"/>
      <c r="M611" s="2"/>
      <c r="N611" s="2"/>
      <c r="O611" s="2"/>
      <c r="P611" s="2"/>
      <c r="Q611" s="23"/>
      <c r="R611" s="23"/>
      <c r="S611" s="23"/>
      <c r="T611" s="23"/>
      <c r="U611" s="23"/>
      <c r="V611" s="23"/>
      <c r="W611" s="23"/>
      <c r="X611" s="23"/>
      <c r="Y611" s="23"/>
      <c r="Z611" s="23"/>
    </row>
    <row r="612">
      <c r="A612" s="2"/>
      <c r="B612" s="2"/>
      <c r="C612" s="2"/>
      <c r="D612" s="2"/>
      <c r="E612" s="2"/>
      <c r="F612" s="2"/>
      <c r="G612" s="2"/>
      <c r="H612" s="2"/>
      <c r="I612" s="2"/>
      <c r="J612" s="2"/>
      <c r="K612" s="2"/>
      <c r="L612" s="2"/>
      <c r="M612" s="2"/>
      <c r="N612" s="2"/>
      <c r="O612" s="2"/>
      <c r="P612" s="2"/>
      <c r="Q612" s="23"/>
      <c r="R612" s="23"/>
      <c r="S612" s="23"/>
      <c r="T612" s="23"/>
      <c r="U612" s="23"/>
      <c r="V612" s="23"/>
      <c r="W612" s="23"/>
      <c r="X612" s="23"/>
      <c r="Y612" s="23"/>
      <c r="Z612" s="23"/>
    </row>
    <row r="613">
      <c r="A613" s="2"/>
      <c r="B613" s="2"/>
      <c r="C613" s="2"/>
      <c r="D613" s="2"/>
      <c r="E613" s="2"/>
      <c r="F613" s="2"/>
      <c r="G613" s="2"/>
      <c r="H613" s="2"/>
      <c r="I613" s="2"/>
      <c r="J613" s="2"/>
      <c r="K613" s="2"/>
      <c r="L613" s="2"/>
      <c r="M613" s="2"/>
      <c r="N613" s="2"/>
      <c r="O613" s="2"/>
      <c r="P613" s="2"/>
      <c r="Q613" s="23"/>
      <c r="R613" s="23"/>
      <c r="S613" s="23"/>
      <c r="T613" s="23"/>
      <c r="U613" s="23"/>
      <c r="V613" s="23"/>
      <c r="W613" s="23"/>
      <c r="X613" s="23"/>
      <c r="Y613" s="23"/>
      <c r="Z613" s="23"/>
    </row>
    <row r="614">
      <c r="A614" s="2"/>
      <c r="B614" s="2"/>
      <c r="C614" s="2"/>
      <c r="D614" s="2"/>
      <c r="E614" s="2"/>
      <c r="F614" s="2"/>
      <c r="G614" s="2"/>
      <c r="H614" s="2"/>
      <c r="I614" s="2"/>
      <c r="J614" s="2"/>
      <c r="K614" s="2"/>
      <c r="L614" s="2"/>
      <c r="M614" s="2"/>
      <c r="N614" s="2"/>
      <c r="O614" s="2"/>
      <c r="P614" s="2"/>
      <c r="Q614" s="23"/>
      <c r="R614" s="23"/>
      <c r="S614" s="23"/>
      <c r="T614" s="23"/>
      <c r="U614" s="23"/>
      <c r="V614" s="23"/>
      <c r="W614" s="23"/>
      <c r="X614" s="23"/>
      <c r="Y614" s="23"/>
      <c r="Z614" s="23"/>
    </row>
    <row r="615">
      <c r="A615" s="2"/>
      <c r="B615" s="2"/>
      <c r="C615" s="2"/>
      <c r="D615" s="2"/>
      <c r="E615" s="2"/>
      <c r="F615" s="2"/>
      <c r="G615" s="2"/>
      <c r="H615" s="2"/>
      <c r="I615" s="2"/>
      <c r="J615" s="2"/>
      <c r="K615" s="2"/>
      <c r="L615" s="2"/>
      <c r="M615" s="2"/>
      <c r="N615" s="2"/>
      <c r="O615" s="2"/>
      <c r="P615" s="2"/>
      <c r="Q615" s="23"/>
      <c r="R615" s="23"/>
      <c r="S615" s="23"/>
      <c r="T615" s="23"/>
      <c r="U615" s="23"/>
      <c r="V615" s="23"/>
      <c r="W615" s="23"/>
      <c r="X615" s="23"/>
      <c r="Y615" s="23"/>
      <c r="Z615" s="23"/>
    </row>
    <row r="616">
      <c r="A616" s="2"/>
      <c r="B616" s="2"/>
      <c r="C616" s="2"/>
      <c r="D616" s="2"/>
      <c r="E616" s="2"/>
      <c r="F616" s="2"/>
      <c r="G616" s="2"/>
      <c r="H616" s="2"/>
      <c r="I616" s="2"/>
      <c r="J616" s="2"/>
      <c r="K616" s="2"/>
      <c r="L616" s="2"/>
      <c r="M616" s="2"/>
      <c r="N616" s="2"/>
      <c r="O616" s="2"/>
      <c r="P616" s="2"/>
      <c r="Q616" s="23"/>
      <c r="R616" s="23"/>
      <c r="S616" s="23"/>
      <c r="T616" s="23"/>
      <c r="U616" s="23"/>
      <c r="V616" s="23"/>
      <c r="W616" s="23"/>
      <c r="X616" s="23"/>
      <c r="Y616" s="23"/>
      <c r="Z616" s="23"/>
    </row>
    <row r="617">
      <c r="A617" s="2"/>
      <c r="B617" s="2"/>
      <c r="C617" s="2"/>
      <c r="D617" s="2"/>
      <c r="E617" s="2"/>
      <c r="F617" s="2"/>
      <c r="G617" s="2"/>
      <c r="H617" s="2"/>
      <c r="I617" s="2"/>
      <c r="J617" s="2"/>
      <c r="K617" s="2"/>
      <c r="L617" s="2"/>
      <c r="M617" s="2"/>
      <c r="N617" s="2"/>
      <c r="O617" s="2"/>
      <c r="P617" s="2"/>
      <c r="Q617" s="23"/>
      <c r="R617" s="23"/>
      <c r="S617" s="23"/>
      <c r="T617" s="23"/>
      <c r="U617" s="23"/>
      <c r="V617" s="23"/>
      <c r="W617" s="23"/>
      <c r="X617" s="23"/>
      <c r="Y617" s="23"/>
      <c r="Z617" s="23"/>
    </row>
    <row r="618">
      <c r="A618" s="2"/>
      <c r="B618" s="2"/>
      <c r="C618" s="2"/>
      <c r="D618" s="2"/>
      <c r="E618" s="2"/>
      <c r="F618" s="2"/>
      <c r="G618" s="2"/>
      <c r="H618" s="2"/>
      <c r="I618" s="2"/>
      <c r="J618" s="2"/>
      <c r="K618" s="2"/>
      <c r="L618" s="2"/>
      <c r="M618" s="2"/>
      <c r="N618" s="2"/>
      <c r="O618" s="2"/>
      <c r="P618" s="2"/>
      <c r="Q618" s="23"/>
      <c r="R618" s="23"/>
      <c r="S618" s="23"/>
      <c r="T618" s="23"/>
      <c r="U618" s="23"/>
      <c r="V618" s="23"/>
      <c r="W618" s="23"/>
      <c r="X618" s="23"/>
      <c r="Y618" s="23"/>
      <c r="Z618" s="23"/>
    </row>
    <row r="619">
      <c r="A619" s="2"/>
      <c r="B619" s="2"/>
      <c r="C619" s="2"/>
      <c r="D619" s="2"/>
      <c r="E619" s="2"/>
      <c r="F619" s="2"/>
      <c r="G619" s="2"/>
      <c r="H619" s="2"/>
      <c r="I619" s="2"/>
      <c r="J619" s="2"/>
      <c r="K619" s="2"/>
      <c r="L619" s="2"/>
      <c r="M619" s="2"/>
      <c r="N619" s="2"/>
      <c r="O619" s="2"/>
      <c r="P619" s="2"/>
      <c r="Q619" s="23"/>
      <c r="R619" s="23"/>
      <c r="S619" s="23"/>
      <c r="T619" s="23"/>
      <c r="U619" s="23"/>
      <c r="V619" s="23"/>
      <c r="W619" s="23"/>
      <c r="X619" s="23"/>
      <c r="Y619" s="23"/>
      <c r="Z619" s="23"/>
    </row>
    <row r="620">
      <c r="A620" s="2"/>
      <c r="B620" s="2"/>
      <c r="C620" s="2"/>
      <c r="D620" s="2"/>
      <c r="E620" s="2"/>
      <c r="F620" s="2"/>
      <c r="G620" s="2"/>
      <c r="H620" s="2"/>
      <c r="I620" s="2"/>
      <c r="J620" s="2"/>
      <c r="K620" s="2"/>
      <c r="L620" s="2"/>
      <c r="M620" s="2"/>
      <c r="N620" s="2"/>
      <c r="O620" s="2"/>
      <c r="P620" s="2"/>
      <c r="Q620" s="23"/>
      <c r="R620" s="23"/>
      <c r="S620" s="23"/>
      <c r="T620" s="23"/>
      <c r="U620" s="23"/>
      <c r="V620" s="23"/>
      <c r="W620" s="23"/>
      <c r="X620" s="23"/>
      <c r="Y620" s="23"/>
      <c r="Z620" s="23"/>
    </row>
    <row r="621">
      <c r="A621" s="2"/>
      <c r="B621" s="2"/>
      <c r="C621" s="2"/>
      <c r="D621" s="2"/>
      <c r="E621" s="2"/>
      <c r="F621" s="2"/>
      <c r="G621" s="2"/>
      <c r="H621" s="2"/>
      <c r="I621" s="2"/>
      <c r="J621" s="2"/>
      <c r="K621" s="2"/>
      <c r="L621" s="2"/>
      <c r="M621" s="2"/>
      <c r="N621" s="2"/>
      <c r="O621" s="2"/>
      <c r="P621" s="2"/>
      <c r="Q621" s="23"/>
      <c r="R621" s="23"/>
      <c r="S621" s="23"/>
      <c r="T621" s="23"/>
      <c r="U621" s="23"/>
      <c r="V621" s="23"/>
      <c r="W621" s="23"/>
      <c r="X621" s="23"/>
      <c r="Y621" s="23"/>
      <c r="Z621" s="23"/>
    </row>
    <row r="622">
      <c r="A622" s="2"/>
      <c r="B622" s="2"/>
      <c r="C622" s="2"/>
      <c r="D622" s="2"/>
      <c r="E622" s="2"/>
      <c r="F622" s="2"/>
      <c r="G622" s="2"/>
      <c r="H622" s="2"/>
      <c r="I622" s="2"/>
      <c r="J622" s="2"/>
      <c r="K622" s="2"/>
      <c r="L622" s="2"/>
      <c r="M622" s="2"/>
      <c r="N622" s="2"/>
      <c r="O622" s="2"/>
      <c r="P622" s="2"/>
      <c r="Q622" s="23"/>
      <c r="R622" s="23"/>
      <c r="S622" s="23"/>
      <c r="T622" s="23"/>
      <c r="U622" s="23"/>
      <c r="V622" s="23"/>
      <c r="W622" s="23"/>
      <c r="X622" s="23"/>
      <c r="Y622" s="23"/>
      <c r="Z622" s="23"/>
    </row>
    <row r="623">
      <c r="A623" s="2"/>
      <c r="B623" s="2"/>
      <c r="C623" s="2"/>
      <c r="D623" s="2"/>
      <c r="E623" s="2"/>
      <c r="F623" s="2"/>
      <c r="G623" s="2"/>
      <c r="H623" s="2"/>
      <c r="I623" s="2"/>
      <c r="J623" s="2"/>
      <c r="K623" s="2"/>
      <c r="L623" s="2"/>
      <c r="M623" s="2"/>
      <c r="N623" s="2"/>
      <c r="O623" s="2"/>
      <c r="P623" s="2"/>
      <c r="Q623" s="23"/>
      <c r="R623" s="23"/>
      <c r="S623" s="23"/>
      <c r="T623" s="23"/>
      <c r="U623" s="23"/>
      <c r="V623" s="23"/>
      <c r="W623" s="23"/>
      <c r="X623" s="23"/>
      <c r="Y623" s="23"/>
      <c r="Z623" s="23"/>
    </row>
    <row r="624">
      <c r="A624" s="2"/>
      <c r="B624" s="2"/>
      <c r="C624" s="2"/>
      <c r="D624" s="2"/>
      <c r="E624" s="2"/>
      <c r="F624" s="2"/>
      <c r="G624" s="2"/>
      <c r="H624" s="2"/>
      <c r="I624" s="2"/>
      <c r="J624" s="2"/>
      <c r="K624" s="2"/>
      <c r="L624" s="2"/>
      <c r="M624" s="2"/>
      <c r="N624" s="2"/>
      <c r="O624" s="2"/>
      <c r="P624" s="2"/>
      <c r="Q624" s="23"/>
      <c r="R624" s="23"/>
      <c r="S624" s="23"/>
      <c r="T624" s="23"/>
      <c r="U624" s="23"/>
      <c r="V624" s="23"/>
      <c r="W624" s="23"/>
      <c r="X624" s="23"/>
      <c r="Y624" s="23"/>
      <c r="Z624" s="23"/>
    </row>
    <row r="625">
      <c r="A625" s="2"/>
      <c r="B625" s="2"/>
      <c r="C625" s="2"/>
      <c r="D625" s="2"/>
      <c r="E625" s="2"/>
      <c r="F625" s="2"/>
      <c r="G625" s="2"/>
      <c r="H625" s="2"/>
      <c r="I625" s="2"/>
      <c r="J625" s="2"/>
      <c r="K625" s="2"/>
      <c r="L625" s="2"/>
      <c r="M625" s="2"/>
      <c r="N625" s="2"/>
      <c r="O625" s="2"/>
      <c r="P625" s="2"/>
      <c r="Q625" s="23"/>
      <c r="R625" s="23"/>
      <c r="S625" s="23"/>
      <c r="T625" s="23"/>
      <c r="U625" s="23"/>
      <c r="V625" s="23"/>
      <c r="W625" s="23"/>
      <c r="X625" s="23"/>
      <c r="Y625" s="23"/>
      <c r="Z625" s="23"/>
    </row>
    <row r="626">
      <c r="A626" s="2"/>
      <c r="B626" s="2"/>
      <c r="C626" s="2"/>
      <c r="D626" s="2"/>
      <c r="E626" s="2"/>
      <c r="F626" s="2"/>
      <c r="G626" s="2"/>
      <c r="H626" s="2"/>
      <c r="I626" s="2"/>
      <c r="J626" s="2"/>
      <c r="K626" s="2"/>
      <c r="L626" s="2"/>
      <c r="M626" s="2"/>
      <c r="N626" s="2"/>
      <c r="O626" s="2"/>
      <c r="P626" s="2"/>
      <c r="Q626" s="23"/>
      <c r="R626" s="23"/>
      <c r="S626" s="23"/>
      <c r="T626" s="23"/>
      <c r="U626" s="23"/>
      <c r="V626" s="23"/>
      <c r="W626" s="23"/>
      <c r="X626" s="23"/>
      <c r="Y626" s="23"/>
      <c r="Z626" s="23"/>
    </row>
    <row r="627">
      <c r="A627" s="2"/>
      <c r="B627" s="2"/>
      <c r="C627" s="2"/>
      <c r="D627" s="2"/>
      <c r="E627" s="2"/>
      <c r="F627" s="2"/>
      <c r="G627" s="2"/>
      <c r="H627" s="2"/>
      <c r="I627" s="2"/>
      <c r="J627" s="2"/>
      <c r="K627" s="2"/>
      <c r="L627" s="2"/>
      <c r="M627" s="2"/>
      <c r="N627" s="2"/>
      <c r="O627" s="2"/>
      <c r="P627" s="2"/>
      <c r="Q627" s="23"/>
      <c r="R627" s="23"/>
      <c r="S627" s="23"/>
      <c r="T627" s="23"/>
      <c r="U627" s="23"/>
      <c r="V627" s="23"/>
      <c r="W627" s="23"/>
      <c r="X627" s="23"/>
      <c r="Y627" s="23"/>
      <c r="Z627" s="23"/>
    </row>
    <row r="628">
      <c r="A628" s="2"/>
      <c r="B628" s="2"/>
      <c r="C628" s="2"/>
      <c r="D628" s="2"/>
      <c r="E628" s="2"/>
      <c r="F628" s="2"/>
      <c r="G628" s="2"/>
      <c r="H628" s="2"/>
      <c r="I628" s="2"/>
      <c r="J628" s="2"/>
      <c r="K628" s="2"/>
      <c r="L628" s="2"/>
      <c r="M628" s="2"/>
      <c r="N628" s="2"/>
      <c r="O628" s="2"/>
      <c r="P628" s="2"/>
      <c r="Q628" s="23"/>
      <c r="R628" s="23"/>
      <c r="S628" s="23"/>
      <c r="T628" s="23"/>
      <c r="U628" s="23"/>
      <c r="V628" s="23"/>
      <c r="W628" s="23"/>
      <c r="X628" s="23"/>
      <c r="Y628" s="23"/>
      <c r="Z628" s="23"/>
    </row>
    <row r="629">
      <c r="A629" s="2"/>
      <c r="B629" s="2"/>
      <c r="C629" s="2"/>
      <c r="D629" s="2"/>
      <c r="E629" s="2"/>
      <c r="F629" s="2"/>
      <c r="G629" s="2"/>
      <c r="H629" s="2"/>
      <c r="I629" s="2"/>
      <c r="J629" s="2"/>
      <c r="K629" s="2"/>
      <c r="L629" s="2"/>
      <c r="M629" s="2"/>
      <c r="N629" s="2"/>
      <c r="O629" s="2"/>
      <c r="P629" s="2"/>
      <c r="Q629" s="23"/>
      <c r="R629" s="23"/>
      <c r="S629" s="23"/>
      <c r="T629" s="23"/>
      <c r="U629" s="23"/>
      <c r="V629" s="23"/>
      <c r="W629" s="23"/>
      <c r="X629" s="23"/>
      <c r="Y629" s="23"/>
      <c r="Z629" s="23"/>
    </row>
    <row r="630">
      <c r="A630" s="2"/>
      <c r="B630" s="2"/>
      <c r="C630" s="2"/>
      <c r="D630" s="2"/>
      <c r="E630" s="2"/>
      <c r="F630" s="2"/>
      <c r="G630" s="2"/>
      <c r="H630" s="2"/>
      <c r="I630" s="2"/>
      <c r="J630" s="2"/>
      <c r="K630" s="2"/>
      <c r="L630" s="2"/>
      <c r="M630" s="2"/>
      <c r="N630" s="2"/>
      <c r="O630" s="2"/>
      <c r="P630" s="2"/>
      <c r="Q630" s="23"/>
      <c r="R630" s="23"/>
      <c r="S630" s="23"/>
      <c r="T630" s="23"/>
      <c r="U630" s="23"/>
      <c r="V630" s="23"/>
      <c r="W630" s="23"/>
      <c r="X630" s="23"/>
      <c r="Y630" s="23"/>
      <c r="Z630" s="23"/>
    </row>
    <row r="631">
      <c r="A631" s="2"/>
      <c r="B631" s="2"/>
      <c r="C631" s="2"/>
      <c r="D631" s="2"/>
      <c r="E631" s="2"/>
      <c r="F631" s="2"/>
      <c r="G631" s="2"/>
      <c r="H631" s="2"/>
      <c r="I631" s="2"/>
      <c r="J631" s="2"/>
      <c r="K631" s="2"/>
      <c r="L631" s="2"/>
      <c r="M631" s="2"/>
      <c r="N631" s="2"/>
      <c r="O631" s="2"/>
      <c r="P631" s="2"/>
      <c r="Q631" s="23"/>
      <c r="R631" s="23"/>
      <c r="S631" s="23"/>
      <c r="T631" s="23"/>
      <c r="U631" s="23"/>
      <c r="V631" s="23"/>
      <c r="W631" s="23"/>
      <c r="X631" s="23"/>
      <c r="Y631" s="23"/>
      <c r="Z631" s="23"/>
    </row>
    <row r="632">
      <c r="A632" s="2"/>
      <c r="B632" s="2"/>
      <c r="C632" s="2"/>
      <c r="D632" s="2"/>
      <c r="E632" s="2"/>
      <c r="F632" s="2"/>
      <c r="G632" s="2"/>
      <c r="H632" s="2"/>
      <c r="I632" s="2"/>
      <c r="J632" s="2"/>
      <c r="K632" s="2"/>
      <c r="L632" s="2"/>
      <c r="M632" s="2"/>
      <c r="N632" s="2"/>
      <c r="O632" s="2"/>
      <c r="P632" s="2"/>
      <c r="Q632" s="23"/>
      <c r="R632" s="23"/>
      <c r="S632" s="23"/>
      <c r="T632" s="23"/>
      <c r="U632" s="23"/>
      <c r="V632" s="23"/>
      <c r="W632" s="23"/>
      <c r="X632" s="23"/>
      <c r="Y632" s="23"/>
      <c r="Z632" s="23"/>
    </row>
    <row r="633">
      <c r="A633" s="2"/>
      <c r="B633" s="2"/>
      <c r="C633" s="2"/>
      <c r="D633" s="2"/>
      <c r="E633" s="2"/>
      <c r="F633" s="2"/>
      <c r="G633" s="2"/>
      <c r="H633" s="2"/>
      <c r="I633" s="2"/>
      <c r="J633" s="2"/>
      <c r="K633" s="2"/>
      <c r="L633" s="2"/>
      <c r="M633" s="2"/>
      <c r="N633" s="2"/>
      <c r="O633" s="2"/>
      <c r="P633" s="2"/>
      <c r="Q633" s="23"/>
      <c r="R633" s="23"/>
      <c r="S633" s="23"/>
      <c r="T633" s="23"/>
      <c r="U633" s="23"/>
      <c r="V633" s="23"/>
      <c r="W633" s="23"/>
      <c r="X633" s="23"/>
      <c r="Y633" s="23"/>
      <c r="Z633" s="23"/>
    </row>
    <row r="634">
      <c r="A634" s="2"/>
      <c r="B634" s="2"/>
      <c r="C634" s="2"/>
      <c r="D634" s="2"/>
      <c r="E634" s="2"/>
      <c r="F634" s="2"/>
      <c r="G634" s="2"/>
      <c r="H634" s="2"/>
      <c r="I634" s="2"/>
      <c r="J634" s="2"/>
      <c r="K634" s="2"/>
      <c r="L634" s="2"/>
      <c r="M634" s="2"/>
      <c r="N634" s="2"/>
      <c r="O634" s="2"/>
      <c r="P634" s="2"/>
      <c r="Q634" s="23"/>
      <c r="R634" s="23"/>
      <c r="S634" s="23"/>
      <c r="T634" s="23"/>
      <c r="U634" s="23"/>
      <c r="V634" s="23"/>
      <c r="W634" s="23"/>
      <c r="X634" s="23"/>
      <c r="Y634" s="23"/>
      <c r="Z634" s="23"/>
    </row>
    <row r="635">
      <c r="A635" s="2"/>
      <c r="B635" s="2"/>
      <c r="C635" s="2"/>
      <c r="D635" s="2"/>
      <c r="E635" s="2"/>
      <c r="F635" s="2"/>
      <c r="G635" s="2"/>
      <c r="H635" s="2"/>
      <c r="I635" s="2"/>
      <c r="J635" s="2"/>
      <c r="K635" s="2"/>
      <c r="L635" s="2"/>
      <c r="M635" s="2"/>
      <c r="N635" s="2"/>
      <c r="O635" s="2"/>
      <c r="P635" s="2"/>
      <c r="Q635" s="23"/>
      <c r="R635" s="23"/>
      <c r="S635" s="23"/>
      <c r="T635" s="23"/>
      <c r="U635" s="23"/>
      <c r="V635" s="23"/>
      <c r="W635" s="23"/>
      <c r="X635" s="23"/>
      <c r="Y635" s="23"/>
      <c r="Z635" s="23"/>
    </row>
    <row r="636">
      <c r="A636" s="2"/>
      <c r="B636" s="2"/>
      <c r="C636" s="2"/>
      <c r="D636" s="2"/>
      <c r="E636" s="2"/>
      <c r="F636" s="2"/>
      <c r="G636" s="2"/>
      <c r="H636" s="2"/>
      <c r="I636" s="2"/>
      <c r="J636" s="2"/>
      <c r="K636" s="2"/>
      <c r="L636" s="2"/>
      <c r="M636" s="2"/>
      <c r="N636" s="2"/>
      <c r="O636" s="2"/>
      <c r="P636" s="2"/>
      <c r="Q636" s="23"/>
      <c r="R636" s="23"/>
      <c r="S636" s="23"/>
      <c r="T636" s="23"/>
      <c r="U636" s="23"/>
      <c r="V636" s="23"/>
      <c r="W636" s="23"/>
      <c r="X636" s="23"/>
      <c r="Y636" s="23"/>
      <c r="Z636" s="23"/>
    </row>
    <row r="637">
      <c r="A637" s="2"/>
      <c r="B637" s="2"/>
      <c r="C637" s="2"/>
      <c r="D637" s="2"/>
      <c r="E637" s="2"/>
      <c r="F637" s="2"/>
      <c r="G637" s="2"/>
      <c r="H637" s="2"/>
      <c r="I637" s="2"/>
      <c r="J637" s="2"/>
      <c r="K637" s="2"/>
      <c r="L637" s="2"/>
      <c r="M637" s="2"/>
      <c r="N637" s="2"/>
      <c r="O637" s="2"/>
      <c r="P637" s="2"/>
      <c r="Q637" s="23"/>
      <c r="R637" s="23"/>
      <c r="S637" s="23"/>
      <c r="T637" s="23"/>
      <c r="U637" s="23"/>
      <c r="V637" s="23"/>
      <c r="W637" s="23"/>
      <c r="X637" s="23"/>
      <c r="Y637" s="23"/>
      <c r="Z637" s="23"/>
    </row>
    <row r="638">
      <c r="A638" s="2"/>
      <c r="B638" s="2"/>
      <c r="C638" s="2"/>
      <c r="D638" s="2"/>
      <c r="E638" s="2"/>
      <c r="F638" s="2"/>
      <c r="G638" s="2"/>
      <c r="H638" s="2"/>
      <c r="I638" s="2"/>
      <c r="J638" s="2"/>
      <c r="K638" s="2"/>
      <c r="L638" s="2"/>
      <c r="M638" s="2"/>
      <c r="N638" s="2"/>
      <c r="O638" s="2"/>
      <c r="P638" s="2"/>
      <c r="Q638" s="23"/>
      <c r="R638" s="23"/>
      <c r="S638" s="23"/>
      <c r="T638" s="23"/>
      <c r="U638" s="23"/>
      <c r="V638" s="23"/>
      <c r="W638" s="23"/>
      <c r="X638" s="23"/>
      <c r="Y638" s="23"/>
      <c r="Z638" s="23"/>
    </row>
    <row r="639">
      <c r="A639" s="2"/>
      <c r="B639" s="2"/>
      <c r="C639" s="2"/>
      <c r="D639" s="2"/>
      <c r="E639" s="2"/>
      <c r="F639" s="2"/>
      <c r="G639" s="2"/>
      <c r="H639" s="2"/>
      <c r="I639" s="2"/>
      <c r="J639" s="2"/>
      <c r="K639" s="2"/>
      <c r="L639" s="2"/>
      <c r="M639" s="2"/>
      <c r="N639" s="2"/>
      <c r="O639" s="2"/>
      <c r="P639" s="2"/>
      <c r="Q639" s="23"/>
      <c r="R639" s="23"/>
      <c r="S639" s="23"/>
      <c r="T639" s="23"/>
      <c r="U639" s="23"/>
      <c r="V639" s="23"/>
      <c r="W639" s="23"/>
      <c r="X639" s="23"/>
      <c r="Y639" s="23"/>
      <c r="Z639" s="23"/>
    </row>
    <row r="640">
      <c r="A640" s="2"/>
      <c r="B640" s="2"/>
      <c r="C640" s="2"/>
      <c r="D640" s="2"/>
      <c r="E640" s="2"/>
      <c r="F640" s="2"/>
      <c r="G640" s="2"/>
      <c r="H640" s="2"/>
      <c r="I640" s="2"/>
      <c r="J640" s="2"/>
      <c r="K640" s="2"/>
      <c r="L640" s="2"/>
      <c r="M640" s="2"/>
      <c r="N640" s="2"/>
      <c r="O640" s="2"/>
      <c r="P640" s="2"/>
      <c r="Q640" s="23"/>
      <c r="R640" s="23"/>
      <c r="S640" s="23"/>
      <c r="T640" s="23"/>
      <c r="U640" s="23"/>
      <c r="V640" s="23"/>
      <c r="W640" s="23"/>
      <c r="X640" s="23"/>
      <c r="Y640" s="23"/>
      <c r="Z640" s="23"/>
    </row>
    <row r="641">
      <c r="A641" s="2"/>
      <c r="B641" s="2"/>
      <c r="C641" s="2"/>
      <c r="D641" s="2"/>
      <c r="E641" s="2"/>
      <c r="F641" s="2"/>
      <c r="G641" s="2"/>
      <c r="H641" s="2"/>
      <c r="I641" s="2"/>
      <c r="J641" s="2"/>
      <c r="K641" s="2"/>
      <c r="L641" s="2"/>
      <c r="M641" s="2"/>
      <c r="N641" s="2"/>
      <c r="O641" s="2"/>
      <c r="P641" s="2"/>
      <c r="Q641" s="23"/>
      <c r="R641" s="23"/>
      <c r="S641" s="23"/>
      <c r="T641" s="23"/>
      <c r="U641" s="23"/>
      <c r="V641" s="23"/>
      <c r="W641" s="23"/>
      <c r="X641" s="23"/>
      <c r="Y641" s="23"/>
      <c r="Z641" s="23"/>
    </row>
    <row r="642">
      <c r="A642" s="2"/>
      <c r="B642" s="2"/>
      <c r="C642" s="2"/>
      <c r="D642" s="2"/>
      <c r="E642" s="2"/>
      <c r="F642" s="2"/>
      <c r="G642" s="2"/>
      <c r="H642" s="2"/>
      <c r="I642" s="2"/>
      <c r="J642" s="2"/>
      <c r="K642" s="2"/>
      <c r="L642" s="2"/>
      <c r="M642" s="2"/>
      <c r="N642" s="2"/>
      <c r="O642" s="2"/>
      <c r="P642" s="2"/>
      <c r="Q642" s="23"/>
      <c r="R642" s="23"/>
      <c r="S642" s="23"/>
      <c r="T642" s="23"/>
      <c r="U642" s="23"/>
      <c r="V642" s="23"/>
      <c r="W642" s="23"/>
      <c r="X642" s="23"/>
      <c r="Y642" s="23"/>
      <c r="Z642" s="23"/>
    </row>
    <row r="643">
      <c r="A643" s="2"/>
      <c r="B643" s="2"/>
      <c r="C643" s="2"/>
      <c r="D643" s="2"/>
      <c r="E643" s="2"/>
      <c r="F643" s="2"/>
      <c r="G643" s="2"/>
      <c r="H643" s="2"/>
      <c r="I643" s="2"/>
      <c r="J643" s="2"/>
      <c r="K643" s="2"/>
      <c r="L643" s="2"/>
      <c r="M643" s="2"/>
      <c r="N643" s="2"/>
      <c r="O643" s="2"/>
      <c r="P643" s="2"/>
      <c r="Q643" s="23"/>
      <c r="R643" s="23"/>
      <c r="S643" s="23"/>
      <c r="T643" s="23"/>
      <c r="U643" s="23"/>
      <c r="V643" s="23"/>
      <c r="W643" s="23"/>
      <c r="X643" s="23"/>
      <c r="Y643" s="23"/>
      <c r="Z643" s="23"/>
    </row>
    <row r="644">
      <c r="A644" s="2"/>
      <c r="B644" s="2"/>
      <c r="C644" s="2"/>
      <c r="D644" s="2"/>
      <c r="E644" s="2"/>
      <c r="F644" s="2"/>
      <c r="G644" s="2"/>
      <c r="H644" s="2"/>
      <c r="I644" s="2"/>
      <c r="J644" s="2"/>
      <c r="K644" s="2"/>
      <c r="L644" s="2"/>
      <c r="M644" s="2"/>
      <c r="N644" s="2"/>
      <c r="O644" s="2"/>
      <c r="P644" s="2"/>
      <c r="Q644" s="23"/>
      <c r="R644" s="23"/>
      <c r="S644" s="23"/>
      <c r="T644" s="23"/>
      <c r="U644" s="23"/>
      <c r="V644" s="23"/>
      <c r="W644" s="23"/>
      <c r="X644" s="23"/>
      <c r="Y644" s="23"/>
      <c r="Z644" s="23"/>
    </row>
    <row r="645">
      <c r="A645" s="2"/>
      <c r="B645" s="2"/>
      <c r="C645" s="2"/>
      <c r="D645" s="2"/>
      <c r="E645" s="2"/>
      <c r="F645" s="2"/>
      <c r="G645" s="2"/>
      <c r="H645" s="2"/>
      <c r="I645" s="2"/>
      <c r="J645" s="2"/>
      <c r="K645" s="2"/>
      <c r="L645" s="2"/>
      <c r="M645" s="2"/>
      <c r="N645" s="2"/>
      <c r="O645" s="2"/>
      <c r="P645" s="2"/>
      <c r="Q645" s="23"/>
      <c r="R645" s="23"/>
      <c r="S645" s="23"/>
      <c r="T645" s="23"/>
      <c r="U645" s="23"/>
      <c r="V645" s="23"/>
      <c r="W645" s="23"/>
      <c r="X645" s="23"/>
      <c r="Y645" s="23"/>
      <c r="Z645" s="23"/>
    </row>
    <row r="646">
      <c r="A646" s="2"/>
      <c r="B646" s="2"/>
      <c r="C646" s="2"/>
      <c r="D646" s="2"/>
      <c r="E646" s="2"/>
      <c r="F646" s="2"/>
      <c r="G646" s="2"/>
      <c r="H646" s="2"/>
      <c r="I646" s="2"/>
      <c r="J646" s="2"/>
      <c r="K646" s="2"/>
      <c r="L646" s="2"/>
      <c r="M646" s="2"/>
      <c r="N646" s="2"/>
      <c r="O646" s="2"/>
      <c r="P646" s="2"/>
      <c r="Q646" s="23"/>
      <c r="R646" s="23"/>
      <c r="S646" s="23"/>
      <c r="T646" s="23"/>
      <c r="U646" s="23"/>
      <c r="V646" s="23"/>
      <c r="W646" s="23"/>
      <c r="X646" s="23"/>
      <c r="Y646" s="23"/>
      <c r="Z646" s="23"/>
    </row>
    <row r="647">
      <c r="A647" s="2"/>
      <c r="B647" s="2"/>
      <c r="C647" s="2"/>
      <c r="D647" s="2"/>
      <c r="E647" s="2"/>
      <c r="F647" s="2"/>
      <c r="G647" s="2"/>
      <c r="H647" s="2"/>
      <c r="I647" s="2"/>
      <c r="J647" s="2"/>
      <c r="K647" s="2"/>
      <c r="L647" s="2"/>
      <c r="M647" s="2"/>
      <c r="N647" s="2"/>
      <c r="O647" s="2"/>
      <c r="P647" s="2"/>
      <c r="Q647" s="23"/>
      <c r="R647" s="23"/>
      <c r="S647" s="23"/>
      <c r="T647" s="23"/>
      <c r="U647" s="23"/>
      <c r="V647" s="23"/>
      <c r="W647" s="23"/>
      <c r="X647" s="23"/>
      <c r="Y647" s="23"/>
      <c r="Z647" s="23"/>
    </row>
    <row r="648">
      <c r="A648" s="2"/>
      <c r="B648" s="2"/>
      <c r="C648" s="2"/>
      <c r="D648" s="2"/>
      <c r="E648" s="2"/>
      <c r="F648" s="2"/>
      <c r="G648" s="2"/>
      <c r="H648" s="2"/>
      <c r="I648" s="2"/>
      <c r="J648" s="2"/>
      <c r="K648" s="2"/>
      <c r="L648" s="2"/>
      <c r="M648" s="2"/>
      <c r="N648" s="2"/>
      <c r="O648" s="2"/>
      <c r="P648" s="2"/>
      <c r="Q648" s="23"/>
      <c r="R648" s="23"/>
      <c r="S648" s="23"/>
      <c r="T648" s="23"/>
      <c r="U648" s="23"/>
      <c r="V648" s="23"/>
      <c r="W648" s="23"/>
      <c r="X648" s="23"/>
      <c r="Y648" s="23"/>
      <c r="Z648" s="23"/>
    </row>
    <row r="649">
      <c r="A649" s="2"/>
      <c r="B649" s="2"/>
      <c r="C649" s="2"/>
      <c r="D649" s="2"/>
      <c r="E649" s="2"/>
      <c r="F649" s="2"/>
      <c r="G649" s="2"/>
      <c r="H649" s="2"/>
      <c r="I649" s="2"/>
      <c r="J649" s="2"/>
      <c r="K649" s="2"/>
      <c r="L649" s="2"/>
      <c r="M649" s="2"/>
      <c r="N649" s="2"/>
      <c r="O649" s="2"/>
      <c r="P649" s="2"/>
      <c r="Q649" s="23"/>
      <c r="R649" s="23"/>
      <c r="S649" s="23"/>
      <c r="T649" s="23"/>
      <c r="U649" s="23"/>
      <c r="V649" s="23"/>
      <c r="W649" s="23"/>
      <c r="X649" s="23"/>
      <c r="Y649" s="23"/>
      <c r="Z649" s="23"/>
    </row>
    <row r="650">
      <c r="A650" s="2"/>
      <c r="B650" s="2"/>
      <c r="C650" s="2"/>
      <c r="D650" s="2"/>
      <c r="E650" s="2"/>
      <c r="F650" s="2"/>
      <c r="G650" s="2"/>
      <c r="H650" s="2"/>
      <c r="I650" s="2"/>
      <c r="J650" s="2"/>
      <c r="K650" s="2"/>
      <c r="L650" s="2"/>
      <c r="M650" s="2"/>
      <c r="N650" s="2"/>
      <c r="O650" s="2"/>
      <c r="P650" s="2"/>
      <c r="Q650" s="23"/>
      <c r="R650" s="23"/>
      <c r="S650" s="23"/>
      <c r="T650" s="23"/>
      <c r="U650" s="23"/>
      <c r="V650" s="23"/>
      <c r="W650" s="23"/>
      <c r="X650" s="23"/>
      <c r="Y650" s="23"/>
      <c r="Z650" s="23"/>
    </row>
    <row r="651">
      <c r="A651" s="2"/>
      <c r="B651" s="2"/>
      <c r="C651" s="2"/>
      <c r="D651" s="2"/>
      <c r="E651" s="2"/>
      <c r="F651" s="2"/>
      <c r="G651" s="2"/>
      <c r="H651" s="2"/>
      <c r="I651" s="2"/>
      <c r="J651" s="2"/>
      <c r="K651" s="2"/>
      <c r="L651" s="2"/>
      <c r="M651" s="2"/>
      <c r="N651" s="2"/>
      <c r="O651" s="2"/>
      <c r="P651" s="2"/>
      <c r="Q651" s="23"/>
      <c r="R651" s="23"/>
      <c r="S651" s="23"/>
      <c r="T651" s="23"/>
      <c r="U651" s="23"/>
      <c r="V651" s="23"/>
      <c r="W651" s="23"/>
      <c r="X651" s="23"/>
      <c r="Y651" s="23"/>
      <c r="Z651" s="23"/>
    </row>
    <row r="652">
      <c r="A652" s="2"/>
      <c r="B652" s="2"/>
      <c r="C652" s="2"/>
      <c r="D652" s="2"/>
      <c r="E652" s="2"/>
      <c r="F652" s="2"/>
      <c r="G652" s="2"/>
      <c r="H652" s="2"/>
      <c r="I652" s="2"/>
      <c r="J652" s="2"/>
      <c r="K652" s="2"/>
      <c r="L652" s="2"/>
      <c r="M652" s="2"/>
      <c r="N652" s="2"/>
      <c r="O652" s="2"/>
      <c r="P652" s="2"/>
      <c r="Q652" s="23"/>
      <c r="R652" s="23"/>
      <c r="S652" s="23"/>
      <c r="T652" s="23"/>
      <c r="U652" s="23"/>
      <c r="V652" s="23"/>
      <c r="W652" s="23"/>
      <c r="X652" s="23"/>
      <c r="Y652" s="23"/>
      <c r="Z652" s="23"/>
    </row>
    <row r="653">
      <c r="A653" s="2"/>
      <c r="B653" s="2"/>
      <c r="C653" s="2"/>
      <c r="D653" s="2"/>
      <c r="E653" s="2"/>
      <c r="F653" s="2"/>
      <c r="G653" s="2"/>
      <c r="H653" s="2"/>
      <c r="I653" s="2"/>
      <c r="J653" s="2"/>
      <c r="K653" s="2"/>
      <c r="L653" s="2"/>
      <c r="M653" s="2"/>
      <c r="N653" s="2"/>
      <c r="O653" s="2"/>
      <c r="P653" s="2"/>
      <c r="Q653" s="23"/>
      <c r="R653" s="23"/>
      <c r="S653" s="23"/>
      <c r="T653" s="23"/>
      <c r="U653" s="23"/>
      <c r="V653" s="23"/>
      <c r="W653" s="23"/>
      <c r="X653" s="23"/>
      <c r="Y653" s="23"/>
      <c r="Z653" s="23"/>
    </row>
    <row r="654">
      <c r="A654" s="2"/>
      <c r="B654" s="2"/>
      <c r="C654" s="2"/>
      <c r="D654" s="2"/>
      <c r="E654" s="2"/>
      <c r="F654" s="2"/>
      <c r="G654" s="2"/>
      <c r="H654" s="2"/>
      <c r="I654" s="2"/>
      <c r="J654" s="2"/>
      <c r="K654" s="2"/>
      <c r="L654" s="2"/>
      <c r="M654" s="2"/>
      <c r="N654" s="2"/>
      <c r="O654" s="2"/>
      <c r="P654" s="2"/>
      <c r="Q654" s="23"/>
      <c r="R654" s="23"/>
      <c r="S654" s="23"/>
      <c r="T654" s="23"/>
      <c r="U654" s="23"/>
      <c r="V654" s="23"/>
      <c r="W654" s="23"/>
      <c r="X654" s="23"/>
      <c r="Y654" s="23"/>
      <c r="Z654" s="23"/>
    </row>
    <row r="655">
      <c r="A655" s="2"/>
      <c r="B655" s="2"/>
      <c r="C655" s="2"/>
      <c r="D655" s="2"/>
      <c r="E655" s="2"/>
      <c r="F655" s="2"/>
      <c r="G655" s="2"/>
      <c r="H655" s="2"/>
      <c r="I655" s="2"/>
      <c r="J655" s="2"/>
      <c r="K655" s="2"/>
      <c r="L655" s="2"/>
      <c r="M655" s="2"/>
      <c r="N655" s="2"/>
      <c r="O655" s="2"/>
      <c r="P655" s="2"/>
      <c r="Q655" s="23"/>
      <c r="R655" s="23"/>
      <c r="S655" s="23"/>
      <c r="T655" s="23"/>
      <c r="U655" s="23"/>
      <c r="V655" s="23"/>
      <c r="W655" s="23"/>
      <c r="X655" s="23"/>
      <c r="Y655" s="23"/>
      <c r="Z655" s="23"/>
    </row>
    <row r="656">
      <c r="A656" s="2"/>
      <c r="B656" s="2"/>
      <c r="C656" s="2"/>
      <c r="D656" s="2"/>
      <c r="E656" s="2"/>
      <c r="F656" s="2"/>
      <c r="G656" s="2"/>
      <c r="H656" s="2"/>
      <c r="I656" s="2"/>
      <c r="J656" s="2"/>
      <c r="K656" s="2"/>
      <c r="L656" s="2"/>
      <c r="M656" s="2"/>
      <c r="N656" s="2"/>
      <c r="O656" s="2"/>
      <c r="P656" s="2"/>
      <c r="Q656" s="23"/>
      <c r="R656" s="23"/>
      <c r="S656" s="23"/>
      <c r="T656" s="23"/>
      <c r="U656" s="23"/>
      <c r="V656" s="23"/>
      <c r="W656" s="23"/>
      <c r="X656" s="23"/>
      <c r="Y656" s="23"/>
      <c r="Z656" s="23"/>
    </row>
    <row r="657">
      <c r="A657" s="2"/>
      <c r="B657" s="2"/>
      <c r="C657" s="2"/>
      <c r="D657" s="2"/>
      <c r="E657" s="2"/>
      <c r="F657" s="2"/>
      <c r="G657" s="2"/>
      <c r="H657" s="2"/>
      <c r="I657" s="2"/>
      <c r="J657" s="2"/>
      <c r="K657" s="2"/>
      <c r="L657" s="2"/>
      <c r="M657" s="2"/>
      <c r="N657" s="2"/>
      <c r="O657" s="2"/>
      <c r="P657" s="2"/>
      <c r="Q657" s="23"/>
      <c r="R657" s="23"/>
      <c r="S657" s="23"/>
      <c r="T657" s="23"/>
      <c r="U657" s="23"/>
      <c r="V657" s="23"/>
      <c r="W657" s="23"/>
      <c r="X657" s="23"/>
      <c r="Y657" s="23"/>
      <c r="Z657" s="23"/>
    </row>
    <row r="658">
      <c r="A658" s="2"/>
      <c r="B658" s="2"/>
      <c r="C658" s="2"/>
      <c r="D658" s="2"/>
      <c r="E658" s="2"/>
      <c r="F658" s="2"/>
      <c r="G658" s="2"/>
      <c r="H658" s="2"/>
      <c r="I658" s="2"/>
      <c r="J658" s="2"/>
      <c r="K658" s="2"/>
      <c r="L658" s="2"/>
      <c r="M658" s="2"/>
      <c r="N658" s="2"/>
      <c r="O658" s="2"/>
      <c r="P658" s="2"/>
      <c r="Q658" s="23"/>
      <c r="R658" s="23"/>
      <c r="S658" s="23"/>
      <c r="T658" s="23"/>
      <c r="U658" s="23"/>
      <c r="V658" s="23"/>
      <c r="W658" s="23"/>
      <c r="X658" s="23"/>
      <c r="Y658" s="23"/>
      <c r="Z658" s="23"/>
    </row>
    <row r="659">
      <c r="A659" s="2"/>
      <c r="B659" s="2"/>
      <c r="C659" s="2"/>
      <c r="D659" s="2"/>
      <c r="E659" s="2"/>
      <c r="F659" s="2"/>
      <c r="G659" s="2"/>
      <c r="H659" s="2"/>
      <c r="I659" s="2"/>
      <c r="J659" s="2"/>
      <c r="K659" s="2"/>
      <c r="L659" s="2"/>
      <c r="M659" s="2"/>
      <c r="N659" s="2"/>
      <c r="O659" s="2"/>
      <c r="P659" s="2"/>
      <c r="Q659" s="23"/>
      <c r="R659" s="23"/>
      <c r="S659" s="23"/>
      <c r="T659" s="23"/>
      <c r="U659" s="23"/>
      <c r="V659" s="23"/>
      <c r="W659" s="23"/>
      <c r="X659" s="23"/>
      <c r="Y659" s="23"/>
      <c r="Z659" s="23"/>
    </row>
    <row r="660">
      <c r="A660" s="2"/>
      <c r="B660" s="2"/>
      <c r="C660" s="2"/>
      <c r="D660" s="2"/>
      <c r="E660" s="2"/>
      <c r="F660" s="2"/>
      <c r="G660" s="2"/>
      <c r="H660" s="2"/>
      <c r="I660" s="2"/>
      <c r="J660" s="2"/>
      <c r="K660" s="2"/>
      <c r="L660" s="2"/>
      <c r="M660" s="2"/>
      <c r="N660" s="2"/>
      <c r="O660" s="2"/>
      <c r="P660" s="2"/>
      <c r="Q660" s="23"/>
      <c r="R660" s="23"/>
      <c r="S660" s="23"/>
      <c r="T660" s="23"/>
      <c r="U660" s="23"/>
      <c r="V660" s="23"/>
      <c r="W660" s="23"/>
      <c r="X660" s="23"/>
      <c r="Y660" s="23"/>
      <c r="Z660" s="23"/>
    </row>
    <row r="661">
      <c r="A661" s="2"/>
      <c r="B661" s="2"/>
      <c r="C661" s="2"/>
      <c r="D661" s="2"/>
      <c r="E661" s="2"/>
      <c r="F661" s="2"/>
      <c r="G661" s="2"/>
      <c r="H661" s="2"/>
      <c r="I661" s="2"/>
      <c r="J661" s="2"/>
      <c r="K661" s="2"/>
      <c r="L661" s="2"/>
      <c r="M661" s="2"/>
      <c r="N661" s="2"/>
      <c r="O661" s="2"/>
      <c r="P661" s="2"/>
      <c r="Q661" s="23"/>
      <c r="R661" s="23"/>
      <c r="S661" s="23"/>
      <c r="T661" s="23"/>
      <c r="U661" s="23"/>
      <c r="V661" s="23"/>
      <c r="W661" s="23"/>
      <c r="X661" s="23"/>
      <c r="Y661" s="23"/>
      <c r="Z661" s="23"/>
    </row>
    <row r="662">
      <c r="A662" s="2"/>
      <c r="B662" s="2"/>
      <c r="C662" s="2"/>
      <c r="D662" s="2"/>
      <c r="E662" s="2"/>
      <c r="F662" s="2"/>
      <c r="G662" s="2"/>
      <c r="H662" s="2"/>
      <c r="I662" s="2"/>
      <c r="J662" s="2"/>
      <c r="K662" s="2"/>
      <c r="L662" s="2"/>
      <c r="M662" s="2"/>
      <c r="N662" s="2"/>
      <c r="O662" s="2"/>
      <c r="P662" s="2"/>
      <c r="Q662" s="23"/>
      <c r="R662" s="23"/>
      <c r="S662" s="23"/>
      <c r="T662" s="23"/>
      <c r="U662" s="23"/>
      <c r="V662" s="23"/>
      <c r="W662" s="23"/>
      <c r="X662" s="23"/>
      <c r="Y662" s="23"/>
      <c r="Z662" s="23"/>
    </row>
    <row r="663">
      <c r="A663" s="2"/>
      <c r="B663" s="2"/>
      <c r="C663" s="2"/>
      <c r="D663" s="2"/>
      <c r="E663" s="2"/>
      <c r="F663" s="2"/>
      <c r="G663" s="2"/>
      <c r="H663" s="2"/>
      <c r="I663" s="2"/>
      <c r="J663" s="2"/>
      <c r="K663" s="2"/>
      <c r="L663" s="2"/>
      <c r="M663" s="2"/>
      <c r="N663" s="2"/>
      <c r="O663" s="2"/>
      <c r="P663" s="2"/>
      <c r="Q663" s="23"/>
      <c r="R663" s="23"/>
      <c r="S663" s="23"/>
      <c r="T663" s="23"/>
      <c r="U663" s="23"/>
      <c r="V663" s="23"/>
      <c r="W663" s="23"/>
      <c r="X663" s="23"/>
      <c r="Y663" s="23"/>
      <c r="Z663" s="23"/>
    </row>
    <row r="664">
      <c r="A664" s="2"/>
      <c r="B664" s="2"/>
      <c r="C664" s="2"/>
      <c r="D664" s="2"/>
      <c r="E664" s="2"/>
      <c r="F664" s="2"/>
      <c r="G664" s="2"/>
      <c r="H664" s="2"/>
      <c r="I664" s="2"/>
      <c r="J664" s="2"/>
      <c r="K664" s="2"/>
      <c r="L664" s="2"/>
      <c r="M664" s="2"/>
      <c r="N664" s="2"/>
      <c r="O664" s="2"/>
      <c r="P664" s="2"/>
      <c r="Q664" s="23"/>
      <c r="R664" s="23"/>
      <c r="S664" s="23"/>
      <c r="T664" s="23"/>
      <c r="U664" s="23"/>
      <c r="V664" s="23"/>
      <c r="W664" s="23"/>
      <c r="X664" s="23"/>
      <c r="Y664" s="23"/>
      <c r="Z664" s="23"/>
    </row>
    <row r="665">
      <c r="A665" s="2"/>
      <c r="B665" s="2"/>
      <c r="C665" s="2"/>
      <c r="D665" s="2"/>
      <c r="E665" s="2"/>
      <c r="F665" s="2"/>
      <c r="G665" s="2"/>
      <c r="H665" s="2"/>
      <c r="I665" s="2"/>
      <c r="J665" s="2"/>
      <c r="K665" s="2"/>
      <c r="L665" s="2"/>
      <c r="M665" s="2"/>
      <c r="N665" s="2"/>
      <c r="O665" s="2"/>
      <c r="P665" s="2"/>
      <c r="Q665" s="23"/>
      <c r="R665" s="23"/>
      <c r="S665" s="23"/>
      <c r="T665" s="23"/>
      <c r="U665" s="23"/>
      <c r="V665" s="23"/>
      <c r="W665" s="23"/>
      <c r="X665" s="23"/>
      <c r="Y665" s="23"/>
      <c r="Z665" s="23"/>
    </row>
    <row r="666">
      <c r="A666" s="2"/>
      <c r="B666" s="2"/>
      <c r="C666" s="2"/>
      <c r="D666" s="2"/>
      <c r="E666" s="2"/>
      <c r="F666" s="2"/>
      <c r="G666" s="2"/>
      <c r="H666" s="2"/>
      <c r="I666" s="2"/>
      <c r="J666" s="2"/>
      <c r="K666" s="2"/>
      <c r="L666" s="2"/>
      <c r="M666" s="2"/>
      <c r="N666" s="2"/>
      <c r="O666" s="2"/>
      <c r="P666" s="2"/>
      <c r="Q666" s="23"/>
      <c r="R666" s="23"/>
      <c r="S666" s="23"/>
      <c r="T666" s="23"/>
      <c r="U666" s="23"/>
      <c r="V666" s="23"/>
      <c r="W666" s="23"/>
      <c r="X666" s="23"/>
      <c r="Y666" s="23"/>
      <c r="Z666" s="23"/>
    </row>
    <row r="667">
      <c r="A667" s="2"/>
      <c r="B667" s="2"/>
      <c r="C667" s="2"/>
      <c r="D667" s="2"/>
      <c r="E667" s="2"/>
      <c r="F667" s="2"/>
      <c r="G667" s="2"/>
      <c r="H667" s="2"/>
      <c r="I667" s="2"/>
      <c r="J667" s="2"/>
      <c r="K667" s="2"/>
      <c r="L667" s="2"/>
      <c r="M667" s="2"/>
      <c r="N667" s="2"/>
      <c r="O667" s="2"/>
      <c r="P667" s="2"/>
      <c r="Q667" s="23"/>
      <c r="R667" s="23"/>
      <c r="S667" s="23"/>
      <c r="T667" s="23"/>
      <c r="U667" s="23"/>
      <c r="V667" s="23"/>
      <c r="W667" s="23"/>
      <c r="X667" s="23"/>
      <c r="Y667" s="23"/>
      <c r="Z667" s="23"/>
    </row>
    <row r="668">
      <c r="A668" s="2"/>
      <c r="B668" s="2"/>
      <c r="C668" s="2"/>
      <c r="D668" s="2"/>
      <c r="E668" s="2"/>
      <c r="F668" s="2"/>
      <c r="G668" s="2"/>
      <c r="H668" s="2"/>
      <c r="I668" s="2"/>
      <c r="J668" s="2"/>
      <c r="K668" s="2"/>
      <c r="L668" s="2"/>
      <c r="M668" s="2"/>
      <c r="N668" s="2"/>
      <c r="O668" s="2"/>
      <c r="P668" s="2"/>
      <c r="Q668" s="23"/>
      <c r="R668" s="23"/>
      <c r="S668" s="23"/>
      <c r="T668" s="23"/>
      <c r="U668" s="23"/>
      <c r="V668" s="23"/>
      <c r="W668" s="23"/>
      <c r="X668" s="23"/>
      <c r="Y668" s="23"/>
      <c r="Z668" s="23"/>
    </row>
    <row r="669">
      <c r="A669" s="2"/>
      <c r="B669" s="2"/>
      <c r="C669" s="2"/>
      <c r="D669" s="2"/>
      <c r="E669" s="2"/>
      <c r="F669" s="2"/>
      <c r="G669" s="2"/>
      <c r="H669" s="2"/>
      <c r="I669" s="2"/>
      <c r="J669" s="2"/>
      <c r="K669" s="2"/>
      <c r="L669" s="2"/>
      <c r="M669" s="2"/>
      <c r="N669" s="2"/>
      <c r="O669" s="2"/>
      <c r="P669" s="2"/>
      <c r="Q669" s="23"/>
      <c r="R669" s="23"/>
      <c r="S669" s="23"/>
      <c r="T669" s="23"/>
      <c r="U669" s="23"/>
      <c r="V669" s="23"/>
      <c r="W669" s="23"/>
      <c r="X669" s="23"/>
      <c r="Y669" s="23"/>
      <c r="Z669" s="23"/>
    </row>
    <row r="670">
      <c r="A670" s="2"/>
      <c r="B670" s="2"/>
      <c r="C670" s="2"/>
      <c r="D670" s="2"/>
      <c r="E670" s="2"/>
      <c r="F670" s="2"/>
      <c r="G670" s="2"/>
      <c r="H670" s="2"/>
      <c r="I670" s="2"/>
      <c r="J670" s="2"/>
      <c r="K670" s="2"/>
      <c r="L670" s="2"/>
      <c r="M670" s="2"/>
      <c r="N670" s="2"/>
      <c r="O670" s="2"/>
      <c r="P670" s="2"/>
      <c r="Q670" s="23"/>
      <c r="R670" s="23"/>
      <c r="S670" s="23"/>
      <c r="T670" s="23"/>
      <c r="U670" s="23"/>
      <c r="V670" s="23"/>
      <c r="W670" s="23"/>
      <c r="X670" s="23"/>
      <c r="Y670" s="23"/>
      <c r="Z670" s="23"/>
    </row>
    <row r="671">
      <c r="A671" s="2"/>
      <c r="B671" s="2"/>
      <c r="C671" s="2"/>
      <c r="D671" s="2"/>
      <c r="E671" s="2"/>
      <c r="F671" s="2"/>
      <c r="G671" s="2"/>
      <c r="H671" s="2"/>
      <c r="I671" s="2"/>
      <c r="J671" s="2"/>
      <c r="K671" s="2"/>
      <c r="L671" s="2"/>
      <c r="M671" s="2"/>
      <c r="N671" s="2"/>
      <c r="O671" s="2"/>
      <c r="P671" s="2"/>
      <c r="Q671" s="23"/>
      <c r="R671" s="23"/>
      <c r="S671" s="23"/>
      <c r="T671" s="23"/>
      <c r="U671" s="23"/>
      <c r="V671" s="23"/>
      <c r="W671" s="23"/>
      <c r="X671" s="23"/>
      <c r="Y671" s="23"/>
      <c r="Z671" s="23"/>
    </row>
    <row r="672">
      <c r="A672" s="2"/>
      <c r="B672" s="2"/>
      <c r="C672" s="2"/>
      <c r="D672" s="2"/>
      <c r="E672" s="2"/>
      <c r="F672" s="2"/>
      <c r="G672" s="2"/>
      <c r="H672" s="2"/>
      <c r="I672" s="2"/>
      <c r="J672" s="2"/>
      <c r="K672" s="2"/>
      <c r="L672" s="2"/>
      <c r="M672" s="2"/>
      <c r="N672" s="2"/>
      <c r="O672" s="2"/>
      <c r="P672" s="2"/>
      <c r="Q672" s="23"/>
      <c r="R672" s="23"/>
      <c r="S672" s="23"/>
      <c r="T672" s="23"/>
      <c r="U672" s="23"/>
      <c r="V672" s="23"/>
      <c r="W672" s="23"/>
      <c r="X672" s="23"/>
      <c r="Y672" s="23"/>
      <c r="Z672" s="23"/>
    </row>
    <row r="673">
      <c r="A673" s="2"/>
      <c r="B673" s="2"/>
      <c r="C673" s="2"/>
      <c r="D673" s="2"/>
      <c r="E673" s="2"/>
      <c r="F673" s="2"/>
      <c r="G673" s="2"/>
      <c r="H673" s="2"/>
      <c r="I673" s="2"/>
      <c r="J673" s="2"/>
      <c r="K673" s="2"/>
      <c r="L673" s="2"/>
      <c r="M673" s="2"/>
      <c r="N673" s="2"/>
      <c r="O673" s="2"/>
      <c r="P673" s="2"/>
      <c r="Q673" s="23"/>
      <c r="R673" s="23"/>
      <c r="S673" s="23"/>
      <c r="T673" s="23"/>
      <c r="U673" s="23"/>
      <c r="V673" s="23"/>
      <c r="W673" s="23"/>
      <c r="X673" s="23"/>
      <c r="Y673" s="23"/>
      <c r="Z673" s="23"/>
    </row>
    <row r="674">
      <c r="A674" s="2"/>
      <c r="B674" s="2"/>
      <c r="C674" s="2"/>
      <c r="D674" s="2"/>
      <c r="E674" s="2"/>
      <c r="F674" s="2"/>
      <c r="G674" s="2"/>
      <c r="H674" s="2"/>
      <c r="I674" s="2"/>
      <c r="J674" s="2"/>
      <c r="K674" s="2"/>
      <c r="L674" s="2"/>
      <c r="M674" s="2"/>
      <c r="N674" s="2"/>
      <c r="O674" s="2"/>
      <c r="P674" s="2"/>
      <c r="Q674" s="23"/>
      <c r="R674" s="23"/>
      <c r="S674" s="23"/>
      <c r="T674" s="23"/>
      <c r="U674" s="23"/>
      <c r="V674" s="23"/>
      <c r="W674" s="23"/>
      <c r="X674" s="23"/>
      <c r="Y674" s="23"/>
      <c r="Z674" s="23"/>
    </row>
    <row r="675">
      <c r="A675" s="2"/>
      <c r="B675" s="2"/>
      <c r="C675" s="2"/>
      <c r="D675" s="2"/>
      <c r="E675" s="2"/>
      <c r="F675" s="2"/>
      <c r="G675" s="2"/>
      <c r="H675" s="2"/>
      <c r="I675" s="2"/>
      <c r="J675" s="2"/>
      <c r="K675" s="2"/>
      <c r="L675" s="2"/>
      <c r="M675" s="2"/>
      <c r="N675" s="2"/>
      <c r="O675" s="2"/>
      <c r="P675" s="2"/>
      <c r="Q675" s="23"/>
      <c r="R675" s="23"/>
      <c r="S675" s="23"/>
      <c r="T675" s="23"/>
      <c r="U675" s="23"/>
      <c r="V675" s="23"/>
      <c r="W675" s="23"/>
      <c r="X675" s="23"/>
      <c r="Y675" s="23"/>
      <c r="Z675" s="23"/>
    </row>
    <row r="676">
      <c r="A676" s="2"/>
      <c r="B676" s="2"/>
      <c r="C676" s="2"/>
      <c r="D676" s="2"/>
      <c r="E676" s="2"/>
      <c r="F676" s="2"/>
      <c r="G676" s="2"/>
      <c r="H676" s="2"/>
      <c r="I676" s="2"/>
      <c r="J676" s="2"/>
      <c r="K676" s="2"/>
      <c r="L676" s="2"/>
      <c r="M676" s="2"/>
      <c r="N676" s="2"/>
      <c r="O676" s="2"/>
      <c r="P676" s="2"/>
      <c r="Q676" s="23"/>
      <c r="R676" s="23"/>
      <c r="S676" s="23"/>
      <c r="T676" s="23"/>
      <c r="U676" s="23"/>
      <c r="V676" s="23"/>
      <c r="W676" s="23"/>
      <c r="X676" s="23"/>
      <c r="Y676" s="23"/>
      <c r="Z676" s="23"/>
    </row>
    <row r="677">
      <c r="A677" s="2"/>
      <c r="B677" s="2"/>
      <c r="C677" s="2"/>
      <c r="D677" s="2"/>
      <c r="E677" s="2"/>
      <c r="F677" s="2"/>
      <c r="G677" s="2"/>
      <c r="H677" s="2"/>
      <c r="I677" s="2"/>
      <c r="J677" s="2"/>
      <c r="K677" s="2"/>
      <c r="L677" s="2"/>
      <c r="M677" s="2"/>
      <c r="N677" s="2"/>
      <c r="O677" s="2"/>
      <c r="P677" s="2"/>
      <c r="Q677" s="23"/>
      <c r="R677" s="23"/>
      <c r="S677" s="23"/>
      <c r="T677" s="23"/>
      <c r="U677" s="23"/>
      <c r="V677" s="23"/>
      <c r="W677" s="23"/>
      <c r="X677" s="23"/>
      <c r="Y677" s="23"/>
      <c r="Z677" s="23"/>
    </row>
    <row r="678">
      <c r="A678" s="2"/>
      <c r="B678" s="2"/>
      <c r="C678" s="2"/>
      <c r="D678" s="2"/>
      <c r="E678" s="2"/>
      <c r="F678" s="2"/>
      <c r="G678" s="2"/>
      <c r="H678" s="2"/>
      <c r="I678" s="2"/>
      <c r="J678" s="2"/>
      <c r="K678" s="2"/>
      <c r="L678" s="2"/>
      <c r="M678" s="2"/>
      <c r="N678" s="2"/>
      <c r="O678" s="2"/>
      <c r="P678" s="2"/>
      <c r="Q678" s="23"/>
      <c r="R678" s="23"/>
      <c r="S678" s="23"/>
      <c r="T678" s="23"/>
      <c r="U678" s="23"/>
      <c r="V678" s="23"/>
      <c r="W678" s="23"/>
      <c r="X678" s="23"/>
      <c r="Y678" s="23"/>
      <c r="Z678" s="23"/>
    </row>
    <row r="679">
      <c r="A679" s="2"/>
      <c r="B679" s="2"/>
      <c r="C679" s="2"/>
      <c r="D679" s="2"/>
      <c r="E679" s="2"/>
      <c r="F679" s="2"/>
      <c r="G679" s="2"/>
      <c r="H679" s="2"/>
      <c r="I679" s="2"/>
      <c r="J679" s="2"/>
      <c r="K679" s="2"/>
      <c r="L679" s="2"/>
      <c r="M679" s="2"/>
      <c r="N679" s="2"/>
      <c r="O679" s="2"/>
      <c r="P679" s="2"/>
      <c r="Q679" s="23"/>
      <c r="R679" s="23"/>
      <c r="S679" s="23"/>
      <c r="T679" s="23"/>
      <c r="U679" s="23"/>
      <c r="V679" s="23"/>
      <c r="W679" s="23"/>
      <c r="X679" s="23"/>
      <c r="Y679" s="23"/>
      <c r="Z679" s="23"/>
    </row>
    <row r="680">
      <c r="A680" s="2"/>
      <c r="B680" s="2"/>
      <c r="C680" s="2"/>
      <c r="D680" s="2"/>
      <c r="E680" s="2"/>
      <c r="F680" s="2"/>
      <c r="G680" s="2"/>
      <c r="H680" s="2"/>
      <c r="I680" s="2"/>
      <c r="J680" s="2"/>
      <c r="K680" s="2"/>
      <c r="L680" s="2"/>
      <c r="M680" s="2"/>
      <c r="N680" s="2"/>
      <c r="O680" s="2"/>
      <c r="P680" s="2"/>
      <c r="Q680" s="23"/>
      <c r="R680" s="23"/>
      <c r="S680" s="23"/>
      <c r="T680" s="23"/>
      <c r="U680" s="23"/>
      <c r="V680" s="23"/>
      <c r="W680" s="23"/>
      <c r="X680" s="23"/>
      <c r="Y680" s="23"/>
      <c r="Z680" s="23"/>
    </row>
    <row r="681">
      <c r="A681" s="2"/>
      <c r="B681" s="2"/>
      <c r="C681" s="2"/>
      <c r="D681" s="2"/>
      <c r="E681" s="2"/>
      <c r="F681" s="2"/>
      <c r="G681" s="2"/>
      <c r="H681" s="2"/>
      <c r="I681" s="2"/>
      <c r="J681" s="2"/>
      <c r="K681" s="2"/>
      <c r="L681" s="2"/>
      <c r="M681" s="2"/>
      <c r="N681" s="2"/>
      <c r="O681" s="2"/>
      <c r="P681" s="2"/>
      <c r="Q681" s="23"/>
      <c r="R681" s="23"/>
      <c r="S681" s="23"/>
      <c r="T681" s="23"/>
      <c r="U681" s="23"/>
      <c r="V681" s="23"/>
      <c r="W681" s="23"/>
      <c r="X681" s="23"/>
      <c r="Y681" s="23"/>
      <c r="Z681" s="23"/>
    </row>
    <row r="682">
      <c r="A682" s="2"/>
      <c r="B682" s="2"/>
      <c r="C682" s="2"/>
      <c r="D682" s="2"/>
      <c r="E682" s="2"/>
      <c r="F682" s="2"/>
      <c r="G682" s="2"/>
      <c r="H682" s="2"/>
      <c r="I682" s="2"/>
      <c r="J682" s="2"/>
      <c r="K682" s="2"/>
      <c r="L682" s="2"/>
      <c r="M682" s="2"/>
      <c r="N682" s="2"/>
      <c r="O682" s="2"/>
      <c r="P682" s="2"/>
      <c r="Q682" s="23"/>
      <c r="R682" s="23"/>
      <c r="S682" s="23"/>
      <c r="T682" s="23"/>
      <c r="U682" s="23"/>
      <c r="V682" s="23"/>
      <c r="W682" s="23"/>
      <c r="X682" s="23"/>
      <c r="Y682" s="23"/>
      <c r="Z682" s="23"/>
    </row>
    <row r="683">
      <c r="A683" s="2"/>
      <c r="B683" s="2"/>
      <c r="C683" s="2"/>
      <c r="D683" s="2"/>
      <c r="E683" s="2"/>
      <c r="F683" s="2"/>
      <c r="G683" s="2"/>
      <c r="H683" s="2"/>
      <c r="I683" s="2"/>
      <c r="J683" s="2"/>
      <c r="K683" s="2"/>
      <c r="L683" s="2"/>
      <c r="M683" s="2"/>
      <c r="N683" s="2"/>
      <c r="O683" s="2"/>
      <c r="P683" s="2"/>
      <c r="Q683" s="23"/>
      <c r="R683" s="23"/>
      <c r="S683" s="23"/>
      <c r="T683" s="23"/>
      <c r="U683" s="23"/>
      <c r="V683" s="23"/>
      <c r="W683" s="23"/>
      <c r="X683" s="23"/>
      <c r="Y683" s="23"/>
      <c r="Z683" s="23"/>
    </row>
    <row r="684">
      <c r="A684" s="2"/>
      <c r="B684" s="2"/>
      <c r="C684" s="2"/>
      <c r="D684" s="2"/>
      <c r="E684" s="2"/>
      <c r="F684" s="2"/>
      <c r="G684" s="2"/>
      <c r="H684" s="2"/>
      <c r="I684" s="2"/>
      <c r="J684" s="2"/>
      <c r="K684" s="2"/>
      <c r="L684" s="2"/>
      <c r="M684" s="2"/>
      <c r="N684" s="2"/>
      <c r="O684" s="2"/>
      <c r="P684" s="2"/>
      <c r="Q684" s="23"/>
      <c r="R684" s="23"/>
      <c r="S684" s="23"/>
      <c r="T684" s="23"/>
      <c r="U684" s="23"/>
      <c r="V684" s="23"/>
      <c r="W684" s="23"/>
      <c r="X684" s="23"/>
      <c r="Y684" s="23"/>
      <c r="Z684" s="23"/>
    </row>
    <row r="685">
      <c r="A685" s="2"/>
      <c r="B685" s="2"/>
      <c r="C685" s="2"/>
      <c r="D685" s="2"/>
      <c r="E685" s="2"/>
      <c r="F685" s="2"/>
      <c r="G685" s="2"/>
      <c r="H685" s="2"/>
      <c r="I685" s="2"/>
      <c r="J685" s="2"/>
      <c r="K685" s="2"/>
      <c r="L685" s="2"/>
      <c r="M685" s="2"/>
      <c r="N685" s="2"/>
      <c r="O685" s="2"/>
      <c r="P685" s="2"/>
      <c r="Q685" s="23"/>
      <c r="R685" s="23"/>
      <c r="S685" s="23"/>
      <c r="T685" s="23"/>
      <c r="U685" s="23"/>
      <c r="V685" s="23"/>
      <c r="W685" s="23"/>
      <c r="X685" s="23"/>
      <c r="Y685" s="23"/>
      <c r="Z685" s="23"/>
    </row>
    <row r="686">
      <c r="A686" s="2"/>
      <c r="B686" s="2"/>
      <c r="C686" s="2"/>
      <c r="D686" s="2"/>
      <c r="E686" s="2"/>
      <c r="F686" s="2"/>
      <c r="G686" s="2"/>
      <c r="H686" s="2"/>
      <c r="I686" s="2"/>
      <c r="J686" s="2"/>
      <c r="K686" s="2"/>
      <c r="L686" s="2"/>
      <c r="M686" s="2"/>
      <c r="N686" s="2"/>
      <c r="O686" s="2"/>
      <c r="P686" s="2"/>
      <c r="Q686" s="23"/>
      <c r="R686" s="23"/>
      <c r="S686" s="23"/>
      <c r="T686" s="23"/>
      <c r="U686" s="23"/>
      <c r="V686" s="23"/>
      <c r="W686" s="23"/>
      <c r="X686" s="23"/>
      <c r="Y686" s="23"/>
      <c r="Z686" s="23"/>
    </row>
    <row r="687">
      <c r="A687" s="2"/>
      <c r="B687" s="2"/>
      <c r="C687" s="2"/>
      <c r="D687" s="2"/>
      <c r="E687" s="2"/>
      <c r="F687" s="2"/>
      <c r="G687" s="2"/>
      <c r="H687" s="2"/>
      <c r="I687" s="2"/>
      <c r="J687" s="2"/>
      <c r="K687" s="2"/>
      <c r="L687" s="2"/>
      <c r="M687" s="2"/>
      <c r="N687" s="2"/>
      <c r="O687" s="2"/>
      <c r="P687" s="2"/>
      <c r="Q687" s="23"/>
      <c r="R687" s="23"/>
      <c r="S687" s="23"/>
      <c r="T687" s="23"/>
      <c r="U687" s="23"/>
      <c r="V687" s="23"/>
      <c r="W687" s="23"/>
      <c r="X687" s="23"/>
      <c r="Y687" s="23"/>
      <c r="Z687" s="23"/>
    </row>
    <row r="688">
      <c r="A688" s="2"/>
      <c r="B688" s="2"/>
      <c r="C688" s="2"/>
      <c r="D688" s="2"/>
      <c r="E688" s="2"/>
      <c r="F688" s="2"/>
      <c r="G688" s="2"/>
      <c r="H688" s="2"/>
      <c r="I688" s="2"/>
      <c r="J688" s="2"/>
      <c r="K688" s="2"/>
      <c r="L688" s="2"/>
      <c r="M688" s="2"/>
      <c r="N688" s="2"/>
      <c r="O688" s="2"/>
      <c r="P688" s="2"/>
      <c r="Q688" s="23"/>
      <c r="R688" s="23"/>
      <c r="S688" s="23"/>
      <c r="T688" s="23"/>
      <c r="U688" s="23"/>
      <c r="V688" s="23"/>
      <c r="W688" s="23"/>
      <c r="X688" s="23"/>
      <c r="Y688" s="23"/>
      <c r="Z688" s="23"/>
    </row>
    <row r="689">
      <c r="A689" s="2"/>
      <c r="B689" s="2"/>
      <c r="C689" s="2"/>
      <c r="D689" s="2"/>
      <c r="E689" s="2"/>
      <c r="F689" s="2"/>
      <c r="G689" s="2"/>
      <c r="H689" s="2"/>
      <c r="I689" s="2"/>
      <c r="J689" s="2"/>
      <c r="K689" s="2"/>
      <c r="L689" s="2"/>
      <c r="M689" s="2"/>
      <c r="N689" s="2"/>
      <c r="O689" s="2"/>
      <c r="P689" s="2"/>
      <c r="Q689" s="23"/>
      <c r="R689" s="23"/>
      <c r="S689" s="23"/>
      <c r="T689" s="23"/>
      <c r="U689" s="23"/>
      <c r="V689" s="23"/>
      <c r="W689" s="23"/>
      <c r="X689" s="23"/>
      <c r="Y689" s="23"/>
      <c r="Z689" s="23"/>
    </row>
    <row r="690">
      <c r="A690" s="2"/>
      <c r="B690" s="2"/>
      <c r="C690" s="2"/>
      <c r="D690" s="2"/>
      <c r="E690" s="2"/>
      <c r="F690" s="2"/>
      <c r="G690" s="2"/>
      <c r="H690" s="2"/>
      <c r="I690" s="2"/>
      <c r="J690" s="2"/>
      <c r="K690" s="2"/>
      <c r="L690" s="2"/>
      <c r="M690" s="2"/>
      <c r="N690" s="2"/>
      <c r="O690" s="2"/>
      <c r="P690" s="2"/>
      <c r="Q690" s="23"/>
      <c r="R690" s="23"/>
      <c r="S690" s="23"/>
      <c r="T690" s="23"/>
      <c r="U690" s="23"/>
      <c r="V690" s="23"/>
      <c r="W690" s="23"/>
      <c r="X690" s="23"/>
      <c r="Y690" s="23"/>
      <c r="Z690" s="23"/>
    </row>
    <row r="691">
      <c r="A691" s="2"/>
      <c r="B691" s="2"/>
      <c r="C691" s="2"/>
      <c r="D691" s="2"/>
      <c r="E691" s="2"/>
      <c r="F691" s="2"/>
      <c r="G691" s="2"/>
      <c r="H691" s="2"/>
      <c r="I691" s="2"/>
      <c r="J691" s="2"/>
      <c r="K691" s="2"/>
      <c r="L691" s="2"/>
      <c r="M691" s="2"/>
      <c r="N691" s="2"/>
      <c r="O691" s="2"/>
      <c r="P691" s="2"/>
      <c r="Q691" s="23"/>
      <c r="R691" s="23"/>
      <c r="S691" s="23"/>
      <c r="T691" s="23"/>
      <c r="U691" s="23"/>
      <c r="V691" s="23"/>
      <c r="W691" s="23"/>
      <c r="X691" s="23"/>
      <c r="Y691" s="23"/>
      <c r="Z691" s="23"/>
    </row>
    <row r="692">
      <c r="A692" s="2"/>
      <c r="B692" s="2"/>
      <c r="C692" s="2"/>
      <c r="D692" s="2"/>
      <c r="E692" s="2"/>
      <c r="F692" s="2"/>
      <c r="G692" s="2"/>
      <c r="H692" s="2"/>
      <c r="I692" s="2"/>
      <c r="J692" s="2"/>
      <c r="K692" s="2"/>
      <c r="L692" s="2"/>
      <c r="M692" s="2"/>
      <c r="N692" s="2"/>
      <c r="O692" s="2"/>
      <c r="P692" s="2"/>
      <c r="Q692" s="23"/>
      <c r="R692" s="23"/>
      <c r="S692" s="23"/>
      <c r="T692" s="23"/>
      <c r="U692" s="23"/>
      <c r="V692" s="23"/>
      <c r="W692" s="23"/>
      <c r="X692" s="23"/>
      <c r="Y692" s="23"/>
      <c r="Z692" s="23"/>
    </row>
    <row r="693">
      <c r="A693" s="2"/>
      <c r="B693" s="2"/>
      <c r="C693" s="2"/>
      <c r="D693" s="2"/>
      <c r="E693" s="2"/>
      <c r="F693" s="2"/>
      <c r="G693" s="2"/>
      <c r="H693" s="2"/>
      <c r="I693" s="2"/>
      <c r="J693" s="2"/>
      <c r="K693" s="2"/>
      <c r="L693" s="2"/>
      <c r="M693" s="2"/>
      <c r="N693" s="2"/>
      <c r="O693" s="2"/>
      <c r="P693" s="2"/>
      <c r="Q693" s="23"/>
      <c r="R693" s="23"/>
      <c r="S693" s="23"/>
      <c r="T693" s="23"/>
      <c r="U693" s="23"/>
      <c r="V693" s="23"/>
      <c r="W693" s="23"/>
      <c r="X693" s="23"/>
      <c r="Y693" s="23"/>
      <c r="Z693" s="23"/>
    </row>
    <row r="694">
      <c r="A694" s="2"/>
      <c r="B694" s="2"/>
      <c r="C694" s="2"/>
      <c r="D694" s="2"/>
      <c r="E694" s="2"/>
      <c r="F694" s="2"/>
      <c r="G694" s="2"/>
      <c r="H694" s="2"/>
      <c r="I694" s="2"/>
      <c r="J694" s="2"/>
      <c r="K694" s="2"/>
      <c r="L694" s="2"/>
      <c r="M694" s="2"/>
      <c r="N694" s="2"/>
      <c r="O694" s="2"/>
      <c r="P694" s="2"/>
      <c r="Q694" s="23"/>
      <c r="R694" s="23"/>
      <c r="S694" s="23"/>
      <c r="T694" s="23"/>
      <c r="U694" s="23"/>
      <c r="V694" s="23"/>
      <c r="W694" s="23"/>
      <c r="X694" s="23"/>
      <c r="Y694" s="23"/>
      <c r="Z694" s="23"/>
    </row>
    <row r="695">
      <c r="A695" s="2"/>
      <c r="B695" s="2"/>
      <c r="C695" s="2"/>
      <c r="D695" s="2"/>
      <c r="E695" s="2"/>
      <c r="F695" s="2"/>
      <c r="G695" s="2"/>
      <c r="H695" s="2"/>
      <c r="I695" s="2"/>
      <c r="J695" s="2"/>
      <c r="K695" s="2"/>
      <c r="L695" s="2"/>
      <c r="M695" s="2"/>
      <c r="N695" s="2"/>
      <c r="O695" s="2"/>
      <c r="P695" s="2"/>
      <c r="Q695" s="23"/>
      <c r="R695" s="23"/>
      <c r="S695" s="23"/>
      <c r="T695" s="23"/>
      <c r="U695" s="23"/>
      <c r="V695" s="23"/>
      <c r="W695" s="23"/>
      <c r="X695" s="23"/>
      <c r="Y695" s="23"/>
      <c r="Z695" s="23"/>
    </row>
    <row r="696">
      <c r="A696" s="2"/>
      <c r="B696" s="2"/>
      <c r="C696" s="2"/>
      <c r="D696" s="2"/>
      <c r="E696" s="2"/>
      <c r="F696" s="2"/>
      <c r="G696" s="2"/>
      <c r="H696" s="2"/>
      <c r="I696" s="2"/>
      <c r="J696" s="2"/>
      <c r="K696" s="2"/>
      <c r="L696" s="2"/>
      <c r="M696" s="2"/>
      <c r="N696" s="2"/>
      <c r="O696" s="2"/>
      <c r="P696" s="2"/>
      <c r="Q696" s="23"/>
      <c r="R696" s="23"/>
      <c r="S696" s="23"/>
      <c r="T696" s="23"/>
      <c r="U696" s="23"/>
      <c r="V696" s="23"/>
      <c r="W696" s="23"/>
      <c r="X696" s="23"/>
      <c r="Y696" s="23"/>
      <c r="Z696" s="23"/>
    </row>
    <row r="697">
      <c r="A697" s="2"/>
      <c r="B697" s="2"/>
      <c r="C697" s="2"/>
      <c r="D697" s="2"/>
      <c r="E697" s="2"/>
      <c r="F697" s="2"/>
      <c r="G697" s="2"/>
      <c r="H697" s="2"/>
      <c r="I697" s="2"/>
      <c r="J697" s="2"/>
      <c r="K697" s="2"/>
      <c r="L697" s="2"/>
      <c r="M697" s="2"/>
      <c r="N697" s="2"/>
      <c r="O697" s="2"/>
      <c r="P697" s="2"/>
      <c r="Q697" s="23"/>
      <c r="R697" s="23"/>
      <c r="S697" s="23"/>
      <c r="T697" s="23"/>
      <c r="U697" s="23"/>
      <c r="V697" s="23"/>
      <c r="W697" s="23"/>
      <c r="X697" s="23"/>
      <c r="Y697" s="23"/>
      <c r="Z697" s="23"/>
    </row>
    <row r="698">
      <c r="A698" s="2"/>
      <c r="B698" s="2"/>
      <c r="C698" s="2"/>
      <c r="D698" s="2"/>
      <c r="E698" s="2"/>
      <c r="F698" s="2"/>
      <c r="G698" s="2"/>
      <c r="H698" s="2"/>
      <c r="I698" s="2"/>
      <c r="J698" s="2"/>
      <c r="K698" s="2"/>
      <c r="L698" s="2"/>
      <c r="M698" s="2"/>
      <c r="N698" s="2"/>
      <c r="O698" s="2"/>
      <c r="P698" s="2"/>
      <c r="Q698" s="23"/>
      <c r="R698" s="23"/>
      <c r="S698" s="23"/>
      <c r="T698" s="23"/>
      <c r="U698" s="23"/>
      <c r="V698" s="23"/>
      <c r="W698" s="23"/>
      <c r="X698" s="23"/>
      <c r="Y698" s="23"/>
      <c r="Z698" s="23"/>
    </row>
    <row r="699">
      <c r="A699" s="2"/>
      <c r="B699" s="2"/>
      <c r="C699" s="2"/>
      <c r="D699" s="2"/>
      <c r="E699" s="2"/>
      <c r="F699" s="2"/>
      <c r="G699" s="2"/>
      <c r="H699" s="2"/>
      <c r="I699" s="2"/>
      <c r="J699" s="2"/>
      <c r="K699" s="2"/>
      <c r="L699" s="2"/>
      <c r="M699" s="2"/>
      <c r="N699" s="2"/>
      <c r="O699" s="2"/>
      <c r="P699" s="2"/>
      <c r="Q699" s="23"/>
      <c r="R699" s="23"/>
      <c r="S699" s="23"/>
      <c r="T699" s="23"/>
      <c r="U699" s="23"/>
      <c r="V699" s="23"/>
      <c r="W699" s="23"/>
      <c r="X699" s="23"/>
      <c r="Y699" s="23"/>
      <c r="Z699" s="23"/>
    </row>
    <row r="700">
      <c r="A700" s="2"/>
      <c r="B700" s="2"/>
      <c r="C700" s="2"/>
      <c r="D700" s="2"/>
      <c r="E700" s="2"/>
      <c r="F700" s="2"/>
      <c r="G700" s="2"/>
      <c r="H700" s="2"/>
      <c r="I700" s="2"/>
      <c r="J700" s="2"/>
      <c r="K700" s="2"/>
      <c r="L700" s="2"/>
      <c r="M700" s="2"/>
      <c r="N700" s="2"/>
      <c r="O700" s="2"/>
      <c r="P700" s="2"/>
      <c r="Q700" s="23"/>
      <c r="R700" s="23"/>
      <c r="S700" s="23"/>
      <c r="T700" s="23"/>
      <c r="U700" s="23"/>
      <c r="V700" s="23"/>
      <c r="W700" s="23"/>
      <c r="X700" s="23"/>
      <c r="Y700" s="23"/>
      <c r="Z700" s="23"/>
    </row>
    <row r="701">
      <c r="A701" s="2"/>
      <c r="B701" s="2"/>
      <c r="C701" s="2"/>
      <c r="D701" s="2"/>
      <c r="E701" s="2"/>
      <c r="F701" s="2"/>
      <c r="G701" s="2"/>
      <c r="H701" s="2"/>
      <c r="I701" s="2"/>
      <c r="J701" s="2"/>
      <c r="K701" s="2"/>
      <c r="L701" s="2"/>
      <c r="M701" s="2"/>
      <c r="N701" s="2"/>
      <c r="O701" s="2"/>
      <c r="P701" s="2"/>
      <c r="Q701" s="23"/>
      <c r="R701" s="23"/>
      <c r="S701" s="23"/>
      <c r="T701" s="23"/>
      <c r="U701" s="23"/>
      <c r="V701" s="23"/>
      <c r="W701" s="23"/>
      <c r="X701" s="23"/>
      <c r="Y701" s="23"/>
      <c r="Z701" s="23"/>
    </row>
    <row r="702">
      <c r="A702" s="2"/>
      <c r="B702" s="2"/>
      <c r="C702" s="2"/>
      <c r="D702" s="2"/>
      <c r="E702" s="2"/>
      <c r="F702" s="2"/>
      <c r="G702" s="2"/>
      <c r="H702" s="2"/>
      <c r="I702" s="2"/>
      <c r="J702" s="2"/>
      <c r="K702" s="2"/>
      <c r="L702" s="2"/>
      <c r="M702" s="2"/>
      <c r="N702" s="2"/>
      <c r="O702" s="2"/>
      <c r="P702" s="2"/>
      <c r="Q702" s="23"/>
      <c r="R702" s="23"/>
      <c r="S702" s="23"/>
      <c r="T702" s="23"/>
      <c r="U702" s="23"/>
      <c r="V702" s="23"/>
      <c r="W702" s="23"/>
      <c r="X702" s="23"/>
      <c r="Y702" s="23"/>
      <c r="Z702" s="23"/>
    </row>
    <row r="703">
      <c r="A703" s="2"/>
      <c r="B703" s="2"/>
      <c r="C703" s="2"/>
      <c r="D703" s="2"/>
      <c r="E703" s="2"/>
      <c r="F703" s="2"/>
      <c r="G703" s="2"/>
      <c r="H703" s="2"/>
      <c r="I703" s="2"/>
      <c r="J703" s="2"/>
      <c r="K703" s="2"/>
      <c r="L703" s="2"/>
      <c r="M703" s="2"/>
      <c r="N703" s="2"/>
      <c r="O703" s="2"/>
      <c r="P703" s="2"/>
      <c r="Q703" s="23"/>
      <c r="R703" s="23"/>
      <c r="S703" s="23"/>
      <c r="T703" s="23"/>
      <c r="U703" s="23"/>
      <c r="V703" s="23"/>
      <c r="W703" s="23"/>
      <c r="X703" s="23"/>
      <c r="Y703" s="23"/>
      <c r="Z703" s="23"/>
    </row>
    <row r="704">
      <c r="A704" s="2"/>
      <c r="B704" s="2"/>
      <c r="C704" s="2"/>
      <c r="D704" s="2"/>
      <c r="E704" s="2"/>
      <c r="F704" s="2"/>
      <c r="G704" s="2"/>
      <c r="H704" s="2"/>
      <c r="I704" s="2"/>
      <c r="J704" s="2"/>
      <c r="K704" s="2"/>
      <c r="L704" s="2"/>
      <c r="M704" s="2"/>
      <c r="N704" s="2"/>
      <c r="O704" s="2"/>
      <c r="P704" s="2"/>
      <c r="Q704" s="23"/>
      <c r="R704" s="23"/>
      <c r="S704" s="23"/>
      <c r="T704" s="23"/>
      <c r="U704" s="23"/>
      <c r="V704" s="23"/>
      <c r="W704" s="23"/>
      <c r="X704" s="23"/>
      <c r="Y704" s="23"/>
      <c r="Z704" s="23"/>
    </row>
    <row r="705">
      <c r="A705" s="2"/>
      <c r="B705" s="2"/>
      <c r="C705" s="2"/>
      <c r="D705" s="2"/>
      <c r="E705" s="2"/>
      <c r="F705" s="2"/>
      <c r="G705" s="2"/>
      <c r="H705" s="2"/>
      <c r="I705" s="2"/>
      <c r="J705" s="2"/>
      <c r="K705" s="2"/>
      <c r="L705" s="2"/>
      <c r="M705" s="2"/>
      <c r="N705" s="2"/>
      <c r="O705" s="2"/>
      <c r="P705" s="2"/>
      <c r="Q705" s="23"/>
      <c r="R705" s="23"/>
      <c r="S705" s="23"/>
      <c r="T705" s="23"/>
      <c r="U705" s="23"/>
      <c r="V705" s="23"/>
      <c r="W705" s="23"/>
      <c r="X705" s="23"/>
      <c r="Y705" s="23"/>
      <c r="Z705" s="23"/>
    </row>
    <row r="706">
      <c r="A706" s="2"/>
      <c r="B706" s="2"/>
      <c r="C706" s="2"/>
      <c r="D706" s="2"/>
      <c r="E706" s="2"/>
      <c r="F706" s="2"/>
      <c r="G706" s="2"/>
      <c r="H706" s="2"/>
      <c r="I706" s="2"/>
      <c r="J706" s="2"/>
      <c r="K706" s="2"/>
      <c r="L706" s="2"/>
      <c r="M706" s="2"/>
      <c r="N706" s="2"/>
      <c r="O706" s="2"/>
      <c r="P706" s="2"/>
      <c r="Q706" s="23"/>
      <c r="R706" s="23"/>
      <c r="S706" s="23"/>
      <c r="T706" s="23"/>
      <c r="U706" s="23"/>
      <c r="V706" s="23"/>
      <c r="W706" s="23"/>
      <c r="X706" s="23"/>
      <c r="Y706" s="23"/>
      <c r="Z706" s="23"/>
    </row>
    <row r="707">
      <c r="A707" s="2"/>
      <c r="B707" s="2"/>
      <c r="C707" s="2"/>
      <c r="D707" s="2"/>
      <c r="E707" s="2"/>
      <c r="F707" s="2"/>
      <c r="G707" s="2"/>
      <c r="H707" s="2"/>
      <c r="I707" s="2"/>
      <c r="J707" s="2"/>
      <c r="K707" s="2"/>
      <c r="L707" s="2"/>
      <c r="M707" s="2"/>
      <c r="N707" s="2"/>
      <c r="O707" s="2"/>
      <c r="P707" s="2"/>
      <c r="Q707" s="23"/>
      <c r="R707" s="23"/>
      <c r="S707" s="23"/>
      <c r="T707" s="23"/>
      <c r="U707" s="23"/>
      <c r="V707" s="23"/>
      <c r="W707" s="23"/>
      <c r="X707" s="23"/>
      <c r="Y707" s="23"/>
      <c r="Z707" s="23"/>
    </row>
    <row r="708">
      <c r="A708" s="2"/>
      <c r="B708" s="2"/>
      <c r="C708" s="2"/>
      <c r="D708" s="2"/>
      <c r="E708" s="2"/>
      <c r="F708" s="2"/>
      <c r="G708" s="2"/>
      <c r="H708" s="2"/>
      <c r="I708" s="2"/>
      <c r="J708" s="2"/>
      <c r="K708" s="2"/>
      <c r="L708" s="2"/>
      <c r="M708" s="2"/>
      <c r="N708" s="2"/>
      <c r="O708" s="2"/>
      <c r="P708" s="2"/>
      <c r="Q708" s="23"/>
      <c r="R708" s="23"/>
      <c r="S708" s="23"/>
      <c r="T708" s="23"/>
      <c r="U708" s="23"/>
      <c r="V708" s="23"/>
      <c r="W708" s="23"/>
      <c r="X708" s="23"/>
      <c r="Y708" s="23"/>
      <c r="Z708" s="23"/>
    </row>
    <row r="709">
      <c r="A709" s="2"/>
      <c r="B709" s="2"/>
      <c r="C709" s="2"/>
      <c r="D709" s="2"/>
      <c r="E709" s="2"/>
      <c r="F709" s="2"/>
      <c r="G709" s="2"/>
      <c r="H709" s="2"/>
      <c r="I709" s="2"/>
      <c r="J709" s="2"/>
      <c r="K709" s="2"/>
      <c r="L709" s="2"/>
      <c r="M709" s="2"/>
      <c r="N709" s="2"/>
      <c r="O709" s="2"/>
      <c r="P709" s="2"/>
      <c r="Q709" s="23"/>
      <c r="R709" s="23"/>
      <c r="S709" s="23"/>
      <c r="T709" s="23"/>
      <c r="U709" s="23"/>
      <c r="V709" s="23"/>
      <c r="W709" s="23"/>
      <c r="X709" s="23"/>
      <c r="Y709" s="23"/>
      <c r="Z709" s="23"/>
    </row>
    <row r="710">
      <c r="A710" s="2"/>
      <c r="B710" s="2"/>
      <c r="C710" s="2"/>
      <c r="D710" s="2"/>
      <c r="E710" s="2"/>
      <c r="F710" s="2"/>
      <c r="G710" s="2"/>
      <c r="H710" s="2"/>
      <c r="I710" s="2"/>
      <c r="J710" s="2"/>
      <c r="K710" s="2"/>
      <c r="L710" s="2"/>
      <c r="M710" s="2"/>
      <c r="N710" s="2"/>
      <c r="O710" s="2"/>
      <c r="P710" s="2"/>
      <c r="Q710" s="23"/>
      <c r="R710" s="23"/>
      <c r="S710" s="23"/>
      <c r="T710" s="23"/>
      <c r="U710" s="23"/>
      <c r="V710" s="23"/>
      <c r="W710" s="23"/>
      <c r="X710" s="23"/>
      <c r="Y710" s="23"/>
      <c r="Z710" s="23"/>
    </row>
    <row r="711">
      <c r="A711" s="2"/>
      <c r="B711" s="2"/>
      <c r="C711" s="2"/>
      <c r="D711" s="2"/>
      <c r="E711" s="2"/>
      <c r="F711" s="2"/>
      <c r="G711" s="2"/>
      <c r="H711" s="2"/>
      <c r="I711" s="2"/>
      <c r="J711" s="2"/>
      <c r="K711" s="2"/>
      <c r="L711" s="2"/>
      <c r="M711" s="2"/>
      <c r="N711" s="2"/>
      <c r="O711" s="2"/>
      <c r="P711" s="2"/>
      <c r="Q711" s="23"/>
      <c r="R711" s="23"/>
      <c r="S711" s="23"/>
      <c r="T711" s="23"/>
      <c r="U711" s="23"/>
      <c r="V711" s="23"/>
      <c r="W711" s="23"/>
      <c r="X711" s="23"/>
      <c r="Y711" s="23"/>
      <c r="Z711" s="23"/>
    </row>
    <row r="712">
      <c r="A712" s="2"/>
      <c r="B712" s="2"/>
      <c r="C712" s="2"/>
      <c r="D712" s="2"/>
      <c r="E712" s="2"/>
      <c r="F712" s="2"/>
      <c r="G712" s="2"/>
      <c r="H712" s="2"/>
      <c r="I712" s="2"/>
      <c r="J712" s="2"/>
      <c r="K712" s="2"/>
      <c r="L712" s="2"/>
      <c r="M712" s="2"/>
      <c r="N712" s="2"/>
      <c r="O712" s="2"/>
      <c r="P712" s="2"/>
      <c r="Q712" s="23"/>
      <c r="R712" s="23"/>
      <c r="S712" s="23"/>
      <c r="T712" s="23"/>
      <c r="U712" s="23"/>
      <c r="V712" s="23"/>
      <c r="W712" s="23"/>
      <c r="X712" s="23"/>
      <c r="Y712" s="23"/>
      <c r="Z712" s="23"/>
    </row>
    <row r="713">
      <c r="A713" s="2"/>
      <c r="B713" s="2"/>
      <c r="C713" s="2"/>
      <c r="D713" s="2"/>
      <c r="E713" s="2"/>
      <c r="F713" s="2"/>
      <c r="G713" s="2"/>
      <c r="H713" s="2"/>
      <c r="I713" s="2"/>
      <c r="J713" s="2"/>
      <c r="K713" s="2"/>
      <c r="L713" s="2"/>
      <c r="M713" s="2"/>
      <c r="N713" s="2"/>
      <c r="O713" s="2"/>
      <c r="P713" s="2"/>
      <c r="Q713" s="23"/>
      <c r="R713" s="23"/>
      <c r="S713" s="23"/>
      <c r="T713" s="23"/>
      <c r="U713" s="23"/>
      <c r="V713" s="23"/>
      <c r="W713" s="23"/>
      <c r="X713" s="23"/>
      <c r="Y713" s="23"/>
      <c r="Z713" s="23"/>
    </row>
    <row r="714">
      <c r="A714" s="2"/>
      <c r="B714" s="2"/>
      <c r="C714" s="2"/>
      <c r="D714" s="2"/>
      <c r="E714" s="2"/>
      <c r="F714" s="2"/>
      <c r="G714" s="2"/>
      <c r="H714" s="2"/>
      <c r="I714" s="2"/>
      <c r="J714" s="2"/>
      <c r="K714" s="2"/>
      <c r="L714" s="2"/>
      <c r="M714" s="2"/>
      <c r="N714" s="2"/>
      <c r="O714" s="2"/>
      <c r="P714" s="2"/>
      <c r="Q714" s="23"/>
      <c r="R714" s="23"/>
      <c r="S714" s="23"/>
      <c r="T714" s="23"/>
      <c r="U714" s="23"/>
      <c r="V714" s="23"/>
      <c r="W714" s="23"/>
      <c r="X714" s="23"/>
      <c r="Y714" s="23"/>
      <c r="Z714" s="23"/>
    </row>
    <row r="715">
      <c r="A715" s="2"/>
      <c r="B715" s="2"/>
      <c r="C715" s="2"/>
      <c r="D715" s="2"/>
      <c r="E715" s="2"/>
      <c r="F715" s="2"/>
      <c r="G715" s="2"/>
      <c r="H715" s="2"/>
      <c r="I715" s="2"/>
      <c r="J715" s="2"/>
      <c r="K715" s="2"/>
      <c r="L715" s="2"/>
      <c r="M715" s="2"/>
      <c r="N715" s="2"/>
      <c r="O715" s="2"/>
      <c r="P715" s="2"/>
      <c r="Q715" s="23"/>
      <c r="R715" s="23"/>
      <c r="S715" s="23"/>
      <c r="T715" s="23"/>
      <c r="U715" s="23"/>
      <c r="V715" s="23"/>
      <c r="W715" s="23"/>
      <c r="X715" s="23"/>
      <c r="Y715" s="23"/>
      <c r="Z715" s="23"/>
    </row>
    <row r="716">
      <c r="A716" s="2"/>
      <c r="B716" s="2"/>
      <c r="C716" s="2"/>
      <c r="D716" s="2"/>
      <c r="E716" s="2"/>
      <c r="F716" s="2"/>
      <c r="G716" s="2"/>
      <c r="H716" s="2"/>
      <c r="I716" s="2"/>
      <c r="J716" s="2"/>
      <c r="K716" s="2"/>
      <c r="L716" s="2"/>
      <c r="M716" s="2"/>
      <c r="N716" s="2"/>
      <c r="O716" s="2"/>
      <c r="P716" s="2"/>
      <c r="Q716" s="23"/>
      <c r="R716" s="23"/>
      <c r="S716" s="23"/>
      <c r="T716" s="23"/>
      <c r="U716" s="23"/>
      <c r="V716" s="23"/>
      <c r="W716" s="23"/>
      <c r="X716" s="23"/>
      <c r="Y716" s="23"/>
      <c r="Z716" s="23"/>
    </row>
    <row r="717">
      <c r="A717" s="2"/>
      <c r="B717" s="2"/>
      <c r="C717" s="2"/>
      <c r="D717" s="2"/>
      <c r="E717" s="2"/>
      <c r="F717" s="2"/>
      <c r="G717" s="2"/>
      <c r="H717" s="2"/>
      <c r="I717" s="2"/>
      <c r="J717" s="2"/>
      <c r="K717" s="2"/>
      <c r="L717" s="2"/>
      <c r="M717" s="2"/>
      <c r="N717" s="2"/>
      <c r="O717" s="2"/>
      <c r="P717" s="2"/>
      <c r="Q717" s="23"/>
      <c r="R717" s="23"/>
      <c r="S717" s="23"/>
      <c r="T717" s="23"/>
      <c r="U717" s="23"/>
      <c r="V717" s="23"/>
      <c r="W717" s="23"/>
      <c r="X717" s="23"/>
      <c r="Y717" s="23"/>
      <c r="Z717" s="23"/>
    </row>
    <row r="718">
      <c r="A718" s="2"/>
      <c r="B718" s="2"/>
      <c r="C718" s="2"/>
      <c r="D718" s="2"/>
      <c r="E718" s="2"/>
      <c r="F718" s="2"/>
      <c r="G718" s="2"/>
      <c r="H718" s="2"/>
      <c r="I718" s="2"/>
      <c r="J718" s="2"/>
      <c r="K718" s="2"/>
      <c r="L718" s="2"/>
      <c r="M718" s="2"/>
      <c r="N718" s="2"/>
      <c r="O718" s="2"/>
      <c r="P718" s="2"/>
      <c r="Q718" s="23"/>
      <c r="R718" s="23"/>
      <c r="S718" s="23"/>
      <c r="T718" s="23"/>
      <c r="U718" s="23"/>
      <c r="V718" s="23"/>
      <c r="W718" s="23"/>
      <c r="X718" s="23"/>
      <c r="Y718" s="23"/>
      <c r="Z718" s="23"/>
    </row>
    <row r="719">
      <c r="A719" s="2"/>
      <c r="B719" s="2"/>
      <c r="C719" s="2"/>
      <c r="D719" s="2"/>
      <c r="E719" s="2"/>
      <c r="F719" s="2"/>
      <c r="G719" s="2"/>
      <c r="H719" s="2"/>
      <c r="I719" s="2"/>
      <c r="J719" s="2"/>
      <c r="K719" s="2"/>
      <c r="L719" s="2"/>
      <c r="M719" s="2"/>
      <c r="N719" s="2"/>
      <c r="O719" s="2"/>
      <c r="P719" s="2"/>
      <c r="Q719" s="23"/>
      <c r="R719" s="23"/>
      <c r="S719" s="23"/>
      <c r="T719" s="23"/>
      <c r="U719" s="23"/>
      <c r="V719" s="23"/>
      <c r="W719" s="23"/>
      <c r="X719" s="23"/>
      <c r="Y719" s="23"/>
      <c r="Z719" s="23"/>
    </row>
    <row r="720">
      <c r="A720" s="2"/>
      <c r="B720" s="2"/>
      <c r="C720" s="2"/>
      <c r="D720" s="2"/>
      <c r="E720" s="2"/>
      <c r="F720" s="2"/>
      <c r="G720" s="2"/>
      <c r="H720" s="2"/>
      <c r="I720" s="2"/>
      <c r="J720" s="2"/>
      <c r="K720" s="2"/>
      <c r="L720" s="2"/>
      <c r="M720" s="2"/>
      <c r="N720" s="2"/>
      <c r="O720" s="2"/>
      <c r="P720" s="2"/>
      <c r="Q720" s="23"/>
      <c r="R720" s="23"/>
      <c r="S720" s="23"/>
      <c r="T720" s="23"/>
      <c r="U720" s="23"/>
      <c r="V720" s="23"/>
      <c r="W720" s="23"/>
      <c r="X720" s="23"/>
      <c r="Y720" s="23"/>
      <c r="Z720" s="23"/>
    </row>
    <row r="721">
      <c r="A721" s="2"/>
      <c r="B721" s="2"/>
      <c r="C721" s="2"/>
      <c r="D721" s="2"/>
      <c r="E721" s="2"/>
      <c r="F721" s="2"/>
      <c r="G721" s="2"/>
      <c r="H721" s="2"/>
      <c r="I721" s="2"/>
      <c r="J721" s="2"/>
      <c r="K721" s="2"/>
      <c r="L721" s="2"/>
      <c r="M721" s="2"/>
      <c r="N721" s="2"/>
      <c r="O721" s="2"/>
      <c r="P721" s="2"/>
      <c r="Q721" s="23"/>
      <c r="R721" s="23"/>
      <c r="S721" s="23"/>
      <c r="T721" s="23"/>
      <c r="U721" s="23"/>
      <c r="V721" s="23"/>
      <c r="W721" s="23"/>
      <c r="X721" s="23"/>
      <c r="Y721" s="23"/>
      <c r="Z721" s="23"/>
    </row>
    <row r="722">
      <c r="A722" s="2"/>
      <c r="B722" s="2"/>
      <c r="C722" s="2"/>
      <c r="D722" s="2"/>
      <c r="E722" s="2"/>
      <c r="F722" s="2"/>
      <c r="G722" s="2"/>
      <c r="H722" s="2"/>
      <c r="I722" s="2"/>
      <c r="J722" s="2"/>
      <c r="K722" s="2"/>
      <c r="L722" s="2"/>
      <c r="M722" s="2"/>
      <c r="N722" s="2"/>
      <c r="O722" s="2"/>
      <c r="P722" s="2"/>
      <c r="Q722" s="23"/>
      <c r="R722" s="23"/>
      <c r="S722" s="23"/>
      <c r="T722" s="23"/>
      <c r="U722" s="23"/>
      <c r="V722" s="23"/>
      <c r="W722" s="23"/>
      <c r="X722" s="23"/>
      <c r="Y722" s="23"/>
      <c r="Z722" s="23"/>
    </row>
    <row r="723">
      <c r="A723" s="2"/>
      <c r="B723" s="2"/>
      <c r="C723" s="2"/>
      <c r="D723" s="2"/>
      <c r="E723" s="2"/>
      <c r="F723" s="2"/>
      <c r="G723" s="2"/>
      <c r="H723" s="2"/>
      <c r="I723" s="2"/>
      <c r="J723" s="2"/>
      <c r="K723" s="2"/>
      <c r="L723" s="2"/>
      <c r="M723" s="2"/>
      <c r="N723" s="2"/>
      <c r="O723" s="2"/>
      <c r="P723" s="2"/>
      <c r="Q723" s="23"/>
      <c r="R723" s="23"/>
      <c r="S723" s="23"/>
      <c r="T723" s="23"/>
      <c r="U723" s="23"/>
      <c r="V723" s="23"/>
      <c r="W723" s="23"/>
      <c r="X723" s="23"/>
      <c r="Y723" s="23"/>
      <c r="Z723" s="23"/>
    </row>
    <row r="724">
      <c r="A724" s="2"/>
      <c r="B724" s="2"/>
      <c r="C724" s="2"/>
      <c r="D724" s="2"/>
      <c r="E724" s="2"/>
      <c r="F724" s="2"/>
      <c r="G724" s="2"/>
      <c r="H724" s="2"/>
      <c r="I724" s="2"/>
      <c r="J724" s="2"/>
      <c r="K724" s="2"/>
      <c r="L724" s="2"/>
      <c r="M724" s="2"/>
      <c r="N724" s="2"/>
      <c r="O724" s="2"/>
      <c r="P724" s="2"/>
      <c r="Q724" s="23"/>
      <c r="R724" s="23"/>
      <c r="S724" s="23"/>
      <c r="T724" s="23"/>
      <c r="U724" s="23"/>
      <c r="V724" s="23"/>
      <c r="W724" s="23"/>
      <c r="X724" s="23"/>
      <c r="Y724" s="23"/>
      <c r="Z724" s="23"/>
    </row>
    <row r="725">
      <c r="A725" s="2"/>
      <c r="B725" s="2"/>
      <c r="C725" s="2"/>
      <c r="D725" s="2"/>
      <c r="E725" s="2"/>
      <c r="F725" s="2"/>
      <c r="G725" s="2"/>
      <c r="H725" s="2"/>
      <c r="I725" s="2"/>
      <c r="J725" s="2"/>
      <c r="K725" s="2"/>
      <c r="L725" s="2"/>
      <c r="M725" s="2"/>
      <c r="N725" s="2"/>
      <c r="O725" s="2"/>
      <c r="P725" s="2"/>
      <c r="Q725" s="23"/>
      <c r="R725" s="23"/>
      <c r="S725" s="23"/>
      <c r="T725" s="23"/>
      <c r="U725" s="23"/>
      <c r="V725" s="23"/>
      <c r="W725" s="23"/>
      <c r="X725" s="23"/>
      <c r="Y725" s="23"/>
      <c r="Z725" s="23"/>
    </row>
    <row r="726">
      <c r="A726" s="2"/>
      <c r="B726" s="2"/>
      <c r="C726" s="2"/>
      <c r="D726" s="2"/>
      <c r="E726" s="2"/>
      <c r="F726" s="2"/>
      <c r="G726" s="2"/>
      <c r="H726" s="2"/>
      <c r="I726" s="2"/>
      <c r="J726" s="2"/>
      <c r="K726" s="2"/>
      <c r="L726" s="2"/>
      <c r="M726" s="2"/>
      <c r="N726" s="2"/>
      <c r="O726" s="2"/>
      <c r="P726" s="2"/>
      <c r="Q726" s="23"/>
      <c r="R726" s="23"/>
      <c r="S726" s="23"/>
      <c r="T726" s="23"/>
      <c r="U726" s="23"/>
      <c r="V726" s="23"/>
      <c r="W726" s="23"/>
      <c r="X726" s="23"/>
      <c r="Y726" s="23"/>
      <c r="Z726" s="23"/>
    </row>
    <row r="727">
      <c r="A727" s="2"/>
      <c r="B727" s="2"/>
      <c r="C727" s="2"/>
      <c r="D727" s="2"/>
      <c r="E727" s="2"/>
      <c r="F727" s="2"/>
      <c r="G727" s="2"/>
      <c r="H727" s="2"/>
      <c r="I727" s="2"/>
      <c r="J727" s="2"/>
      <c r="K727" s="2"/>
      <c r="L727" s="2"/>
      <c r="M727" s="2"/>
      <c r="N727" s="2"/>
      <c r="O727" s="2"/>
      <c r="P727" s="2"/>
      <c r="Q727" s="23"/>
      <c r="R727" s="23"/>
      <c r="S727" s="23"/>
      <c r="T727" s="23"/>
      <c r="U727" s="23"/>
      <c r="V727" s="23"/>
      <c r="W727" s="23"/>
      <c r="X727" s="23"/>
      <c r="Y727" s="23"/>
      <c r="Z727" s="23"/>
    </row>
    <row r="728">
      <c r="A728" s="2"/>
      <c r="B728" s="2"/>
      <c r="C728" s="2"/>
      <c r="D728" s="2"/>
      <c r="E728" s="2"/>
      <c r="F728" s="2"/>
      <c r="G728" s="2"/>
      <c r="H728" s="2"/>
      <c r="I728" s="2"/>
      <c r="J728" s="2"/>
      <c r="K728" s="2"/>
      <c r="L728" s="2"/>
      <c r="M728" s="2"/>
      <c r="N728" s="2"/>
      <c r="O728" s="2"/>
      <c r="P728" s="2"/>
      <c r="Q728" s="23"/>
      <c r="R728" s="23"/>
      <c r="S728" s="23"/>
      <c r="T728" s="23"/>
      <c r="U728" s="23"/>
      <c r="V728" s="23"/>
      <c r="W728" s="23"/>
      <c r="X728" s="23"/>
      <c r="Y728" s="23"/>
      <c r="Z728" s="23"/>
    </row>
    <row r="729">
      <c r="A729" s="2"/>
      <c r="B729" s="2"/>
      <c r="C729" s="2"/>
      <c r="D729" s="2"/>
      <c r="E729" s="2"/>
      <c r="F729" s="2"/>
      <c r="G729" s="2"/>
      <c r="H729" s="2"/>
      <c r="I729" s="2"/>
      <c r="J729" s="2"/>
      <c r="K729" s="2"/>
      <c r="L729" s="2"/>
      <c r="M729" s="2"/>
      <c r="N729" s="2"/>
      <c r="O729" s="2"/>
      <c r="P729" s="2"/>
      <c r="Q729" s="23"/>
      <c r="R729" s="23"/>
      <c r="S729" s="23"/>
      <c r="T729" s="23"/>
      <c r="U729" s="23"/>
      <c r="V729" s="23"/>
      <c r="W729" s="23"/>
      <c r="X729" s="23"/>
      <c r="Y729" s="23"/>
      <c r="Z729" s="23"/>
    </row>
    <row r="730">
      <c r="A730" s="2"/>
      <c r="B730" s="2"/>
      <c r="C730" s="2"/>
      <c r="D730" s="2"/>
      <c r="E730" s="2"/>
      <c r="F730" s="2"/>
      <c r="G730" s="2"/>
      <c r="H730" s="2"/>
      <c r="I730" s="2"/>
      <c r="J730" s="2"/>
      <c r="K730" s="2"/>
      <c r="L730" s="2"/>
      <c r="M730" s="2"/>
      <c r="N730" s="2"/>
      <c r="O730" s="2"/>
      <c r="P730" s="2"/>
      <c r="Q730" s="23"/>
      <c r="R730" s="23"/>
      <c r="S730" s="23"/>
      <c r="T730" s="23"/>
      <c r="U730" s="23"/>
      <c r="V730" s="23"/>
      <c r="W730" s="23"/>
      <c r="X730" s="23"/>
      <c r="Y730" s="23"/>
      <c r="Z730" s="23"/>
    </row>
    <row r="731">
      <c r="A731" s="2"/>
      <c r="B731" s="2"/>
      <c r="C731" s="2"/>
      <c r="D731" s="2"/>
      <c r="E731" s="2"/>
      <c r="F731" s="2"/>
      <c r="G731" s="2"/>
      <c r="H731" s="2"/>
      <c r="I731" s="2"/>
      <c r="J731" s="2"/>
      <c r="K731" s="2"/>
      <c r="L731" s="2"/>
      <c r="M731" s="2"/>
      <c r="N731" s="2"/>
      <c r="O731" s="2"/>
      <c r="P731" s="2"/>
      <c r="Q731" s="23"/>
      <c r="R731" s="23"/>
      <c r="S731" s="23"/>
      <c r="T731" s="23"/>
      <c r="U731" s="23"/>
      <c r="V731" s="23"/>
      <c r="W731" s="23"/>
      <c r="X731" s="23"/>
      <c r="Y731" s="23"/>
      <c r="Z731" s="23"/>
    </row>
    <row r="732">
      <c r="A732" s="2"/>
      <c r="B732" s="2"/>
      <c r="C732" s="2"/>
      <c r="D732" s="2"/>
      <c r="E732" s="2"/>
      <c r="F732" s="2"/>
      <c r="G732" s="2"/>
      <c r="H732" s="2"/>
      <c r="I732" s="2"/>
      <c r="J732" s="2"/>
      <c r="K732" s="2"/>
      <c r="L732" s="2"/>
      <c r="M732" s="2"/>
      <c r="N732" s="2"/>
      <c r="O732" s="2"/>
      <c r="P732" s="2"/>
      <c r="Q732" s="23"/>
      <c r="R732" s="23"/>
      <c r="S732" s="23"/>
      <c r="T732" s="23"/>
      <c r="U732" s="23"/>
      <c r="V732" s="23"/>
      <c r="W732" s="23"/>
      <c r="X732" s="23"/>
      <c r="Y732" s="23"/>
      <c r="Z732" s="23"/>
    </row>
    <row r="733">
      <c r="A733" s="2"/>
      <c r="B733" s="2"/>
      <c r="C733" s="2"/>
      <c r="D733" s="2"/>
      <c r="E733" s="2"/>
      <c r="F733" s="2"/>
      <c r="G733" s="2"/>
      <c r="H733" s="2"/>
      <c r="I733" s="2"/>
      <c r="J733" s="2"/>
      <c r="K733" s="2"/>
      <c r="L733" s="2"/>
      <c r="M733" s="2"/>
      <c r="N733" s="2"/>
      <c r="O733" s="2"/>
      <c r="P733" s="2"/>
      <c r="Q733" s="23"/>
      <c r="R733" s="23"/>
      <c r="S733" s="23"/>
      <c r="T733" s="23"/>
      <c r="U733" s="23"/>
      <c r="V733" s="23"/>
      <c r="W733" s="23"/>
      <c r="X733" s="23"/>
      <c r="Y733" s="23"/>
      <c r="Z733" s="23"/>
    </row>
    <row r="734">
      <c r="A734" s="2"/>
      <c r="B734" s="2"/>
      <c r="C734" s="2"/>
      <c r="D734" s="2"/>
      <c r="E734" s="2"/>
      <c r="F734" s="2"/>
      <c r="G734" s="2"/>
      <c r="H734" s="2"/>
      <c r="I734" s="2"/>
      <c r="J734" s="2"/>
      <c r="K734" s="2"/>
      <c r="L734" s="2"/>
      <c r="M734" s="2"/>
      <c r="N734" s="2"/>
      <c r="O734" s="2"/>
      <c r="P734" s="2"/>
      <c r="Q734" s="23"/>
      <c r="R734" s="23"/>
      <c r="S734" s="23"/>
      <c r="T734" s="23"/>
      <c r="U734" s="23"/>
      <c r="V734" s="23"/>
      <c r="W734" s="23"/>
      <c r="X734" s="23"/>
      <c r="Y734" s="23"/>
      <c r="Z734" s="23"/>
    </row>
    <row r="735">
      <c r="A735" s="2"/>
      <c r="B735" s="2"/>
      <c r="C735" s="2"/>
      <c r="D735" s="2"/>
      <c r="E735" s="2"/>
      <c r="F735" s="2"/>
      <c r="G735" s="2"/>
      <c r="H735" s="2"/>
      <c r="I735" s="2"/>
      <c r="J735" s="2"/>
      <c r="K735" s="2"/>
      <c r="L735" s="2"/>
      <c r="M735" s="2"/>
      <c r="N735" s="2"/>
      <c r="O735" s="2"/>
      <c r="P735" s="2"/>
      <c r="Q735" s="23"/>
      <c r="R735" s="23"/>
      <c r="S735" s="23"/>
      <c r="T735" s="23"/>
      <c r="U735" s="23"/>
      <c r="V735" s="23"/>
      <c r="W735" s="23"/>
      <c r="X735" s="23"/>
      <c r="Y735" s="23"/>
      <c r="Z735" s="23"/>
    </row>
    <row r="736">
      <c r="A736" s="2"/>
      <c r="B736" s="2"/>
      <c r="C736" s="2"/>
      <c r="D736" s="2"/>
      <c r="E736" s="2"/>
      <c r="F736" s="2"/>
      <c r="G736" s="2"/>
      <c r="H736" s="2"/>
      <c r="I736" s="2"/>
      <c r="J736" s="2"/>
      <c r="K736" s="2"/>
      <c r="L736" s="2"/>
      <c r="M736" s="2"/>
      <c r="N736" s="2"/>
      <c r="O736" s="2"/>
      <c r="P736" s="2"/>
      <c r="Q736" s="23"/>
      <c r="R736" s="23"/>
      <c r="S736" s="23"/>
      <c r="T736" s="23"/>
      <c r="U736" s="23"/>
      <c r="V736" s="23"/>
      <c r="W736" s="23"/>
      <c r="X736" s="23"/>
      <c r="Y736" s="23"/>
      <c r="Z736" s="23"/>
    </row>
    <row r="737">
      <c r="A737" s="2"/>
      <c r="B737" s="2"/>
      <c r="C737" s="2"/>
      <c r="D737" s="2"/>
      <c r="E737" s="2"/>
      <c r="F737" s="2"/>
      <c r="G737" s="2"/>
      <c r="H737" s="2"/>
      <c r="I737" s="2"/>
      <c r="J737" s="2"/>
      <c r="K737" s="2"/>
      <c r="L737" s="2"/>
      <c r="M737" s="2"/>
      <c r="N737" s="2"/>
      <c r="O737" s="2"/>
      <c r="P737" s="2"/>
      <c r="Q737" s="23"/>
      <c r="R737" s="23"/>
      <c r="S737" s="23"/>
      <c r="T737" s="23"/>
      <c r="U737" s="23"/>
      <c r="V737" s="23"/>
      <c r="W737" s="23"/>
      <c r="X737" s="23"/>
      <c r="Y737" s="23"/>
      <c r="Z737" s="23"/>
    </row>
    <row r="738">
      <c r="A738" s="2"/>
      <c r="B738" s="2"/>
      <c r="C738" s="2"/>
      <c r="D738" s="2"/>
      <c r="E738" s="2"/>
      <c r="F738" s="2"/>
      <c r="G738" s="2"/>
      <c r="H738" s="2"/>
      <c r="I738" s="2"/>
      <c r="J738" s="2"/>
      <c r="K738" s="2"/>
      <c r="L738" s="2"/>
      <c r="M738" s="2"/>
      <c r="N738" s="2"/>
      <c r="O738" s="2"/>
      <c r="P738" s="2"/>
      <c r="Q738" s="23"/>
      <c r="R738" s="23"/>
      <c r="S738" s="23"/>
      <c r="T738" s="23"/>
      <c r="U738" s="23"/>
      <c r="V738" s="23"/>
      <c r="W738" s="23"/>
      <c r="X738" s="23"/>
      <c r="Y738" s="23"/>
      <c r="Z738" s="23"/>
    </row>
    <row r="739">
      <c r="A739" s="2"/>
      <c r="B739" s="2"/>
      <c r="C739" s="2"/>
      <c r="D739" s="2"/>
      <c r="E739" s="2"/>
      <c r="F739" s="2"/>
      <c r="G739" s="2"/>
      <c r="H739" s="2"/>
      <c r="I739" s="2"/>
      <c r="J739" s="2"/>
      <c r="K739" s="2"/>
      <c r="L739" s="2"/>
      <c r="M739" s="2"/>
      <c r="N739" s="2"/>
      <c r="O739" s="2"/>
      <c r="P739" s="2"/>
      <c r="Q739" s="23"/>
      <c r="R739" s="23"/>
      <c r="S739" s="23"/>
      <c r="T739" s="23"/>
      <c r="U739" s="23"/>
      <c r="V739" s="23"/>
      <c r="W739" s="23"/>
      <c r="X739" s="23"/>
      <c r="Y739" s="23"/>
      <c r="Z739" s="23"/>
    </row>
    <row r="740">
      <c r="A740" s="2"/>
      <c r="B740" s="2"/>
      <c r="C740" s="2"/>
      <c r="D740" s="2"/>
      <c r="E740" s="2"/>
      <c r="F740" s="2"/>
      <c r="G740" s="2"/>
      <c r="H740" s="2"/>
      <c r="I740" s="2"/>
      <c r="J740" s="2"/>
      <c r="K740" s="2"/>
      <c r="L740" s="2"/>
      <c r="M740" s="2"/>
      <c r="N740" s="2"/>
      <c r="O740" s="2"/>
      <c r="P740" s="2"/>
      <c r="Q740" s="23"/>
      <c r="R740" s="23"/>
      <c r="S740" s="23"/>
      <c r="T740" s="23"/>
      <c r="U740" s="23"/>
      <c r="V740" s="23"/>
      <c r="W740" s="23"/>
      <c r="X740" s="23"/>
      <c r="Y740" s="23"/>
      <c r="Z740" s="23"/>
    </row>
    <row r="741">
      <c r="A741" s="2"/>
      <c r="B741" s="2"/>
      <c r="C741" s="2"/>
      <c r="D741" s="2"/>
      <c r="E741" s="2"/>
      <c r="F741" s="2"/>
      <c r="G741" s="2"/>
      <c r="H741" s="2"/>
      <c r="I741" s="2"/>
      <c r="J741" s="2"/>
      <c r="K741" s="2"/>
      <c r="L741" s="2"/>
      <c r="M741" s="2"/>
      <c r="N741" s="2"/>
      <c r="O741" s="2"/>
      <c r="P741" s="2"/>
      <c r="Q741" s="23"/>
      <c r="R741" s="23"/>
      <c r="S741" s="23"/>
      <c r="T741" s="23"/>
      <c r="U741" s="23"/>
      <c r="V741" s="23"/>
      <c r="W741" s="23"/>
      <c r="X741" s="23"/>
      <c r="Y741" s="23"/>
      <c r="Z741" s="23"/>
    </row>
    <row r="742">
      <c r="A742" s="2"/>
      <c r="B742" s="2"/>
      <c r="C742" s="2"/>
      <c r="D742" s="2"/>
      <c r="E742" s="2"/>
      <c r="F742" s="2"/>
      <c r="G742" s="2"/>
      <c r="H742" s="2"/>
      <c r="I742" s="2"/>
      <c r="J742" s="2"/>
      <c r="K742" s="2"/>
      <c r="L742" s="2"/>
      <c r="M742" s="2"/>
      <c r="N742" s="2"/>
      <c r="O742" s="2"/>
      <c r="P742" s="2"/>
      <c r="Q742" s="23"/>
      <c r="R742" s="23"/>
      <c r="S742" s="23"/>
      <c r="T742" s="23"/>
      <c r="U742" s="23"/>
      <c r="V742" s="23"/>
      <c r="W742" s="23"/>
      <c r="X742" s="23"/>
      <c r="Y742" s="23"/>
      <c r="Z742" s="23"/>
    </row>
    <row r="743">
      <c r="A743" s="2"/>
      <c r="B743" s="2"/>
      <c r="C743" s="2"/>
      <c r="D743" s="2"/>
      <c r="E743" s="2"/>
      <c r="F743" s="2"/>
      <c r="G743" s="2"/>
      <c r="H743" s="2"/>
      <c r="I743" s="2"/>
      <c r="J743" s="2"/>
      <c r="K743" s="2"/>
      <c r="L743" s="2"/>
      <c r="M743" s="2"/>
      <c r="N743" s="2"/>
      <c r="O743" s="2"/>
      <c r="P743" s="2"/>
      <c r="Q743" s="23"/>
      <c r="R743" s="23"/>
      <c r="S743" s="23"/>
      <c r="T743" s="23"/>
      <c r="U743" s="23"/>
      <c r="V743" s="23"/>
      <c r="W743" s="23"/>
      <c r="X743" s="23"/>
      <c r="Y743" s="23"/>
      <c r="Z743" s="23"/>
    </row>
    <row r="744">
      <c r="A744" s="2"/>
      <c r="B744" s="2"/>
      <c r="C744" s="2"/>
      <c r="D744" s="2"/>
      <c r="E744" s="2"/>
      <c r="F744" s="2"/>
      <c r="G744" s="2"/>
      <c r="H744" s="2"/>
      <c r="I744" s="2"/>
      <c r="J744" s="2"/>
      <c r="K744" s="2"/>
      <c r="L744" s="2"/>
      <c r="M744" s="2"/>
      <c r="N744" s="2"/>
      <c r="O744" s="2"/>
      <c r="P744" s="2"/>
      <c r="Q744" s="23"/>
      <c r="R744" s="23"/>
      <c r="S744" s="23"/>
      <c r="T744" s="23"/>
      <c r="U744" s="23"/>
      <c r="V744" s="23"/>
      <c r="W744" s="23"/>
      <c r="X744" s="23"/>
      <c r="Y744" s="23"/>
      <c r="Z744" s="23"/>
    </row>
    <row r="745">
      <c r="A745" s="2"/>
      <c r="B745" s="2"/>
      <c r="C745" s="2"/>
      <c r="D745" s="2"/>
      <c r="E745" s="2"/>
      <c r="F745" s="2"/>
      <c r="G745" s="2"/>
      <c r="H745" s="2"/>
      <c r="I745" s="2"/>
      <c r="J745" s="2"/>
      <c r="K745" s="2"/>
      <c r="L745" s="2"/>
      <c r="M745" s="2"/>
      <c r="N745" s="2"/>
      <c r="O745" s="2"/>
      <c r="P745" s="2"/>
      <c r="Q745" s="23"/>
      <c r="R745" s="23"/>
      <c r="S745" s="23"/>
      <c r="T745" s="23"/>
      <c r="U745" s="23"/>
      <c r="V745" s="23"/>
      <c r="W745" s="23"/>
      <c r="X745" s="23"/>
      <c r="Y745" s="23"/>
      <c r="Z745" s="23"/>
    </row>
    <row r="746">
      <c r="A746" s="2"/>
      <c r="B746" s="2"/>
      <c r="C746" s="2"/>
      <c r="D746" s="2"/>
      <c r="E746" s="2"/>
      <c r="F746" s="2"/>
      <c r="G746" s="2"/>
      <c r="H746" s="2"/>
      <c r="I746" s="2"/>
      <c r="J746" s="2"/>
      <c r="K746" s="2"/>
      <c r="L746" s="2"/>
      <c r="M746" s="2"/>
      <c r="N746" s="2"/>
      <c r="O746" s="2"/>
      <c r="P746" s="2"/>
      <c r="Q746" s="23"/>
      <c r="R746" s="23"/>
      <c r="S746" s="23"/>
      <c r="T746" s="23"/>
      <c r="U746" s="23"/>
      <c r="V746" s="23"/>
      <c r="W746" s="23"/>
      <c r="X746" s="23"/>
      <c r="Y746" s="23"/>
      <c r="Z746" s="23"/>
    </row>
    <row r="747">
      <c r="A747" s="2"/>
      <c r="B747" s="2"/>
      <c r="C747" s="2"/>
      <c r="D747" s="2"/>
      <c r="E747" s="2"/>
      <c r="F747" s="2"/>
      <c r="G747" s="2"/>
      <c r="H747" s="2"/>
      <c r="I747" s="2"/>
      <c r="J747" s="2"/>
      <c r="K747" s="2"/>
      <c r="L747" s="2"/>
      <c r="M747" s="2"/>
      <c r="N747" s="2"/>
      <c r="O747" s="2"/>
      <c r="P747" s="2"/>
      <c r="Q747" s="23"/>
      <c r="R747" s="23"/>
      <c r="S747" s="23"/>
      <c r="T747" s="23"/>
      <c r="U747" s="23"/>
      <c r="V747" s="23"/>
      <c r="W747" s="23"/>
      <c r="X747" s="23"/>
      <c r="Y747" s="23"/>
      <c r="Z747" s="23"/>
    </row>
    <row r="748">
      <c r="A748" s="2"/>
      <c r="B748" s="2"/>
      <c r="C748" s="2"/>
      <c r="D748" s="2"/>
      <c r="E748" s="2"/>
      <c r="F748" s="2"/>
      <c r="G748" s="2"/>
      <c r="H748" s="2"/>
      <c r="I748" s="2"/>
      <c r="J748" s="2"/>
      <c r="K748" s="2"/>
      <c r="L748" s="2"/>
      <c r="M748" s="2"/>
      <c r="N748" s="2"/>
      <c r="O748" s="2"/>
      <c r="P748" s="2"/>
      <c r="Q748" s="23"/>
      <c r="R748" s="23"/>
      <c r="S748" s="23"/>
      <c r="T748" s="23"/>
      <c r="U748" s="23"/>
      <c r="V748" s="23"/>
      <c r="W748" s="23"/>
      <c r="X748" s="23"/>
      <c r="Y748" s="23"/>
      <c r="Z748" s="23"/>
    </row>
    <row r="749">
      <c r="A749" s="2"/>
      <c r="B749" s="2"/>
      <c r="C749" s="2"/>
      <c r="D749" s="2"/>
      <c r="E749" s="2"/>
      <c r="F749" s="2"/>
      <c r="G749" s="2"/>
      <c r="H749" s="2"/>
      <c r="I749" s="2"/>
      <c r="J749" s="2"/>
      <c r="K749" s="2"/>
      <c r="L749" s="2"/>
      <c r="M749" s="2"/>
      <c r="N749" s="2"/>
      <c r="O749" s="2"/>
      <c r="P749" s="2"/>
      <c r="Q749" s="23"/>
      <c r="R749" s="23"/>
      <c r="S749" s="23"/>
      <c r="T749" s="23"/>
      <c r="U749" s="23"/>
      <c r="V749" s="23"/>
      <c r="W749" s="23"/>
      <c r="X749" s="23"/>
      <c r="Y749" s="23"/>
      <c r="Z749" s="23"/>
    </row>
    <row r="750">
      <c r="A750" s="2"/>
      <c r="B750" s="2"/>
      <c r="C750" s="2"/>
      <c r="D750" s="2"/>
      <c r="E750" s="2"/>
      <c r="F750" s="2"/>
      <c r="G750" s="2"/>
      <c r="H750" s="2"/>
      <c r="I750" s="2"/>
      <c r="J750" s="2"/>
      <c r="K750" s="2"/>
      <c r="L750" s="2"/>
      <c r="M750" s="2"/>
      <c r="N750" s="2"/>
      <c r="O750" s="2"/>
      <c r="P750" s="2"/>
      <c r="Q750" s="23"/>
      <c r="R750" s="23"/>
      <c r="S750" s="23"/>
      <c r="T750" s="23"/>
      <c r="U750" s="23"/>
      <c r="V750" s="23"/>
      <c r="W750" s="23"/>
      <c r="X750" s="23"/>
      <c r="Y750" s="23"/>
      <c r="Z750" s="23"/>
    </row>
    <row r="751">
      <c r="A751" s="2"/>
      <c r="B751" s="2"/>
      <c r="C751" s="2"/>
      <c r="D751" s="2"/>
      <c r="E751" s="2"/>
      <c r="F751" s="2"/>
      <c r="G751" s="2"/>
      <c r="H751" s="2"/>
      <c r="I751" s="2"/>
      <c r="J751" s="2"/>
      <c r="K751" s="2"/>
      <c r="L751" s="2"/>
      <c r="M751" s="2"/>
      <c r="N751" s="2"/>
      <c r="O751" s="2"/>
      <c r="P751" s="2"/>
      <c r="Q751" s="23"/>
      <c r="R751" s="23"/>
      <c r="S751" s="23"/>
      <c r="T751" s="23"/>
      <c r="U751" s="23"/>
      <c r="V751" s="23"/>
      <c r="W751" s="23"/>
      <c r="X751" s="23"/>
      <c r="Y751" s="23"/>
      <c r="Z751" s="23"/>
    </row>
    <row r="752">
      <c r="A752" s="2"/>
      <c r="B752" s="2"/>
      <c r="C752" s="2"/>
      <c r="D752" s="2"/>
      <c r="E752" s="2"/>
      <c r="F752" s="2"/>
      <c r="G752" s="2"/>
      <c r="H752" s="2"/>
      <c r="I752" s="2"/>
      <c r="J752" s="2"/>
      <c r="K752" s="2"/>
      <c r="L752" s="2"/>
      <c r="M752" s="2"/>
      <c r="N752" s="2"/>
      <c r="O752" s="2"/>
      <c r="P752" s="2"/>
      <c r="Q752" s="23"/>
      <c r="R752" s="23"/>
      <c r="S752" s="23"/>
      <c r="T752" s="23"/>
      <c r="U752" s="23"/>
      <c r="V752" s="23"/>
      <c r="W752" s="23"/>
      <c r="X752" s="23"/>
      <c r="Y752" s="23"/>
      <c r="Z752" s="23"/>
    </row>
    <row r="753">
      <c r="A753" s="2"/>
      <c r="B753" s="2"/>
      <c r="C753" s="2"/>
      <c r="D753" s="2"/>
      <c r="E753" s="2"/>
      <c r="F753" s="2"/>
      <c r="G753" s="2"/>
      <c r="H753" s="2"/>
      <c r="I753" s="2"/>
      <c r="J753" s="2"/>
      <c r="K753" s="2"/>
      <c r="L753" s="2"/>
      <c r="M753" s="2"/>
      <c r="N753" s="2"/>
      <c r="O753" s="2"/>
      <c r="P753" s="2"/>
      <c r="Q753" s="23"/>
      <c r="R753" s="23"/>
      <c r="S753" s="23"/>
      <c r="T753" s="23"/>
      <c r="U753" s="23"/>
      <c r="V753" s="23"/>
      <c r="W753" s="23"/>
      <c r="X753" s="23"/>
      <c r="Y753" s="23"/>
      <c r="Z753" s="23"/>
    </row>
    <row r="754">
      <c r="A754" s="2"/>
      <c r="B754" s="2"/>
      <c r="C754" s="2"/>
      <c r="D754" s="2"/>
      <c r="E754" s="2"/>
      <c r="F754" s="2"/>
      <c r="G754" s="2"/>
      <c r="H754" s="2"/>
      <c r="I754" s="2"/>
      <c r="J754" s="2"/>
      <c r="K754" s="2"/>
      <c r="L754" s="2"/>
      <c r="M754" s="2"/>
      <c r="N754" s="2"/>
      <c r="O754" s="2"/>
      <c r="P754" s="2"/>
      <c r="Q754" s="23"/>
      <c r="R754" s="23"/>
      <c r="S754" s="23"/>
      <c r="T754" s="23"/>
      <c r="U754" s="23"/>
      <c r="V754" s="23"/>
      <c r="W754" s="23"/>
      <c r="X754" s="23"/>
      <c r="Y754" s="23"/>
      <c r="Z754" s="23"/>
    </row>
    <row r="755">
      <c r="A755" s="2"/>
      <c r="B755" s="2"/>
      <c r="C755" s="2"/>
      <c r="D755" s="2"/>
      <c r="E755" s="2"/>
      <c r="F755" s="2"/>
      <c r="G755" s="2"/>
      <c r="H755" s="2"/>
      <c r="I755" s="2"/>
      <c r="J755" s="2"/>
      <c r="K755" s="2"/>
      <c r="L755" s="2"/>
      <c r="M755" s="2"/>
      <c r="N755" s="2"/>
      <c r="O755" s="2"/>
      <c r="P755" s="2"/>
      <c r="Q755" s="23"/>
      <c r="R755" s="23"/>
      <c r="S755" s="23"/>
      <c r="T755" s="23"/>
      <c r="U755" s="23"/>
      <c r="V755" s="23"/>
      <c r="W755" s="23"/>
      <c r="X755" s="23"/>
      <c r="Y755" s="23"/>
      <c r="Z755" s="23"/>
    </row>
    <row r="756">
      <c r="A756" s="2"/>
      <c r="B756" s="2"/>
      <c r="C756" s="2"/>
      <c r="D756" s="2"/>
      <c r="E756" s="2"/>
      <c r="F756" s="2"/>
      <c r="G756" s="2"/>
      <c r="H756" s="2"/>
      <c r="I756" s="2"/>
      <c r="J756" s="2"/>
      <c r="K756" s="2"/>
      <c r="L756" s="2"/>
      <c r="M756" s="2"/>
      <c r="N756" s="2"/>
      <c r="O756" s="2"/>
      <c r="P756" s="2"/>
      <c r="Q756" s="23"/>
      <c r="R756" s="23"/>
      <c r="S756" s="23"/>
      <c r="T756" s="23"/>
      <c r="U756" s="23"/>
      <c r="V756" s="23"/>
      <c r="W756" s="23"/>
      <c r="X756" s="23"/>
      <c r="Y756" s="23"/>
      <c r="Z756" s="23"/>
    </row>
    <row r="757">
      <c r="A757" s="2"/>
      <c r="B757" s="2"/>
      <c r="C757" s="2"/>
      <c r="D757" s="2"/>
      <c r="E757" s="2"/>
      <c r="F757" s="2"/>
      <c r="G757" s="2"/>
      <c r="H757" s="2"/>
      <c r="I757" s="2"/>
      <c r="J757" s="2"/>
      <c r="K757" s="2"/>
      <c r="L757" s="2"/>
      <c r="M757" s="2"/>
      <c r="N757" s="2"/>
      <c r="O757" s="2"/>
      <c r="P757" s="2"/>
      <c r="Q757" s="23"/>
      <c r="R757" s="23"/>
      <c r="S757" s="23"/>
      <c r="T757" s="23"/>
      <c r="U757" s="23"/>
      <c r="V757" s="23"/>
      <c r="W757" s="23"/>
      <c r="X757" s="23"/>
      <c r="Y757" s="23"/>
      <c r="Z757" s="23"/>
    </row>
    <row r="758">
      <c r="A758" s="2"/>
      <c r="B758" s="2"/>
      <c r="C758" s="2"/>
      <c r="D758" s="2"/>
      <c r="E758" s="2"/>
      <c r="F758" s="2"/>
      <c r="G758" s="2"/>
      <c r="H758" s="2"/>
      <c r="I758" s="2"/>
      <c r="J758" s="2"/>
      <c r="K758" s="2"/>
      <c r="L758" s="2"/>
      <c r="M758" s="2"/>
      <c r="N758" s="2"/>
      <c r="O758" s="2"/>
      <c r="P758" s="2"/>
      <c r="Q758" s="23"/>
      <c r="R758" s="23"/>
      <c r="S758" s="23"/>
      <c r="T758" s="23"/>
      <c r="U758" s="23"/>
      <c r="V758" s="23"/>
      <c r="W758" s="23"/>
      <c r="X758" s="23"/>
      <c r="Y758" s="23"/>
      <c r="Z758" s="23"/>
    </row>
    <row r="759">
      <c r="A759" s="2"/>
      <c r="B759" s="2"/>
      <c r="C759" s="2"/>
      <c r="D759" s="2"/>
      <c r="E759" s="2"/>
      <c r="F759" s="2"/>
      <c r="G759" s="2"/>
      <c r="H759" s="2"/>
      <c r="I759" s="2"/>
      <c r="J759" s="2"/>
      <c r="K759" s="2"/>
      <c r="L759" s="2"/>
      <c r="M759" s="2"/>
      <c r="N759" s="2"/>
      <c r="O759" s="2"/>
      <c r="P759" s="2"/>
      <c r="Q759" s="23"/>
      <c r="R759" s="23"/>
      <c r="S759" s="23"/>
      <c r="T759" s="23"/>
      <c r="U759" s="23"/>
      <c r="V759" s="23"/>
      <c r="W759" s="23"/>
      <c r="X759" s="23"/>
      <c r="Y759" s="23"/>
      <c r="Z759" s="23"/>
    </row>
    <row r="760">
      <c r="A760" s="2"/>
      <c r="B760" s="2"/>
      <c r="C760" s="2"/>
      <c r="D760" s="2"/>
      <c r="E760" s="2"/>
      <c r="F760" s="2"/>
      <c r="G760" s="2"/>
      <c r="H760" s="2"/>
      <c r="I760" s="2"/>
      <c r="J760" s="2"/>
      <c r="K760" s="2"/>
      <c r="L760" s="2"/>
      <c r="M760" s="2"/>
      <c r="N760" s="2"/>
      <c r="O760" s="2"/>
      <c r="P760" s="2"/>
      <c r="Q760" s="23"/>
      <c r="R760" s="23"/>
      <c r="S760" s="23"/>
      <c r="T760" s="23"/>
      <c r="U760" s="23"/>
      <c r="V760" s="23"/>
      <c r="W760" s="23"/>
      <c r="X760" s="23"/>
      <c r="Y760" s="23"/>
      <c r="Z760" s="23"/>
    </row>
    <row r="761">
      <c r="A761" s="2"/>
      <c r="B761" s="2"/>
      <c r="C761" s="2"/>
      <c r="D761" s="2"/>
      <c r="E761" s="2"/>
      <c r="F761" s="2"/>
      <c r="G761" s="2"/>
      <c r="H761" s="2"/>
      <c r="I761" s="2"/>
      <c r="J761" s="2"/>
      <c r="K761" s="2"/>
      <c r="L761" s="2"/>
      <c r="M761" s="2"/>
      <c r="N761" s="2"/>
      <c r="O761" s="2"/>
      <c r="P761" s="2"/>
      <c r="Q761" s="23"/>
      <c r="R761" s="23"/>
      <c r="S761" s="23"/>
      <c r="T761" s="23"/>
      <c r="U761" s="23"/>
      <c r="V761" s="23"/>
      <c r="W761" s="23"/>
      <c r="X761" s="23"/>
      <c r="Y761" s="23"/>
      <c r="Z761" s="23"/>
    </row>
    <row r="762">
      <c r="A762" s="2"/>
      <c r="B762" s="2"/>
      <c r="C762" s="2"/>
      <c r="D762" s="2"/>
      <c r="E762" s="2"/>
      <c r="F762" s="2"/>
      <c r="G762" s="2"/>
      <c r="H762" s="2"/>
      <c r="I762" s="2"/>
      <c r="J762" s="2"/>
      <c r="K762" s="2"/>
      <c r="L762" s="2"/>
      <c r="M762" s="2"/>
      <c r="N762" s="2"/>
      <c r="O762" s="2"/>
      <c r="P762" s="2"/>
      <c r="Q762" s="23"/>
      <c r="R762" s="23"/>
      <c r="S762" s="23"/>
      <c r="T762" s="23"/>
      <c r="U762" s="23"/>
      <c r="V762" s="23"/>
      <c r="W762" s="23"/>
      <c r="X762" s="23"/>
      <c r="Y762" s="23"/>
      <c r="Z762" s="23"/>
    </row>
    <row r="763">
      <c r="A763" s="2"/>
      <c r="B763" s="2"/>
      <c r="C763" s="2"/>
      <c r="D763" s="2"/>
      <c r="E763" s="2"/>
      <c r="F763" s="2"/>
      <c r="G763" s="2"/>
      <c r="H763" s="2"/>
      <c r="I763" s="2"/>
      <c r="J763" s="2"/>
      <c r="K763" s="2"/>
      <c r="L763" s="2"/>
      <c r="M763" s="2"/>
      <c r="N763" s="2"/>
      <c r="O763" s="2"/>
      <c r="P763" s="2"/>
      <c r="Q763" s="23"/>
      <c r="R763" s="23"/>
      <c r="S763" s="23"/>
      <c r="T763" s="23"/>
      <c r="U763" s="23"/>
      <c r="V763" s="23"/>
      <c r="W763" s="23"/>
      <c r="X763" s="23"/>
      <c r="Y763" s="23"/>
      <c r="Z763" s="23"/>
    </row>
    <row r="764">
      <c r="A764" s="2"/>
      <c r="B764" s="2"/>
      <c r="C764" s="2"/>
      <c r="D764" s="2"/>
      <c r="E764" s="2"/>
      <c r="F764" s="2"/>
      <c r="G764" s="2"/>
      <c r="H764" s="2"/>
      <c r="I764" s="2"/>
      <c r="J764" s="2"/>
      <c r="K764" s="2"/>
      <c r="L764" s="2"/>
      <c r="M764" s="2"/>
      <c r="N764" s="2"/>
      <c r="O764" s="2"/>
      <c r="P764" s="2"/>
      <c r="Q764" s="23"/>
      <c r="R764" s="23"/>
      <c r="S764" s="23"/>
      <c r="T764" s="23"/>
      <c r="U764" s="23"/>
      <c r="V764" s="23"/>
      <c r="W764" s="23"/>
      <c r="X764" s="23"/>
      <c r="Y764" s="23"/>
      <c r="Z764" s="23"/>
    </row>
    <row r="765">
      <c r="A765" s="2"/>
      <c r="B765" s="2"/>
      <c r="C765" s="2"/>
      <c r="D765" s="2"/>
      <c r="E765" s="2"/>
      <c r="F765" s="2"/>
      <c r="G765" s="2"/>
      <c r="H765" s="2"/>
      <c r="I765" s="2"/>
      <c r="J765" s="2"/>
      <c r="K765" s="2"/>
      <c r="L765" s="2"/>
      <c r="M765" s="2"/>
      <c r="N765" s="2"/>
      <c r="O765" s="2"/>
      <c r="P765" s="2"/>
      <c r="Q765" s="23"/>
      <c r="R765" s="23"/>
      <c r="S765" s="23"/>
      <c r="T765" s="23"/>
      <c r="U765" s="23"/>
      <c r="V765" s="23"/>
      <c r="W765" s="23"/>
      <c r="X765" s="23"/>
      <c r="Y765" s="23"/>
      <c r="Z765" s="23"/>
    </row>
    <row r="766">
      <c r="A766" s="2"/>
      <c r="B766" s="2"/>
      <c r="C766" s="2"/>
      <c r="D766" s="2"/>
      <c r="E766" s="2"/>
      <c r="F766" s="2"/>
      <c r="G766" s="2"/>
      <c r="H766" s="2"/>
      <c r="I766" s="2"/>
      <c r="J766" s="2"/>
      <c r="K766" s="2"/>
      <c r="L766" s="2"/>
      <c r="M766" s="2"/>
      <c r="N766" s="2"/>
      <c r="O766" s="2"/>
      <c r="P766" s="2"/>
      <c r="Q766" s="23"/>
      <c r="R766" s="23"/>
      <c r="S766" s="23"/>
      <c r="T766" s="23"/>
      <c r="U766" s="23"/>
      <c r="V766" s="23"/>
      <c r="W766" s="23"/>
      <c r="X766" s="23"/>
      <c r="Y766" s="23"/>
      <c r="Z766" s="23"/>
    </row>
    <row r="767">
      <c r="A767" s="2"/>
      <c r="B767" s="2"/>
      <c r="C767" s="2"/>
      <c r="D767" s="2"/>
      <c r="E767" s="2"/>
      <c r="F767" s="2"/>
      <c r="G767" s="2"/>
      <c r="H767" s="2"/>
      <c r="I767" s="2"/>
      <c r="J767" s="2"/>
      <c r="K767" s="2"/>
      <c r="L767" s="2"/>
      <c r="M767" s="2"/>
      <c r="N767" s="2"/>
      <c r="O767" s="2"/>
      <c r="P767" s="2"/>
      <c r="Q767" s="23"/>
      <c r="R767" s="23"/>
      <c r="S767" s="23"/>
      <c r="T767" s="23"/>
      <c r="U767" s="23"/>
      <c r="V767" s="23"/>
      <c r="W767" s="23"/>
      <c r="X767" s="23"/>
      <c r="Y767" s="23"/>
      <c r="Z767" s="23"/>
    </row>
    <row r="768">
      <c r="A768" s="2"/>
      <c r="B768" s="2"/>
      <c r="C768" s="2"/>
      <c r="D768" s="2"/>
      <c r="E768" s="2"/>
      <c r="F768" s="2"/>
      <c r="G768" s="2"/>
      <c r="H768" s="2"/>
      <c r="I768" s="2"/>
      <c r="J768" s="2"/>
      <c r="K768" s="2"/>
      <c r="L768" s="2"/>
      <c r="M768" s="2"/>
      <c r="N768" s="2"/>
      <c r="O768" s="2"/>
      <c r="P768" s="2"/>
      <c r="Q768" s="23"/>
      <c r="R768" s="23"/>
      <c r="S768" s="23"/>
      <c r="T768" s="23"/>
      <c r="U768" s="23"/>
      <c r="V768" s="23"/>
      <c r="W768" s="23"/>
      <c r="X768" s="23"/>
      <c r="Y768" s="23"/>
      <c r="Z768" s="23"/>
    </row>
    <row r="769">
      <c r="A769" s="2"/>
      <c r="B769" s="2"/>
      <c r="C769" s="2"/>
      <c r="D769" s="2"/>
      <c r="E769" s="2"/>
      <c r="F769" s="2"/>
      <c r="G769" s="2"/>
      <c r="H769" s="2"/>
      <c r="I769" s="2"/>
      <c r="J769" s="2"/>
      <c r="K769" s="2"/>
      <c r="L769" s="2"/>
      <c r="M769" s="2"/>
      <c r="N769" s="2"/>
      <c r="O769" s="2"/>
      <c r="P769" s="2"/>
      <c r="Q769" s="23"/>
      <c r="R769" s="23"/>
      <c r="S769" s="23"/>
      <c r="T769" s="23"/>
      <c r="U769" s="23"/>
      <c r="V769" s="23"/>
      <c r="W769" s="23"/>
      <c r="X769" s="23"/>
      <c r="Y769" s="23"/>
      <c r="Z769" s="23"/>
    </row>
    <row r="770">
      <c r="A770" s="2"/>
      <c r="B770" s="2"/>
      <c r="C770" s="2"/>
      <c r="D770" s="2"/>
      <c r="E770" s="2"/>
      <c r="F770" s="2"/>
      <c r="G770" s="2"/>
      <c r="H770" s="2"/>
      <c r="I770" s="2"/>
      <c r="J770" s="2"/>
      <c r="K770" s="2"/>
      <c r="L770" s="2"/>
      <c r="M770" s="2"/>
      <c r="N770" s="2"/>
      <c r="O770" s="2"/>
      <c r="P770" s="2"/>
      <c r="Q770" s="23"/>
      <c r="R770" s="23"/>
      <c r="S770" s="23"/>
      <c r="T770" s="23"/>
      <c r="U770" s="23"/>
      <c r="V770" s="23"/>
      <c r="W770" s="23"/>
      <c r="X770" s="23"/>
      <c r="Y770" s="23"/>
      <c r="Z770" s="23"/>
    </row>
    <row r="771">
      <c r="A771" s="2"/>
      <c r="B771" s="2"/>
      <c r="C771" s="2"/>
      <c r="D771" s="2"/>
      <c r="E771" s="2"/>
      <c r="F771" s="2"/>
      <c r="G771" s="2"/>
      <c r="H771" s="2"/>
      <c r="I771" s="2"/>
      <c r="J771" s="2"/>
      <c r="K771" s="2"/>
      <c r="L771" s="2"/>
      <c r="M771" s="2"/>
      <c r="N771" s="2"/>
      <c r="O771" s="2"/>
      <c r="P771" s="2"/>
      <c r="Q771" s="23"/>
      <c r="R771" s="23"/>
      <c r="S771" s="23"/>
      <c r="T771" s="23"/>
      <c r="U771" s="23"/>
      <c r="V771" s="23"/>
      <c r="W771" s="23"/>
      <c r="X771" s="23"/>
      <c r="Y771" s="23"/>
      <c r="Z771" s="23"/>
    </row>
    <row r="772">
      <c r="A772" s="2"/>
      <c r="B772" s="2"/>
      <c r="C772" s="2"/>
      <c r="D772" s="2"/>
      <c r="E772" s="2"/>
      <c r="F772" s="2"/>
      <c r="G772" s="2"/>
      <c r="H772" s="2"/>
      <c r="I772" s="2"/>
      <c r="J772" s="2"/>
      <c r="K772" s="2"/>
      <c r="L772" s="2"/>
      <c r="M772" s="2"/>
      <c r="N772" s="2"/>
      <c r="O772" s="2"/>
      <c r="P772" s="2"/>
      <c r="Q772" s="23"/>
      <c r="R772" s="23"/>
      <c r="S772" s="23"/>
      <c r="T772" s="23"/>
      <c r="U772" s="23"/>
      <c r="V772" s="23"/>
      <c r="W772" s="23"/>
      <c r="X772" s="23"/>
      <c r="Y772" s="23"/>
      <c r="Z772" s="23"/>
    </row>
    <row r="773">
      <c r="A773" s="2"/>
      <c r="B773" s="2"/>
      <c r="C773" s="2"/>
      <c r="D773" s="2"/>
      <c r="E773" s="2"/>
      <c r="F773" s="2"/>
      <c r="G773" s="2"/>
      <c r="H773" s="2"/>
      <c r="I773" s="2"/>
      <c r="J773" s="2"/>
      <c r="K773" s="2"/>
      <c r="L773" s="2"/>
      <c r="M773" s="2"/>
      <c r="N773" s="2"/>
      <c r="O773" s="2"/>
      <c r="P773" s="2"/>
      <c r="Q773" s="23"/>
      <c r="R773" s="23"/>
      <c r="S773" s="23"/>
      <c r="T773" s="23"/>
      <c r="U773" s="23"/>
      <c r="V773" s="23"/>
      <c r="W773" s="23"/>
      <c r="X773" s="23"/>
      <c r="Y773" s="23"/>
      <c r="Z773" s="23"/>
    </row>
    <row r="774">
      <c r="A774" s="2"/>
      <c r="B774" s="2"/>
      <c r="C774" s="2"/>
      <c r="D774" s="2"/>
      <c r="E774" s="2"/>
      <c r="F774" s="2"/>
      <c r="G774" s="2"/>
      <c r="H774" s="2"/>
      <c r="I774" s="2"/>
      <c r="J774" s="2"/>
      <c r="K774" s="2"/>
      <c r="L774" s="2"/>
      <c r="M774" s="2"/>
      <c r="N774" s="2"/>
      <c r="O774" s="2"/>
      <c r="P774" s="2"/>
      <c r="Q774" s="23"/>
      <c r="R774" s="23"/>
      <c r="S774" s="23"/>
      <c r="T774" s="23"/>
      <c r="U774" s="23"/>
      <c r="V774" s="23"/>
      <c r="W774" s="23"/>
      <c r="X774" s="23"/>
      <c r="Y774" s="23"/>
      <c r="Z774" s="23"/>
    </row>
    <row r="775">
      <c r="A775" s="2"/>
      <c r="B775" s="2"/>
      <c r="C775" s="2"/>
      <c r="D775" s="2"/>
      <c r="E775" s="2"/>
      <c r="F775" s="2"/>
      <c r="G775" s="2"/>
      <c r="H775" s="2"/>
      <c r="I775" s="2"/>
      <c r="J775" s="2"/>
      <c r="K775" s="2"/>
      <c r="L775" s="2"/>
      <c r="M775" s="2"/>
      <c r="N775" s="2"/>
      <c r="O775" s="2"/>
      <c r="P775" s="2"/>
      <c r="Q775" s="23"/>
      <c r="R775" s="23"/>
      <c r="S775" s="23"/>
      <c r="T775" s="23"/>
      <c r="U775" s="23"/>
      <c r="V775" s="23"/>
      <c r="W775" s="23"/>
      <c r="X775" s="23"/>
      <c r="Y775" s="23"/>
      <c r="Z775" s="23"/>
    </row>
    <row r="776">
      <c r="A776" s="2"/>
      <c r="B776" s="2"/>
      <c r="C776" s="2"/>
      <c r="D776" s="2"/>
      <c r="E776" s="2"/>
      <c r="F776" s="2"/>
      <c r="G776" s="2"/>
      <c r="H776" s="2"/>
      <c r="I776" s="2"/>
      <c r="J776" s="2"/>
      <c r="K776" s="2"/>
      <c r="L776" s="2"/>
      <c r="M776" s="2"/>
      <c r="N776" s="2"/>
      <c r="O776" s="2"/>
      <c r="P776" s="2"/>
      <c r="Q776" s="23"/>
      <c r="R776" s="23"/>
      <c r="S776" s="23"/>
      <c r="T776" s="23"/>
      <c r="U776" s="23"/>
      <c r="V776" s="23"/>
      <c r="W776" s="23"/>
      <c r="X776" s="23"/>
      <c r="Y776" s="23"/>
      <c r="Z776" s="23"/>
    </row>
    <row r="777">
      <c r="A777" s="2"/>
      <c r="B777" s="2"/>
      <c r="C777" s="2"/>
      <c r="D777" s="2"/>
      <c r="E777" s="2"/>
      <c r="F777" s="2"/>
      <c r="G777" s="2"/>
      <c r="H777" s="2"/>
      <c r="I777" s="2"/>
      <c r="J777" s="2"/>
      <c r="K777" s="2"/>
      <c r="L777" s="2"/>
      <c r="M777" s="2"/>
      <c r="N777" s="2"/>
      <c r="O777" s="2"/>
      <c r="P777" s="2"/>
      <c r="Q777" s="23"/>
      <c r="R777" s="23"/>
      <c r="S777" s="23"/>
      <c r="T777" s="23"/>
      <c r="U777" s="23"/>
      <c r="V777" s="23"/>
      <c r="W777" s="23"/>
      <c r="X777" s="23"/>
      <c r="Y777" s="23"/>
      <c r="Z777" s="23"/>
    </row>
    <row r="778">
      <c r="A778" s="2"/>
      <c r="B778" s="2"/>
      <c r="C778" s="2"/>
      <c r="D778" s="2"/>
      <c r="E778" s="2"/>
      <c r="F778" s="2"/>
      <c r="G778" s="2"/>
      <c r="H778" s="2"/>
      <c r="I778" s="2"/>
      <c r="J778" s="2"/>
      <c r="K778" s="2"/>
      <c r="L778" s="2"/>
      <c r="M778" s="2"/>
      <c r="N778" s="2"/>
      <c r="O778" s="2"/>
      <c r="P778" s="2"/>
      <c r="Q778" s="23"/>
      <c r="R778" s="23"/>
      <c r="S778" s="23"/>
      <c r="T778" s="23"/>
      <c r="U778" s="23"/>
      <c r="V778" s="23"/>
      <c r="W778" s="23"/>
      <c r="X778" s="23"/>
      <c r="Y778" s="23"/>
      <c r="Z778" s="23"/>
    </row>
    <row r="779">
      <c r="A779" s="2"/>
      <c r="B779" s="2"/>
      <c r="C779" s="2"/>
      <c r="D779" s="2"/>
      <c r="E779" s="2"/>
      <c r="F779" s="2"/>
      <c r="G779" s="2"/>
      <c r="H779" s="2"/>
      <c r="I779" s="2"/>
      <c r="J779" s="2"/>
      <c r="K779" s="2"/>
      <c r="L779" s="2"/>
      <c r="M779" s="2"/>
      <c r="N779" s="2"/>
      <c r="O779" s="2"/>
      <c r="P779" s="2"/>
      <c r="Q779" s="23"/>
      <c r="R779" s="23"/>
      <c r="S779" s="23"/>
      <c r="T779" s="23"/>
      <c r="U779" s="23"/>
      <c r="V779" s="23"/>
      <c r="W779" s="23"/>
      <c r="X779" s="23"/>
      <c r="Y779" s="23"/>
      <c r="Z779" s="23"/>
    </row>
    <row r="780">
      <c r="A780" s="2"/>
      <c r="B780" s="2"/>
      <c r="C780" s="2"/>
      <c r="D780" s="2"/>
      <c r="E780" s="2"/>
      <c r="F780" s="2"/>
      <c r="G780" s="2"/>
      <c r="H780" s="2"/>
      <c r="I780" s="2"/>
      <c r="J780" s="2"/>
      <c r="K780" s="2"/>
      <c r="L780" s="2"/>
      <c r="M780" s="2"/>
      <c r="N780" s="2"/>
      <c r="O780" s="2"/>
      <c r="P780" s="2"/>
      <c r="Q780" s="23"/>
      <c r="R780" s="23"/>
      <c r="S780" s="23"/>
      <c r="T780" s="23"/>
      <c r="U780" s="23"/>
      <c r="V780" s="23"/>
      <c r="W780" s="23"/>
      <c r="X780" s="23"/>
      <c r="Y780" s="23"/>
      <c r="Z780" s="23"/>
    </row>
    <row r="781">
      <c r="A781" s="2"/>
      <c r="B781" s="2"/>
      <c r="C781" s="2"/>
      <c r="D781" s="2"/>
      <c r="E781" s="2"/>
      <c r="F781" s="2"/>
      <c r="G781" s="2"/>
      <c r="H781" s="2"/>
      <c r="I781" s="2"/>
      <c r="J781" s="2"/>
      <c r="K781" s="2"/>
      <c r="L781" s="2"/>
      <c r="M781" s="2"/>
      <c r="N781" s="2"/>
      <c r="O781" s="2"/>
      <c r="P781" s="2"/>
      <c r="Q781" s="23"/>
      <c r="R781" s="23"/>
      <c r="S781" s="23"/>
      <c r="T781" s="23"/>
      <c r="U781" s="23"/>
      <c r="V781" s="23"/>
      <c r="W781" s="23"/>
      <c r="X781" s="23"/>
      <c r="Y781" s="23"/>
      <c r="Z781" s="23"/>
    </row>
    <row r="782">
      <c r="A782" s="2"/>
      <c r="B782" s="2"/>
      <c r="C782" s="2"/>
      <c r="D782" s="2"/>
      <c r="E782" s="2"/>
      <c r="F782" s="2"/>
      <c r="G782" s="2"/>
      <c r="H782" s="2"/>
      <c r="I782" s="2"/>
      <c r="J782" s="2"/>
      <c r="K782" s="2"/>
      <c r="L782" s="2"/>
      <c r="M782" s="2"/>
      <c r="N782" s="2"/>
      <c r="O782" s="2"/>
      <c r="P782" s="2"/>
      <c r="Q782" s="23"/>
      <c r="R782" s="23"/>
      <c r="S782" s="23"/>
      <c r="T782" s="23"/>
      <c r="U782" s="23"/>
      <c r="V782" s="23"/>
      <c r="W782" s="23"/>
      <c r="X782" s="23"/>
      <c r="Y782" s="23"/>
      <c r="Z782" s="23"/>
    </row>
    <row r="783">
      <c r="A783" s="2"/>
      <c r="B783" s="2"/>
      <c r="C783" s="2"/>
      <c r="D783" s="2"/>
      <c r="E783" s="2"/>
      <c r="F783" s="2"/>
      <c r="G783" s="2"/>
      <c r="H783" s="2"/>
      <c r="I783" s="2"/>
      <c r="J783" s="2"/>
      <c r="K783" s="2"/>
      <c r="L783" s="2"/>
      <c r="M783" s="2"/>
      <c r="N783" s="2"/>
      <c r="O783" s="2"/>
      <c r="P783" s="2"/>
      <c r="Q783" s="23"/>
      <c r="R783" s="23"/>
      <c r="S783" s="23"/>
      <c r="T783" s="23"/>
      <c r="U783" s="23"/>
      <c r="V783" s="23"/>
      <c r="W783" s="23"/>
      <c r="X783" s="23"/>
      <c r="Y783" s="23"/>
      <c r="Z783" s="23"/>
    </row>
    <row r="784">
      <c r="A784" s="2"/>
      <c r="B784" s="2"/>
      <c r="C784" s="2"/>
      <c r="D784" s="2"/>
      <c r="E784" s="2"/>
      <c r="F784" s="2"/>
      <c r="G784" s="2"/>
      <c r="H784" s="2"/>
      <c r="I784" s="2"/>
      <c r="J784" s="2"/>
      <c r="K784" s="2"/>
      <c r="L784" s="2"/>
      <c r="M784" s="2"/>
      <c r="N784" s="2"/>
      <c r="O784" s="2"/>
      <c r="P784" s="2"/>
      <c r="Q784" s="23"/>
      <c r="R784" s="23"/>
      <c r="S784" s="23"/>
      <c r="T784" s="23"/>
      <c r="U784" s="23"/>
      <c r="V784" s="23"/>
      <c r="W784" s="23"/>
      <c r="X784" s="23"/>
      <c r="Y784" s="23"/>
      <c r="Z784" s="23"/>
    </row>
    <row r="785">
      <c r="A785" s="2"/>
      <c r="B785" s="2"/>
      <c r="C785" s="2"/>
      <c r="D785" s="2"/>
      <c r="E785" s="2"/>
      <c r="F785" s="2"/>
      <c r="G785" s="2"/>
      <c r="H785" s="2"/>
      <c r="I785" s="2"/>
      <c r="J785" s="2"/>
      <c r="K785" s="2"/>
      <c r="L785" s="2"/>
      <c r="M785" s="2"/>
      <c r="N785" s="2"/>
      <c r="O785" s="2"/>
      <c r="P785" s="2"/>
      <c r="Q785" s="23"/>
      <c r="R785" s="23"/>
      <c r="S785" s="23"/>
      <c r="T785" s="23"/>
      <c r="U785" s="23"/>
      <c r="V785" s="23"/>
      <c r="W785" s="23"/>
      <c r="X785" s="23"/>
      <c r="Y785" s="23"/>
      <c r="Z785" s="23"/>
    </row>
    <row r="786">
      <c r="A786" s="2"/>
      <c r="B786" s="2"/>
      <c r="C786" s="2"/>
      <c r="D786" s="2"/>
      <c r="E786" s="2"/>
      <c r="F786" s="2"/>
      <c r="G786" s="2"/>
      <c r="H786" s="2"/>
      <c r="I786" s="2"/>
      <c r="J786" s="2"/>
      <c r="K786" s="2"/>
      <c r="L786" s="2"/>
      <c r="M786" s="2"/>
      <c r="N786" s="2"/>
      <c r="O786" s="2"/>
      <c r="P786" s="2"/>
      <c r="Q786" s="23"/>
      <c r="R786" s="23"/>
      <c r="S786" s="23"/>
      <c r="T786" s="23"/>
      <c r="U786" s="23"/>
      <c r="V786" s="23"/>
      <c r="W786" s="23"/>
      <c r="X786" s="23"/>
      <c r="Y786" s="23"/>
      <c r="Z786" s="23"/>
    </row>
    <row r="787">
      <c r="A787" s="2"/>
      <c r="B787" s="2"/>
      <c r="C787" s="2"/>
      <c r="D787" s="2"/>
      <c r="E787" s="2"/>
      <c r="F787" s="2"/>
      <c r="G787" s="2"/>
      <c r="H787" s="2"/>
      <c r="I787" s="2"/>
      <c r="J787" s="2"/>
      <c r="K787" s="2"/>
      <c r="L787" s="2"/>
      <c r="M787" s="2"/>
      <c r="N787" s="2"/>
      <c r="O787" s="2"/>
      <c r="P787" s="2"/>
      <c r="Q787" s="23"/>
      <c r="R787" s="23"/>
      <c r="S787" s="23"/>
      <c r="T787" s="23"/>
      <c r="U787" s="23"/>
      <c r="V787" s="23"/>
      <c r="W787" s="23"/>
      <c r="X787" s="23"/>
      <c r="Y787" s="23"/>
      <c r="Z787" s="23"/>
    </row>
    <row r="788">
      <c r="A788" s="2"/>
      <c r="B788" s="2"/>
      <c r="C788" s="2"/>
      <c r="D788" s="2"/>
      <c r="E788" s="2"/>
      <c r="F788" s="2"/>
      <c r="G788" s="2"/>
      <c r="H788" s="2"/>
      <c r="I788" s="2"/>
      <c r="J788" s="2"/>
      <c r="K788" s="2"/>
      <c r="L788" s="2"/>
      <c r="M788" s="2"/>
      <c r="N788" s="2"/>
      <c r="O788" s="2"/>
      <c r="P788" s="2"/>
      <c r="Q788" s="23"/>
      <c r="R788" s="23"/>
      <c r="S788" s="23"/>
      <c r="T788" s="23"/>
      <c r="U788" s="23"/>
      <c r="V788" s="23"/>
      <c r="W788" s="23"/>
      <c r="X788" s="23"/>
      <c r="Y788" s="23"/>
      <c r="Z788" s="23"/>
    </row>
    <row r="789">
      <c r="A789" s="2"/>
      <c r="B789" s="2"/>
      <c r="C789" s="2"/>
      <c r="D789" s="2"/>
      <c r="E789" s="2"/>
      <c r="F789" s="2"/>
      <c r="G789" s="2"/>
      <c r="H789" s="2"/>
      <c r="I789" s="2"/>
      <c r="J789" s="2"/>
      <c r="K789" s="2"/>
      <c r="L789" s="2"/>
      <c r="M789" s="2"/>
      <c r="N789" s="2"/>
      <c r="O789" s="2"/>
      <c r="P789" s="2"/>
      <c r="Q789" s="23"/>
      <c r="R789" s="23"/>
      <c r="S789" s="23"/>
      <c r="T789" s="23"/>
      <c r="U789" s="23"/>
      <c r="V789" s="23"/>
      <c r="W789" s="23"/>
      <c r="X789" s="23"/>
      <c r="Y789" s="23"/>
      <c r="Z789" s="23"/>
    </row>
    <row r="790">
      <c r="A790" s="2"/>
      <c r="B790" s="2"/>
      <c r="C790" s="2"/>
      <c r="D790" s="2"/>
      <c r="E790" s="2"/>
      <c r="F790" s="2"/>
      <c r="G790" s="2"/>
      <c r="H790" s="2"/>
      <c r="I790" s="2"/>
      <c r="J790" s="2"/>
      <c r="K790" s="2"/>
      <c r="L790" s="2"/>
      <c r="M790" s="2"/>
      <c r="N790" s="2"/>
      <c r="O790" s="2"/>
      <c r="P790" s="2"/>
      <c r="Q790" s="23"/>
      <c r="R790" s="23"/>
      <c r="S790" s="23"/>
      <c r="T790" s="23"/>
      <c r="U790" s="23"/>
      <c r="V790" s="23"/>
      <c r="W790" s="23"/>
      <c r="X790" s="23"/>
      <c r="Y790" s="23"/>
      <c r="Z790" s="23"/>
    </row>
    <row r="791">
      <c r="A791" s="2"/>
      <c r="B791" s="2"/>
      <c r="C791" s="2"/>
      <c r="D791" s="2"/>
      <c r="E791" s="2"/>
      <c r="F791" s="2"/>
      <c r="G791" s="2"/>
      <c r="H791" s="2"/>
      <c r="I791" s="2"/>
      <c r="J791" s="2"/>
      <c r="K791" s="2"/>
      <c r="L791" s="2"/>
      <c r="M791" s="2"/>
      <c r="N791" s="2"/>
      <c r="O791" s="2"/>
      <c r="P791" s="2"/>
      <c r="Q791" s="23"/>
      <c r="R791" s="23"/>
      <c r="S791" s="23"/>
      <c r="T791" s="23"/>
      <c r="U791" s="23"/>
      <c r="V791" s="23"/>
      <c r="W791" s="23"/>
      <c r="X791" s="23"/>
      <c r="Y791" s="23"/>
      <c r="Z791" s="23"/>
    </row>
    <row r="792">
      <c r="A792" s="2"/>
      <c r="B792" s="2"/>
      <c r="C792" s="2"/>
      <c r="D792" s="2"/>
      <c r="E792" s="2"/>
      <c r="F792" s="2"/>
      <c r="G792" s="2"/>
      <c r="H792" s="2"/>
      <c r="I792" s="2"/>
      <c r="J792" s="2"/>
      <c r="K792" s="2"/>
      <c r="L792" s="2"/>
      <c r="M792" s="2"/>
      <c r="N792" s="2"/>
      <c r="O792" s="2"/>
      <c r="P792" s="2"/>
      <c r="Q792" s="23"/>
      <c r="R792" s="23"/>
      <c r="S792" s="23"/>
      <c r="T792" s="23"/>
      <c r="U792" s="23"/>
      <c r="V792" s="23"/>
      <c r="W792" s="23"/>
      <c r="X792" s="23"/>
      <c r="Y792" s="23"/>
      <c r="Z792" s="23"/>
    </row>
    <row r="793">
      <c r="A793" s="2"/>
      <c r="B793" s="2"/>
      <c r="C793" s="2"/>
      <c r="D793" s="2"/>
      <c r="E793" s="2"/>
      <c r="F793" s="2"/>
      <c r="G793" s="2"/>
      <c r="H793" s="2"/>
      <c r="I793" s="2"/>
      <c r="J793" s="2"/>
      <c r="K793" s="2"/>
      <c r="L793" s="2"/>
      <c r="M793" s="2"/>
      <c r="N793" s="2"/>
      <c r="O793" s="2"/>
      <c r="P793" s="2"/>
      <c r="Q793" s="23"/>
      <c r="R793" s="23"/>
      <c r="S793" s="23"/>
      <c r="T793" s="23"/>
      <c r="U793" s="23"/>
      <c r="V793" s="23"/>
      <c r="W793" s="23"/>
      <c r="X793" s="23"/>
      <c r="Y793" s="23"/>
      <c r="Z793" s="23"/>
    </row>
    <row r="794">
      <c r="A794" s="2"/>
      <c r="B794" s="2"/>
      <c r="C794" s="2"/>
      <c r="D794" s="2"/>
      <c r="E794" s="2"/>
      <c r="F794" s="2"/>
      <c r="G794" s="2"/>
      <c r="H794" s="2"/>
      <c r="I794" s="2"/>
      <c r="J794" s="2"/>
      <c r="K794" s="2"/>
      <c r="L794" s="2"/>
      <c r="M794" s="2"/>
      <c r="N794" s="2"/>
      <c r="O794" s="2"/>
      <c r="P794" s="2"/>
      <c r="Q794" s="23"/>
      <c r="R794" s="23"/>
      <c r="S794" s="23"/>
      <c r="T794" s="23"/>
      <c r="U794" s="23"/>
      <c r="V794" s="23"/>
      <c r="W794" s="23"/>
      <c r="X794" s="23"/>
      <c r="Y794" s="23"/>
      <c r="Z794" s="23"/>
    </row>
    <row r="795">
      <c r="A795" s="2"/>
      <c r="B795" s="2"/>
      <c r="C795" s="2"/>
      <c r="D795" s="2"/>
      <c r="E795" s="2"/>
      <c r="F795" s="2"/>
      <c r="G795" s="2"/>
      <c r="H795" s="2"/>
      <c r="I795" s="2"/>
      <c r="J795" s="2"/>
      <c r="K795" s="2"/>
      <c r="L795" s="2"/>
      <c r="M795" s="2"/>
      <c r="N795" s="2"/>
      <c r="O795" s="2"/>
      <c r="P795" s="2"/>
      <c r="Q795" s="23"/>
      <c r="R795" s="23"/>
      <c r="S795" s="23"/>
      <c r="T795" s="23"/>
      <c r="U795" s="23"/>
      <c r="V795" s="23"/>
      <c r="W795" s="23"/>
      <c r="X795" s="23"/>
      <c r="Y795" s="23"/>
      <c r="Z795" s="23"/>
    </row>
    <row r="796">
      <c r="A796" s="2"/>
      <c r="B796" s="2"/>
      <c r="C796" s="2"/>
      <c r="D796" s="2"/>
      <c r="E796" s="2"/>
      <c r="F796" s="2"/>
      <c r="G796" s="2"/>
      <c r="H796" s="2"/>
      <c r="I796" s="2"/>
      <c r="J796" s="2"/>
      <c r="K796" s="2"/>
      <c r="L796" s="2"/>
      <c r="M796" s="2"/>
      <c r="N796" s="2"/>
      <c r="O796" s="2"/>
      <c r="P796" s="2"/>
      <c r="Q796" s="23"/>
      <c r="R796" s="23"/>
      <c r="S796" s="23"/>
      <c r="T796" s="23"/>
      <c r="U796" s="23"/>
      <c r="V796" s="23"/>
      <c r="W796" s="23"/>
      <c r="X796" s="23"/>
      <c r="Y796" s="23"/>
      <c r="Z796" s="23"/>
    </row>
    <row r="797">
      <c r="A797" s="2"/>
      <c r="B797" s="2"/>
      <c r="C797" s="2"/>
      <c r="D797" s="2"/>
      <c r="E797" s="2"/>
      <c r="F797" s="2"/>
      <c r="G797" s="2"/>
      <c r="H797" s="2"/>
      <c r="I797" s="2"/>
      <c r="J797" s="2"/>
      <c r="K797" s="2"/>
      <c r="L797" s="2"/>
      <c r="M797" s="2"/>
      <c r="N797" s="2"/>
      <c r="O797" s="2"/>
      <c r="P797" s="2"/>
      <c r="Q797" s="23"/>
      <c r="R797" s="23"/>
      <c r="S797" s="23"/>
      <c r="T797" s="23"/>
      <c r="U797" s="23"/>
      <c r="V797" s="23"/>
      <c r="W797" s="23"/>
      <c r="X797" s="23"/>
      <c r="Y797" s="23"/>
      <c r="Z797" s="23"/>
    </row>
    <row r="798">
      <c r="A798" s="2"/>
      <c r="B798" s="2"/>
      <c r="C798" s="2"/>
      <c r="D798" s="2"/>
      <c r="E798" s="2"/>
      <c r="F798" s="2"/>
      <c r="G798" s="2"/>
      <c r="H798" s="2"/>
      <c r="I798" s="2"/>
      <c r="J798" s="2"/>
      <c r="K798" s="2"/>
      <c r="L798" s="2"/>
      <c r="M798" s="2"/>
      <c r="N798" s="2"/>
      <c r="O798" s="2"/>
      <c r="P798" s="2"/>
      <c r="Q798" s="23"/>
      <c r="R798" s="23"/>
      <c r="S798" s="23"/>
      <c r="T798" s="23"/>
      <c r="U798" s="23"/>
      <c r="V798" s="23"/>
      <c r="W798" s="23"/>
      <c r="X798" s="23"/>
      <c r="Y798" s="23"/>
      <c r="Z798" s="23"/>
    </row>
    <row r="799">
      <c r="A799" s="2"/>
      <c r="B799" s="2"/>
      <c r="C799" s="2"/>
      <c r="D799" s="2"/>
      <c r="E799" s="2"/>
      <c r="F799" s="2"/>
      <c r="G799" s="2"/>
      <c r="H799" s="2"/>
      <c r="I799" s="2"/>
      <c r="J799" s="2"/>
      <c r="K799" s="2"/>
      <c r="L799" s="2"/>
      <c r="M799" s="2"/>
      <c r="N799" s="2"/>
      <c r="O799" s="2"/>
      <c r="P799" s="2"/>
      <c r="Q799" s="23"/>
      <c r="R799" s="23"/>
      <c r="S799" s="23"/>
      <c r="T799" s="23"/>
      <c r="U799" s="23"/>
      <c r="V799" s="23"/>
      <c r="W799" s="23"/>
      <c r="X799" s="23"/>
      <c r="Y799" s="23"/>
      <c r="Z799" s="23"/>
    </row>
    <row r="800">
      <c r="A800" s="2"/>
      <c r="B800" s="2"/>
      <c r="C800" s="2"/>
      <c r="D800" s="2"/>
      <c r="E800" s="2"/>
      <c r="F800" s="2"/>
      <c r="G800" s="2"/>
      <c r="H800" s="2"/>
      <c r="I800" s="2"/>
      <c r="J800" s="2"/>
      <c r="K800" s="2"/>
      <c r="L800" s="2"/>
      <c r="M800" s="2"/>
      <c r="N800" s="2"/>
      <c r="O800" s="2"/>
      <c r="P800" s="2"/>
      <c r="Q800" s="23"/>
      <c r="R800" s="23"/>
      <c r="S800" s="23"/>
      <c r="T800" s="23"/>
      <c r="U800" s="23"/>
      <c r="V800" s="23"/>
      <c r="W800" s="23"/>
      <c r="X800" s="23"/>
      <c r="Y800" s="23"/>
      <c r="Z800" s="23"/>
    </row>
    <row r="801">
      <c r="A801" s="2"/>
      <c r="B801" s="2"/>
      <c r="C801" s="2"/>
      <c r="D801" s="2"/>
      <c r="E801" s="2"/>
      <c r="F801" s="2"/>
      <c r="G801" s="2"/>
      <c r="H801" s="2"/>
      <c r="I801" s="2"/>
      <c r="J801" s="2"/>
      <c r="K801" s="2"/>
      <c r="L801" s="2"/>
      <c r="M801" s="2"/>
      <c r="N801" s="2"/>
      <c r="O801" s="2"/>
      <c r="P801" s="2"/>
      <c r="Q801" s="23"/>
      <c r="R801" s="23"/>
      <c r="S801" s="23"/>
      <c r="T801" s="23"/>
      <c r="U801" s="23"/>
      <c r="V801" s="23"/>
      <c r="W801" s="23"/>
      <c r="X801" s="23"/>
      <c r="Y801" s="23"/>
      <c r="Z801" s="23"/>
    </row>
    <row r="802">
      <c r="A802" s="2"/>
      <c r="B802" s="2"/>
      <c r="C802" s="2"/>
      <c r="D802" s="2"/>
      <c r="E802" s="2"/>
      <c r="F802" s="2"/>
      <c r="G802" s="2"/>
      <c r="H802" s="2"/>
      <c r="I802" s="2"/>
      <c r="J802" s="2"/>
      <c r="K802" s="2"/>
      <c r="L802" s="2"/>
      <c r="M802" s="2"/>
      <c r="N802" s="2"/>
      <c r="O802" s="2"/>
      <c r="P802" s="2"/>
      <c r="Q802" s="23"/>
      <c r="R802" s="23"/>
      <c r="S802" s="23"/>
      <c r="T802" s="23"/>
      <c r="U802" s="23"/>
      <c r="V802" s="23"/>
      <c r="W802" s="23"/>
      <c r="X802" s="23"/>
      <c r="Y802" s="23"/>
      <c r="Z802" s="23"/>
    </row>
    <row r="803">
      <c r="A803" s="2"/>
      <c r="B803" s="2"/>
      <c r="C803" s="2"/>
      <c r="D803" s="2"/>
      <c r="E803" s="2"/>
      <c r="F803" s="2"/>
      <c r="G803" s="2"/>
      <c r="H803" s="2"/>
      <c r="I803" s="2"/>
      <c r="J803" s="2"/>
      <c r="K803" s="2"/>
      <c r="L803" s="2"/>
      <c r="M803" s="2"/>
      <c r="N803" s="2"/>
      <c r="O803" s="2"/>
      <c r="P803" s="2"/>
      <c r="Q803" s="23"/>
      <c r="R803" s="23"/>
      <c r="S803" s="23"/>
      <c r="T803" s="23"/>
      <c r="U803" s="23"/>
      <c r="V803" s="23"/>
      <c r="W803" s="23"/>
      <c r="X803" s="23"/>
      <c r="Y803" s="23"/>
      <c r="Z803" s="23"/>
    </row>
    <row r="804">
      <c r="A804" s="2"/>
      <c r="B804" s="2"/>
      <c r="C804" s="2"/>
      <c r="D804" s="2"/>
      <c r="E804" s="2"/>
      <c r="F804" s="2"/>
      <c r="G804" s="2"/>
      <c r="H804" s="2"/>
      <c r="I804" s="2"/>
      <c r="J804" s="2"/>
      <c r="K804" s="2"/>
      <c r="L804" s="2"/>
      <c r="M804" s="2"/>
      <c r="N804" s="2"/>
      <c r="O804" s="2"/>
      <c r="P804" s="2"/>
      <c r="Q804" s="23"/>
      <c r="R804" s="23"/>
      <c r="S804" s="23"/>
      <c r="T804" s="23"/>
      <c r="U804" s="23"/>
      <c r="V804" s="23"/>
      <c r="W804" s="23"/>
      <c r="X804" s="23"/>
      <c r="Y804" s="23"/>
      <c r="Z804" s="23"/>
    </row>
    <row r="805">
      <c r="A805" s="2"/>
      <c r="B805" s="2"/>
      <c r="C805" s="2"/>
      <c r="D805" s="2"/>
      <c r="E805" s="2"/>
      <c r="F805" s="2"/>
      <c r="G805" s="2"/>
      <c r="H805" s="2"/>
      <c r="I805" s="2"/>
      <c r="J805" s="2"/>
      <c r="K805" s="2"/>
      <c r="L805" s="2"/>
      <c r="M805" s="2"/>
      <c r="N805" s="2"/>
      <c r="O805" s="2"/>
      <c r="P805" s="2"/>
      <c r="Q805" s="23"/>
      <c r="R805" s="23"/>
      <c r="S805" s="23"/>
      <c r="T805" s="23"/>
      <c r="U805" s="23"/>
      <c r="V805" s="23"/>
      <c r="W805" s="23"/>
      <c r="X805" s="23"/>
      <c r="Y805" s="23"/>
      <c r="Z805" s="23"/>
    </row>
    <row r="806">
      <c r="A806" s="2"/>
      <c r="B806" s="2"/>
      <c r="C806" s="2"/>
      <c r="D806" s="2"/>
      <c r="E806" s="2"/>
      <c r="F806" s="2"/>
      <c r="G806" s="2"/>
      <c r="H806" s="2"/>
      <c r="I806" s="2"/>
      <c r="J806" s="2"/>
      <c r="K806" s="2"/>
      <c r="L806" s="2"/>
      <c r="M806" s="2"/>
      <c r="N806" s="2"/>
      <c r="O806" s="2"/>
      <c r="P806" s="2"/>
      <c r="Q806" s="23"/>
      <c r="R806" s="23"/>
      <c r="S806" s="23"/>
      <c r="T806" s="23"/>
      <c r="U806" s="23"/>
      <c r="V806" s="23"/>
      <c r="W806" s="23"/>
      <c r="X806" s="23"/>
      <c r="Y806" s="23"/>
      <c r="Z806" s="23"/>
    </row>
    <row r="807">
      <c r="A807" s="2"/>
      <c r="B807" s="2"/>
      <c r="C807" s="2"/>
      <c r="D807" s="2"/>
      <c r="E807" s="2"/>
      <c r="F807" s="2"/>
      <c r="G807" s="2"/>
      <c r="H807" s="2"/>
      <c r="I807" s="2"/>
      <c r="J807" s="2"/>
      <c r="K807" s="2"/>
      <c r="L807" s="2"/>
      <c r="M807" s="2"/>
      <c r="N807" s="2"/>
      <c r="O807" s="2"/>
      <c r="P807" s="2"/>
      <c r="Q807" s="23"/>
      <c r="R807" s="23"/>
      <c r="S807" s="23"/>
      <c r="T807" s="23"/>
      <c r="U807" s="23"/>
      <c r="V807" s="23"/>
      <c r="W807" s="23"/>
      <c r="X807" s="23"/>
      <c r="Y807" s="23"/>
      <c r="Z807" s="23"/>
    </row>
    <row r="808">
      <c r="A808" s="2"/>
      <c r="B808" s="2"/>
      <c r="C808" s="2"/>
      <c r="D808" s="2"/>
      <c r="E808" s="2"/>
      <c r="F808" s="2"/>
      <c r="G808" s="2"/>
      <c r="H808" s="2"/>
      <c r="I808" s="2"/>
      <c r="J808" s="2"/>
      <c r="K808" s="2"/>
      <c r="L808" s="2"/>
      <c r="M808" s="2"/>
      <c r="N808" s="2"/>
      <c r="O808" s="2"/>
      <c r="P808" s="2"/>
      <c r="Q808" s="23"/>
      <c r="R808" s="23"/>
      <c r="S808" s="23"/>
      <c r="T808" s="23"/>
      <c r="U808" s="23"/>
      <c r="V808" s="23"/>
      <c r="W808" s="23"/>
      <c r="X808" s="23"/>
      <c r="Y808" s="23"/>
      <c r="Z808" s="23"/>
    </row>
    <row r="809">
      <c r="A809" s="2"/>
      <c r="B809" s="2"/>
      <c r="C809" s="2"/>
      <c r="D809" s="2"/>
      <c r="E809" s="2"/>
      <c r="F809" s="2"/>
      <c r="G809" s="2"/>
      <c r="H809" s="2"/>
      <c r="I809" s="2"/>
      <c r="J809" s="2"/>
      <c r="K809" s="2"/>
      <c r="L809" s="2"/>
      <c r="M809" s="2"/>
      <c r="N809" s="2"/>
      <c r="O809" s="2"/>
      <c r="P809" s="2"/>
      <c r="Q809" s="23"/>
      <c r="R809" s="23"/>
      <c r="S809" s="23"/>
      <c r="T809" s="23"/>
      <c r="U809" s="23"/>
      <c r="V809" s="23"/>
      <c r="W809" s="23"/>
      <c r="X809" s="23"/>
      <c r="Y809" s="23"/>
      <c r="Z809" s="23"/>
    </row>
    <row r="810">
      <c r="A810" s="2"/>
      <c r="B810" s="2"/>
      <c r="C810" s="2"/>
      <c r="D810" s="2"/>
      <c r="E810" s="2"/>
      <c r="F810" s="2"/>
      <c r="G810" s="2"/>
      <c r="H810" s="2"/>
      <c r="I810" s="2"/>
      <c r="J810" s="2"/>
      <c r="K810" s="2"/>
      <c r="L810" s="2"/>
      <c r="M810" s="2"/>
      <c r="N810" s="2"/>
      <c r="O810" s="2"/>
      <c r="P810" s="2"/>
      <c r="Q810" s="23"/>
      <c r="R810" s="23"/>
      <c r="S810" s="23"/>
      <c r="T810" s="23"/>
      <c r="U810" s="23"/>
      <c r="V810" s="23"/>
      <c r="W810" s="23"/>
      <c r="X810" s="23"/>
      <c r="Y810" s="23"/>
      <c r="Z810" s="23"/>
    </row>
    <row r="811">
      <c r="A811" s="2"/>
      <c r="B811" s="2"/>
      <c r="C811" s="2"/>
      <c r="D811" s="2"/>
      <c r="E811" s="2"/>
      <c r="F811" s="2"/>
      <c r="G811" s="2"/>
      <c r="H811" s="2"/>
      <c r="I811" s="2"/>
      <c r="J811" s="2"/>
      <c r="K811" s="2"/>
      <c r="L811" s="2"/>
      <c r="M811" s="2"/>
      <c r="N811" s="2"/>
      <c r="O811" s="2"/>
      <c r="P811" s="2"/>
      <c r="Q811" s="23"/>
      <c r="R811" s="23"/>
      <c r="S811" s="23"/>
      <c r="T811" s="23"/>
      <c r="U811" s="23"/>
      <c r="V811" s="23"/>
      <c r="W811" s="23"/>
      <c r="X811" s="23"/>
      <c r="Y811" s="23"/>
      <c r="Z811" s="23"/>
    </row>
    <row r="812">
      <c r="A812" s="2"/>
      <c r="B812" s="2"/>
      <c r="C812" s="2"/>
      <c r="D812" s="2"/>
      <c r="E812" s="2"/>
      <c r="F812" s="2"/>
      <c r="G812" s="2"/>
      <c r="H812" s="2"/>
      <c r="I812" s="2"/>
      <c r="J812" s="2"/>
      <c r="K812" s="2"/>
      <c r="L812" s="2"/>
      <c r="M812" s="2"/>
      <c r="N812" s="2"/>
      <c r="O812" s="2"/>
      <c r="P812" s="2"/>
      <c r="Q812" s="23"/>
      <c r="R812" s="23"/>
      <c r="S812" s="23"/>
      <c r="T812" s="23"/>
      <c r="U812" s="23"/>
      <c r="V812" s="23"/>
      <c r="W812" s="23"/>
      <c r="X812" s="23"/>
      <c r="Y812" s="23"/>
      <c r="Z812" s="23"/>
    </row>
    <row r="813">
      <c r="A813" s="2"/>
      <c r="B813" s="2"/>
      <c r="C813" s="2"/>
      <c r="D813" s="2"/>
      <c r="E813" s="2"/>
      <c r="F813" s="2"/>
      <c r="G813" s="2"/>
      <c r="H813" s="2"/>
      <c r="I813" s="2"/>
      <c r="J813" s="2"/>
      <c r="K813" s="2"/>
      <c r="L813" s="2"/>
      <c r="M813" s="2"/>
      <c r="N813" s="2"/>
      <c r="O813" s="2"/>
      <c r="P813" s="2"/>
      <c r="Q813" s="23"/>
      <c r="R813" s="23"/>
      <c r="S813" s="23"/>
      <c r="T813" s="23"/>
      <c r="U813" s="23"/>
      <c r="V813" s="23"/>
      <c r="W813" s="23"/>
      <c r="X813" s="23"/>
      <c r="Y813" s="23"/>
      <c r="Z813" s="23"/>
    </row>
    <row r="814">
      <c r="A814" s="2"/>
      <c r="B814" s="2"/>
      <c r="C814" s="2"/>
      <c r="D814" s="2"/>
      <c r="E814" s="2"/>
      <c r="F814" s="2"/>
      <c r="G814" s="2"/>
      <c r="H814" s="2"/>
      <c r="I814" s="2"/>
      <c r="J814" s="2"/>
      <c r="K814" s="2"/>
      <c r="L814" s="2"/>
      <c r="M814" s="2"/>
      <c r="N814" s="2"/>
      <c r="O814" s="2"/>
      <c r="P814" s="2"/>
      <c r="Q814" s="23"/>
      <c r="R814" s="23"/>
      <c r="S814" s="23"/>
      <c r="T814" s="23"/>
      <c r="U814" s="23"/>
      <c r="V814" s="23"/>
      <c r="W814" s="23"/>
      <c r="X814" s="23"/>
      <c r="Y814" s="23"/>
      <c r="Z814" s="23"/>
    </row>
    <row r="815">
      <c r="A815" s="2"/>
      <c r="B815" s="2"/>
      <c r="C815" s="2"/>
      <c r="D815" s="2"/>
      <c r="E815" s="2"/>
      <c r="F815" s="2"/>
      <c r="G815" s="2"/>
      <c r="H815" s="2"/>
      <c r="I815" s="2"/>
      <c r="J815" s="2"/>
      <c r="K815" s="2"/>
      <c r="L815" s="2"/>
      <c r="M815" s="2"/>
      <c r="N815" s="2"/>
      <c r="O815" s="2"/>
      <c r="P815" s="2"/>
      <c r="Q815" s="23"/>
      <c r="R815" s="23"/>
      <c r="S815" s="23"/>
      <c r="T815" s="23"/>
      <c r="U815" s="23"/>
      <c r="V815" s="23"/>
      <c r="W815" s="23"/>
      <c r="X815" s="23"/>
      <c r="Y815" s="23"/>
      <c r="Z815" s="23"/>
    </row>
    <row r="816">
      <c r="A816" s="2"/>
      <c r="B816" s="2"/>
      <c r="C816" s="2"/>
      <c r="D816" s="2"/>
      <c r="E816" s="2"/>
      <c r="F816" s="2"/>
      <c r="G816" s="2"/>
      <c r="H816" s="2"/>
      <c r="I816" s="2"/>
      <c r="J816" s="2"/>
      <c r="K816" s="2"/>
      <c r="L816" s="2"/>
      <c r="M816" s="2"/>
      <c r="N816" s="2"/>
      <c r="O816" s="2"/>
      <c r="P816" s="2"/>
      <c r="Q816" s="23"/>
      <c r="R816" s="23"/>
      <c r="S816" s="23"/>
      <c r="T816" s="23"/>
      <c r="U816" s="23"/>
      <c r="V816" s="23"/>
      <c r="W816" s="23"/>
      <c r="X816" s="23"/>
      <c r="Y816" s="23"/>
      <c r="Z816" s="23"/>
    </row>
    <row r="817">
      <c r="A817" s="2"/>
      <c r="B817" s="2"/>
      <c r="C817" s="2"/>
      <c r="D817" s="2"/>
      <c r="E817" s="2"/>
      <c r="F817" s="2"/>
      <c r="G817" s="2"/>
      <c r="H817" s="2"/>
      <c r="I817" s="2"/>
      <c r="J817" s="2"/>
      <c r="K817" s="2"/>
      <c r="L817" s="2"/>
      <c r="M817" s="2"/>
      <c r="N817" s="2"/>
      <c r="O817" s="2"/>
      <c r="P817" s="2"/>
      <c r="Q817" s="23"/>
      <c r="R817" s="23"/>
      <c r="S817" s="23"/>
      <c r="T817" s="23"/>
      <c r="U817" s="23"/>
      <c r="V817" s="23"/>
      <c r="W817" s="23"/>
      <c r="X817" s="23"/>
      <c r="Y817" s="23"/>
      <c r="Z817" s="23"/>
    </row>
    <row r="818">
      <c r="A818" s="2"/>
      <c r="B818" s="2"/>
      <c r="C818" s="2"/>
      <c r="D818" s="2"/>
      <c r="E818" s="2"/>
      <c r="F818" s="2"/>
      <c r="G818" s="2"/>
      <c r="H818" s="2"/>
      <c r="I818" s="2"/>
      <c r="J818" s="2"/>
      <c r="K818" s="2"/>
      <c r="L818" s="2"/>
      <c r="M818" s="2"/>
      <c r="N818" s="2"/>
      <c r="O818" s="2"/>
      <c r="P818" s="2"/>
      <c r="Q818" s="23"/>
      <c r="R818" s="23"/>
      <c r="S818" s="23"/>
      <c r="T818" s="23"/>
      <c r="U818" s="23"/>
      <c r="V818" s="23"/>
      <c r="W818" s="23"/>
      <c r="X818" s="23"/>
      <c r="Y818" s="23"/>
      <c r="Z818" s="23"/>
    </row>
    <row r="819">
      <c r="A819" s="2"/>
      <c r="B819" s="2"/>
      <c r="C819" s="2"/>
      <c r="D819" s="2"/>
      <c r="E819" s="2"/>
      <c r="F819" s="2"/>
      <c r="G819" s="2"/>
      <c r="H819" s="2"/>
      <c r="I819" s="2"/>
      <c r="J819" s="2"/>
      <c r="K819" s="2"/>
      <c r="L819" s="2"/>
      <c r="M819" s="2"/>
      <c r="N819" s="2"/>
      <c r="O819" s="2"/>
      <c r="P819" s="2"/>
      <c r="Q819" s="23"/>
      <c r="R819" s="23"/>
      <c r="S819" s="23"/>
      <c r="T819" s="23"/>
      <c r="U819" s="23"/>
      <c r="V819" s="23"/>
      <c r="W819" s="23"/>
      <c r="X819" s="23"/>
      <c r="Y819" s="23"/>
      <c r="Z819" s="23"/>
    </row>
    <row r="820">
      <c r="A820" s="2"/>
      <c r="B820" s="2"/>
      <c r="C820" s="2"/>
      <c r="D820" s="2"/>
      <c r="E820" s="2"/>
      <c r="F820" s="2"/>
      <c r="G820" s="2"/>
      <c r="H820" s="2"/>
      <c r="I820" s="2"/>
      <c r="J820" s="2"/>
      <c r="K820" s="2"/>
      <c r="L820" s="2"/>
      <c r="M820" s="2"/>
      <c r="N820" s="2"/>
      <c r="O820" s="2"/>
      <c r="P820" s="2"/>
      <c r="Q820" s="23"/>
      <c r="R820" s="23"/>
      <c r="S820" s="23"/>
      <c r="T820" s="23"/>
      <c r="U820" s="23"/>
      <c r="V820" s="23"/>
      <c r="W820" s="23"/>
      <c r="X820" s="23"/>
      <c r="Y820" s="23"/>
      <c r="Z820" s="23"/>
    </row>
    <row r="821">
      <c r="A821" s="2"/>
      <c r="B821" s="2"/>
      <c r="C821" s="2"/>
      <c r="D821" s="2"/>
      <c r="E821" s="2"/>
      <c r="F821" s="2"/>
      <c r="G821" s="2"/>
      <c r="H821" s="2"/>
      <c r="I821" s="2"/>
      <c r="J821" s="2"/>
      <c r="K821" s="2"/>
      <c r="L821" s="2"/>
      <c r="M821" s="2"/>
      <c r="N821" s="2"/>
      <c r="O821" s="2"/>
      <c r="P821" s="2"/>
      <c r="Q821" s="23"/>
      <c r="R821" s="23"/>
      <c r="S821" s="23"/>
      <c r="T821" s="23"/>
      <c r="U821" s="23"/>
      <c r="V821" s="23"/>
      <c r="W821" s="23"/>
      <c r="X821" s="23"/>
      <c r="Y821" s="23"/>
      <c r="Z821" s="23"/>
    </row>
    <row r="822">
      <c r="A822" s="2"/>
      <c r="B822" s="2"/>
      <c r="C822" s="2"/>
      <c r="D822" s="2"/>
      <c r="E822" s="2"/>
      <c r="F822" s="2"/>
      <c r="G822" s="2"/>
      <c r="H822" s="2"/>
      <c r="I822" s="2"/>
      <c r="J822" s="2"/>
      <c r="K822" s="2"/>
      <c r="L822" s="2"/>
      <c r="M822" s="2"/>
      <c r="N822" s="2"/>
      <c r="O822" s="2"/>
      <c r="P822" s="2"/>
      <c r="Q822" s="23"/>
      <c r="R822" s="23"/>
      <c r="S822" s="23"/>
      <c r="T822" s="23"/>
      <c r="U822" s="23"/>
      <c r="V822" s="23"/>
      <c r="W822" s="23"/>
      <c r="X822" s="23"/>
      <c r="Y822" s="23"/>
      <c r="Z822" s="23"/>
    </row>
    <row r="823">
      <c r="A823" s="2"/>
      <c r="B823" s="2"/>
      <c r="C823" s="2"/>
      <c r="D823" s="2"/>
      <c r="E823" s="2"/>
      <c r="F823" s="2"/>
      <c r="G823" s="2"/>
      <c r="H823" s="2"/>
      <c r="I823" s="2"/>
      <c r="J823" s="2"/>
      <c r="K823" s="2"/>
      <c r="L823" s="2"/>
      <c r="M823" s="2"/>
      <c r="N823" s="2"/>
      <c r="O823" s="2"/>
      <c r="P823" s="2"/>
      <c r="Q823" s="23"/>
      <c r="R823" s="23"/>
      <c r="S823" s="23"/>
      <c r="T823" s="23"/>
      <c r="U823" s="23"/>
      <c r="V823" s="23"/>
      <c r="W823" s="23"/>
      <c r="X823" s="23"/>
      <c r="Y823" s="23"/>
      <c r="Z823" s="23"/>
    </row>
    <row r="824">
      <c r="A824" s="2"/>
      <c r="B824" s="2"/>
      <c r="C824" s="2"/>
      <c r="D824" s="2"/>
      <c r="E824" s="2"/>
      <c r="F824" s="2"/>
      <c r="G824" s="2"/>
      <c r="H824" s="2"/>
      <c r="I824" s="2"/>
      <c r="J824" s="2"/>
      <c r="K824" s="2"/>
      <c r="L824" s="2"/>
      <c r="M824" s="2"/>
      <c r="N824" s="2"/>
      <c r="O824" s="2"/>
      <c r="P824" s="2"/>
      <c r="Q824" s="23"/>
      <c r="R824" s="23"/>
      <c r="S824" s="23"/>
      <c r="T824" s="23"/>
      <c r="U824" s="23"/>
      <c r="V824" s="23"/>
      <c r="W824" s="23"/>
      <c r="X824" s="23"/>
      <c r="Y824" s="23"/>
      <c r="Z824" s="23"/>
    </row>
    <row r="825">
      <c r="A825" s="2"/>
      <c r="B825" s="2"/>
      <c r="C825" s="2"/>
      <c r="D825" s="2"/>
      <c r="E825" s="2"/>
      <c r="F825" s="2"/>
      <c r="G825" s="2"/>
      <c r="H825" s="2"/>
      <c r="I825" s="2"/>
      <c r="J825" s="2"/>
      <c r="K825" s="2"/>
      <c r="L825" s="2"/>
      <c r="M825" s="2"/>
      <c r="N825" s="2"/>
      <c r="O825" s="2"/>
      <c r="P825" s="2"/>
      <c r="Q825" s="23"/>
      <c r="R825" s="23"/>
      <c r="S825" s="23"/>
      <c r="T825" s="23"/>
      <c r="U825" s="23"/>
      <c r="V825" s="23"/>
      <c r="W825" s="23"/>
      <c r="X825" s="23"/>
      <c r="Y825" s="23"/>
      <c r="Z825" s="23"/>
    </row>
    <row r="826">
      <c r="A826" s="2"/>
      <c r="B826" s="2"/>
      <c r="C826" s="2"/>
      <c r="D826" s="2"/>
      <c r="E826" s="2"/>
      <c r="F826" s="2"/>
      <c r="G826" s="2"/>
      <c r="H826" s="2"/>
      <c r="I826" s="2"/>
      <c r="J826" s="2"/>
      <c r="K826" s="2"/>
      <c r="L826" s="2"/>
      <c r="M826" s="2"/>
      <c r="N826" s="2"/>
      <c r="O826" s="2"/>
      <c r="P826" s="2"/>
      <c r="Q826" s="23"/>
      <c r="R826" s="23"/>
      <c r="S826" s="23"/>
      <c r="T826" s="23"/>
      <c r="U826" s="23"/>
      <c r="V826" s="23"/>
      <c r="W826" s="23"/>
      <c r="X826" s="23"/>
      <c r="Y826" s="23"/>
      <c r="Z826" s="23"/>
    </row>
    <row r="827">
      <c r="A827" s="2"/>
      <c r="B827" s="2"/>
      <c r="C827" s="2"/>
      <c r="D827" s="2"/>
      <c r="E827" s="2"/>
      <c r="F827" s="2"/>
      <c r="G827" s="2"/>
      <c r="H827" s="2"/>
      <c r="I827" s="2"/>
      <c r="J827" s="2"/>
      <c r="K827" s="2"/>
      <c r="L827" s="2"/>
      <c r="M827" s="2"/>
      <c r="N827" s="2"/>
      <c r="O827" s="2"/>
      <c r="P827" s="2"/>
      <c r="Q827" s="23"/>
      <c r="R827" s="23"/>
      <c r="S827" s="23"/>
      <c r="T827" s="23"/>
      <c r="U827" s="23"/>
      <c r="V827" s="23"/>
      <c r="W827" s="23"/>
      <c r="X827" s="23"/>
      <c r="Y827" s="23"/>
      <c r="Z827" s="23"/>
    </row>
    <row r="828">
      <c r="A828" s="2"/>
      <c r="B828" s="2"/>
      <c r="C828" s="2"/>
      <c r="D828" s="2"/>
      <c r="E828" s="2"/>
      <c r="F828" s="2"/>
      <c r="G828" s="2"/>
      <c r="H828" s="2"/>
      <c r="I828" s="2"/>
      <c r="J828" s="2"/>
      <c r="K828" s="2"/>
      <c r="L828" s="2"/>
      <c r="M828" s="2"/>
      <c r="N828" s="2"/>
      <c r="O828" s="2"/>
      <c r="P828" s="2"/>
      <c r="Q828" s="23"/>
      <c r="R828" s="23"/>
      <c r="S828" s="23"/>
      <c r="T828" s="23"/>
      <c r="U828" s="23"/>
      <c r="V828" s="23"/>
      <c r="W828" s="23"/>
      <c r="X828" s="23"/>
      <c r="Y828" s="23"/>
      <c r="Z828" s="23"/>
    </row>
    <row r="829">
      <c r="A829" s="2"/>
      <c r="B829" s="2"/>
      <c r="C829" s="2"/>
      <c r="D829" s="2"/>
      <c r="E829" s="2"/>
      <c r="F829" s="2"/>
      <c r="G829" s="2"/>
      <c r="H829" s="2"/>
      <c r="I829" s="2"/>
      <c r="J829" s="2"/>
      <c r="K829" s="2"/>
      <c r="L829" s="2"/>
      <c r="M829" s="2"/>
      <c r="N829" s="2"/>
      <c r="O829" s="2"/>
      <c r="P829" s="2"/>
      <c r="Q829" s="23"/>
      <c r="R829" s="23"/>
      <c r="S829" s="23"/>
      <c r="T829" s="23"/>
      <c r="U829" s="23"/>
      <c r="V829" s="23"/>
      <c r="W829" s="23"/>
      <c r="X829" s="23"/>
      <c r="Y829" s="23"/>
      <c r="Z829" s="23"/>
    </row>
    <row r="830">
      <c r="A830" s="2"/>
      <c r="B830" s="2"/>
      <c r="C830" s="2"/>
      <c r="D830" s="2"/>
      <c r="E830" s="2"/>
      <c r="F830" s="2"/>
      <c r="G830" s="2"/>
      <c r="H830" s="2"/>
      <c r="I830" s="2"/>
      <c r="J830" s="2"/>
      <c r="K830" s="2"/>
      <c r="L830" s="2"/>
      <c r="M830" s="2"/>
      <c r="N830" s="2"/>
      <c r="O830" s="2"/>
      <c r="P830" s="2"/>
      <c r="Q830" s="23"/>
      <c r="R830" s="23"/>
      <c r="S830" s="23"/>
      <c r="T830" s="23"/>
      <c r="U830" s="23"/>
      <c r="V830" s="23"/>
      <c r="W830" s="23"/>
      <c r="X830" s="23"/>
      <c r="Y830" s="23"/>
      <c r="Z830" s="23"/>
    </row>
    <row r="831">
      <c r="A831" s="2"/>
      <c r="B831" s="2"/>
      <c r="C831" s="2"/>
      <c r="D831" s="2"/>
      <c r="E831" s="2"/>
      <c r="F831" s="2"/>
      <c r="G831" s="2"/>
      <c r="H831" s="2"/>
      <c r="I831" s="2"/>
      <c r="J831" s="2"/>
      <c r="K831" s="2"/>
      <c r="L831" s="2"/>
      <c r="M831" s="2"/>
      <c r="N831" s="2"/>
      <c r="O831" s="2"/>
      <c r="P831" s="2"/>
      <c r="Q831" s="23"/>
      <c r="R831" s="23"/>
      <c r="S831" s="23"/>
      <c r="T831" s="23"/>
      <c r="U831" s="23"/>
      <c r="V831" s="23"/>
      <c r="W831" s="23"/>
      <c r="X831" s="23"/>
      <c r="Y831" s="23"/>
      <c r="Z831" s="23"/>
    </row>
    <row r="832">
      <c r="A832" s="2"/>
      <c r="B832" s="2"/>
      <c r="C832" s="2"/>
      <c r="D832" s="2"/>
      <c r="E832" s="2"/>
      <c r="F832" s="2"/>
      <c r="G832" s="2"/>
      <c r="H832" s="2"/>
      <c r="I832" s="2"/>
      <c r="J832" s="2"/>
      <c r="K832" s="2"/>
      <c r="L832" s="2"/>
      <c r="M832" s="2"/>
      <c r="N832" s="2"/>
      <c r="O832" s="2"/>
      <c r="P832" s="2"/>
      <c r="Q832" s="23"/>
      <c r="R832" s="23"/>
      <c r="S832" s="23"/>
      <c r="T832" s="23"/>
      <c r="U832" s="23"/>
      <c r="V832" s="23"/>
      <c r="W832" s="23"/>
      <c r="X832" s="23"/>
      <c r="Y832" s="23"/>
      <c r="Z832" s="23"/>
    </row>
    <row r="833">
      <c r="A833" s="2"/>
      <c r="B833" s="2"/>
      <c r="C833" s="2"/>
      <c r="D833" s="2"/>
      <c r="E833" s="2"/>
      <c r="F833" s="2"/>
      <c r="G833" s="2"/>
      <c r="H833" s="2"/>
      <c r="I833" s="2"/>
      <c r="J833" s="2"/>
      <c r="K833" s="2"/>
      <c r="L833" s="2"/>
      <c r="M833" s="2"/>
      <c r="N833" s="2"/>
      <c r="O833" s="2"/>
      <c r="P833" s="2"/>
      <c r="Q833" s="23"/>
      <c r="R833" s="23"/>
      <c r="S833" s="23"/>
      <c r="T833" s="23"/>
      <c r="U833" s="23"/>
      <c r="V833" s="23"/>
      <c r="W833" s="23"/>
      <c r="X833" s="23"/>
      <c r="Y833" s="23"/>
      <c r="Z833" s="23"/>
    </row>
    <row r="834">
      <c r="A834" s="2"/>
      <c r="B834" s="2"/>
      <c r="C834" s="2"/>
      <c r="D834" s="2"/>
      <c r="E834" s="2"/>
      <c r="F834" s="2"/>
      <c r="G834" s="2"/>
      <c r="H834" s="2"/>
      <c r="I834" s="2"/>
      <c r="J834" s="2"/>
      <c r="K834" s="2"/>
      <c r="L834" s="2"/>
      <c r="M834" s="2"/>
      <c r="N834" s="2"/>
      <c r="O834" s="2"/>
      <c r="P834" s="2"/>
      <c r="Q834" s="23"/>
      <c r="R834" s="23"/>
      <c r="S834" s="23"/>
      <c r="T834" s="23"/>
      <c r="U834" s="23"/>
      <c r="V834" s="23"/>
      <c r="W834" s="23"/>
      <c r="X834" s="23"/>
      <c r="Y834" s="23"/>
      <c r="Z834" s="23"/>
    </row>
    <row r="835">
      <c r="A835" s="2"/>
      <c r="B835" s="2"/>
      <c r="C835" s="2"/>
      <c r="D835" s="2"/>
      <c r="E835" s="2"/>
      <c r="F835" s="2"/>
      <c r="G835" s="2"/>
      <c r="H835" s="2"/>
      <c r="I835" s="2"/>
      <c r="J835" s="2"/>
      <c r="K835" s="2"/>
      <c r="L835" s="2"/>
      <c r="M835" s="2"/>
      <c r="N835" s="2"/>
      <c r="O835" s="2"/>
      <c r="P835" s="2"/>
      <c r="Q835" s="23"/>
      <c r="R835" s="23"/>
      <c r="S835" s="23"/>
      <c r="T835" s="23"/>
      <c r="U835" s="23"/>
      <c r="V835" s="23"/>
      <c r="W835" s="23"/>
      <c r="X835" s="23"/>
      <c r="Y835" s="23"/>
      <c r="Z835" s="23"/>
    </row>
    <row r="836">
      <c r="A836" s="2"/>
      <c r="B836" s="2"/>
      <c r="C836" s="2"/>
      <c r="D836" s="2"/>
      <c r="E836" s="2"/>
      <c r="F836" s="2"/>
      <c r="G836" s="2"/>
      <c r="H836" s="2"/>
      <c r="I836" s="2"/>
      <c r="J836" s="2"/>
      <c r="K836" s="2"/>
      <c r="L836" s="2"/>
      <c r="M836" s="2"/>
      <c r="N836" s="2"/>
      <c r="O836" s="2"/>
      <c r="P836" s="2"/>
      <c r="Q836" s="23"/>
      <c r="R836" s="23"/>
      <c r="S836" s="23"/>
      <c r="T836" s="23"/>
      <c r="U836" s="23"/>
      <c r="V836" s="23"/>
      <c r="W836" s="23"/>
      <c r="X836" s="23"/>
      <c r="Y836" s="23"/>
      <c r="Z836" s="23"/>
    </row>
    <row r="837">
      <c r="A837" s="2"/>
      <c r="B837" s="2"/>
      <c r="C837" s="2"/>
      <c r="D837" s="2"/>
      <c r="E837" s="2"/>
      <c r="F837" s="2"/>
      <c r="G837" s="2"/>
      <c r="H837" s="2"/>
      <c r="I837" s="2"/>
      <c r="J837" s="2"/>
      <c r="K837" s="2"/>
      <c r="L837" s="2"/>
      <c r="M837" s="2"/>
      <c r="N837" s="2"/>
      <c r="O837" s="2"/>
      <c r="P837" s="2"/>
      <c r="Q837" s="23"/>
      <c r="R837" s="23"/>
      <c r="S837" s="23"/>
      <c r="T837" s="23"/>
      <c r="U837" s="23"/>
      <c r="V837" s="23"/>
      <c r="W837" s="23"/>
      <c r="X837" s="23"/>
      <c r="Y837" s="23"/>
      <c r="Z837" s="23"/>
    </row>
    <row r="838">
      <c r="A838" s="2"/>
      <c r="B838" s="2"/>
      <c r="C838" s="2"/>
      <c r="D838" s="2"/>
      <c r="E838" s="2"/>
      <c r="F838" s="2"/>
      <c r="G838" s="2"/>
      <c r="H838" s="2"/>
      <c r="I838" s="2"/>
      <c r="J838" s="2"/>
      <c r="K838" s="2"/>
      <c r="L838" s="2"/>
      <c r="M838" s="2"/>
      <c r="N838" s="2"/>
      <c r="O838" s="2"/>
      <c r="P838" s="2"/>
      <c r="Q838" s="23"/>
      <c r="R838" s="23"/>
      <c r="S838" s="23"/>
      <c r="T838" s="23"/>
      <c r="U838" s="23"/>
      <c r="V838" s="23"/>
      <c r="W838" s="23"/>
      <c r="X838" s="23"/>
      <c r="Y838" s="23"/>
      <c r="Z838" s="23"/>
    </row>
    <row r="839">
      <c r="A839" s="2"/>
      <c r="B839" s="2"/>
      <c r="C839" s="2"/>
      <c r="D839" s="2"/>
      <c r="E839" s="2"/>
      <c r="F839" s="2"/>
      <c r="G839" s="2"/>
      <c r="H839" s="2"/>
      <c r="I839" s="2"/>
      <c r="J839" s="2"/>
      <c r="K839" s="2"/>
      <c r="L839" s="2"/>
      <c r="M839" s="2"/>
      <c r="N839" s="2"/>
      <c r="O839" s="2"/>
      <c r="P839" s="2"/>
      <c r="Q839" s="23"/>
      <c r="R839" s="23"/>
      <c r="S839" s="23"/>
      <c r="T839" s="23"/>
      <c r="U839" s="23"/>
      <c r="V839" s="23"/>
      <c r="W839" s="23"/>
      <c r="X839" s="23"/>
      <c r="Y839" s="23"/>
      <c r="Z839" s="23"/>
    </row>
    <row r="840">
      <c r="A840" s="2"/>
      <c r="B840" s="2"/>
      <c r="C840" s="2"/>
      <c r="D840" s="2"/>
      <c r="E840" s="2"/>
      <c r="F840" s="2"/>
      <c r="G840" s="2"/>
      <c r="H840" s="2"/>
      <c r="I840" s="2"/>
      <c r="J840" s="2"/>
      <c r="K840" s="2"/>
      <c r="L840" s="2"/>
      <c r="M840" s="2"/>
      <c r="N840" s="2"/>
      <c r="O840" s="2"/>
      <c r="P840" s="2"/>
      <c r="Q840" s="23"/>
      <c r="R840" s="23"/>
      <c r="S840" s="23"/>
      <c r="T840" s="23"/>
      <c r="U840" s="23"/>
      <c r="V840" s="23"/>
      <c r="W840" s="23"/>
      <c r="X840" s="23"/>
      <c r="Y840" s="23"/>
      <c r="Z840" s="23"/>
    </row>
    <row r="841">
      <c r="A841" s="2"/>
      <c r="B841" s="2"/>
      <c r="C841" s="2"/>
      <c r="D841" s="2"/>
      <c r="E841" s="2"/>
      <c r="F841" s="2"/>
      <c r="G841" s="2"/>
      <c r="H841" s="2"/>
      <c r="I841" s="2"/>
      <c r="J841" s="2"/>
      <c r="K841" s="2"/>
      <c r="L841" s="2"/>
      <c r="M841" s="2"/>
      <c r="N841" s="2"/>
      <c r="O841" s="2"/>
      <c r="P841" s="2"/>
      <c r="Q841" s="23"/>
      <c r="R841" s="23"/>
      <c r="S841" s="23"/>
      <c r="T841" s="23"/>
      <c r="U841" s="23"/>
      <c r="V841" s="23"/>
      <c r="W841" s="23"/>
      <c r="X841" s="23"/>
      <c r="Y841" s="23"/>
      <c r="Z841" s="23"/>
    </row>
    <row r="842">
      <c r="A842" s="2"/>
      <c r="B842" s="2"/>
      <c r="C842" s="2"/>
      <c r="D842" s="2"/>
      <c r="E842" s="2"/>
      <c r="F842" s="2"/>
      <c r="G842" s="2"/>
      <c r="H842" s="2"/>
      <c r="I842" s="2"/>
      <c r="J842" s="2"/>
      <c r="K842" s="2"/>
      <c r="L842" s="2"/>
      <c r="M842" s="2"/>
      <c r="N842" s="2"/>
      <c r="O842" s="2"/>
      <c r="P842" s="2"/>
      <c r="Q842" s="23"/>
      <c r="R842" s="23"/>
      <c r="S842" s="23"/>
      <c r="T842" s="23"/>
      <c r="U842" s="23"/>
      <c r="V842" s="23"/>
      <c r="W842" s="23"/>
      <c r="X842" s="23"/>
      <c r="Y842" s="23"/>
      <c r="Z842" s="23"/>
    </row>
    <row r="843">
      <c r="A843" s="2"/>
      <c r="B843" s="2"/>
      <c r="C843" s="2"/>
      <c r="D843" s="2"/>
      <c r="E843" s="2"/>
      <c r="F843" s="2"/>
      <c r="G843" s="2"/>
      <c r="H843" s="2"/>
      <c r="I843" s="2"/>
      <c r="J843" s="2"/>
      <c r="K843" s="2"/>
      <c r="L843" s="2"/>
      <c r="M843" s="2"/>
      <c r="N843" s="2"/>
      <c r="O843" s="2"/>
      <c r="P843" s="2"/>
      <c r="Q843" s="23"/>
      <c r="R843" s="23"/>
      <c r="S843" s="23"/>
      <c r="T843" s="23"/>
      <c r="U843" s="23"/>
      <c r="V843" s="23"/>
      <c r="W843" s="23"/>
      <c r="X843" s="23"/>
      <c r="Y843" s="23"/>
      <c r="Z843" s="23"/>
    </row>
    <row r="844">
      <c r="A844" s="2"/>
      <c r="B844" s="2"/>
      <c r="C844" s="2"/>
      <c r="D844" s="2"/>
      <c r="E844" s="2"/>
      <c r="F844" s="2"/>
      <c r="G844" s="2"/>
      <c r="H844" s="2"/>
      <c r="I844" s="2"/>
      <c r="J844" s="2"/>
      <c r="K844" s="2"/>
      <c r="L844" s="2"/>
      <c r="M844" s="2"/>
      <c r="N844" s="2"/>
      <c r="O844" s="2"/>
      <c r="P844" s="2"/>
      <c r="Q844" s="23"/>
      <c r="R844" s="23"/>
      <c r="S844" s="23"/>
      <c r="T844" s="23"/>
      <c r="U844" s="23"/>
      <c r="V844" s="23"/>
      <c r="W844" s="23"/>
      <c r="X844" s="23"/>
      <c r="Y844" s="23"/>
      <c r="Z844" s="23"/>
    </row>
    <row r="845">
      <c r="A845" s="2"/>
      <c r="B845" s="2"/>
      <c r="C845" s="2"/>
      <c r="D845" s="2"/>
      <c r="E845" s="2"/>
      <c r="F845" s="2"/>
      <c r="G845" s="2"/>
      <c r="H845" s="2"/>
      <c r="I845" s="2"/>
      <c r="J845" s="2"/>
      <c r="K845" s="2"/>
      <c r="L845" s="2"/>
      <c r="M845" s="2"/>
      <c r="N845" s="2"/>
      <c r="O845" s="2"/>
      <c r="P845" s="2"/>
      <c r="Q845" s="23"/>
      <c r="R845" s="23"/>
      <c r="S845" s="23"/>
      <c r="T845" s="23"/>
      <c r="U845" s="23"/>
      <c r="V845" s="23"/>
      <c r="W845" s="23"/>
      <c r="X845" s="23"/>
      <c r="Y845" s="23"/>
      <c r="Z845" s="23"/>
    </row>
    <row r="846">
      <c r="A846" s="2"/>
      <c r="B846" s="2"/>
      <c r="C846" s="2"/>
      <c r="D846" s="2"/>
      <c r="E846" s="2"/>
      <c r="F846" s="2"/>
      <c r="G846" s="2"/>
      <c r="H846" s="2"/>
      <c r="I846" s="2"/>
      <c r="J846" s="2"/>
      <c r="K846" s="2"/>
      <c r="L846" s="2"/>
      <c r="M846" s="2"/>
      <c r="N846" s="2"/>
      <c r="O846" s="2"/>
      <c r="P846" s="2"/>
      <c r="Q846" s="23"/>
      <c r="R846" s="23"/>
      <c r="S846" s="23"/>
      <c r="T846" s="23"/>
      <c r="U846" s="23"/>
      <c r="V846" s="23"/>
      <c r="W846" s="23"/>
      <c r="X846" s="23"/>
      <c r="Y846" s="23"/>
      <c r="Z846" s="23"/>
    </row>
    <row r="847">
      <c r="A847" s="2"/>
      <c r="B847" s="2"/>
      <c r="C847" s="2"/>
      <c r="D847" s="2"/>
      <c r="E847" s="2"/>
      <c r="F847" s="2"/>
      <c r="G847" s="2"/>
      <c r="H847" s="2"/>
      <c r="I847" s="2"/>
      <c r="J847" s="2"/>
      <c r="K847" s="2"/>
      <c r="L847" s="2"/>
      <c r="M847" s="2"/>
      <c r="N847" s="2"/>
      <c r="O847" s="2"/>
      <c r="P847" s="2"/>
      <c r="Q847" s="23"/>
      <c r="R847" s="23"/>
      <c r="S847" s="23"/>
      <c r="T847" s="23"/>
      <c r="U847" s="23"/>
      <c r="V847" s="23"/>
      <c r="W847" s="23"/>
      <c r="X847" s="23"/>
      <c r="Y847" s="23"/>
      <c r="Z847" s="23"/>
    </row>
    <row r="848">
      <c r="A848" s="2"/>
      <c r="B848" s="2"/>
      <c r="C848" s="2"/>
      <c r="D848" s="2"/>
      <c r="E848" s="2"/>
      <c r="F848" s="2"/>
      <c r="G848" s="2"/>
      <c r="H848" s="2"/>
      <c r="I848" s="2"/>
      <c r="J848" s="2"/>
      <c r="K848" s="2"/>
      <c r="L848" s="2"/>
      <c r="M848" s="2"/>
      <c r="N848" s="2"/>
      <c r="O848" s="2"/>
      <c r="P848" s="2"/>
      <c r="Q848" s="23"/>
      <c r="R848" s="23"/>
      <c r="S848" s="23"/>
      <c r="T848" s="23"/>
      <c r="U848" s="23"/>
      <c r="V848" s="23"/>
      <c r="W848" s="23"/>
      <c r="X848" s="23"/>
      <c r="Y848" s="23"/>
      <c r="Z848" s="23"/>
    </row>
    <row r="849">
      <c r="A849" s="2"/>
      <c r="B849" s="2"/>
      <c r="C849" s="2"/>
      <c r="D849" s="2"/>
      <c r="E849" s="2"/>
      <c r="F849" s="2"/>
      <c r="G849" s="2"/>
      <c r="H849" s="2"/>
      <c r="I849" s="2"/>
      <c r="J849" s="2"/>
      <c r="K849" s="2"/>
      <c r="L849" s="2"/>
      <c r="M849" s="2"/>
      <c r="N849" s="2"/>
      <c r="O849" s="2"/>
      <c r="P849" s="2"/>
      <c r="Q849" s="23"/>
      <c r="R849" s="23"/>
      <c r="S849" s="23"/>
      <c r="T849" s="23"/>
      <c r="U849" s="23"/>
      <c r="V849" s="23"/>
      <c r="W849" s="23"/>
      <c r="X849" s="23"/>
      <c r="Y849" s="23"/>
      <c r="Z849" s="23"/>
    </row>
    <row r="850">
      <c r="A850" s="2"/>
      <c r="B850" s="2"/>
      <c r="C850" s="2"/>
      <c r="D850" s="2"/>
      <c r="E850" s="2"/>
      <c r="F850" s="2"/>
      <c r="G850" s="2"/>
      <c r="H850" s="2"/>
      <c r="I850" s="2"/>
      <c r="J850" s="2"/>
      <c r="K850" s="2"/>
      <c r="L850" s="2"/>
      <c r="M850" s="2"/>
      <c r="N850" s="2"/>
      <c r="O850" s="2"/>
      <c r="P850" s="2"/>
      <c r="Q850" s="23"/>
      <c r="R850" s="23"/>
      <c r="S850" s="23"/>
      <c r="T850" s="23"/>
      <c r="U850" s="23"/>
      <c r="V850" s="23"/>
      <c r="W850" s="23"/>
      <c r="X850" s="23"/>
      <c r="Y850" s="23"/>
      <c r="Z850" s="23"/>
    </row>
    <row r="851">
      <c r="A851" s="2"/>
      <c r="B851" s="2"/>
      <c r="C851" s="2"/>
      <c r="D851" s="2"/>
      <c r="E851" s="2"/>
      <c r="F851" s="2"/>
      <c r="G851" s="2"/>
      <c r="H851" s="2"/>
      <c r="I851" s="2"/>
      <c r="J851" s="2"/>
      <c r="K851" s="2"/>
      <c r="L851" s="2"/>
      <c r="M851" s="2"/>
      <c r="N851" s="2"/>
      <c r="O851" s="2"/>
      <c r="P851" s="2"/>
      <c r="Q851" s="23"/>
      <c r="R851" s="23"/>
      <c r="S851" s="23"/>
      <c r="T851" s="23"/>
      <c r="U851" s="23"/>
      <c r="V851" s="23"/>
      <c r="W851" s="23"/>
      <c r="X851" s="23"/>
      <c r="Y851" s="23"/>
      <c r="Z851" s="23"/>
    </row>
    <row r="852">
      <c r="A852" s="2"/>
      <c r="B852" s="2"/>
      <c r="C852" s="2"/>
      <c r="D852" s="2"/>
      <c r="E852" s="2"/>
      <c r="F852" s="2"/>
      <c r="G852" s="2"/>
      <c r="H852" s="2"/>
      <c r="I852" s="2"/>
      <c r="J852" s="2"/>
      <c r="K852" s="2"/>
      <c r="L852" s="2"/>
      <c r="M852" s="2"/>
      <c r="N852" s="2"/>
      <c r="O852" s="2"/>
      <c r="P852" s="2"/>
      <c r="Q852" s="23"/>
      <c r="R852" s="23"/>
      <c r="S852" s="23"/>
      <c r="T852" s="23"/>
      <c r="U852" s="23"/>
      <c r="V852" s="23"/>
      <c r="W852" s="23"/>
      <c r="X852" s="23"/>
      <c r="Y852" s="23"/>
      <c r="Z852" s="23"/>
    </row>
    <row r="853">
      <c r="A853" s="2"/>
      <c r="B853" s="2"/>
      <c r="C853" s="2"/>
      <c r="D853" s="2"/>
      <c r="E853" s="2"/>
      <c r="F853" s="2"/>
      <c r="G853" s="2"/>
      <c r="H853" s="2"/>
      <c r="I853" s="2"/>
      <c r="J853" s="2"/>
      <c r="K853" s="2"/>
      <c r="L853" s="2"/>
      <c r="M853" s="2"/>
      <c r="N853" s="2"/>
      <c r="O853" s="2"/>
      <c r="P853" s="2"/>
      <c r="Q853" s="23"/>
      <c r="R853" s="23"/>
      <c r="S853" s="23"/>
      <c r="T853" s="23"/>
      <c r="U853" s="23"/>
      <c r="V853" s="23"/>
      <c r="W853" s="23"/>
      <c r="X853" s="23"/>
      <c r="Y853" s="23"/>
      <c r="Z853" s="23"/>
    </row>
    <row r="854">
      <c r="A854" s="2"/>
      <c r="B854" s="2"/>
      <c r="C854" s="2"/>
      <c r="D854" s="2"/>
      <c r="E854" s="2"/>
      <c r="F854" s="2"/>
      <c r="G854" s="2"/>
      <c r="H854" s="2"/>
      <c r="I854" s="2"/>
      <c r="J854" s="2"/>
      <c r="K854" s="2"/>
      <c r="L854" s="2"/>
      <c r="M854" s="2"/>
      <c r="N854" s="2"/>
      <c r="O854" s="2"/>
      <c r="P854" s="2"/>
      <c r="Q854" s="23"/>
      <c r="R854" s="23"/>
      <c r="S854" s="23"/>
      <c r="T854" s="23"/>
      <c r="U854" s="23"/>
      <c r="V854" s="23"/>
      <c r="W854" s="23"/>
      <c r="X854" s="23"/>
      <c r="Y854" s="23"/>
      <c r="Z854" s="23"/>
    </row>
    <row r="855">
      <c r="A855" s="2"/>
      <c r="B855" s="2"/>
      <c r="C855" s="2"/>
      <c r="D855" s="2"/>
      <c r="E855" s="2"/>
      <c r="F855" s="2"/>
      <c r="G855" s="2"/>
      <c r="H855" s="2"/>
      <c r="I855" s="2"/>
      <c r="J855" s="2"/>
      <c r="K855" s="2"/>
      <c r="L855" s="2"/>
      <c r="M855" s="2"/>
      <c r="N855" s="2"/>
      <c r="O855" s="2"/>
      <c r="P855" s="2"/>
      <c r="Q855" s="23"/>
      <c r="R855" s="23"/>
      <c r="S855" s="23"/>
      <c r="T855" s="23"/>
      <c r="U855" s="23"/>
      <c r="V855" s="23"/>
      <c r="W855" s="23"/>
      <c r="X855" s="23"/>
      <c r="Y855" s="23"/>
      <c r="Z855" s="23"/>
    </row>
    <row r="856">
      <c r="A856" s="2"/>
      <c r="B856" s="2"/>
      <c r="C856" s="2"/>
      <c r="D856" s="2"/>
      <c r="E856" s="2"/>
      <c r="F856" s="2"/>
      <c r="G856" s="2"/>
      <c r="H856" s="2"/>
      <c r="I856" s="2"/>
      <c r="J856" s="2"/>
      <c r="K856" s="2"/>
      <c r="L856" s="2"/>
      <c r="M856" s="2"/>
      <c r="N856" s="2"/>
      <c r="O856" s="2"/>
      <c r="P856" s="2"/>
      <c r="Q856" s="23"/>
      <c r="R856" s="23"/>
      <c r="S856" s="23"/>
      <c r="T856" s="23"/>
      <c r="U856" s="23"/>
      <c r="V856" s="23"/>
      <c r="W856" s="23"/>
      <c r="X856" s="23"/>
      <c r="Y856" s="23"/>
      <c r="Z856" s="23"/>
    </row>
    <row r="857">
      <c r="A857" s="2"/>
      <c r="B857" s="2"/>
      <c r="C857" s="2"/>
      <c r="D857" s="2"/>
      <c r="E857" s="2"/>
      <c r="F857" s="2"/>
      <c r="G857" s="2"/>
      <c r="H857" s="2"/>
      <c r="I857" s="2"/>
      <c r="J857" s="2"/>
      <c r="K857" s="2"/>
      <c r="L857" s="2"/>
      <c r="M857" s="2"/>
      <c r="N857" s="2"/>
      <c r="O857" s="2"/>
      <c r="P857" s="2"/>
      <c r="Q857" s="23"/>
      <c r="R857" s="23"/>
      <c r="S857" s="23"/>
      <c r="T857" s="23"/>
      <c r="U857" s="23"/>
      <c r="V857" s="23"/>
      <c r="W857" s="23"/>
      <c r="X857" s="23"/>
      <c r="Y857" s="23"/>
      <c r="Z857" s="23"/>
    </row>
    <row r="858">
      <c r="A858" s="2"/>
      <c r="B858" s="2"/>
      <c r="C858" s="2"/>
      <c r="D858" s="2"/>
      <c r="E858" s="2"/>
      <c r="F858" s="2"/>
      <c r="G858" s="2"/>
      <c r="H858" s="2"/>
      <c r="I858" s="2"/>
      <c r="J858" s="2"/>
      <c r="K858" s="2"/>
      <c r="L858" s="2"/>
      <c r="M858" s="2"/>
      <c r="N858" s="2"/>
      <c r="O858" s="2"/>
      <c r="P858" s="2"/>
      <c r="Q858" s="23"/>
      <c r="R858" s="23"/>
      <c r="S858" s="23"/>
      <c r="T858" s="23"/>
      <c r="U858" s="23"/>
      <c r="V858" s="23"/>
      <c r="W858" s="23"/>
      <c r="X858" s="23"/>
      <c r="Y858" s="23"/>
      <c r="Z858" s="23"/>
    </row>
    <row r="859">
      <c r="A859" s="2"/>
      <c r="B859" s="2"/>
      <c r="C859" s="2"/>
      <c r="D859" s="2"/>
      <c r="E859" s="2"/>
      <c r="F859" s="2"/>
      <c r="G859" s="2"/>
      <c r="H859" s="2"/>
      <c r="I859" s="2"/>
      <c r="J859" s="2"/>
      <c r="K859" s="2"/>
      <c r="L859" s="2"/>
      <c r="M859" s="2"/>
      <c r="N859" s="2"/>
      <c r="O859" s="2"/>
      <c r="P859" s="2"/>
      <c r="Q859" s="23"/>
      <c r="R859" s="23"/>
      <c r="S859" s="23"/>
      <c r="T859" s="23"/>
      <c r="U859" s="23"/>
      <c r="V859" s="23"/>
      <c r="W859" s="23"/>
      <c r="X859" s="23"/>
      <c r="Y859" s="23"/>
      <c r="Z859" s="23"/>
    </row>
    <row r="860">
      <c r="A860" s="2"/>
      <c r="B860" s="2"/>
      <c r="C860" s="2"/>
      <c r="D860" s="2"/>
      <c r="E860" s="2"/>
      <c r="F860" s="2"/>
      <c r="G860" s="2"/>
      <c r="H860" s="2"/>
      <c r="I860" s="2"/>
      <c r="J860" s="2"/>
      <c r="K860" s="2"/>
      <c r="L860" s="2"/>
      <c r="M860" s="2"/>
      <c r="N860" s="2"/>
      <c r="O860" s="2"/>
      <c r="P860" s="2"/>
      <c r="Q860" s="23"/>
      <c r="R860" s="23"/>
      <c r="S860" s="23"/>
      <c r="T860" s="23"/>
      <c r="U860" s="23"/>
      <c r="V860" s="23"/>
      <c r="W860" s="23"/>
      <c r="X860" s="23"/>
      <c r="Y860" s="23"/>
      <c r="Z860" s="23"/>
    </row>
    <row r="861">
      <c r="A861" s="2"/>
      <c r="B861" s="2"/>
      <c r="C861" s="2"/>
      <c r="D861" s="2"/>
      <c r="E861" s="2"/>
      <c r="F861" s="2"/>
      <c r="G861" s="2"/>
      <c r="H861" s="2"/>
      <c r="I861" s="2"/>
      <c r="J861" s="2"/>
      <c r="K861" s="2"/>
      <c r="L861" s="2"/>
      <c r="M861" s="2"/>
      <c r="N861" s="2"/>
      <c r="O861" s="2"/>
      <c r="P861" s="2"/>
      <c r="Q861" s="23"/>
      <c r="R861" s="23"/>
      <c r="S861" s="23"/>
      <c r="T861" s="23"/>
      <c r="U861" s="23"/>
      <c r="V861" s="23"/>
      <c r="W861" s="23"/>
      <c r="X861" s="23"/>
      <c r="Y861" s="23"/>
      <c r="Z861" s="23"/>
    </row>
    <row r="862">
      <c r="A862" s="2"/>
      <c r="B862" s="2"/>
      <c r="C862" s="2"/>
      <c r="D862" s="2"/>
      <c r="E862" s="2"/>
      <c r="F862" s="2"/>
      <c r="G862" s="2"/>
      <c r="H862" s="2"/>
      <c r="I862" s="2"/>
      <c r="J862" s="2"/>
      <c r="K862" s="2"/>
      <c r="L862" s="2"/>
      <c r="M862" s="2"/>
      <c r="N862" s="2"/>
      <c r="O862" s="2"/>
      <c r="P862" s="2"/>
      <c r="Q862" s="23"/>
      <c r="R862" s="23"/>
      <c r="S862" s="23"/>
      <c r="T862" s="23"/>
      <c r="U862" s="23"/>
      <c r="V862" s="23"/>
      <c r="W862" s="23"/>
      <c r="X862" s="23"/>
      <c r="Y862" s="23"/>
      <c r="Z862" s="23"/>
    </row>
    <row r="863">
      <c r="A863" s="2"/>
      <c r="B863" s="2"/>
      <c r="C863" s="2"/>
      <c r="D863" s="2"/>
      <c r="E863" s="2"/>
      <c r="F863" s="2"/>
      <c r="G863" s="2"/>
      <c r="H863" s="2"/>
      <c r="I863" s="2"/>
      <c r="J863" s="2"/>
      <c r="K863" s="2"/>
      <c r="L863" s="2"/>
      <c r="M863" s="2"/>
      <c r="N863" s="2"/>
      <c r="O863" s="2"/>
      <c r="P863" s="2"/>
      <c r="Q863" s="23"/>
      <c r="R863" s="23"/>
      <c r="S863" s="23"/>
      <c r="T863" s="23"/>
      <c r="U863" s="23"/>
      <c r="V863" s="23"/>
      <c r="W863" s="23"/>
      <c r="X863" s="23"/>
      <c r="Y863" s="23"/>
      <c r="Z863" s="23"/>
    </row>
    <row r="864">
      <c r="A864" s="2"/>
      <c r="B864" s="2"/>
      <c r="C864" s="2"/>
      <c r="D864" s="2"/>
      <c r="E864" s="2"/>
      <c r="F864" s="2"/>
      <c r="G864" s="2"/>
      <c r="H864" s="2"/>
      <c r="I864" s="2"/>
      <c r="J864" s="2"/>
      <c r="K864" s="2"/>
      <c r="L864" s="2"/>
      <c r="M864" s="2"/>
      <c r="N864" s="2"/>
      <c r="O864" s="2"/>
      <c r="P864" s="2"/>
      <c r="Q864" s="23"/>
      <c r="R864" s="23"/>
      <c r="S864" s="23"/>
      <c r="T864" s="23"/>
      <c r="U864" s="23"/>
      <c r="V864" s="23"/>
      <c r="W864" s="23"/>
      <c r="X864" s="23"/>
      <c r="Y864" s="23"/>
      <c r="Z864" s="23"/>
    </row>
    <row r="865">
      <c r="A865" s="2"/>
      <c r="B865" s="2"/>
      <c r="C865" s="2"/>
      <c r="D865" s="2"/>
      <c r="E865" s="2"/>
      <c r="F865" s="2"/>
      <c r="G865" s="2"/>
      <c r="H865" s="2"/>
      <c r="I865" s="2"/>
      <c r="J865" s="2"/>
      <c r="K865" s="2"/>
      <c r="L865" s="2"/>
      <c r="M865" s="2"/>
      <c r="N865" s="2"/>
      <c r="O865" s="2"/>
      <c r="P865" s="2"/>
      <c r="Q865" s="23"/>
      <c r="R865" s="23"/>
      <c r="S865" s="23"/>
      <c r="T865" s="23"/>
      <c r="U865" s="23"/>
      <c r="V865" s="23"/>
      <c r="W865" s="23"/>
      <c r="X865" s="23"/>
      <c r="Y865" s="23"/>
      <c r="Z865" s="23"/>
    </row>
    <row r="866">
      <c r="A866" s="2"/>
      <c r="B866" s="2"/>
      <c r="C866" s="2"/>
      <c r="D866" s="2"/>
      <c r="E866" s="2"/>
      <c r="F866" s="2"/>
      <c r="G866" s="2"/>
      <c r="H866" s="2"/>
      <c r="I866" s="2"/>
      <c r="J866" s="2"/>
      <c r="K866" s="2"/>
      <c r="L866" s="2"/>
      <c r="M866" s="2"/>
      <c r="N866" s="2"/>
      <c r="O866" s="2"/>
      <c r="P866" s="2"/>
      <c r="Q866" s="23"/>
      <c r="R866" s="23"/>
      <c r="S866" s="23"/>
      <c r="T866" s="23"/>
      <c r="U866" s="23"/>
      <c r="V866" s="23"/>
      <c r="W866" s="23"/>
      <c r="X866" s="23"/>
      <c r="Y866" s="23"/>
      <c r="Z866" s="23"/>
    </row>
    <row r="867">
      <c r="A867" s="2"/>
      <c r="B867" s="2"/>
      <c r="C867" s="2"/>
      <c r="D867" s="2"/>
      <c r="E867" s="2"/>
      <c r="F867" s="2"/>
      <c r="G867" s="2"/>
      <c r="H867" s="2"/>
      <c r="I867" s="2"/>
      <c r="J867" s="2"/>
      <c r="K867" s="2"/>
      <c r="L867" s="2"/>
      <c r="M867" s="2"/>
      <c r="N867" s="2"/>
      <c r="O867" s="2"/>
      <c r="P867" s="2"/>
      <c r="Q867" s="23"/>
      <c r="R867" s="23"/>
      <c r="S867" s="23"/>
      <c r="T867" s="23"/>
      <c r="U867" s="23"/>
      <c r="V867" s="23"/>
      <c r="W867" s="23"/>
      <c r="X867" s="23"/>
      <c r="Y867" s="23"/>
      <c r="Z867" s="23"/>
    </row>
    <row r="868">
      <c r="A868" s="2"/>
      <c r="B868" s="2"/>
      <c r="C868" s="2"/>
      <c r="D868" s="2"/>
      <c r="E868" s="2"/>
      <c r="F868" s="2"/>
      <c r="G868" s="2"/>
      <c r="H868" s="2"/>
      <c r="I868" s="2"/>
      <c r="J868" s="2"/>
      <c r="K868" s="2"/>
      <c r="L868" s="2"/>
      <c r="M868" s="2"/>
      <c r="N868" s="2"/>
      <c r="O868" s="2"/>
      <c r="P868" s="2"/>
      <c r="Q868" s="23"/>
      <c r="R868" s="23"/>
      <c r="S868" s="23"/>
      <c r="T868" s="23"/>
      <c r="U868" s="23"/>
      <c r="V868" s="23"/>
      <c r="W868" s="23"/>
      <c r="X868" s="23"/>
      <c r="Y868" s="23"/>
      <c r="Z868" s="23"/>
    </row>
    <row r="869">
      <c r="A869" s="2"/>
      <c r="B869" s="2"/>
      <c r="C869" s="2"/>
      <c r="D869" s="2"/>
      <c r="E869" s="2"/>
      <c r="F869" s="2"/>
      <c r="G869" s="2"/>
      <c r="H869" s="2"/>
      <c r="I869" s="2"/>
      <c r="J869" s="2"/>
      <c r="K869" s="2"/>
      <c r="L869" s="2"/>
      <c r="M869" s="2"/>
      <c r="N869" s="2"/>
      <c r="O869" s="2"/>
      <c r="P869" s="2"/>
      <c r="Q869" s="23"/>
      <c r="R869" s="23"/>
      <c r="S869" s="23"/>
      <c r="T869" s="23"/>
      <c r="U869" s="23"/>
      <c r="V869" s="23"/>
      <c r="W869" s="23"/>
      <c r="X869" s="23"/>
      <c r="Y869" s="23"/>
      <c r="Z869" s="23"/>
    </row>
    <row r="870">
      <c r="A870" s="2"/>
      <c r="B870" s="2"/>
      <c r="C870" s="2"/>
      <c r="D870" s="2"/>
      <c r="E870" s="2"/>
      <c r="F870" s="2"/>
      <c r="G870" s="2"/>
      <c r="H870" s="2"/>
      <c r="I870" s="2"/>
      <c r="J870" s="2"/>
      <c r="K870" s="2"/>
      <c r="L870" s="2"/>
      <c r="M870" s="2"/>
      <c r="N870" s="2"/>
      <c r="O870" s="2"/>
      <c r="P870" s="2"/>
      <c r="Q870" s="23"/>
      <c r="R870" s="23"/>
      <c r="S870" s="23"/>
      <c r="T870" s="23"/>
      <c r="U870" s="23"/>
      <c r="V870" s="23"/>
      <c r="W870" s="23"/>
      <c r="X870" s="23"/>
      <c r="Y870" s="23"/>
      <c r="Z870" s="23"/>
    </row>
    <row r="871">
      <c r="A871" s="2"/>
      <c r="B871" s="2"/>
      <c r="C871" s="2"/>
      <c r="D871" s="2"/>
      <c r="E871" s="2"/>
      <c r="F871" s="2"/>
      <c r="G871" s="2"/>
      <c r="H871" s="2"/>
      <c r="I871" s="2"/>
      <c r="J871" s="2"/>
      <c r="K871" s="2"/>
      <c r="L871" s="2"/>
      <c r="M871" s="2"/>
      <c r="N871" s="2"/>
      <c r="O871" s="2"/>
      <c r="P871" s="2"/>
      <c r="Q871" s="23"/>
      <c r="R871" s="23"/>
      <c r="S871" s="23"/>
      <c r="T871" s="23"/>
      <c r="U871" s="23"/>
      <c r="V871" s="23"/>
      <c r="W871" s="23"/>
      <c r="X871" s="23"/>
      <c r="Y871" s="23"/>
      <c r="Z871" s="23"/>
    </row>
    <row r="872">
      <c r="A872" s="2"/>
      <c r="B872" s="2"/>
      <c r="C872" s="2"/>
      <c r="D872" s="2"/>
      <c r="E872" s="2"/>
      <c r="F872" s="2"/>
      <c r="G872" s="2"/>
      <c r="H872" s="2"/>
      <c r="I872" s="2"/>
      <c r="J872" s="2"/>
      <c r="K872" s="2"/>
      <c r="L872" s="2"/>
      <c r="M872" s="2"/>
      <c r="N872" s="2"/>
      <c r="O872" s="2"/>
      <c r="P872" s="2"/>
      <c r="Q872" s="23"/>
      <c r="R872" s="23"/>
      <c r="S872" s="23"/>
      <c r="T872" s="23"/>
      <c r="U872" s="23"/>
      <c r="V872" s="23"/>
      <c r="W872" s="23"/>
      <c r="X872" s="23"/>
      <c r="Y872" s="23"/>
      <c r="Z872" s="23"/>
    </row>
    <row r="873">
      <c r="A873" s="2"/>
      <c r="B873" s="2"/>
      <c r="C873" s="2"/>
      <c r="D873" s="2"/>
      <c r="E873" s="2"/>
      <c r="F873" s="2"/>
      <c r="G873" s="2"/>
      <c r="H873" s="2"/>
      <c r="I873" s="2"/>
      <c r="J873" s="2"/>
      <c r="K873" s="2"/>
      <c r="L873" s="2"/>
      <c r="M873" s="2"/>
      <c r="N873" s="2"/>
      <c r="O873" s="2"/>
      <c r="P873" s="2"/>
      <c r="Q873" s="23"/>
      <c r="R873" s="23"/>
      <c r="S873" s="23"/>
      <c r="T873" s="23"/>
      <c r="U873" s="23"/>
      <c r="V873" s="23"/>
      <c r="W873" s="23"/>
      <c r="X873" s="23"/>
      <c r="Y873" s="23"/>
      <c r="Z873" s="23"/>
    </row>
    <row r="874">
      <c r="A874" s="2"/>
      <c r="B874" s="2"/>
      <c r="C874" s="2"/>
      <c r="D874" s="2"/>
      <c r="E874" s="2"/>
      <c r="F874" s="2"/>
      <c r="G874" s="2"/>
      <c r="H874" s="2"/>
      <c r="I874" s="2"/>
      <c r="J874" s="2"/>
      <c r="K874" s="2"/>
      <c r="L874" s="2"/>
      <c r="M874" s="2"/>
      <c r="N874" s="2"/>
      <c r="O874" s="2"/>
      <c r="P874" s="2"/>
      <c r="Q874" s="23"/>
      <c r="R874" s="23"/>
      <c r="S874" s="23"/>
      <c r="T874" s="23"/>
      <c r="U874" s="23"/>
      <c r="V874" s="23"/>
      <c r="W874" s="23"/>
      <c r="X874" s="23"/>
      <c r="Y874" s="23"/>
      <c r="Z874" s="23"/>
    </row>
    <row r="875">
      <c r="A875" s="2"/>
      <c r="B875" s="2"/>
      <c r="C875" s="2"/>
      <c r="D875" s="2"/>
      <c r="E875" s="2"/>
      <c r="F875" s="2"/>
      <c r="G875" s="2"/>
      <c r="H875" s="2"/>
      <c r="I875" s="2"/>
      <c r="J875" s="2"/>
      <c r="K875" s="2"/>
      <c r="L875" s="2"/>
      <c r="M875" s="2"/>
      <c r="N875" s="2"/>
      <c r="O875" s="2"/>
      <c r="P875" s="2"/>
      <c r="Q875" s="23"/>
      <c r="R875" s="23"/>
      <c r="S875" s="23"/>
      <c r="T875" s="23"/>
      <c r="U875" s="23"/>
      <c r="V875" s="23"/>
      <c r="W875" s="23"/>
      <c r="X875" s="23"/>
      <c r="Y875" s="23"/>
      <c r="Z875" s="23"/>
    </row>
    <row r="876">
      <c r="A876" s="2"/>
      <c r="B876" s="2"/>
      <c r="C876" s="2"/>
      <c r="D876" s="2"/>
      <c r="E876" s="2"/>
      <c r="F876" s="2"/>
      <c r="G876" s="2"/>
      <c r="H876" s="2"/>
      <c r="I876" s="2"/>
      <c r="J876" s="2"/>
      <c r="K876" s="2"/>
      <c r="L876" s="2"/>
      <c r="M876" s="2"/>
      <c r="N876" s="2"/>
      <c r="O876" s="2"/>
      <c r="P876" s="2"/>
      <c r="Q876" s="23"/>
      <c r="R876" s="23"/>
      <c r="S876" s="23"/>
      <c r="T876" s="23"/>
      <c r="U876" s="23"/>
      <c r="V876" s="23"/>
      <c r="W876" s="23"/>
      <c r="X876" s="23"/>
      <c r="Y876" s="23"/>
      <c r="Z876" s="23"/>
    </row>
    <row r="877">
      <c r="A877" s="2"/>
      <c r="B877" s="2"/>
      <c r="C877" s="2"/>
      <c r="D877" s="2"/>
      <c r="E877" s="2"/>
      <c r="F877" s="2"/>
      <c r="G877" s="2"/>
      <c r="H877" s="2"/>
      <c r="I877" s="2"/>
      <c r="J877" s="2"/>
      <c r="K877" s="2"/>
      <c r="L877" s="2"/>
      <c r="M877" s="2"/>
      <c r="N877" s="2"/>
      <c r="O877" s="2"/>
      <c r="P877" s="2"/>
      <c r="Q877" s="23"/>
      <c r="R877" s="23"/>
      <c r="S877" s="23"/>
      <c r="T877" s="23"/>
      <c r="U877" s="23"/>
      <c r="V877" s="23"/>
      <c r="W877" s="23"/>
      <c r="X877" s="23"/>
      <c r="Y877" s="23"/>
      <c r="Z877" s="23"/>
    </row>
    <row r="878">
      <c r="A878" s="2"/>
      <c r="B878" s="2"/>
      <c r="C878" s="2"/>
      <c r="D878" s="2"/>
      <c r="E878" s="2"/>
      <c r="F878" s="2"/>
      <c r="G878" s="2"/>
      <c r="H878" s="2"/>
      <c r="I878" s="2"/>
      <c r="J878" s="2"/>
      <c r="K878" s="2"/>
      <c r="L878" s="2"/>
      <c r="M878" s="2"/>
      <c r="N878" s="2"/>
      <c r="O878" s="2"/>
      <c r="P878" s="2"/>
      <c r="Q878" s="23"/>
      <c r="R878" s="23"/>
      <c r="S878" s="23"/>
      <c r="T878" s="23"/>
      <c r="U878" s="23"/>
      <c r="V878" s="23"/>
      <c r="W878" s="23"/>
      <c r="X878" s="23"/>
      <c r="Y878" s="23"/>
      <c r="Z878" s="23"/>
    </row>
    <row r="879">
      <c r="A879" s="2"/>
      <c r="B879" s="2"/>
      <c r="C879" s="2"/>
      <c r="D879" s="2"/>
      <c r="E879" s="2"/>
      <c r="F879" s="2"/>
      <c r="G879" s="2"/>
      <c r="H879" s="2"/>
      <c r="I879" s="2"/>
      <c r="J879" s="2"/>
      <c r="K879" s="2"/>
      <c r="L879" s="2"/>
      <c r="M879" s="2"/>
      <c r="N879" s="2"/>
      <c r="O879" s="2"/>
      <c r="P879" s="2"/>
      <c r="Q879" s="23"/>
      <c r="R879" s="23"/>
      <c r="S879" s="23"/>
      <c r="T879" s="23"/>
      <c r="U879" s="23"/>
      <c r="V879" s="23"/>
      <c r="W879" s="23"/>
      <c r="X879" s="23"/>
      <c r="Y879" s="23"/>
      <c r="Z879" s="23"/>
    </row>
    <row r="880">
      <c r="A880" s="2"/>
      <c r="B880" s="2"/>
      <c r="C880" s="2"/>
      <c r="D880" s="2"/>
      <c r="E880" s="2"/>
      <c r="F880" s="2"/>
      <c r="G880" s="2"/>
      <c r="H880" s="2"/>
      <c r="I880" s="2"/>
      <c r="J880" s="2"/>
      <c r="K880" s="2"/>
      <c r="L880" s="2"/>
      <c r="M880" s="2"/>
      <c r="N880" s="2"/>
      <c r="O880" s="2"/>
      <c r="P880" s="2"/>
      <c r="Q880" s="23"/>
      <c r="R880" s="23"/>
      <c r="S880" s="23"/>
      <c r="T880" s="23"/>
      <c r="U880" s="23"/>
      <c r="V880" s="23"/>
      <c r="W880" s="23"/>
      <c r="X880" s="23"/>
      <c r="Y880" s="23"/>
      <c r="Z880" s="23"/>
    </row>
    <row r="881">
      <c r="A881" s="2"/>
      <c r="B881" s="2"/>
      <c r="C881" s="2"/>
      <c r="D881" s="2"/>
      <c r="E881" s="2"/>
      <c r="F881" s="2"/>
      <c r="G881" s="2"/>
      <c r="H881" s="2"/>
      <c r="I881" s="2"/>
      <c r="J881" s="2"/>
      <c r="K881" s="2"/>
      <c r="L881" s="2"/>
      <c r="M881" s="2"/>
      <c r="N881" s="2"/>
      <c r="O881" s="2"/>
      <c r="P881" s="2"/>
      <c r="Q881" s="23"/>
      <c r="R881" s="23"/>
      <c r="S881" s="23"/>
      <c r="T881" s="23"/>
      <c r="U881" s="23"/>
      <c r="V881" s="23"/>
      <c r="W881" s="23"/>
      <c r="X881" s="23"/>
      <c r="Y881" s="23"/>
      <c r="Z881" s="23"/>
    </row>
    <row r="882">
      <c r="A882" s="2"/>
      <c r="B882" s="2"/>
      <c r="C882" s="2"/>
      <c r="D882" s="2"/>
      <c r="E882" s="2"/>
      <c r="F882" s="2"/>
      <c r="G882" s="2"/>
      <c r="H882" s="2"/>
      <c r="I882" s="2"/>
      <c r="J882" s="2"/>
      <c r="K882" s="2"/>
      <c r="L882" s="2"/>
      <c r="M882" s="2"/>
      <c r="N882" s="2"/>
      <c r="O882" s="2"/>
      <c r="P882" s="2"/>
      <c r="Q882" s="23"/>
      <c r="R882" s="23"/>
      <c r="S882" s="23"/>
      <c r="T882" s="23"/>
      <c r="U882" s="23"/>
      <c r="V882" s="23"/>
      <c r="W882" s="23"/>
      <c r="X882" s="23"/>
      <c r="Y882" s="23"/>
      <c r="Z882" s="23"/>
    </row>
    <row r="883">
      <c r="A883" s="2"/>
      <c r="B883" s="2"/>
      <c r="C883" s="2"/>
      <c r="D883" s="2"/>
      <c r="E883" s="2"/>
      <c r="F883" s="2"/>
      <c r="G883" s="2"/>
      <c r="H883" s="2"/>
      <c r="I883" s="2"/>
      <c r="J883" s="2"/>
      <c r="K883" s="2"/>
      <c r="L883" s="2"/>
      <c r="M883" s="2"/>
      <c r="N883" s="2"/>
      <c r="O883" s="2"/>
      <c r="P883" s="2"/>
      <c r="Q883" s="23"/>
      <c r="R883" s="23"/>
      <c r="S883" s="23"/>
      <c r="T883" s="23"/>
      <c r="U883" s="23"/>
      <c r="V883" s="23"/>
      <c r="W883" s="23"/>
      <c r="X883" s="23"/>
      <c r="Y883" s="23"/>
      <c r="Z883" s="23"/>
    </row>
    <row r="884">
      <c r="A884" s="2"/>
      <c r="B884" s="2"/>
      <c r="C884" s="2"/>
      <c r="D884" s="2"/>
      <c r="E884" s="2"/>
      <c r="F884" s="2"/>
      <c r="G884" s="2"/>
      <c r="H884" s="2"/>
      <c r="I884" s="2"/>
      <c r="J884" s="2"/>
      <c r="K884" s="2"/>
      <c r="L884" s="2"/>
      <c r="M884" s="2"/>
      <c r="N884" s="2"/>
      <c r="O884" s="2"/>
      <c r="P884" s="2"/>
      <c r="Q884" s="23"/>
      <c r="R884" s="23"/>
      <c r="S884" s="23"/>
      <c r="T884" s="23"/>
      <c r="U884" s="23"/>
      <c r="V884" s="23"/>
      <c r="W884" s="23"/>
      <c r="X884" s="23"/>
      <c r="Y884" s="23"/>
      <c r="Z884" s="23"/>
    </row>
    <row r="885">
      <c r="A885" s="2"/>
      <c r="B885" s="2"/>
      <c r="C885" s="2"/>
      <c r="D885" s="2"/>
      <c r="E885" s="2"/>
      <c r="F885" s="2"/>
      <c r="G885" s="2"/>
      <c r="H885" s="2"/>
      <c r="I885" s="2"/>
      <c r="J885" s="2"/>
      <c r="K885" s="2"/>
      <c r="L885" s="2"/>
      <c r="M885" s="2"/>
      <c r="N885" s="2"/>
      <c r="O885" s="2"/>
      <c r="P885" s="2"/>
      <c r="Q885" s="23"/>
      <c r="R885" s="23"/>
      <c r="S885" s="23"/>
      <c r="T885" s="23"/>
      <c r="U885" s="23"/>
      <c r="V885" s="23"/>
      <c r="W885" s="23"/>
      <c r="X885" s="23"/>
      <c r="Y885" s="23"/>
      <c r="Z885" s="23"/>
    </row>
    <row r="886">
      <c r="A886" s="2"/>
      <c r="B886" s="2"/>
      <c r="C886" s="2"/>
      <c r="D886" s="2"/>
      <c r="E886" s="2"/>
      <c r="F886" s="2"/>
      <c r="G886" s="2"/>
      <c r="H886" s="2"/>
      <c r="I886" s="2"/>
      <c r="J886" s="2"/>
      <c r="K886" s="2"/>
      <c r="L886" s="2"/>
      <c r="M886" s="2"/>
      <c r="N886" s="2"/>
      <c r="O886" s="2"/>
      <c r="P886" s="2"/>
      <c r="Q886" s="23"/>
      <c r="R886" s="23"/>
      <c r="S886" s="23"/>
      <c r="T886" s="23"/>
      <c r="U886" s="23"/>
      <c r="V886" s="23"/>
      <c r="W886" s="23"/>
      <c r="X886" s="23"/>
      <c r="Y886" s="23"/>
      <c r="Z886" s="23"/>
    </row>
    <row r="887">
      <c r="A887" s="2"/>
      <c r="B887" s="2"/>
      <c r="C887" s="2"/>
      <c r="D887" s="2"/>
      <c r="E887" s="2"/>
      <c r="F887" s="2"/>
      <c r="G887" s="2"/>
      <c r="H887" s="2"/>
      <c r="I887" s="2"/>
      <c r="J887" s="2"/>
      <c r="K887" s="2"/>
      <c r="L887" s="2"/>
      <c r="M887" s="2"/>
      <c r="N887" s="2"/>
      <c r="O887" s="2"/>
      <c r="P887" s="2"/>
      <c r="Q887" s="23"/>
      <c r="R887" s="23"/>
      <c r="S887" s="23"/>
      <c r="T887" s="23"/>
      <c r="U887" s="23"/>
      <c r="V887" s="23"/>
      <c r="W887" s="23"/>
      <c r="X887" s="23"/>
      <c r="Y887" s="23"/>
      <c r="Z887" s="23"/>
    </row>
    <row r="888">
      <c r="A888" s="2"/>
      <c r="B888" s="2"/>
      <c r="C888" s="2"/>
      <c r="D888" s="2"/>
      <c r="E888" s="2"/>
      <c r="F888" s="2"/>
      <c r="G888" s="2"/>
      <c r="H888" s="2"/>
      <c r="I888" s="2"/>
      <c r="J888" s="2"/>
      <c r="K888" s="2"/>
      <c r="L888" s="2"/>
      <c r="M888" s="2"/>
      <c r="N888" s="2"/>
      <c r="O888" s="2"/>
      <c r="P888" s="2"/>
      <c r="Q888" s="23"/>
      <c r="R888" s="23"/>
      <c r="S888" s="23"/>
      <c r="T888" s="23"/>
      <c r="U888" s="23"/>
      <c r="V888" s="23"/>
      <c r="W888" s="23"/>
      <c r="X888" s="23"/>
      <c r="Y888" s="23"/>
      <c r="Z888" s="23"/>
    </row>
    <row r="889">
      <c r="A889" s="2"/>
      <c r="B889" s="2"/>
      <c r="C889" s="2"/>
      <c r="D889" s="2"/>
      <c r="E889" s="2"/>
      <c r="F889" s="2"/>
      <c r="G889" s="2"/>
      <c r="H889" s="2"/>
      <c r="I889" s="2"/>
      <c r="J889" s="2"/>
      <c r="K889" s="2"/>
      <c r="L889" s="2"/>
      <c r="M889" s="2"/>
      <c r="N889" s="2"/>
      <c r="O889" s="2"/>
      <c r="P889" s="2"/>
      <c r="Q889" s="23"/>
      <c r="R889" s="23"/>
      <c r="S889" s="23"/>
      <c r="T889" s="23"/>
      <c r="U889" s="23"/>
      <c r="V889" s="23"/>
      <c r="W889" s="23"/>
      <c r="X889" s="23"/>
      <c r="Y889" s="23"/>
      <c r="Z889" s="23"/>
    </row>
    <row r="890">
      <c r="A890" s="2"/>
      <c r="B890" s="2"/>
      <c r="C890" s="2"/>
      <c r="D890" s="2"/>
      <c r="E890" s="2"/>
      <c r="F890" s="2"/>
      <c r="G890" s="2"/>
      <c r="H890" s="2"/>
      <c r="I890" s="2"/>
      <c r="J890" s="2"/>
      <c r="K890" s="2"/>
      <c r="L890" s="2"/>
      <c r="M890" s="2"/>
      <c r="N890" s="2"/>
      <c r="O890" s="2"/>
      <c r="P890" s="2"/>
      <c r="Q890" s="23"/>
      <c r="R890" s="23"/>
      <c r="S890" s="23"/>
      <c r="T890" s="23"/>
      <c r="U890" s="23"/>
      <c r="V890" s="23"/>
      <c r="W890" s="23"/>
      <c r="X890" s="23"/>
      <c r="Y890" s="23"/>
      <c r="Z890" s="23"/>
    </row>
    <row r="891">
      <c r="A891" s="2"/>
      <c r="B891" s="2"/>
      <c r="C891" s="2"/>
      <c r="D891" s="2"/>
      <c r="E891" s="2"/>
      <c r="F891" s="2"/>
      <c r="G891" s="2"/>
      <c r="H891" s="2"/>
      <c r="I891" s="2"/>
      <c r="J891" s="2"/>
      <c r="K891" s="2"/>
      <c r="L891" s="2"/>
      <c r="M891" s="2"/>
      <c r="N891" s="2"/>
      <c r="O891" s="2"/>
      <c r="P891" s="2"/>
      <c r="Q891" s="23"/>
      <c r="R891" s="23"/>
      <c r="S891" s="23"/>
      <c r="T891" s="23"/>
      <c r="U891" s="23"/>
      <c r="V891" s="23"/>
      <c r="W891" s="23"/>
      <c r="X891" s="23"/>
      <c r="Y891" s="23"/>
      <c r="Z891" s="23"/>
    </row>
    <row r="892">
      <c r="A892" s="2"/>
      <c r="B892" s="2"/>
      <c r="C892" s="2"/>
      <c r="D892" s="2"/>
      <c r="E892" s="2"/>
      <c r="F892" s="2"/>
      <c r="G892" s="2"/>
      <c r="H892" s="2"/>
      <c r="I892" s="2"/>
      <c r="J892" s="2"/>
      <c r="K892" s="2"/>
      <c r="L892" s="2"/>
      <c r="M892" s="2"/>
      <c r="N892" s="2"/>
      <c r="O892" s="2"/>
      <c r="P892" s="2"/>
      <c r="Q892" s="23"/>
      <c r="R892" s="23"/>
      <c r="S892" s="23"/>
      <c r="T892" s="23"/>
      <c r="U892" s="23"/>
      <c r="V892" s="23"/>
      <c r="W892" s="23"/>
      <c r="X892" s="23"/>
      <c r="Y892" s="23"/>
      <c r="Z892" s="23"/>
    </row>
    <row r="893">
      <c r="A893" s="2"/>
      <c r="B893" s="2"/>
      <c r="C893" s="2"/>
      <c r="D893" s="2"/>
      <c r="E893" s="2"/>
      <c r="F893" s="2"/>
      <c r="G893" s="2"/>
      <c r="H893" s="2"/>
      <c r="I893" s="2"/>
      <c r="J893" s="2"/>
      <c r="K893" s="2"/>
      <c r="L893" s="2"/>
      <c r="M893" s="2"/>
      <c r="N893" s="2"/>
      <c r="O893" s="2"/>
      <c r="P893" s="2"/>
      <c r="Q893" s="23"/>
      <c r="R893" s="23"/>
      <c r="S893" s="23"/>
      <c r="T893" s="23"/>
      <c r="U893" s="23"/>
      <c r="V893" s="23"/>
      <c r="W893" s="23"/>
      <c r="X893" s="23"/>
      <c r="Y893" s="23"/>
      <c r="Z893" s="23"/>
    </row>
    <row r="894">
      <c r="A894" s="2"/>
      <c r="B894" s="2"/>
      <c r="C894" s="2"/>
      <c r="D894" s="2"/>
      <c r="E894" s="2"/>
      <c r="F894" s="2"/>
      <c r="G894" s="2"/>
      <c r="H894" s="2"/>
      <c r="I894" s="2"/>
      <c r="J894" s="2"/>
      <c r="K894" s="2"/>
      <c r="L894" s="2"/>
      <c r="M894" s="2"/>
      <c r="N894" s="2"/>
      <c r="O894" s="2"/>
      <c r="P894" s="2"/>
      <c r="Q894" s="23"/>
      <c r="R894" s="23"/>
      <c r="S894" s="23"/>
      <c r="T894" s="23"/>
      <c r="U894" s="23"/>
      <c r="V894" s="23"/>
      <c r="W894" s="23"/>
      <c r="X894" s="23"/>
      <c r="Y894" s="23"/>
      <c r="Z894" s="23"/>
    </row>
    <row r="895">
      <c r="A895" s="2"/>
      <c r="B895" s="2"/>
      <c r="C895" s="2"/>
      <c r="D895" s="2"/>
      <c r="E895" s="2"/>
      <c r="F895" s="2"/>
      <c r="G895" s="2"/>
      <c r="H895" s="2"/>
      <c r="I895" s="2"/>
      <c r="J895" s="2"/>
      <c r="K895" s="2"/>
      <c r="L895" s="2"/>
      <c r="M895" s="2"/>
      <c r="N895" s="2"/>
      <c r="O895" s="2"/>
      <c r="P895" s="2"/>
      <c r="Q895" s="23"/>
      <c r="R895" s="23"/>
      <c r="S895" s="23"/>
      <c r="T895" s="23"/>
      <c r="U895" s="23"/>
      <c r="V895" s="23"/>
      <c r="W895" s="23"/>
      <c r="X895" s="23"/>
      <c r="Y895" s="23"/>
      <c r="Z895" s="23"/>
    </row>
    <row r="896">
      <c r="A896" s="2"/>
      <c r="B896" s="2"/>
      <c r="C896" s="2"/>
      <c r="D896" s="2"/>
      <c r="E896" s="2"/>
      <c r="F896" s="2"/>
      <c r="G896" s="2"/>
      <c r="H896" s="2"/>
      <c r="I896" s="2"/>
      <c r="J896" s="2"/>
      <c r="K896" s="2"/>
      <c r="L896" s="2"/>
      <c r="M896" s="2"/>
      <c r="N896" s="2"/>
      <c r="O896" s="2"/>
      <c r="P896" s="2"/>
      <c r="Q896" s="23"/>
      <c r="R896" s="23"/>
      <c r="S896" s="23"/>
      <c r="T896" s="23"/>
      <c r="U896" s="23"/>
      <c r="V896" s="23"/>
      <c r="W896" s="23"/>
      <c r="X896" s="23"/>
      <c r="Y896" s="23"/>
      <c r="Z896" s="23"/>
    </row>
    <row r="897">
      <c r="A897" s="2"/>
      <c r="B897" s="2"/>
      <c r="C897" s="2"/>
      <c r="D897" s="2"/>
      <c r="E897" s="2"/>
      <c r="F897" s="2"/>
      <c r="G897" s="2"/>
      <c r="H897" s="2"/>
      <c r="I897" s="2"/>
      <c r="J897" s="2"/>
      <c r="K897" s="2"/>
      <c r="L897" s="2"/>
      <c r="M897" s="2"/>
      <c r="N897" s="2"/>
      <c r="O897" s="2"/>
      <c r="P897" s="2"/>
      <c r="Q897" s="23"/>
      <c r="R897" s="23"/>
      <c r="S897" s="23"/>
      <c r="T897" s="23"/>
      <c r="U897" s="23"/>
      <c r="V897" s="23"/>
      <c r="W897" s="23"/>
      <c r="X897" s="23"/>
      <c r="Y897" s="23"/>
      <c r="Z897" s="23"/>
    </row>
    <row r="898">
      <c r="A898" s="2"/>
      <c r="B898" s="2"/>
      <c r="C898" s="2"/>
      <c r="D898" s="2"/>
      <c r="E898" s="2"/>
      <c r="F898" s="2"/>
      <c r="G898" s="2"/>
      <c r="H898" s="2"/>
      <c r="I898" s="2"/>
      <c r="J898" s="2"/>
      <c r="K898" s="2"/>
      <c r="L898" s="2"/>
      <c r="M898" s="2"/>
      <c r="N898" s="2"/>
      <c r="O898" s="2"/>
      <c r="P898" s="2"/>
      <c r="Q898" s="23"/>
      <c r="R898" s="23"/>
      <c r="S898" s="23"/>
      <c r="T898" s="23"/>
      <c r="U898" s="23"/>
      <c r="V898" s="23"/>
      <c r="W898" s="23"/>
      <c r="X898" s="23"/>
      <c r="Y898" s="23"/>
      <c r="Z898" s="23"/>
    </row>
    <row r="899">
      <c r="A899" s="2"/>
      <c r="B899" s="2"/>
      <c r="C899" s="2"/>
      <c r="D899" s="2"/>
      <c r="E899" s="2"/>
      <c r="F899" s="2"/>
      <c r="G899" s="2"/>
      <c r="H899" s="2"/>
      <c r="I899" s="2"/>
      <c r="J899" s="2"/>
      <c r="K899" s="2"/>
      <c r="L899" s="2"/>
      <c r="M899" s="2"/>
      <c r="N899" s="2"/>
      <c r="O899" s="2"/>
      <c r="P899" s="2"/>
      <c r="Q899" s="23"/>
      <c r="R899" s="23"/>
      <c r="S899" s="23"/>
      <c r="T899" s="23"/>
      <c r="U899" s="23"/>
      <c r="V899" s="23"/>
      <c r="W899" s="23"/>
      <c r="X899" s="23"/>
      <c r="Y899" s="23"/>
      <c r="Z899" s="23"/>
    </row>
    <row r="900">
      <c r="A900" s="2"/>
      <c r="B900" s="2"/>
      <c r="C900" s="2"/>
      <c r="D900" s="2"/>
      <c r="E900" s="2"/>
      <c r="F900" s="2"/>
      <c r="G900" s="2"/>
      <c r="H900" s="2"/>
      <c r="I900" s="2"/>
      <c r="J900" s="2"/>
      <c r="K900" s="2"/>
      <c r="L900" s="2"/>
      <c r="M900" s="2"/>
      <c r="N900" s="2"/>
      <c r="O900" s="2"/>
      <c r="P900" s="2"/>
      <c r="Q900" s="23"/>
      <c r="R900" s="23"/>
      <c r="S900" s="23"/>
      <c r="T900" s="23"/>
      <c r="U900" s="23"/>
      <c r="V900" s="23"/>
      <c r="W900" s="23"/>
      <c r="X900" s="23"/>
      <c r="Y900" s="23"/>
      <c r="Z900" s="23"/>
    </row>
    <row r="901">
      <c r="A901" s="2"/>
      <c r="B901" s="2"/>
      <c r="C901" s="2"/>
      <c r="D901" s="2"/>
      <c r="E901" s="2"/>
      <c r="F901" s="2"/>
      <c r="G901" s="2"/>
      <c r="H901" s="2"/>
      <c r="I901" s="2"/>
      <c r="J901" s="2"/>
      <c r="K901" s="2"/>
      <c r="L901" s="2"/>
      <c r="M901" s="2"/>
      <c r="N901" s="2"/>
      <c r="O901" s="2"/>
      <c r="P901" s="2"/>
      <c r="Q901" s="23"/>
      <c r="R901" s="23"/>
      <c r="S901" s="23"/>
      <c r="T901" s="23"/>
      <c r="U901" s="23"/>
      <c r="V901" s="23"/>
      <c r="W901" s="23"/>
      <c r="X901" s="23"/>
      <c r="Y901" s="23"/>
      <c r="Z901" s="23"/>
    </row>
    <row r="902">
      <c r="A902" s="2"/>
      <c r="B902" s="2"/>
      <c r="C902" s="2"/>
      <c r="D902" s="2"/>
      <c r="E902" s="2"/>
      <c r="F902" s="2"/>
      <c r="G902" s="2"/>
      <c r="H902" s="2"/>
      <c r="I902" s="2"/>
      <c r="J902" s="2"/>
      <c r="K902" s="2"/>
      <c r="L902" s="2"/>
      <c r="M902" s="2"/>
      <c r="N902" s="2"/>
      <c r="O902" s="2"/>
      <c r="P902" s="2"/>
      <c r="Q902" s="23"/>
      <c r="R902" s="23"/>
      <c r="S902" s="23"/>
      <c r="T902" s="23"/>
      <c r="U902" s="23"/>
      <c r="V902" s="23"/>
      <c r="W902" s="23"/>
      <c r="X902" s="23"/>
      <c r="Y902" s="23"/>
      <c r="Z902" s="23"/>
    </row>
    <row r="903">
      <c r="A903" s="2"/>
      <c r="B903" s="2"/>
      <c r="C903" s="2"/>
      <c r="D903" s="2"/>
      <c r="E903" s="2"/>
      <c r="F903" s="2"/>
      <c r="G903" s="2"/>
      <c r="H903" s="2"/>
      <c r="I903" s="2"/>
      <c r="J903" s="2"/>
      <c r="K903" s="2"/>
      <c r="L903" s="2"/>
      <c r="M903" s="2"/>
      <c r="N903" s="2"/>
      <c r="O903" s="2"/>
      <c r="P903" s="2"/>
      <c r="Q903" s="23"/>
      <c r="R903" s="23"/>
      <c r="S903" s="23"/>
      <c r="T903" s="23"/>
      <c r="U903" s="23"/>
      <c r="V903" s="23"/>
      <c r="W903" s="23"/>
      <c r="X903" s="23"/>
      <c r="Y903" s="23"/>
      <c r="Z903" s="23"/>
    </row>
    <row r="904">
      <c r="A904" s="2"/>
      <c r="B904" s="2"/>
      <c r="C904" s="2"/>
      <c r="D904" s="2"/>
      <c r="E904" s="2"/>
      <c r="F904" s="2"/>
      <c r="G904" s="2"/>
      <c r="H904" s="2"/>
      <c r="I904" s="2"/>
      <c r="J904" s="2"/>
      <c r="K904" s="2"/>
      <c r="L904" s="2"/>
      <c r="M904" s="2"/>
      <c r="N904" s="2"/>
      <c r="O904" s="2"/>
      <c r="P904" s="2"/>
      <c r="Q904" s="23"/>
      <c r="R904" s="23"/>
      <c r="S904" s="23"/>
      <c r="T904" s="23"/>
      <c r="U904" s="23"/>
      <c r="V904" s="23"/>
      <c r="W904" s="23"/>
      <c r="X904" s="23"/>
      <c r="Y904" s="23"/>
      <c r="Z904" s="23"/>
    </row>
    <row r="905">
      <c r="A905" s="2"/>
      <c r="B905" s="2"/>
      <c r="C905" s="2"/>
      <c r="D905" s="2"/>
      <c r="E905" s="2"/>
      <c r="F905" s="2"/>
      <c r="G905" s="2"/>
      <c r="H905" s="2"/>
      <c r="I905" s="2"/>
      <c r="J905" s="2"/>
      <c r="K905" s="2"/>
      <c r="L905" s="2"/>
      <c r="M905" s="2"/>
      <c r="N905" s="2"/>
      <c r="O905" s="2"/>
      <c r="P905" s="2"/>
      <c r="Q905" s="23"/>
      <c r="R905" s="23"/>
      <c r="S905" s="23"/>
      <c r="T905" s="23"/>
      <c r="U905" s="23"/>
      <c r="V905" s="23"/>
      <c r="W905" s="23"/>
      <c r="X905" s="23"/>
      <c r="Y905" s="23"/>
      <c r="Z905" s="23"/>
    </row>
    <row r="906">
      <c r="A906" s="2"/>
      <c r="B906" s="2"/>
      <c r="C906" s="2"/>
      <c r="D906" s="2"/>
      <c r="E906" s="2"/>
      <c r="F906" s="2"/>
      <c r="G906" s="2"/>
      <c r="H906" s="2"/>
      <c r="I906" s="2"/>
      <c r="J906" s="2"/>
      <c r="K906" s="2"/>
      <c r="L906" s="2"/>
      <c r="M906" s="2"/>
      <c r="N906" s="2"/>
      <c r="O906" s="2"/>
      <c r="P906" s="2"/>
      <c r="Q906" s="23"/>
      <c r="R906" s="23"/>
      <c r="S906" s="23"/>
      <c r="T906" s="23"/>
      <c r="U906" s="23"/>
      <c r="V906" s="23"/>
      <c r="W906" s="23"/>
      <c r="X906" s="23"/>
      <c r="Y906" s="23"/>
      <c r="Z906" s="23"/>
    </row>
    <row r="907">
      <c r="A907" s="2"/>
      <c r="B907" s="2"/>
      <c r="C907" s="2"/>
      <c r="D907" s="2"/>
      <c r="E907" s="2"/>
      <c r="F907" s="2"/>
      <c r="G907" s="2"/>
      <c r="H907" s="2"/>
      <c r="I907" s="2"/>
      <c r="J907" s="2"/>
      <c r="K907" s="2"/>
      <c r="L907" s="2"/>
      <c r="M907" s="2"/>
      <c r="N907" s="2"/>
      <c r="O907" s="2"/>
      <c r="P907" s="2"/>
      <c r="Q907" s="23"/>
      <c r="R907" s="23"/>
      <c r="S907" s="23"/>
      <c r="T907" s="23"/>
      <c r="U907" s="23"/>
      <c r="V907" s="23"/>
      <c r="W907" s="23"/>
      <c r="X907" s="23"/>
      <c r="Y907" s="23"/>
      <c r="Z907" s="23"/>
    </row>
    <row r="908">
      <c r="A908" s="2"/>
      <c r="B908" s="2"/>
      <c r="C908" s="2"/>
      <c r="D908" s="2"/>
      <c r="E908" s="2"/>
      <c r="F908" s="2"/>
      <c r="G908" s="2"/>
      <c r="H908" s="2"/>
      <c r="I908" s="2"/>
      <c r="J908" s="2"/>
      <c r="K908" s="2"/>
      <c r="L908" s="2"/>
      <c r="M908" s="2"/>
      <c r="N908" s="2"/>
      <c r="O908" s="2"/>
      <c r="P908" s="2"/>
      <c r="Q908" s="23"/>
      <c r="R908" s="23"/>
      <c r="S908" s="23"/>
      <c r="T908" s="23"/>
      <c r="U908" s="23"/>
      <c r="V908" s="23"/>
      <c r="W908" s="23"/>
      <c r="X908" s="23"/>
      <c r="Y908" s="23"/>
      <c r="Z908" s="23"/>
    </row>
    <row r="909">
      <c r="A909" s="2"/>
      <c r="B909" s="2"/>
      <c r="C909" s="2"/>
      <c r="D909" s="2"/>
      <c r="E909" s="2"/>
      <c r="F909" s="2"/>
      <c r="G909" s="2"/>
      <c r="H909" s="2"/>
      <c r="I909" s="2"/>
      <c r="J909" s="2"/>
      <c r="K909" s="2"/>
      <c r="L909" s="2"/>
      <c r="M909" s="2"/>
      <c r="N909" s="2"/>
      <c r="O909" s="2"/>
      <c r="P909" s="2"/>
      <c r="Q909" s="23"/>
      <c r="R909" s="23"/>
      <c r="S909" s="23"/>
      <c r="T909" s="23"/>
      <c r="U909" s="23"/>
      <c r="V909" s="23"/>
      <c r="W909" s="23"/>
      <c r="X909" s="23"/>
      <c r="Y909" s="23"/>
      <c r="Z909" s="23"/>
    </row>
    <row r="910">
      <c r="A910" s="2"/>
      <c r="B910" s="2"/>
      <c r="C910" s="2"/>
      <c r="D910" s="2"/>
      <c r="E910" s="2"/>
      <c r="F910" s="2"/>
      <c r="G910" s="2"/>
      <c r="H910" s="2"/>
      <c r="I910" s="2"/>
      <c r="J910" s="2"/>
      <c r="K910" s="2"/>
      <c r="L910" s="2"/>
      <c r="M910" s="2"/>
      <c r="N910" s="2"/>
      <c r="O910" s="2"/>
      <c r="P910" s="2"/>
      <c r="Q910" s="23"/>
      <c r="R910" s="23"/>
      <c r="S910" s="23"/>
      <c r="T910" s="23"/>
      <c r="U910" s="23"/>
      <c r="V910" s="23"/>
      <c r="W910" s="23"/>
      <c r="X910" s="23"/>
      <c r="Y910" s="23"/>
      <c r="Z910" s="23"/>
    </row>
    <row r="911">
      <c r="A911" s="2"/>
      <c r="B911" s="2"/>
      <c r="C911" s="2"/>
      <c r="D911" s="2"/>
      <c r="E911" s="2"/>
      <c r="F911" s="2"/>
      <c r="G911" s="2"/>
      <c r="H911" s="2"/>
      <c r="I911" s="2"/>
      <c r="J911" s="2"/>
      <c r="K911" s="2"/>
      <c r="L911" s="2"/>
      <c r="M911" s="2"/>
      <c r="N911" s="2"/>
      <c r="O911" s="2"/>
      <c r="P911" s="2"/>
      <c r="Q911" s="23"/>
      <c r="R911" s="23"/>
      <c r="S911" s="23"/>
      <c r="T911" s="23"/>
      <c r="U911" s="23"/>
      <c r="V911" s="23"/>
      <c r="W911" s="23"/>
      <c r="X911" s="23"/>
      <c r="Y911" s="23"/>
      <c r="Z911" s="23"/>
    </row>
    <row r="912">
      <c r="A912" s="2"/>
      <c r="B912" s="2"/>
      <c r="C912" s="2"/>
      <c r="D912" s="2"/>
      <c r="E912" s="2"/>
      <c r="F912" s="2"/>
      <c r="G912" s="2"/>
      <c r="H912" s="2"/>
      <c r="I912" s="2"/>
      <c r="J912" s="2"/>
      <c r="K912" s="2"/>
      <c r="L912" s="2"/>
      <c r="M912" s="2"/>
      <c r="N912" s="2"/>
      <c r="O912" s="2"/>
      <c r="P912" s="2"/>
      <c r="Q912" s="23"/>
      <c r="R912" s="23"/>
      <c r="S912" s="23"/>
      <c r="T912" s="23"/>
      <c r="U912" s="23"/>
      <c r="V912" s="23"/>
      <c r="W912" s="23"/>
      <c r="X912" s="23"/>
      <c r="Y912" s="23"/>
      <c r="Z912" s="23"/>
    </row>
    <row r="913">
      <c r="A913" s="2"/>
      <c r="B913" s="2"/>
      <c r="C913" s="2"/>
      <c r="D913" s="2"/>
      <c r="E913" s="2"/>
      <c r="F913" s="2"/>
      <c r="G913" s="2"/>
      <c r="H913" s="2"/>
      <c r="I913" s="2"/>
      <c r="J913" s="2"/>
      <c r="K913" s="2"/>
      <c r="L913" s="2"/>
      <c r="M913" s="2"/>
      <c r="N913" s="2"/>
      <c r="O913" s="2"/>
      <c r="P913" s="2"/>
      <c r="Q913" s="23"/>
      <c r="R913" s="23"/>
      <c r="S913" s="23"/>
      <c r="T913" s="23"/>
      <c r="U913" s="23"/>
      <c r="V913" s="23"/>
      <c r="W913" s="23"/>
      <c r="X913" s="23"/>
      <c r="Y913" s="23"/>
      <c r="Z913" s="23"/>
    </row>
    <row r="914">
      <c r="A914" s="2"/>
      <c r="B914" s="2"/>
      <c r="C914" s="2"/>
      <c r="D914" s="2"/>
      <c r="E914" s="2"/>
      <c r="F914" s="2"/>
      <c r="G914" s="2"/>
      <c r="H914" s="2"/>
      <c r="I914" s="2"/>
      <c r="J914" s="2"/>
      <c r="K914" s="2"/>
      <c r="L914" s="2"/>
      <c r="M914" s="2"/>
      <c r="N914" s="2"/>
      <c r="O914" s="2"/>
      <c r="P914" s="2"/>
      <c r="Q914" s="23"/>
      <c r="R914" s="23"/>
      <c r="S914" s="23"/>
      <c r="T914" s="23"/>
      <c r="U914" s="23"/>
      <c r="V914" s="23"/>
      <c r="W914" s="23"/>
      <c r="X914" s="23"/>
      <c r="Y914" s="23"/>
      <c r="Z914" s="23"/>
    </row>
    <row r="915">
      <c r="A915" s="2"/>
      <c r="B915" s="2"/>
      <c r="C915" s="2"/>
      <c r="D915" s="2"/>
      <c r="E915" s="2"/>
      <c r="F915" s="2"/>
      <c r="G915" s="2"/>
      <c r="H915" s="2"/>
      <c r="I915" s="2"/>
      <c r="J915" s="2"/>
      <c r="K915" s="2"/>
      <c r="L915" s="2"/>
      <c r="M915" s="2"/>
      <c r="N915" s="2"/>
      <c r="O915" s="2"/>
      <c r="P915" s="2"/>
      <c r="Q915" s="23"/>
      <c r="R915" s="23"/>
      <c r="S915" s="23"/>
      <c r="T915" s="23"/>
      <c r="U915" s="23"/>
      <c r="V915" s="23"/>
      <c r="W915" s="23"/>
      <c r="X915" s="23"/>
      <c r="Y915" s="23"/>
      <c r="Z915" s="23"/>
    </row>
    <row r="916">
      <c r="A916" s="2"/>
      <c r="B916" s="2"/>
      <c r="C916" s="2"/>
      <c r="D916" s="2"/>
      <c r="E916" s="2"/>
      <c r="F916" s="2"/>
      <c r="G916" s="2"/>
      <c r="H916" s="2"/>
      <c r="I916" s="2"/>
      <c r="J916" s="2"/>
      <c r="K916" s="2"/>
      <c r="L916" s="2"/>
      <c r="M916" s="2"/>
      <c r="N916" s="2"/>
      <c r="O916" s="2"/>
      <c r="P916" s="2"/>
      <c r="Q916" s="23"/>
      <c r="R916" s="23"/>
      <c r="S916" s="23"/>
      <c r="T916" s="23"/>
      <c r="U916" s="23"/>
      <c r="V916" s="23"/>
      <c r="W916" s="23"/>
      <c r="X916" s="23"/>
      <c r="Y916" s="23"/>
      <c r="Z916" s="23"/>
    </row>
    <row r="917">
      <c r="A917" s="2"/>
      <c r="B917" s="2"/>
      <c r="C917" s="2"/>
      <c r="D917" s="2"/>
      <c r="E917" s="2"/>
      <c r="F917" s="2"/>
      <c r="G917" s="2"/>
      <c r="H917" s="2"/>
      <c r="I917" s="2"/>
      <c r="J917" s="2"/>
      <c r="K917" s="2"/>
      <c r="L917" s="2"/>
      <c r="M917" s="2"/>
      <c r="N917" s="2"/>
      <c r="O917" s="2"/>
      <c r="P917" s="2"/>
      <c r="Q917" s="23"/>
      <c r="R917" s="23"/>
      <c r="S917" s="23"/>
      <c r="T917" s="23"/>
      <c r="U917" s="23"/>
      <c r="V917" s="23"/>
      <c r="W917" s="23"/>
      <c r="X917" s="23"/>
      <c r="Y917" s="23"/>
      <c r="Z917" s="23"/>
    </row>
    <row r="918">
      <c r="A918" s="2"/>
      <c r="B918" s="2"/>
      <c r="C918" s="2"/>
      <c r="D918" s="2"/>
      <c r="E918" s="2"/>
      <c r="F918" s="2"/>
      <c r="G918" s="2"/>
      <c r="H918" s="2"/>
      <c r="I918" s="2"/>
      <c r="J918" s="2"/>
      <c r="K918" s="2"/>
      <c r="L918" s="2"/>
      <c r="M918" s="2"/>
      <c r="N918" s="2"/>
      <c r="O918" s="2"/>
      <c r="P918" s="2"/>
      <c r="Q918" s="23"/>
      <c r="R918" s="23"/>
      <c r="S918" s="23"/>
      <c r="T918" s="23"/>
      <c r="U918" s="23"/>
      <c r="V918" s="23"/>
      <c r="W918" s="23"/>
      <c r="X918" s="23"/>
      <c r="Y918" s="23"/>
      <c r="Z918" s="23"/>
    </row>
    <row r="919">
      <c r="A919" s="2"/>
      <c r="B919" s="2"/>
      <c r="C919" s="2"/>
      <c r="D919" s="2"/>
      <c r="E919" s="2"/>
      <c r="F919" s="2"/>
      <c r="G919" s="2"/>
      <c r="H919" s="2"/>
      <c r="I919" s="2"/>
      <c r="J919" s="2"/>
      <c r="K919" s="2"/>
      <c r="L919" s="2"/>
      <c r="M919" s="2"/>
      <c r="N919" s="2"/>
      <c r="O919" s="2"/>
      <c r="P919" s="2"/>
      <c r="Q919" s="23"/>
      <c r="R919" s="23"/>
      <c r="S919" s="23"/>
      <c r="T919" s="23"/>
      <c r="U919" s="23"/>
      <c r="V919" s="23"/>
      <c r="W919" s="23"/>
      <c r="X919" s="23"/>
      <c r="Y919" s="23"/>
      <c r="Z919" s="23"/>
    </row>
    <row r="920">
      <c r="A920" s="2"/>
      <c r="B920" s="2"/>
      <c r="C920" s="2"/>
      <c r="D920" s="2"/>
      <c r="E920" s="2"/>
      <c r="F920" s="2"/>
      <c r="G920" s="2"/>
      <c r="H920" s="2"/>
      <c r="I920" s="2"/>
      <c r="J920" s="2"/>
      <c r="K920" s="2"/>
      <c r="L920" s="2"/>
      <c r="M920" s="2"/>
      <c r="N920" s="2"/>
      <c r="O920" s="2"/>
      <c r="P920" s="2"/>
      <c r="Q920" s="23"/>
      <c r="R920" s="23"/>
      <c r="S920" s="23"/>
      <c r="T920" s="23"/>
      <c r="U920" s="23"/>
      <c r="V920" s="23"/>
      <c r="W920" s="23"/>
      <c r="X920" s="23"/>
      <c r="Y920" s="23"/>
      <c r="Z920" s="23"/>
    </row>
    <row r="921">
      <c r="A921" s="2"/>
      <c r="B921" s="2"/>
      <c r="C921" s="2"/>
      <c r="D921" s="2"/>
      <c r="E921" s="2"/>
      <c r="F921" s="2"/>
      <c r="G921" s="2"/>
      <c r="H921" s="2"/>
      <c r="I921" s="2"/>
      <c r="J921" s="2"/>
      <c r="K921" s="2"/>
      <c r="L921" s="2"/>
      <c r="M921" s="2"/>
      <c r="N921" s="2"/>
      <c r="O921" s="2"/>
      <c r="P921" s="2"/>
      <c r="Q921" s="23"/>
      <c r="R921" s="23"/>
      <c r="S921" s="23"/>
      <c r="T921" s="23"/>
      <c r="U921" s="23"/>
      <c r="V921" s="23"/>
      <c r="W921" s="23"/>
      <c r="X921" s="23"/>
      <c r="Y921" s="23"/>
      <c r="Z921" s="23"/>
    </row>
    <row r="922">
      <c r="A922" s="2"/>
      <c r="B922" s="2"/>
      <c r="C922" s="2"/>
      <c r="D922" s="2"/>
      <c r="E922" s="2"/>
      <c r="F922" s="2"/>
      <c r="G922" s="2"/>
      <c r="H922" s="2"/>
      <c r="I922" s="2"/>
      <c r="J922" s="2"/>
      <c r="K922" s="2"/>
      <c r="L922" s="2"/>
      <c r="M922" s="2"/>
      <c r="N922" s="2"/>
      <c r="O922" s="2"/>
      <c r="P922" s="2"/>
      <c r="Q922" s="23"/>
      <c r="R922" s="23"/>
      <c r="S922" s="23"/>
      <c r="T922" s="23"/>
      <c r="U922" s="23"/>
      <c r="V922" s="23"/>
      <c r="W922" s="23"/>
      <c r="X922" s="23"/>
      <c r="Y922" s="23"/>
      <c r="Z922" s="23"/>
    </row>
    <row r="923">
      <c r="A923" s="2"/>
      <c r="B923" s="2"/>
      <c r="C923" s="2"/>
      <c r="D923" s="2"/>
      <c r="E923" s="2"/>
      <c r="F923" s="2"/>
      <c r="G923" s="2"/>
      <c r="H923" s="2"/>
      <c r="I923" s="2"/>
      <c r="J923" s="2"/>
      <c r="K923" s="2"/>
      <c r="L923" s="2"/>
      <c r="M923" s="2"/>
      <c r="N923" s="2"/>
      <c r="O923" s="2"/>
      <c r="P923" s="2"/>
      <c r="Q923" s="23"/>
      <c r="R923" s="23"/>
      <c r="S923" s="23"/>
      <c r="T923" s="23"/>
      <c r="U923" s="23"/>
      <c r="V923" s="23"/>
      <c r="W923" s="23"/>
      <c r="X923" s="23"/>
      <c r="Y923" s="23"/>
      <c r="Z923" s="23"/>
    </row>
    <row r="924">
      <c r="A924" s="2"/>
      <c r="B924" s="2"/>
      <c r="C924" s="2"/>
      <c r="D924" s="2"/>
      <c r="E924" s="2"/>
      <c r="F924" s="2"/>
      <c r="G924" s="2"/>
      <c r="H924" s="2"/>
      <c r="I924" s="2"/>
      <c r="J924" s="2"/>
      <c r="K924" s="2"/>
      <c r="L924" s="2"/>
      <c r="M924" s="2"/>
      <c r="N924" s="2"/>
      <c r="O924" s="2"/>
      <c r="P924" s="2"/>
      <c r="Q924" s="23"/>
      <c r="R924" s="23"/>
      <c r="S924" s="23"/>
      <c r="T924" s="23"/>
      <c r="U924" s="23"/>
      <c r="V924" s="23"/>
      <c r="W924" s="23"/>
      <c r="X924" s="23"/>
      <c r="Y924" s="23"/>
      <c r="Z924" s="23"/>
    </row>
    <row r="925">
      <c r="A925" s="2"/>
      <c r="B925" s="2"/>
      <c r="C925" s="2"/>
      <c r="D925" s="2"/>
      <c r="E925" s="2"/>
      <c r="F925" s="2"/>
      <c r="G925" s="2"/>
      <c r="H925" s="2"/>
      <c r="I925" s="2"/>
      <c r="J925" s="2"/>
      <c r="K925" s="2"/>
      <c r="L925" s="2"/>
      <c r="M925" s="2"/>
      <c r="N925" s="2"/>
      <c r="O925" s="2"/>
      <c r="P925" s="2"/>
      <c r="Q925" s="23"/>
      <c r="R925" s="23"/>
      <c r="S925" s="23"/>
      <c r="T925" s="23"/>
      <c r="U925" s="23"/>
      <c r="V925" s="23"/>
      <c r="W925" s="23"/>
      <c r="X925" s="23"/>
      <c r="Y925" s="23"/>
      <c r="Z925" s="23"/>
    </row>
    <row r="926">
      <c r="A926" s="2"/>
      <c r="B926" s="2"/>
      <c r="C926" s="2"/>
      <c r="D926" s="2"/>
      <c r="E926" s="2"/>
      <c r="F926" s="2"/>
      <c r="G926" s="2"/>
      <c r="H926" s="2"/>
      <c r="I926" s="2"/>
      <c r="J926" s="2"/>
      <c r="K926" s="2"/>
      <c r="L926" s="2"/>
      <c r="M926" s="2"/>
      <c r="N926" s="2"/>
      <c r="O926" s="2"/>
      <c r="P926" s="2"/>
      <c r="Q926" s="23"/>
      <c r="R926" s="23"/>
      <c r="S926" s="23"/>
      <c r="T926" s="23"/>
      <c r="U926" s="23"/>
      <c r="V926" s="23"/>
      <c r="W926" s="23"/>
      <c r="X926" s="23"/>
      <c r="Y926" s="23"/>
      <c r="Z926" s="23"/>
    </row>
    <row r="927">
      <c r="A927" s="2"/>
      <c r="B927" s="2"/>
      <c r="C927" s="2"/>
      <c r="D927" s="2"/>
      <c r="E927" s="2"/>
      <c r="F927" s="2"/>
      <c r="G927" s="2"/>
      <c r="H927" s="2"/>
      <c r="I927" s="2"/>
      <c r="J927" s="2"/>
      <c r="K927" s="2"/>
      <c r="L927" s="2"/>
      <c r="M927" s="2"/>
      <c r="N927" s="2"/>
      <c r="O927" s="2"/>
      <c r="P927" s="2"/>
      <c r="Q927" s="23"/>
      <c r="R927" s="23"/>
      <c r="S927" s="23"/>
      <c r="T927" s="23"/>
      <c r="U927" s="23"/>
      <c r="V927" s="23"/>
      <c r="W927" s="23"/>
      <c r="X927" s="23"/>
      <c r="Y927" s="23"/>
      <c r="Z927" s="23"/>
    </row>
    <row r="928">
      <c r="A928" s="2"/>
      <c r="B928" s="2"/>
      <c r="C928" s="2"/>
      <c r="D928" s="2"/>
      <c r="E928" s="2"/>
      <c r="F928" s="2"/>
      <c r="G928" s="2"/>
      <c r="H928" s="2"/>
      <c r="I928" s="2"/>
      <c r="J928" s="2"/>
      <c r="K928" s="2"/>
      <c r="L928" s="2"/>
      <c r="M928" s="2"/>
      <c r="N928" s="2"/>
      <c r="O928" s="2"/>
      <c r="P928" s="2"/>
      <c r="Q928" s="23"/>
      <c r="R928" s="23"/>
      <c r="S928" s="23"/>
      <c r="T928" s="23"/>
      <c r="U928" s="23"/>
      <c r="V928" s="23"/>
      <c r="W928" s="23"/>
      <c r="X928" s="23"/>
      <c r="Y928" s="23"/>
      <c r="Z928" s="23"/>
    </row>
    <row r="929">
      <c r="A929" s="2"/>
      <c r="B929" s="2"/>
      <c r="C929" s="2"/>
      <c r="D929" s="2"/>
      <c r="E929" s="2"/>
      <c r="F929" s="2"/>
      <c r="G929" s="2"/>
      <c r="H929" s="2"/>
      <c r="I929" s="2"/>
      <c r="J929" s="2"/>
      <c r="K929" s="2"/>
      <c r="L929" s="2"/>
      <c r="M929" s="2"/>
      <c r="N929" s="2"/>
      <c r="O929" s="2"/>
      <c r="P929" s="2"/>
      <c r="Q929" s="23"/>
      <c r="R929" s="23"/>
      <c r="S929" s="23"/>
      <c r="T929" s="23"/>
      <c r="U929" s="23"/>
      <c r="V929" s="23"/>
      <c r="W929" s="23"/>
      <c r="X929" s="23"/>
      <c r="Y929" s="23"/>
      <c r="Z929" s="23"/>
    </row>
    <row r="930">
      <c r="A930" s="2"/>
      <c r="B930" s="2"/>
      <c r="C930" s="2"/>
      <c r="D930" s="2"/>
      <c r="E930" s="2"/>
      <c r="F930" s="2"/>
      <c r="G930" s="2"/>
      <c r="H930" s="2"/>
      <c r="I930" s="2"/>
      <c r="J930" s="2"/>
      <c r="K930" s="2"/>
      <c r="L930" s="2"/>
      <c r="M930" s="2"/>
      <c r="N930" s="2"/>
      <c r="O930" s="2"/>
      <c r="P930" s="2"/>
      <c r="Q930" s="23"/>
      <c r="R930" s="23"/>
      <c r="S930" s="23"/>
      <c r="T930" s="23"/>
      <c r="U930" s="23"/>
      <c r="V930" s="23"/>
      <c r="W930" s="23"/>
      <c r="X930" s="23"/>
      <c r="Y930" s="23"/>
      <c r="Z930" s="23"/>
    </row>
    <row r="931">
      <c r="A931" s="2"/>
      <c r="B931" s="2"/>
      <c r="C931" s="2"/>
      <c r="D931" s="2"/>
      <c r="E931" s="2"/>
      <c r="F931" s="2"/>
      <c r="G931" s="2"/>
      <c r="H931" s="2"/>
      <c r="I931" s="2"/>
      <c r="J931" s="2"/>
      <c r="K931" s="2"/>
      <c r="L931" s="2"/>
      <c r="M931" s="2"/>
      <c r="N931" s="2"/>
      <c r="O931" s="2"/>
      <c r="P931" s="2"/>
      <c r="Q931" s="23"/>
      <c r="R931" s="23"/>
      <c r="S931" s="23"/>
      <c r="T931" s="23"/>
      <c r="U931" s="23"/>
      <c r="V931" s="23"/>
      <c r="W931" s="23"/>
      <c r="X931" s="23"/>
      <c r="Y931" s="23"/>
      <c r="Z931" s="23"/>
    </row>
    <row r="932">
      <c r="A932" s="2"/>
      <c r="B932" s="2"/>
      <c r="C932" s="2"/>
      <c r="D932" s="2"/>
      <c r="E932" s="2"/>
      <c r="F932" s="2"/>
      <c r="G932" s="2"/>
      <c r="H932" s="2"/>
      <c r="I932" s="2"/>
      <c r="J932" s="2"/>
      <c r="K932" s="2"/>
      <c r="L932" s="2"/>
      <c r="M932" s="2"/>
      <c r="N932" s="2"/>
      <c r="O932" s="2"/>
      <c r="P932" s="2"/>
      <c r="Q932" s="23"/>
      <c r="R932" s="23"/>
      <c r="S932" s="23"/>
      <c r="T932" s="23"/>
      <c r="U932" s="23"/>
      <c r="V932" s="23"/>
      <c r="W932" s="23"/>
      <c r="X932" s="23"/>
      <c r="Y932" s="23"/>
      <c r="Z932" s="23"/>
    </row>
    <row r="933">
      <c r="A933" s="2"/>
      <c r="B933" s="2"/>
      <c r="C933" s="2"/>
      <c r="D933" s="2"/>
      <c r="E933" s="2"/>
      <c r="F933" s="2"/>
      <c r="G933" s="2"/>
      <c r="H933" s="2"/>
      <c r="I933" s="2"/>
      <c r="J933" s="2"/>
      <c r="K933" s="2"/>
      <c r="L933" s="2"/>
      <c r="M933" s="2"/>
      <c r="N933" s="2"/>
      <c r="O933" s="2"/>
      <c r="P933" s="2"/>
      <c r="Q933" s="23"/>
      <c r="R933" s="23"/>
      <c r="S933" s="23"/>
      <c r="T933" s="23"/>
      <c r="U933" s="23"/>
      <c r="V933" s="23"/>
      <c r="W933" s="23"/>
      <c r="X933" s="23"/>
      <c r="Y933" s="23"/>
      <c r="Z933" s="23"/>
    </row>
    <row r="934">
      <c r="A934" s="2"/>
      <c r="B934" s="2"/>
      <c r="C934" s="2"/>
      <c r="D934" s="2"/>
      <c r="E934" s="2"/>
      <c r="F934" s="2"/>
      <c r="G934" s="2"/>
      <c r="H934" s="2"/>
      <c r="I934" s="2"/>
      <c r="J934" s="2"/>
      <c r="K934" s="2"/>
      <c r="L934" s="2"/>
      <c r="M934" s="2"/>
      <c r="N934" s="2"/>
      <c r="O934" s="2"/>
      <c r="P934" s="2"/>
      <c r="Q934" s="23"/>
      <c r="R934" s="23"/>
      <c r="S934" s="23"/>
      <c r="T934" s="23"/>
      <c r="U934" s="23"/>
      <c r="V934" s="23"/>
      <c r="W934" s="23"/>
      <c r="X934" s="23"/>
      <c r="Y934" s="23"/>
      <c r="Z934" s="23"/>
    </row>
    <row r="935">
      <c r="A935" s="2"/>
      <c r="B935" s="2"/>
      <c r="C935" s="2"/>
      <c r="D935" s="2"/>
      <c r="E935" s="2"/>
      <c r="F935" s="2"/>
      <c r="G935" s="2"/>
      <c r="H935" s="2"/>
      <c r="I935" s="2"/>
      <c r="J935" s="2"/>
      <c r="K935" s="2"/>
      <c r="L935" s="2"/>
      <c r="M935" s="2"/>
      <c r="N935" s="2"/>
      <c r="O935" s="2"/>
      <c r="P935" s="2"/>
      <c r="Q935" s="23"/>
      <c r="R935" s="23"/>
      <c r="S935" s="23"/>
      <c r="T935" s="23"/>
      <c r="U935" s="23"/>
      <c r="V935" s="23"/>
      <c r="W935" s="23"/>
      <c r="X935" s="23"/>
      <c r="Y935" s="23"/>
      <c r="Z935" s="23"/>
    </row>
    <row r="936">
      <c r="A936" s="2"/>
      <c r="B936" s="2"/>
      <c r="C936" s="2"/>
      <c r="D936" s="2"/>
      <c r="E936" s="2"/>
      <c r="F936" s="2"/>
      <c r="G936" s="2"/>
      <c r="H936" s="2"/>
      <c r="I936" s="2"/>
      <c r="J936" s="2"/>
      <c r="K936" s="2"/>
      <c r="L936" s="2"/>
      <c r="M936" s="2"/>
      <c r="N936" s="2"/>
      <c r="O936" s="2"/>
      <c r="P936" s="2"/>
      <c r="Q936" s="23"/>
      <c r="R936" s="23"/>
      <c r="S936" s="23"/>
      <c r="T936" s="23"/>
      <c r="U936" s="23"/>
      <c r="V936" s="23"/>
      <c r="W936" s="23"/>
      <c r="X936" s="23"/>
      <c r="Y936" s="23"/>
      <c r="Z936" s="23"/>
    </row>
    <row r="937">
      <c r="A937" s="2"/>
      <c r="B937" s="2"/>
      <c r="C937" s="2"/>
      <c r="D937" s="2"/>
      <c r="E937" s="2"/>
      <c r="F937" s="2"/>
      <c r="G937" s="2"/>
      <c r="H937" s="2"/>
      <c r="I937" s="2"/>
      <c r="J937" s="2"/>
      <c r="K937" s="2"/>
      <c r="L937" s="2"/>
      <c r="M937" s="2"/>
      <c r="N937" s="2"/>
      <c r="O937" s="2"/>
      <c r="P937" s="2"/>
      <c r="Q937" s="23"/>
      <c r="R937" s="23"/>
      <c r="S937" s="23"/>
      <c r="T937" s="23"/>
      <c r="U937" s="23"/>
      <c r="V937" s="23"/>
      <c r="W937" s="23"/>
      <c r="X937" s="23"/>
      <c r="Y937" s="23"/>
      <c r="Z937" s="23"/>
    </row>
    <row r="938">
      <c r="A938" s="2"/>
      <c r="B938" s="2"/>
      <c r="C938" s="2"/>
      <c r="D938" s="2"/>
      <c r="E938" s="2"/>
      <c r="F938" s="2"/>
      <c r="G938" s="2"/>
      <c r="H938" s="2"/>
      <c r="I938" s="2"/>
      <c r="J938" s="2"/>
      <c r="K938" s="2"/>
      <c r="L938" s="2"/>
      <c r="M938" s="2"/>
      <c r="N938" s="2"/>
      <c r="O938" s="2"/>
      <c r="P938" s="2"/>
      <c r="Q938" s="23"/>
      <c r="R938" s="23"/>
      <c r="S938" s="23"/>
      <c r="T938" s="23"/>
      <c r="U938" s="23"/>
      <c r="V938" s="23"/>
      <c r="W938" s="23"/>
      <c r="X938" s="23"/>
      <c r="Y938" s="23"/>
      <c r="Z938" s="23"/>
    </row>
    <row r="939">
      <c r="A939" s="2"/>
      <c r="B939" s="2"/>
      <c r="C939" s="2"/>
      <c r="D939" s="2"/>
      <c r="E939" s="2"/>
      <c r="F939" s="2"/>
      <c r="G939" s="2"/>
      <c r="H939" s="2"/>
      <c r="I939" s="2"/>
      <c r="J939" s="2"/>
      <c r="K939" s="2"/>
      <c r="L939" s="2"/>
      <c r="M939" s="2"/>
      <c r="N939" s="2"/>
      <c r="O939" s="2"/>
      <c r="P939" s="2"/>
      <c r="Q939" s="23"/>
      <c r="R939" s="23"/>
      <c r="S939" s="23"/>
      <c r="T939" s="23"/>
      <c r="U939" s="23"/>
      <c r="V939" s="23"/>
      <c r="W939" s="23"/>
      <c r="X939" s="23"/>
      <c r="Y939" s="23"/>
      <c r="Z939" s="23"/>
    </row>
    <row r="940">
      <c r="A940" s="2"/>
      <c r="B940" s="2"/>
      <c r="C940" s="2"/>
      <c r="D940" s="2"/>
      <c r="E940" s="2"/>
      <c r="F940" s="2"/>
      <c r="G940" s="2"/>
      <c r="H940" s="2"/>
      <c r="I940" s="2"/>
      <c r="J940" s="2"/>
      <c r="K940" s="2"/>
      <c r="L940" s="2"/>
      <c r="M940" s="2"/>
      <c r="N940" s="2"/>
      <c r="O940" s="2"/>
      <c r="P940" s="2"/>
      <c r="Q940" s="23"/>
      <c r="R940" s="23"/>
      <c r="S940" s="23"/>
      <c r="T940" s="23"/>
      <c r="U940" s="23"/>
      <c r="V940" s="23"/>
      <c r="W940" s="23"/>
      <c r="X940" s="23"/>
      <c r="Y940" s="23"/>
      <c r="Z940" s="23"/>
    </row>
    <row r="941">
      <c r="A941" s="2"/>
      <c r="B941" s="2"/>
      <c r="C941" s="2"/>
      <c r="D941" s="2"/>
      <c r="E941" s="2"/>
      <c r="F941" s="2"/>
      <c r="G941" s="2"/>
      <c r="H941" s="2"/>
      <c r="I941" s="2"/>
      <c r="J941" s="2"/>
      <c r="K941" s="2"/>
      <c r="L941" s="2"/>
      <c r="M941" s="2"/>
      <c r="N941" s="2"/>
      <c r="O941" s="2"/>
      <c r="P941" s="2"/>
      <c r="Q941" s="23"/>
      <c r="R941" s="23"/>
      <c r="S941" s="23"/>
      <c r="T941" s="23"/>
      <c r="U941" s="23"/>
      <c r="V941" s="23"/>
      <c r="W941" s="23"/>
      <c r="X941" s="23"/>
      <c r="Y941" s="23"/>
      <c r="Z941" s="23"/>
    </row>
    <row r="942">
      <c r="A942" s="2"/>
      <c r="B942" s="2"/>
      <c r="C942" s="2"/>
      <c r="D942" s="2"/>
      <c r="E942" s="2"/>
      <c r="F942" s="2"/>
      <c r="G942" s="2"/>
      <c r="H942" s="2"/>
      <c r="I942" s="2"/>
      <c r="J942" s="2"/>
      <c r="K942" s="2"/>
      <c r="L942" s="2"/>
      <c r="M942" s="2"/>
      <c r="N942" s="2"/>
      <c r="O942" s="2"/>
      <c r="P942" s="2"/>
      <c r="Q942" s="23"/>
      <c r="R942" s="23"/>
      <c r="S942" s="23"/>
      <c r="T942" s="23"/>
      <c r="U942" s="23"/>
      <c r="V942" s="23"/>
      <c r="W942" s="23"/>
      <c r="X942" s="23"/>
      <c r="Y942" s="23"/>
      <c r="Z942" s="23"/>
    </row>
    <row r="943">
      <c r="A943" s="2"/>
      <c r="B943" s="2"/>
      <c r="C943" s="2"/>
      <c r="D943" s="2"/>
      <c r="E943" s="2"/>
      <c r="F943" s="2"/>
      <c r="G943" s="2"/>
      <c r="H943" s="2"/>
      <c r="I943" s="2"/>
      <c r="J943" s="2"/>
      <c r="K943" s="2"/>
      <c r="L943" s="2"/>
      <c r="M943" s="2"/>
      <c r="N943" s="2"/>
      <c r="O943" s="2"/>
      <c r="P943" s="2"/>
      <c r="Q943" s="23"/>
      <c r="R943" s="23"/>
      <c r="S943" s="23"/>
      <c r="T943" s="23"/>
      <c r="U943" s="23"/>
      <c r="V943" s="23"/>
      <c r="W943" s="23"/>
      <c r="X943" s="23"/>
      <c r="Y943" s="23"/>
      <c r="Z943" s="23"/>
    </row>
    <row r="944">
      <c r="A944" s="2"/>
      <c r="B944" s="2"/>
      <c r="C944" s="2"/>
      <c r="D944" s="2"/>
      <c r="E944" s="2"/>
      <c r="F944" s="2"/>
      <c r="G944" s="2"/>
      <c r="H944" s="2"/>
      <c r="I944" s="2"/>
      <c r="J944" s="2"/>
      <c r="K944" s="2"/>
      <c r="L944" s="2"/>
      <c r="M944" s="2"/>
      <c r="N944" s="2"/>
      <c r="O944" s="2"/>
      <c r="P944" s="2"/>
      <c r="Q944" s="23"/>
      <c r="R944" s="23"/>
      <c r="S944" s="23"/>
      <c r="T944" s="23"/>
      <c r="U944" s="23"/>
      <c r="V944" s="23"/>
      <c r="W944" s="23"/>
      <c r="X944" s="23"/>
      <c r="Y944" s="23"/>
      <c r="Z944" s="23"/>
    </row>
    <row r="945">
      <c r="A945" s="2"/>
      <c r="B945" s="2"/>
      <c r="C945" s="2"/>
      <c r="D945" s="2"/>
      <c r="E945" s="2"/>
      <c r="F945" s="2"/>
      <c r="G945" s="2"/>
      <c r="H945" s="2"/>
      <c r="I945" s="2"/>
      <c r="J945" s="2"/>
      <c r="K945" s="2"/>
      <c r="L945" s="2"/>
      <c r="M945" s="2"/>
      <c r="N945" s="2"/>
      <c r="O945" s="2"/>
      <c r="P945" s="2"/>
      <c r="Q945" s="23"/>
      <c r="R945" s="23"/>
      <c r="S945" s="23"/>
      <c r="T945" s="23"/>
      <c r="U945" s="23"/>
      <c r="V945" s="23"/>
      <c r="W945" s="23"/>
      <c r="X945" s="23"/>
      <c r="Y945" s="23"/>
      <c r="Z945" s="23"/>
    </row>
    <row r="946">
      <c r="A946" s="2"/>
      <c r="B946" s="2"/>
      <c r="C946" s="2"/>
      <c r="D946" s="2"/>
      <c r="E946" s="2"/>
      <c r="F946" s="2"/>
      <c r="G946" s="2"/>
      <c r="H946" s="2"/>
      <c r="I946" s="2"/>
      <c r="J946" s="2"/>
      <c r="K946" s="2"/>
      <c r="L946" s="2"/>
      <c r="M946" s="2"/>
      <c r="N946" s="2"/>
      <c r="O946" s="2"/>
      <c r="P946" s="2"/>
      <c r="Q946" s="23"/>
      <c r="R946" s="23"/>
      <c r="S946" s="23"/>
      <c r="T946" s="23"/>
      <c r="U946" s="23"/>
      <c r="V946" s="23"/>
      <c r="W946" s="23"/>
      <c r="X946" s="23"/>
      <c r="Y946" s="23"/>
      <c r="Z946" s="23"/>
    </row>
    <row r="947">
      <c r="A947" s="2"/>
      <c r="B947" s="2"/>
      <c r="C947" s="2"/>
      <c r="D947" s="2"/>
      <c r="E947" s="2"/>
      <c r="F947" s="2"/>
      <c r="G947" s="2"/>
      <c r="H947" s="2"/>
      <c r="I947" s="2"/>
      <c r="J947" s="2"/>
      <c r="K947" s="2"/>
      <c r="L947" s="2"/>
      <c r="M947" s="2"/>
      <c r="N947" s="2"/>
      <c r="O947" s="2"/>
      <c r="P947" s="2"/>
      <c r="Q947" s="23"/>
      <c r="R947" s="23"/>
      <c r="S947" s="23"/>
      <c r="T947" s="23"/>
      <c r="U947" s="23"/>
      <c r="V947" s="23"/>
      <c r="W947" s="23"/>
      <c r="X947" s="23"/>
      <c r="Y947" s="23"/>
      <c r="Z947" s="23"/>
    </row>
    <row r="948">
      <c r="A948" s="2"/>
      <c r="B948" s="2"/>
      <c r="C948" s="2"/>
      <c r="D948" s="2"/>
      <c r="E948" s="2"/>
      <c r="F948" s="2"/>
      <c r="G948" s="2"/>
      <c r="H948" s="2"/>
      <c r="I948" s="2"/>
      <c r="J948" s="2"/>
      <c r="K948" s="2"/>
      <c r="L948" s="2"/>
      <c r="M948" s="2"/>
      <c r="N948" s="2"/>
      <c r="O948" s="2"/>
      <c r="P948" s="2"/>
      <c r="Q948" s="23"/>
      <c r="R948" s="23"/>
      <c r="S948" s="23"/>
      <c r="T948" s="23"/>
      <c r="U948" s="23"/>
      <c r="V948" s="23"/>
      <c r="W948" s="23"/>
      <c r="X948" s="23"/>
      <c r="Y948" s="23"/>
      <c r="Z948" s="23"/>
    </row>
    <row r="949">
      <c r="A949" s="2"/>
      <c r="B949" s="2"/>
      <c r="C949" s="2"/>
      <c r="D949" s="2"/>
      <c r="E949" s="2"/>
      <c r="F949" s="2"/>
      <c r="G949" s="2"/>
      <c r="H949" s="2"/>
      <c r="I949" s="2"/>
      <c r="J949" s="2"/>
      <c r="K949" s="2"/>
      <c r="L949" s="2"/>
      <c r="M949" s="2"/>
      <c r="N949" s="2"/>
      <c r="O949" s="2"/>
      <c r="P949" s="2"/>
      <c r="Q949" s="23"/>
      <c r="R949" s="23"/>
      <c r="S949" s="23"/>
      <c r="T949" s="23"/>
      <c r="U949" s="23"/>
      <c r="V949" s="23"/>
      <c r="W949" s="23"/>
      <c r="X949" s="23"/>
      <c r="Y949" s="23"/>
      <c r="Z949" s="23"/>
    </row>
    <row r="950">
      <c r="A950" s="2"/>
      <c r="B950" s="2"/>
      <c r="C950" s="2"/>
      <c r="D950" s="2"/>
      <c r="E950" s="2"/>
      <c r="F950" s="2"/>
      <c r="G950" s="2"/>
      <c r="H950" s="2"/>
      <c r="I950" s="2"/>
      <c r="J950" s="2"/>
      <c r="K950" s="2"/>
      <c r="L950" s="2"/>
      <c r="M950" s="2"/>
      <c r="N950" s="2"/>
      <c r="O950" s="2"/>
      <c r="P950" s="2"/>
      <c r="Q950" s="23"/>
      <c r="R950" s="23"/>
      <c r="S950" s="23"/>
      <c r="T950" s="23"/>
      <c r="U950" s="23"/>
      <c r="V950" s="23"/>
      <c r="W950" s="23"/>
      <c r="X950" s="23"/>
      <c r="Y950" s="23"/>
      <c r="Z950" s="23"/>
    </row>
    <row r="951">
      <c r="A951" s="2"/>
      <c r="B951" s="2"/>
      <c r="C951" s="2"/>
      <c r="D951" s="2"/>
      <c r="E951" s="2"/>
      <c r="F951" s="2"/>
      <c r="G951" s="2"/>
      <c r="H951" s="2"/>
      <c r="I951" s="2"/>
      <c r="J951" s="2"/>
      <c r="K951" s="2"/>
      <c r="L951" s="2"/>
      <c r="M951" s="2"/>
      <c r="N951" s="2"/>
      <c r="O951" s="2"/>
      <c r="P951" s="2"/>
      <c r="Q951" s="23"/>
      <c r="R951" s="23"/>
      <c r="S951" s="23"/>
      <c r="T951" s="23"/>
      <c r="U951" s="23"/>
      <c r="V951" s="23"/>
      <c r="W951" s="23"/>
      <c r="X951" s="23"/>
      <c r="Y951" s="23"/>
      <c r="Z951" s="23"/>
    </row>
    <row r="952">
      <c r="A952" s="2"/>
      <c r="B952" s="2"/>
      <c r="C952" s="2"/>
      <c r="D952" s="2"/>
      <c r="E952" s="2"/>
      <c r="F952" s="2"/>
      <c r="G952" s="2"/>
      <c r="H952" s="2"/>
      <c r="I952" s="2"/>
      <c r="J952" s="2"/>
      <c r="K952" s="2"/>
      <c r="L952" s="2"/>
      <c r="M952" s="2"/>
      <c r="N952" s="2"/>
      <c r="O952" s="2"/>
      <c r="P952" s="2"/>
      <c r="Q952" s="23"/>
      <c r="R952" s="23"/>
      <c r="S952" s="23"/>
      <c r="T952" s="23"/>
      <c r="U952" s="23"/>
      <c r="V952" s="23"/>
      <c r="W952" s="23"/>
      <c r="X952" s="23"/>
      <c r="Y952" s="23"/>
      <c r="Z952" s="23"/>
    </row>
    <row r="953">
      <c r="A953" s="2"/>
      <c r="B953" s="2"/>
      <c r="C953" s="2"/>
      <c r="D953" s="2"/>
      <c r="E953" s="2"/>
      <c r="F953" s="2"/>
      <c r="G953" s="2"/>
      <c r="H953" s="2"/>
      <c r="I953" s="2"/>
      <c r="J953" s="2"/>
      <c r="K953" s="2"/>
      <c r="L953" s="2"/>
      <c r="M953" s="2"/>
      <c r="N953" s="2"/>
      <c r="O953" s="2"/>
      <c r="P953" s="2"/>
      <c r="Q953" s="23"/>
      <c r="R953" s="23"/>
      <c r="S953" s="23"/>
      <c r="T953" s="23"/>
      <c r="U953" s="23"/>
      <c r="V953" s="23"/>
      <c r="W953" s="23"/>
      <c r="X953" s="23"/>
      <c r="Y953" s="23"/>
      <c r="Z953" s="23"/>
    </row>
    <row r="954">
      <c r="A954" s="2"/>
      <c r="B954" s="2"/>
      <c r="C954" s="2"/>
      <c r="D954" s="2"/>
      <c r="E954" s="2"/>
      <c r="F954" s="2"/>
      <c r="G954" s="2"/>
      <c r="H954" s="2"/>
      <c r="I954" s="2"/>
      <c r="J954" s="2"/>
      <c r="K954" s="2"/>
      <c r="L954" s="2"/>
      <c r="M954" s="2"/>
      <c r="N954" s="2"/>
      <c r="O954" s="2"/>
      <c r="P954" s="2"/>
      <c r="Q954" s="23"/>
      <c r="R954" s="23"/>
      <c r="S954" s="23"/>
      <c r="T954" s="23"/>
      <c r="U954" s="23"/>
      <c r="V954" s="23"/>
      <c r="W954" s="23"/>
      <c r="X954" s="23"/>
      <c r="Y954" s="23"/>
      <c r="Z954" s="23"/>
    </row>
    <row r="955">
      <c r="A955" s="2"/>
      <c r="B955" s="2"/>
      <c r="C955" s="2"/>
      <c r="D955" s="2"/>
      <c r="E955" s="2"/>
      <c r="F955" s="2"/>
      <c r="G955" s="2"/>
      <c r="H955" s="2"/>
      <c r="I955" s="2"/>
      <c r="J955" s="2"/>
      <c r="K955" s="2"/>
      <c r="L955" s="2"/>
      <c r="M955" s="2"/>
      <c r="N955" s="2"/>
      <c r="O955" s="2"/>
      <c r="P955" s="2"/>
      <c r="Q955" s="23"/>
      <c r="R955" s="23"/>
      <c r="S955" s="23"/>
      <c r="T955" s="23"/>
      <c r="U955" s="23"/>
      <c r="V955" s="23"/>
      <c r="W955" s="23"/>
      <c r="X955" s="23"/>
      <c r="Y955" s="23"/>
      <c r="Z955" s="23"/>
    </row>
    <row r="956">
      <c r="A956" s="2"/>
      <c r="B956" s="2"/>
      <c r="C956" s="2"/>
      <c r="D956" s="2"/>
      <c r="E956" s="2"/>
      <c r="F956" s="2"/>
      <c r="G956" s="2"/>
      <c r="H956" s="2"/>
      <c r="I956" s="2"/>
      <c r="J956" s="2"/>
      <c r="K956" s="2"/>
      <c r="L956" s="2"/>
      <c r="M956" s="2"/>
      <c r="N956" s="2"/>
      <c r="O956" s="2"/>
      <c r="P956" s="2"/>
      <c r="Q956" s="23"/>
      <c r="R956" s="23"/>
      <c r="S956" s="23"/>
      <c r="T956" s="23"/>
      <c r="U956" s="23"/>
      <c r="V956" s="23"/>
      <c r="W956" s="23"/>
      <c r="X956" s="23"/>
      <c r="Y956" s="23"/>
      <c r="Z956" s="23"/>
    </row>
    <row r="957">
      <c r="A957" s="2"/>
      <c r="B957" s="2"/>
      <c r="C957" s="2"/>
      <c r="D957" s="2"/>
      <c r="E957" s="2"/>
      <c r="F957" s="2"/>
      <c r="G957" s="2"/>
      <c r="H957" s="2"/>
      <c r="I957" s="2"/>
      <c r="J957" s="2"/>
      <c r="K957" s="2"/>
      <c r="L957" s="2"/>
      <c r="M957" s="2"/>
      <c r="N957" s="2"/>
      <c r="O957" s="2"/>
      <c r="P957" s="2"/>
      <c r="Q957" s="23"/>
      <c r="R957" s="23"/>
      <c r="S957" s="23"/>
      <c r="T957" s="23"/>
      <c r="U957" s="23"/>
      <c r="V957" s="23"/>
      <c r="W957" s="23"/>
      <c r="X957" s="23"/>
      <c r="Y957" s="23"/>
      <c r="Z957" s="23"/>
    </row>
    <row r="958">
      <c r="A958" s="2"/>
      <c r="B958" s="2"/>
      <c r="C958" s="2"/>
      <c r="D958" s="2"/>
      <c r="E958" s="2"/>
      <c r="F958" s="2"/>
      <c r="G958" s="2"/>
      <c r="H958" s="2"/>
      <c r="I958" s="2"/>
      <c r="J958" s="2"/>
      <c r="K958" s="2"/>
      <c r="L958" s="2"/>
      <c r="M958" s="2"/>
      <c r="N958" s="2"/>
      <c r="O958" s="2"/>
      <c r="P958" s="2"/>
      <c r="Q958" s="23"/>
      <c r="R958" s="23"/>
      <c r="S958" s="23"/>
      <c r="T958" s="23"/>
      <c r="U958" s="23"/>
      <c r="V958" s="23"/>
      <c r="W958" s="23"/>
      <c r="X958" s="23"/>
      <c r="Y958" s="23"/>
      <c r="Z958" s="23"/>
    </row>
    <row r="959">
      <c r="A959" s="2"/>
      <c r="B959" s="2"/>
      <c r="C959" s="2"/>
      <c r="D959" s="2"/>
      <c r="E959" s="2"/>
      <c r="F959" s="2"/>
      <c r="G959" s="2"/>
      <c r="H959" s="2"/>
      <c r="I959" s="2"/>
      <c r="J959" s="2"/>
      <c r="K959" s="2"/>
      <c r="L959" s="2"/>
      <c r="M959" s="2"/>
      <c r="N959" s="2"/>
      <c r="O959" s="2"/>
      <c r="P959" s="2"/>
      <c r="Q959" s="23"/>
      <c r="R959" s="23"/>
      <c r="S959" s="23"/>
      <c r="T959" s="23"/>
      <c r="U959" s="23"/>
      <c r="V959" s="23"/>
      <c r="W959" s="23"/>
      <c r="X959" s="23"/>
      <c r="Y959" s="23"/>
      <c r="Z959" s="23"/>
    </row>
    <row r="960">
      <c r="A960" s="2"/>
      <c r="B960" s="2"/>
      <c r="C960" s="2"/>
      <c r="D960" s="2"/>
      <c r="E960" s="2"/>
      <c r="F960" s="2"/>
      <c r="G960" s="2"/>
      <c r="H960" s="2"/>
      <c r="I960" s="2"/>
      <c r="J960" s="2"/>
      <c r="K960" s="2"/>
      <c r="L960" s="2"/>
      <c r="M960" s="2"/>
      <c r="N960" s="2"/>
      <c r="O960" s="2"/>
      <c r="P960" s="2"/>
      <c r="Q960" s="23"/>
      <c r="R960" s="23"/>
      <c r="S960" s="23"/>
      <c r="T960" s="23"/>
      <c r="U960" s="23"/>
      <c r="V960" s="23"/>
      <c r="W960" s="23"/>
      <c r="X960" s="23"/>
      <c r="Y960" s="23"/>
      <c r="Z960" s="23"/>
    </row>
    <row r="961">
      <c r="A961" s="2"/>
      <c r="B961" s="2"/>
      <c r="C961" s="2"/>
      <c r="D961" s="2"/>
      <c r="E961" s="2"/>
      <c r="F961" s="2"/>
      <c r="G961" s="2"/>
      <c r="H961" s="2"/>
      <c r="I961" s="2"/>
      <c r="J961" s="2"/>
      <c r="K961" s="2"/>
      <c r="L961" s="2"/>
      <c r="M961" s="2"/>
      <c r="N961" s="2"/>
      <c r="O961" s="2"/>
      <c r="P961" s="2"/>
      <c r="Q961" s="23"/>
      <c r="R961" s="23"/>
      <c r="S961" s="23"/>
      <c r="T961" s="23"/>
      <c r="U961" s="23"/>
      <c r="V961" s="23"/>
      <c r="W961" s="23"/>
      <c r="X961" s="23"/>
      <c r="Y961" s="23"/>
      <c r="Z961" s="23"/>
    </row>
    <row r="962">
      <c r="A962" s="2"/>
      <c r="B962" s="2"/>
      <c r="C962" s="2"/>
      <c r="D962" s="2"/>
      <c r="E962" s="2"/>
      <c r="F962" s="2"/>
      <c r="G962" s="2"/>
      <c r="H962" s="2"/>
      <c r="I962" s="2"/>
      <c r="J962" s="2"/>
      <c r="K962" s="2"/>
      <c r="L962" s="2"/>
      <c r="M962" s="2"/>
      <c r="N962" s="2"/>
      <c r="O962" s="2"/>
      <c r="P962" s="2"/>
      <c r="Q962" s="23"/>
      <c r="R962" s="23"/>
      <c r="S962" s="23"/>
      <c r="T962" s="23"/>
      <c r="U962" s="23"/>
      <c r="V962" s="23"/>
      <c r="W962" s="23"/>
      <c r="X962" s="23"/>
      <c r="Y962" s="23"/>
      <c r="Z962" s="23"/>
    </row>
    <row r="963">
      <c r="A963" s="2"/>
      <c r="B963" s="2"/>
      <c r="C963" s="2"/>
      <c r="D963" s="2"/>
      <c r="E963" s="2"/>
      <c r="F963" s="2"/>
      <c r="G963" s="2"/>
      <c r="H963" s="2"/>
      <c r="I963" s="2"/>
      <c r="J963" s="2"/>
      <c r="K963" s="2"/>
      <c r="L963" s="2"/>
      <c r="M963" s="2"/>
      <c r="N963" s="2"/>
      <c r="O963" s="2"/>
      <c r="P963" s="2"/>
      <c r="Q963" s="23"/>
      <c r="R963" s="23"/>
      <c r="S963" s="23"/>
      <c r="T963" s="23"/>
      <c r="U963" s="23"/>
      <c r="V963" s="23"/>
      <c r="W963" s="23"/>
      <c r="X963" s="23"/>
      <c r="Y963" s="23"/>
      <c r="Z963" s="23"/>
    </row>
    <row r="964">
      <c r="A964" s="2"/>
      <c r="B964" s="2"/>
      <c r="C964" s="2"/>
      <c r="D964" s="2"/>
      <c r="E964" s="2"/>
      <c r="F964" s="2"/>
      <c r="G964" s="2"/>
      <c r="H964" s="2"/>
      <c r="I964" s="2"/>
      <c r="J964" s="2"/>
      <c r="K964" s="2"/>
      <c r="L964" s="2"/>
      <c r="M964" s="2"/>
      <c r="N964" s="2"/>
      <c r="O964" s="2"/>
      <c r="P964" s="2"/>
      <c r="Q964" s="23"/>
      <c r="R964" s="23"/>
      <c r="S964" s="23"/>
      <c r="T964" s="23"/>
      <c r="U964" s="23"/>
      <c r="V964" s="23"/>
      <c r="W964" s="23"/>
      <c r="X964" s="23"/>
      <c r="Y964" s="23"/>
      <c r="Z964" s="23"/>
    </row>
    <row r="965">
      <c r="A965" s="2"/>
      <c r="B965" s="2"/>
      <c r="C965" s="2"/>
      <c r="D965" s="2"/>
      <c r="E965" s="2"/>
      <c r="F965" s="2"/>
      <c r="G965" s="2"/>
      <c r="H965" s="2"/>
      <c r="I965" s="2"/>
      <c r="J965" s="2"/>
      <c r="K965" s="2"/>
      <c r="L965" s="2"/>
      <c r="M965" s="2"/>
      <c r="N965" s="2"/>
      <c r="O965" s="2"/>
      <c r="P965" s="2"/>
      <c r="Q965" s="23"/>
      <c r="R965" s="23"/>
      <c r="S965" s="23"/>
      <c r="T965" s="23"/>
      <c r="U965" s="23"/>
      <c r="V965" s="23"/>
      <c r="W965" s="23"/>
      <c r="X965" s="23"/>
      <c r="Y965" s="23"/>
      <c r="Z965" s="23"/>
    </row>
    <row r="966">
      <c r="A966" s="2"/>
      <c r="B966" s="2"/>
      <c r="C966" s="2"/>
      <c r="D966" s="2"/>
      <c r="E966" s="2"/>
      <c r="F966" s="2"/>
      <c r="G966" s="2"/>
      <c r="H966" s="2"/>
      <c r="I966" s="2"/>
      <c r="J966" s="2"/>
      <c r="K966" s="2"/>
      <c r="L966" s="2"/>
      <c r="M966" s="2"/>
      <c r="N966" s="2"/>
      <c r="O966" s="2"/>
      <c r="P966" s="2"/>
      <c r="Q966" s="23"/>
      <c r="R966" s="23"/>
      <c r="S966" s="23"/>
      <c r="T966" s="23"/>
      <c r="U966" s="23"/>
      <c r="V966" s="23"/>
      <c r="W966" s="23"/>
      <c r="X966" s="23"/>
      <c r="Y966" s="23"/>
      <c r="Z966" s="23"/>
    </row>
    <row r="967">
      <c r="A967" s="2"/>
      <c r="B967" s="2"/>
      <c r="C967" s="2"/>
      <c r="D967" s="2"/>
      <c r="E967" s="2"/>
      <c r="F967" s="2"/>
      <c r="G967" s="2"/>
      <c r="H967" s="2"/>
      <c r="I967" s="2"/>
      <c r="J967" s="2"/>
      <c r="K967" s="2"/>
      <c r="L967" s="2"/>
      <c r="M967" s="2"/>
      <c r="N967" s="2"/>
      <c r="O967" s="2"/>
      <c r="P967" s="2"/>
      <c r="Q967" s="23"/>
      <c r="R967" s="23"/>
      <c r="S967" s="23"/>
      <c r="T967" s="23"/>
      <c r="U967" s="23"/>
      <c r="V967" s="23"/>
      <c r="W967" s="23"/>
      <c r="X967" s="23"/>
      <c r="Y967" s="23"/>
      <c r="Z967" s="23"/>
    </row>
    <row r="968">
      <c r="A968" s="2"/>
      <c r="B968" s="2"/>
      <c r="C968" s="2"/>
      <c r="D968" s="2"/>
      <c r="E968" s="2"/>
      <c r="F968" s="2"/>
      <c r="G968" s="2"/>
      <c r="H968" s="2"/>
      <c r="I968" s="2"/>
      <c r="J968" s="2"/>
      <c r="K968" s="2"/>
      <c r="L968" s="2"/>
      <c r="M968" s="2"/>
      <c r="N968" s="2"/>
      <c r="O968" s="2"/>
      <c r="P968" s="2"/>
      <c r="Q968" s="23"/>
      <c r="R968" s="23"/>
      <c r="S968" s="23"/>
      <c r="T968" s="23"/>
      <c r="U968" s="23"/>
      <c r="V968" s="23"/>
      <c r="W968" s="23"/>
      <c r="X968" s="23"/>
      <c r="Y968" s="23"/>
      <c r="Z968" s="23"/>
    </row>
    <row r="969">
      <c r="A969" s="2"/>
      <c r="B969" s="2"/>
      <c r="C969" s="2"/>
      <c r="D969" s="2"/>
      <c r="E969" s="2"/>
      <c r="F969" s="2"/>
      <c r="G969" s="2"/>
      <c r="H969" s="2"/>
      <c r="I969" s="2"/>
      <c r="J969" s="2"/>
      <c r="K969" s="2"/>
      <c r="L969" s="2"/>
      <c r="M969" s="2"/>
      <c r="N969" s="2"/>
      <c r="O969" s="2"/>
      <c r="P969" s="2"/>
      <c r="Q969" s="23"/>
      <c r="R969" s="23"/>
      <c r="S969" s="23"/>
      <c r="T969" s="23"/>
      <c r="U969" s="23"/>
      <c r="V969" s="23"/>
      <c r="W969" s="23"/>
      <c r="X969" s="23"/>
      <c r="Y969" s="23"/>
      <c r="Z969" s="23"/>
    </row>
    <row r="970">
      <c r="A970" s="2"/>
      <c r="B970" s="2"/>
      <c r="C970" s="2"/>
      <c r="D970" s="2"/>
      <c r="E970" s="2"/>
      <c r="F970" s="2"/>
      <c r="G970" s="2"/>
      <c r="H970" s="2"/>
      <c r="I970" s="2"/>
      <c r="J970" s="2"/>
      <c r="K970" s="2"/>
      <c r="L970" s="2"/>
      <c r="M970" s="2"/>
      <c r="N970" s="2"/>
      <c r="O970" s="2"/>
      <c r="P970" s="2"/>
      <c r="Q970" s="23"/>
      <c r="R970" s="23"/>
      <c r="S970" s="23"/>
      <c r="T970" s="23"/>
      <c r="U970" s="23"/>
      <c r="V970" s="23"/>
      <c r="W970" s="23"/>
      <c r="X970" s="23"/>
      <c r="Y970" s="23"/>
      <c r="Z970" s="23"/>
    </row>
    <row r="971">
      <c r="A971" s="2"/>
      <c r="B971" s="2"/>
      <c r="C971" s="2"/>
      <c r="D971" s="2"/>
      <c r="E971" s="2"/>
      <c r="F971" s="2"/>
      <c r="G971" s="2"/>
      <c r="H971" s="2"/>
      <c r="I971" s="2"/>
      <c r="J971" s="2"/>
      <c r="K971" s="2"/>
      <c r="L971" s="2"/>
      <c r="M971" s="2"/>
      <c r="N971" s="2"/>
      <c r="O971" s="2"/>
      <c r="P971" s="2"/>
      <c r="Q971" s="23"/>
      <c r="R971" s="23"/>
      <c r="S971" s="23"/>
      <c r="T971" s="23"/>
      <c r="U971" s="23"/>
      <c r="V971" s="23"/>
      <c r="W971" s="23"/>
      <c r="X971" s="23"/>
      <c r="Y971" s="23"/>
      <c r="Z971" s="23"/>
    </row>
    <row r="972">
      <c r="A972" s="2"/>
      <c r="B972" s="2"/>
      <c r="C972" s="2"/>
      <c r="D972" s="2"/>
      <c r="E972" s="2"/>
      <c r="F972" s="2"/>
      <c r="G972" s="2"/>
      <c r="H972" s="2"/>
      <c r="I972" s="2"/>
      <c r="J972" s="2"/>
      <c r="K972" s="2"/>
      <c r="L972" s="2"/>
      <c r="M972" s="2"/>
      <c r="N972" s="2"/>
      <c r="O972" s="2"/>
      <c r="P972" s="2"/>
      <c r="Q972" s="23"/>
      <c r="R972" s="23"/>
      <c r="S972" s="23"/>
      <c r="T972" s="23"/>
      <c r="U972" s="23"/>
      <c r="V972" s="23"/>
      <c r="W972" s="23"/>
      <c r="X972" s="23"/>
      <c r="Y972" s="23"/>
      <c r="Z972" s="23"/>
    </row>
    <row r="973">
      <c r="A973" s="2"/>
      <c r="B973" s="2"/>
      <c r="C973" s="2"/>
      <c r="D973" s="2"/>
      <c r="E973" s="2"/>
      <c r="F973" s="2"/>
      <c r="G973" s="2"/>
      <c r="H973" s="2"/>
      <c r="I973" s="2"/>
      <c r="J973" s="2"/>
      <c r="K973" s="2"/>
      <c r="L973" s="2"/>
      <c r="M973" s="2"/>
      <c r="N973" s="2"/>
      <c r="O973" s="2"/>
      <c r="P973" s="2"/>
      <c r="Q973" s="23"/>
      <c r="R973" s="23"/>
      <c r="S973" s="23"/>
      <c r="T973" s="23"/>
      <c r="U973" s="23"/>
      <c r="V973" s="23"/>
      <c r="W973" s="23"/>
      <c r="X973" s="23"/>
      <c r="Y973" s="23"/>
      <c r="Z973" s="23"/>
    </row>
    <row r="974">
      <c r="A974" s="2"/>
      <c r="B974" s="2"/>
      <c r="C974" s="2"/>
      <c r="D974" s="2"/>
      <c r="E974" s="2"/>
      <c r="F974" s="2"/>
      <c r="G974" s="2"/>
      <c r="H974" s="2"/>
      <c r="I974" s="2"/>
      <c r="J974" s="2"/>
      <c r="K974" s="2"/>
      <c r="L974" s="2"/>
      <c r="M974" s="2"/>
      <c r="N974" s="2"/>
      <c r="O974" s="2"/>
      <c r="P974" s="2"/>
      <c r="Q974" s="23"/>
      <c r="R974" s="23"/>
      <c r="S974" s="23"/>
      <c r="T974" s="23"/>
      <c r="U974" s="23"/>
      <c r="V974" s="23"/>
      <c r="W974" s="23"/>
      <c r="X974" s="23"/>
      <c r="Y974" s="23"/>
      <c r="Z974" s="23"/>
    </row>
    <row r="97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sheetData>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3" width="12.75"/>
    <col customWidth="1" min="5" max="5" width="12.75"/>
    <col customWidth="1" min="9" max="10" width="12.75"/>
  </cols>
  <sheetData>
    <row r="1">
      <c r="A1" s="1" t="s">
        <v>0</v>
      </c>
      <c r="B1" s="1" t="s">
        <v>1</v>
      </c>
      <c r="C1" s="1" t="s">
        <v>2</v>
      </c>
      <c r="D1" s="1" t="s">
        <v>3</v>
      </c>
      <c r="E1" s="1" t="s">
        <v>4</v>
      </c>
      <c r="F1" s="2"/>
      <c r="G1" s="2"/>
      <c r="H1" s="1" t="s">
        <v>5</v>
      </c>
      <c r="I1" s="1" t="s">
        <v>6</v>
      </c>
      <c r="J1" s="1" t="s">
        <v>7</v>
      </c>
      <c r="K1" s="1" t="s">
        <v>4</v>
      </c>
      <c r="L1" s="3"/>
      <c r="M1" s="3"/>
      <c r="N1" s="3"/>
      <c r="O1" s="3"/>
      <c r="P1" s="3"/>
      <c r="Q1" s="2"/>
      <c r="R1" s="2"/>
      <c r="S1" s="2"/>
      <c r="T1" s="2"/>
      <c r="U1" s="2"/>
      <c r="V1" s="2"/>
      <c r="W1" s="2"/>
      <c r="X1" s="2"/>
      <c r="Y1" s="2"/>
      <c r="Z1" s="2"/>
      <c r="AA1" s="2"/>
      <c r="AB1" s="2"/>
    </row>
    <row r="2">
      <c r="A2" s="4">
        <v>1.0</v>
      </c>
      <c r="B2" s="5" t="s">
        <v>1397</v>
      </c>
      <c r="C2" s="5" t="s">
        <v>1398</v>
      </c>
      <c r="D2" s="5" t="s">
        <v>1399</v>
      </c>
      <c r="E2" s="5" t="s">
        <v>1400</v>
      </c>
      <c r="F2" s="2"/>
      <c r="G2" s="2"/>
      <c r="H2" s="4" t="str">
        <f>IFERROR(__xludf.DUMMYFUNCTION("GOOGLETRANSLATE(B2, ""en"", ""zh"")"),"在剑子游戏中，游戏过程中使用的主要物品是什么？")</f>
        <v>在剑子游戏中，游戏过程中使用的主要物品是什么？</v>
      </c>
      <c r="I2" s="4" t="str">
        <f>IFERROR(__xludf.DUMMYFUNCTION("GOOGLETRANSLATE(C2, ""en"", ""zh"")"),"A) 球，B) 羽毛球，C) 飞盘，D) 棍子")</f>
        <v>A) 球，B) 羽毛球，C) 飞盘，D) 棍子</v>
      </c>
      <c r="J2" s="4" t="str">
        <f>IFERROR(__xludf.DUMMYFUNCTION("GOOGLETRANSLATE(D2, ""en"", ""zh"")"),"B）羽毛球")</f>
        <v>B）羽毛球</v>
      </c>
      <c r="K2" s="4" t="str">
        <f>IFERROR(__xludf.DUMMYFUNCTION("GOOGLETRANSLATE(E2, ""en"", ""zh"")"),"毽子是一种使用加重羽毛球的运动，球员用脚将羽毛球保持在空中。")</f>
        <v>毽子是一种使用加重羽毛球的运动，球员用脚将羽毛球保持在空中。</v>
      </c>
      <c r="L2" s="2"/>
      <c r="M2" s="3"/>
      <c r="N2" s="2"/>
      <c r="O2" s="3"/>
      <c r="P2" s="3"/>
      <c r="Q2" s="2"/>
      <c r="R2" s="2"/>
      <c r="S2" s="2"/>
      <c r="T2" s="2"/>
      <c r="U2" s="2"/>
      <c r="V2" s="2"/>
      <c r="W2" s="2"/>
      <c r="X2" s="2"/>
      <c r="Y2" s="2"/>
      <c r="Z2" s="2"/>
      <c r="AA2" s="2"/>
      <c r="AB2" s="2"/>
    </row>
    <row r="3">
      <c r="A3" s="4">
        <v>2.0</v>
      </c>
      <c r="B3" s="5" t="s">
        <v>1401</v>
      </c>
      <c r="C3" s="5" t="s">
        <v>1402</v>
      </c>
      <c r="D3" s="5" t="s">
        <v>116</v>
      </c>
      <c r="E3" s="5" t="s">
        <v>1403</v>
      </c>
      <c r="F3" s="2"/>
      <c r="G3" s="2"/>
      <c r="H3" s="4" t="str">
        <f>IFERROR(__xludf.DUMMYFUNCTION("GOOGLETRANSLATE(B3, ""en"", ""zh"")"),"演奏戬子主要用到身体的哪个部位？")</f>
        <v>演奏戬子主要用到身体的哪个部位？</v>
      </c>
      <c r="I3" s="4" t="str">
        <f>IFERROR(__xludf.DUMMYFUNCTION("GOOGLETRANSLATE(C3, ""en"", ""zh"")"),"A) 手，B) 脚，C) 头，D) 肘部")</f>
        <v>A) 手，B) 脚，C) 头，D) 肘部</v>
      </c>
      <c r="J3" s="4" t="str">
        <f>IFERROR(__xludf.DUMMYFUNCTION("GOOGLETRANSLATE(D3, ""en"", ""zh"")"),"B）脚")</f>
        <v>B）脚</v>
      </c>
      <c r="K3" s="4" t="str">
        <f>IFERROR(__xludf.DUMMYFUNCTION("GOOGLETRANSLATE(E3, ""en"", ""zh"")"),"球员主要用脚来控制羽毛球在空中飞行。")</f>
        <v>球员主要用脚来控制羽毛球在空中飞行。</v>
      </c>
      <c r="L3" s="2"/>
      <c r="M3" s="3"/>
      <c r="N3" s="2"/>
      <c r="O3" s="3"/>
      <c r="P3" s="3"/>
      <c r="Q3" s="2"/>
      <c r="R3" s="2"/>
      <c r="S3" s="2"/>
      <c r="T3" s="2"/>
      <c r="U3" s="2"/>
      <c r="V3" s="2"/>
      <c r="W3" s="2"/>
      <c r="X3" s="2"/>
      <c r="Y3" s="2"/>
      <c r="Z3" s="2"/>
      <c r="AA3" s="2"/>
      <c r="AB3" s="2"/>
    </row>
    <row r="4">
      <c r="A4" s="4">
        <v>3.0</v>
      </c>
      <c r="B4" s="5" t="s">
        <v>1404</v>
      </c>
      <c r="C4" s="5" t="s">
        <v>1405</v>
      </c>
      <c r="D4" s="5" t="s">
        <v>1406</v>
      </c>
      <c r="E4" s="5" t="s">
        <v>1407</v>
      </c>
      <c r="F4" s="2"/>
      <c r="G4" s="2"/>
      <c r="H4" s="4" t="str">
        <f>IFERROR(__xludf.DUMMYFUNCTION("GOOGLETRANSLATE(B4, ""en"", ""zh"")"),"下列哪一项在“建字”中是不允许的？")</f>
        <v>下列哪一项在“建字”中是不允许的？</v>
      </c>
      <c r="I4" s="4" t="str">
        <f>IFERROR(__xludf.DUMMYFUNCTION("GOOGLETRANSLATE(C4, ""en"", ""zh"")"),"A) 用手，B) 用脚，C) 用头，D) 赤脚踢球")</f>
        <v>A) 用手，B) 用脚，C) 用头，D) 赤脚踢球</v>
      </c>
      <c r="J4" s="4" t="str">
        <f>IFERROR(__xludf.DUMMYFUNCTION("GOOGLETRANSLATE(D4, ""en"", ""zh"")"),"A) 用手")</f>
        <v>A) 用手</v>
      </c>
      <c r="K4" s="4" t="str">
        <f>IFERROR(__xludf.DUMMYFUNCTION("GOOGLETRANSLATE(E4, ""en"", ""zh"")"),"球员不允许用手触球。")</f>
        <v>球员不允许用手触球。</v>
      </c>
      <c r="L4" s="2"/>
      <c r="M4" s="3"/>
      <c r="N4" s="2"/>
      <c r="O4" s="3"/>
      <c r="P4" s="2"/>
      <c r="Q4" s="2"/>
      <c r="R4" s="2"/>
      <c r="S4" s="2"/>
      <c r="T4" s="2"/>
      <c r="U4" s="2"/>
      <c r="V4" s="2"/>
      <c r="W4" s="2"/>
      <c r="X4" s="2"/>
      <c r="Y4" s="2"/>
      <c r="Z4" s="2"/>
      <c r="AA4" s="2"/>
      <c r="AB4" s="2"/>
    </row>
    <row r="5">
      <c r="A5" s="4">
        <v>4.0</v>
      </c>
      <c r="B5" s="5" t="s">
        <v>1408</v>
      </c>
      <c r="C5" s="5" t="s">
        <v>1409</v>
      </c>
      <c r="D5" s="5" t="s">
        <v>1410</v>
      </c>
      <c r="E5" s="5" t="s">
        <v>1411</v>
      </c>
      <c r="F5" s="2"/>
      <c r="G5" s="2"/>
      <c r="H5" s="4" t="str">
        <f>IFERROR(__xludf.DUMMYFUNCTION("GOOGLETRANSLATE(B5, ""en"", ""zh"")"),"建子的主要目标是什么？")</f>
        <v>建子的主要目标是什么？</v>
      </c>
      <c r="I5" s="4" t="str">
        <f>IFERROR(__xludf.DUMMYFUNCTION("GOOGLETRANSLATE(C5, ""en"", ""zh"")"),"A) 得分，B) 让羽毛球保持在空中，C) 击中目标，D) 传球")</f>
        <v>A) 得分，B) 让羽毛球保持在空中，C) 击中目标，D) 传球</v>
      </c>
      <c r="J5" s="4" t="str">
        <f>IFERROR(__xludf.DUMMYFUNCTION("GOOGLETRANSLATE(D5, ""en"", ""zh"")"),"B）保持羽毛球在空中飞行")</f>
        <v>B）保持羽毛球在空中飞行</v>
      </c>
      <c r="K5" s="4" t="str">
        <f>IFERROR(__xludf.DUMMYFUNCTION("GOOGLETRANSLATE(E5, ""en"", ""zh"")"),"主要目的是防止羽毛球触地。")</f>
        <v>主要目的是防止羽毛球触地。</v>
      </c>
      <c r="L5" s="3"/>
      <c r="M5" s="3"/>
      <c r="N5" s="3"/>
      <c r="O5" s="3"/>
      <c r="P5" s="3"/>
      <c r="Q5" s="2"/>
      <c r="R5" s="2"/>
      <c r="S5" s="2"/>
      <c r="T5" s="2"/>
      <c r="U5" s="2"/>
      <c r="V5" s="2"/>
      <c r="W5" s="2"/>
      <c r="X5" s="2"/>
      <c r="Y5" s="2"/>
      <c r="Z5" s="2"/>
      <c r="AA5" s="2"/>
      <c r="AB5" s="2"/>
    </row>
    <row r="6">
      <c r="A6" s="4">
        <v>5.0</v>
      </c>
      <c r="B6" s="5" t="s">
        <v>1412</v>
      </c>
      <c r="C6" s="5" t="s">
        <v>1413</v>
      </c>
      <c r="D6" s="5" t="s">
        <v>1414</v>
      </c>
      <c r="E6" s="5" t="s">
        <v>1415</v>
      </c>
      <c r="F6" s="2"/>
      <c r="G6" s="2"/>
      <c r="H6" s="4" t="str">
        <f>IFERROR(__xludf.DUMMYFUNCTION("GOOGLETRANSLATE(B6, ""en"", ""zh"")"),"毽子所用羽毛球的标准直径是多少？")</f>
        <v>毽子所用羽毛球的标准直径是多少？</v>
      </c>
      <c r="I6" s="4" t="str">
        <f>IFERROR(__xludf.DUMMYFUNCTION("GOOGLETRANSLATE(C6, ""en"", ""zh"")"),"A) 12 厘米，B) 15 厘米，C) 10 厘米，D) 8 厘米")</f>
        <v>A) 12 厘米，B) 15 厘米，C) 10 厘米，D) 8 厘米</v>
      </c>
      <c r="J6" s="4" t="str">
        <f>IFERROR(__xludf.DUMMYFUNCTION("GOOGLETRANSLATE(D6, ""en"", ""zh"")"),"A) 12 厘米")</f>
        <v>A) 12 厘米</v>
      </c>
      <c r="K6" s="4" t="str">
        <f>IFERROR(__xludf.DUMMYFUNCTION("GOOGLETRANSLATE(E6, ""en"", ""zh"")"),"标准比赛中使用的羽毛球直径通常约为 12 厘米。")</f>
        <v>标准比赛中使用的羽毛球直径通常约为 12 厘米。</v>
      </c>
      <c r="L6" s="2"/>
      <c r="M6" s="3"/>
      <c r="N6" s="2"/>
      <c r="O6" s="3"/>
      <c r="P6" s="3"/>
      <c r="Q6" s="2"/>
      <c r="R6" s="2"/>
      <c r="S6" s="2"/>
      <c r="T6" s="2"/>
      <c r="U6" s="2"/>
      <c r="V6" s="2"/>
      <c r="W6" s="2"/>
      <c r="X6" s="2"/>
      <c r="Y6" s="2"/>
      <c r="Z6" s="2"/>
      <c r="AA6" s="2"/>
      <c r="AB6" s="2"/>
    </row>
    <row r="7">
      <c r="A7" s="4">
        <v>6.0</v>
      </c>
      <c r="B7" s="5" t="s">
        <v>1416</v>
      </c>
      <c r="C7" s="5" t="s">
        <v>1417</v>
      </c>
      <c r="D7" s="5" t="s">
        <v>1418</v>
      </c>
      <c r="E7" s="5" t="s">
        <v>1419</v>
      </c>
      <c r="F7" s="2"/>
      <c r="G7" s="2"/>
      <c r="H7" s="4" t="str">
        <f>IFERROR(__xludf.DUMMYFUNCTION("GOOGLETRANSLATE(B7, ""en"", ""zh"")"),"毽子球的底部通常使用什么材料？")</f>
        <v>毽子球的底部通常使用什么材料？</v>
      </c>
      <c r="I7" s="4" t="str">
        <f>IFERROR(__xludf.DUMMYFUNCTION("GOOGLETRANSLATE(C7, ""en"", ""zh"")"),"A) 木头，B) 塑料，C) 金属，D) 羽毛")</f>
        <v>A) 木头，B) 塑料，C) 金属，D) 羽毛</v>
      </c>
      <c r="J7" s="4" t="str">
        <f>IFERROR(__xludf.DUMMYFUNCTION("GOOGLETRANSLATE(D7, ""en"", ""zh"")"),"C) 金属")</f>
        <v>C) 金属</v>
      </c>
      <c r="K7" s="4" t="str">
        <f>IFERROR(__xludf.DUMMYFUNCTION("GOOGLETRANSLATE(E7, ""en"", ""zh"")"),"为了增加重量和保持平衡，羽毛球的底部通常由金属制成。")</f>
        <v>为了增加重量和保持平衡，羽毛球的底部通常由金属制成。</v>
      </c>
      <c r="L7" s="2"/>
      <c r="M7" s="3"/>
      <c r="N7" s="2"/>
      <c r="O7" s="3"/>
      <c r="P7" s="2"/>
      <c r="Q7" s="2"/>
      <c r="R7" s="2"/>
      <c r="S7" s="2"/>
      <c r="T7" s="2"/>
      <c r="U7" s="2"/>
      <c r="V7" s="2"/>
      <c r="W7" s="2"/>
      <c r="X7" s="2"/>
      <c r="Y7" s="2"/>
      <c r="Z7" s="2"/>
      <c r="AA7" s="2"/>
      <c r="AB7" s="2"/>
    </row>
    <row r="8">
      <c r="A8" s="4">
        <v>7.0</v>
      </c>
      <c r="B8" s="5" t="s">
        <v>1420</v>
      </c>
      <c r="C8" s="5" t="s">
        <v>1421</v>
      </c>
      <c r="D8" s="5" t="s">
        <v>1176</v>
      </c>
      <c r="E8" s="5" t="s">
        <v>1422</v>
      </c>
      <c r="F8" s="2"/>
      <c r="G8" s="2"/>
      <c r="H8" s="4" t="str">
        <f>IFERROR(__xludf.DUMMYFUNCTION("GOOGLETRANSLATE(B8, ""en"", ""zh"")"),"毽子双打队伍最多允许有多少名球员？")</f>
        <v>毽子双打队伍最多允许有多少名球员？</v>
      </c>
      <c r="I8" s="4" t="str">
        <f>IFERROR(__xludf.DUMMYFUNCTION("GOOGLETRANSLATE(C8, ""en"", ""zh"")"),"A) 2，B) 3，C) 4，D) 5")</f>
        <v>A) 2，B) 3，C) 4，D) 5</v>
      </c>
      <c r="J8" s="4" t="str">
        <f>IFERROR(__xludf.DUMMYFUNCTION("GOOGLETRANSLATE(D8, ""en"", ""zh"")"),"A) 2")</f>
        <v>A) 2</v>
      </c>
      <c r="K8" s="4" t="str">
        <f>IFERROR(__xludf.DUMMYFUNCTION("GOOGLETRANSLATE(E8, ""en"", ""zh"")"),"剑子双打比赛每队由两名球员组成。")</f>
        <v>剑子双打比赛每队由两名球员组成。</v>
      </c>
      <c r="L8" s="2"/>
      <c r="M8" s="3"/>
      <c r="N8" s="3"/>
      <c r="O8" s="3"/>
      <c r="P8" s="3"/>
      <c r="Q8" s="2"/>
      <c r="R8" s="2"/>
      <c r="S8" s="2"/>
      <c r="T8" s="2"/>
      <c r="U8" s="2"/>
      <c r="V8" s="2"/>
      <c r="W8" s="2"/>
      <c r="X8" s="2"/>
      <c r="Y8" s="2"/>
      <c r="Z8" s="2"/>
      <c r="AA8" s="2"/>
      <c r="AB8" s="2"/>
    </row>
    <row r="9">
      <c r="A9" s="4">
        <v>8.0</v>
      </c>
      <c r="B9" s="5" t="s">
        <v>1423</v>
      </c>
      <c r="C9" s="5" t="s">
        <v>1424</v>
      </c>
      <c r="D9" s="5" t="s">
        <v>1425</v>
      </c>
      <c r="E9" s="5" t="s">
        <v>1426</v>
      </c>
      <c r="F9" s="2"/>
      <c r="G9" s="2"/>
      <c r="H9" s="4" t="str">
        <f>IFERROR(__xludf.DUMMYFUNCTION("GOOGLETRANSLATE(B9, ""en"", ""zh"")"),"竞技毽子比赛的场地尺寸是多少？")</f>
        <v>竞技毽子比赛的场地尺寸是多少？</v>
      </c>
      <c r="I9" s="4" t="str">
        <f>IFERROR(__xludf.DUMMYFUNCTION("GOOGLETRANSLATE(C9, ""en"", ""zh"")"),"A) 5×10米，B) 6×11米，C) 6×12米，D) 7×13米")</f>
        <v>A) 5×10米，B) 6×11米，C) 6×12米，D) 7×13米</v>
      </c>
      <c r="J9" s="4" t="str">
        <f>IFERROR(__xludf.DUMMYFUNCTION("GOOGLETRANSLATE(D9, ""en"", ""zh"")"),"B) 6x11米")</f>
        <v>B) 6x11米</v>
      </c>
      <c r="K9" s="4" t="str">
        <f>IFERROR(__xludf.DUMMYFUNCTION("GOOGLETRANSLATE(E9, ""en"", ""zh"")"),"竞技毽子的官方场地尺寸为6×11米。")</f>
        <v>竞技毽子的官方场地尺寸为6×11米。</v>
      </c>
      <c r="L9" s="2"/>
      <c r="M9" s="3"/>
      <c r="N9" s="2"/>
      <c r="O9" s="3"/>
      <c r="P9" s="3"/>
      <c r="Q9" s="2"/>
      <c r="R9" s="2"/>
      <c r="S9" s="2"/>
      <c r="T9" s="2"/>
      <c r="U9" s="2"/>
      <c r="V9" s="2"/>
      <c r="W9" s="2"/>
      <c r="X9" s="2"/>
      <c r="Y9" s="2"/>
      <c r="Z9" s="2"/>
      <c r="AA9" s="2"/>
      <c r="AB9" s="2"/>
    </row>
    <row r="10">
      <c r="A10" s="4">
        <v>9.0</v>
      </c>
      <c r="B10" s="5" t="s">
        <v>1427</v>
      </c>
      <c r="C10" s="5" t="s">
        <v>1428</v>
      </c>
      <c r="D10" s="5" t="s">
        <v>1429</v>
      </c>
      <c r="E10" s="5" t="s">
        <v>1430</v>
      </c>
      <c r="F10" s="2"/>
      <c r="G10" s="2"/>
      <c r="H10" s="4" t="str">
        <f>IFERROR(__xludf.DUMMYFUNCTION("GOOGLETRANSLATE(B10, ""en"", ""zh"")"),"在剑式比赛中，赢得一局需要多少分？")</f>
        <v>在剑式比赛中，赢得一局需要多少分？</v>
      </c>
      <c r="I10" s="4" t="str">
        <f>IFERROR(__xludf.DUMMYFUNCTION("GOOGLETRANSLATE(C10, ""en"", ""zh"")"),"A) 15，B) 21，C) 25，D) 30")</f>
        <v>A) 15，B) 21，C) 25，D) 30</v>
      </c>
      <c r="J10" s="4" t="str">
        <f>IFERROR(__xludf.DUMMYFUNCTION("GOOGLETRANSLATE(D10, ""en"", ""zh"")"),"B) 21")</f>
        <v>B) 21</v>
      </c>
      <c r="K10" s="4" t="str">
        <f>IFERROR(__xludf.DUMMYFUNCTION("GOOGLETRANSLATE(E10, ""en"", ""zh"")"),"竞技棋子比赛每局21分制。")</f>
        <v>竞技棋子比赛每局21分制。</v>
      </c>
      <c r="L10" s="2"/>
      <c r="M10" s="3"/>
      <c r="N10" s="3"/>
      <c r="O10" s="3"/>
      <c r="P10" s="3"/>
      <c r="Q10" s="2"/>
      <c r="R10" s="2"/>
      <c r="S10" s="2"/>
      <c r="T10" s="2"/>
      <c r="U10" s="2"/>
      <c r="V10" s="2"/>
      <c r="W10" s="2"/>
      <c r="X10" s="2"/>
      <c r="Y10" s="2"/>
      <c r="Z10" s="2"/>
      <c r="AA10" s="2"/>
      <c r="AB10" s="2"/>
    </row>
    <row r="11">
      <c r="A11" s="4">
        <v>10.0</v>
      </c>
      <c r="B11" s="5" t="s">
        <v>1431</v>
      </c>
      <c r="C11" s="5" t="s">
        <v>1432</v>
      </c>
      <c r="D11" s="5" t="s">
        <v>1433</v>
      </c>
      <c r="E11" s="5" t="s">
        <v>1434</v>
      </c>
      <c r="F11" s="2"/>
      <c r="G11" s="2"/>
      <c r="H11" s="4" t="str">
        <f>IFERROR(__xludf.DUMMYFUNCTION("GOOGLETRANSLATE(B11, ""en"", ""zh"")"),"毽子中，如果毽子触地会发生什么？")</f>
        <v>毽子中，如果毽子触地会发生什么？</v>
      </c>
      <c r="I11" s="4" t="str">
        <f>IFERROR(__xludf.DUMMYFUNCTION("GOOGLETRANSLATE(C11, ""en"", ""zh"")"),"A) 比赛继续进行，B) 该分失掉，C) 判罚点球，D) 比赛重新开始")</f>
        <v>A) 比赛继续进行，B) 该分失掉，C) 判罚点球，D) 比赛重新开始</v>
      </c>
      <c r="J11" s="4" t="str">
        <f>IFERROR(__xludf.DUMMYFUNCTION("GOOGLETRANSLATE(D11, ""en"", ""zh"")"),"B) 这一点丢了")</f>
        <v>B) 这一点丢了</v>
      </c>
      <c r="K11" s="4" t="str">
        <f>IFERROR(__xludf.DUMMYFUNCTION("GOOGLETRANSLATE(E11, ""en"", ""zh"")"),"如果羽毛球触地，则该球员或球队失分。")</f>
        <v>如果羽毛球触地，则该球员或球队失分。</v>
      </c>
      <c r="L11" s="2"/>
      <c r="M11" s="3"/>
      <c r="N11" s="3"/>
      <c r="O11" s="3"/>
      <c r="P11" s="3"/>
      <c r="Q11" s="2"/>
      <c r="R11" s="2"/>
      <c r="S11" s="2"/>
      <c r="T11" s="2"/>
      <c r="U11" s="2"/>
      <c r="V11" s="2"/>
      <c r="W11" s="2"/>
      <c r="X11" s="2"/>
      <c r="Y11" s="2"/>
      <c r="Z11" s="2"/>
      <c r="AA11" s="2"/>
      <c r="AB11" s="2"/>
    </row>
    <row r="12">
      <c r="A12" s="4">
        <v>11.0</v>
      </c>
      <c r="B12" s="5" t="s">
        <v>1435</v>
      </c>
      <c r="C12" s="5" t="s">
        <v>1436</v>
      </c>
      <c r="D12" s="5" t="s">
        <v>1437</v>
      </c>
      <c r="E12" s="5" t="s">
        <v>1438</v>
      </c>
      <c r="F12" s="2"/>
      <c r="G12" s="2"/>
      <c r="H12" s="4" t="str">
        <f>IFERROR(__xludf.DUMMYFUNCTION("GOOGLETRANSLATE(B12, ""en"", ""zh"")"),"在建子中，以下哪项技能最为关键？")</f>
        <v>在建子中，以下哪项技能最为关键？</v>
      </c>
      <c r="I12" s="4" t="str">
        <f>IFERROR(__xludf.DUMMYFUNCTION("GOOGLETRANSLATE(C12, ""en"", ""zh"")"),"A) 踢球，B) 投掷，C) 接球，D) 跳跃")</f>
        <v>A) 踢球，B) 投掷，C) 接球，D) 跳跃</v>
      </c>
      <c r="J12" s="4" t="str">
        <f>IFERROR(__xludf.DUMMYFUNCTION("GOOGLETRANSLATE(D12, ""en"", ""zh"")"),"A) 踢")</f>
        <v>A) 踢</v>
      </c>
      <c r="K12" s="4" t="str">
        <f>IFERROR(__xludf.DUMMYFUNCTION("GOOGLETRANSLATE(E12, ""en"", ""zh"")"),"踢球对于控制和发射羽毛球至关重要。")</f>
        <v>踢球对于控制和发射羽毛球至关重要。</v>
      </c>
      <c r="L12" s="2"/>
      <c r="M12" s="3"/>
      <c r="N12" s="2"/>
      <c r="O12" s="3"/>
      <c r="P12" s="3"/>
      <c r="Q12" s="2"/>
      <c r="R12" s="2"/>
      <c r="S12" s="2"/>
      <c r="T12" s="2"/>
      <c r="U12" s="2"/>
      <c r="V12" s="2"/>
      <c r="W12" s="2"/>
      <c r="X12" s="2"/>
      <c r="Y12" s="2"/>
      <c r="Z12" s="2"/>
      <c r="AA12" s="2"/>
      <c r="AB12" s="2"/>
    </row>
    <row r="13">
      <c r="A13" s="4">
        <v>12.0</v>
      </c>
      <c r="B13" s="5" t="s">
        <v>1439</v>
      </c>
      <c r="C13" s="5" t="s">
        <v>1440</v>
      </c>
      <c r="D13" s="5" t="s">
        <v>247</v>
      </c>
      <c r="E13" s="5" t="s">
        <v>1441</v>
      </c>
      <c r="F13" s="2"/>
      <c r="G13" s="2"/>
      <c r="H13" s="4" t="str">
        <f>IFERROR(__xludf.DUMMYFUNCTION("GOOGLETRANSLATE(B13, ""en"", ""zh"")"),"毽子双打中，每位球员每回合最多允许触球多少次？")</f>
        <v>毽子双打中，每位球员每回合最多允许触球多少次？</v>
      </c>
      <c r="I13" s="4" t="str">
        <f>IFERROR(__xludf.DUMMYFUNCTION("GOOGLETRANSLATE(C13, ""en"", ""zh"")"),"A) 1，B) 2，C) 3，D) 无限制")</f>
        <v>A) 1，B) 2，C) 3，D) 无限制</v>
      </c>
      <c r="J13" s="4" t="str">
        <f>IFERROR(__xludf.DUMMYFUNCTION("GOOGLETRANSLATE(D13, ""en"", ""zh"")"),"A) 1")</f>
        <v>A) 1</v>
      </c>
      <c r="K13" s="4" t="str">
        <f>IFERROR(__xludf.DUMMYFUNCTION("GOOGLETRANSLATE(E13, ""en"", ""zh"")"),"双打比赛中，每位球员每回合只能触球一次。")</f>
        <v>双打比赛中，每位球员每回合只能触球一次。</v>
      </c>
      <c r="L13" s="2"/>
      <c r="M13" s="3"/>
      <c r="N13" s="3"/>
      <c r="O13" s="3"/>
      <c r="P13" s="2"/>
      <c r="Q13" s="2"/>
      <c r="R13" s="2"/>
      <c r="S13" s="2"/>
      <c r="T13" s="2"/>
      <c r="U13" s="2"/>
      <c r="V13" s="2"/>
      <c r="W13" s="2"/>
      <c r="X13" s="2"/>
      <c r="Y13" s="2"/>
      <c r="Z13" s="2"/>
      <c r="AA13" s="2"/>
      <c r="AB13" s="2"/>
    </row>
    <row r="14">
      <c r="A14" s="4">
        <v>13.0</v>
      </c>
      <c r="B14" s="5" t="s">
        <v>1442</v>
      </c>
      <c r="C14" s="5" t="s">
        <v>1443</v>
      </c>
      <c r="D14" s="5" t="s">
        <v>1444</v>
      </c>
      <c r="E14" s="5" t="s">
        <v>1445</v>
      </c>
      <c r="F14" s="2"/>
      <c r="G14" s="2"/>
      <c r="H14" s="4" t="str">
        <f>IFERROR(__xludf.DUMMYFUNCTION("GOOGLETRANSLATE(B14, ""en"", ""zh"")"),"竞技毽子比赛用网的最低高度要求是多少？")</f>
        <v>竞技毽子比赛用网的最低高度要求是多少？</v>
      </c>
      <c r="I14" s="4" t="str">
        <f>IFERROR(__xludf.DUMMYFUNCTION("GOOGLETRANSLATE(C14, ""en"", ""zh"")"),"A) 1米，B) 1.5米，C) 1.7米，D) 2米")</f>
        <v>A) 1米，B) 1.5米，C) 1.7米，D) 2米</v>
      </c>
      <c r="J14" s="4" t="str">
        <f>IFERROR(__xludf.DUMMYFUNCTION("GOOGLETRANSLATE(D14, ""en"", ""zh"")"),"C) 1.7 米")</f>
        <v>C) 1.7 米</v>
      </c>
      <c r="K14" s="4" t="str">
        <f>IFERROR(__xludf.DUMMYFUNCTION("GOOGLETRANSLATE(E14, ""en"", ""zh"")"),"比赛用球网的最低高度为 1.7 米。")</f>
        <v>比赛用球网的最低高度为 1.7 米。</v>
      </c>
      <c r="L14" s="2"/>
      <c r="M14" s="3"/>
      <c r="N14" s="2"/>
      <c r="O14" s="3"/>
      <c r="P14" s="3"/>
      <c r="Q14" s="2"/>
      <c r="R14" s="2"/>
      <c r="S14" s="2"/>
      <c r="T14" s="2"/>
      <c r="U14" s="2"/>
      <c r="V14" s="2"/>
      <c r="W14" s="2"/>
      <c r="X14" s="2"/>
      <c r="Y14" s="2"/>
      <c r="Z14" s="2"/>
      <c r="AA14" s="2"/>
      <c r="AB14" s="2"/>
    </row>
    <row r="15">
      <c r="A15" s="4">
        <v>14.0</v>
      </c>
      <c r="B15" s="5" t="s">
        <v>1446</v>
      </c>
      <c r="C15" s="5" t="s">
        <v>1447</v>
      </c>
      <c r="D15" s="5" t="s">
        <v>1448</v>
      </c>
      <c r="E15" s="5" t="s">
        <v>1449</v>
      </c>
      <c r="F15" s="2"/>
      <c r="G15" s="2"/>
      <c r="H15" s="4" t="str">
        <f>IFERROR(__xludf.DUMMYFUNCTION("GOOGLETRANSLATE(B15, ""en"", ""zh"")"),"毽子中出界的处罚是什么？")</f>
        <v>毽子中出界的处罚是什么？</v>
      </c>
      <c r="I15" s="4" t="str">
        <f>IFERROR(__xludf.DUMMYFUNCTION("GOOGLETRANSLATE(C15, ""en"", ""zh"")"),"A) 重新开始比赛，B) 扣分，C) 警告，D) 无处罚")</f>
        <v>A) 重新开始比赛，B) 扣分，C) 警告，D) 无处罚</v>
      </c>
      <c r="J15" s="4" t="str">
        <f>IFERROR(__xludf.DUMMYFUNCTION("GOOGLETRANSLATE(D15, ""en"", ""zh"")"),"B) 失分")</f>
        <v>B) 失分</v>
      </c>
      <c r="K15" s="4" t="str">
        <f>IFERROR(__xludf.DUMMYFUNCTION("GOOGLETRANSLATE(E15, ""en"", ""zh"")"),"出界将导致失分。")</f>
        <v>出界将导致失分。</v>
      </c>
      <c r="L15" s="2"/>
      <c r="M15" s="3"/>
      <c r="N15" s="2"/>
      <c r="O15" s="3"/>
      <c r="P15" s="2"/>
      <c r="Q15" s="2"/>
      <c r="R15" s="2"/>
      <c r="S15" s="2"/>
      <c r="T15" s="2"/>
      <c r="U15" s="2"/>
      <c r="V15" s="2"/>
      <c r="W15" s="2"/>
      <c r="X15" s="2"/>
      <c r="Y15" s="2"/>
      <c r="Z15" s="2"/>
      <c r="AA15" s="2"/>
      <c r="AB15" s="2"/>
    </row>
    <row r="16">
      <c r="A16" s="4">
        <v>15.0</v>
      </c>
      <c r="B16" s="5" t="s">
        <v>1450</v>
      </c>
      <c r="C16" s="5" t="s">
        <v>1451</v>
      </c>
      <c r="D16" s="5" t="s">
        <v>312</v>
      </c>
      <c r="E16" s="5" t="s">
        <v>1452</v>
      </c>
      <c r="F16" s="2"/>
      <c r="G16" s="2"/>
      <c r="H16" s="4" t="str">
        <f>IFERROR(__xludf.DUMMYFUNCTION("GOOGLETRANSLATE(B16, ""en"", ""zh"")"),"剑子比赛中如何决定发球权？")</f>
        <v>剑子比赛中如何决定发球权？</v>
      </c>
      <c r="I16" s="4" t="str">
        <f>IFERROR(__xludf.DUMMYFUNCTION("GOOGLETRANSLATE(C16, ""en"", ""zh"")"),"A) 抛硬币，B) 上一局胜者，C) 石头剪刀布，D) 裁判选择")</f>
        <v>A) 抛硬币，B) 上一局胜者，C) 石头剪刀布，D) 裁判选择</v>
      </c>
      <c r="J16" s="4" t="str">
        <f>IFERROR(__xludf.DUMMYFUNCTION("GOOGLETRANSLATE(D16, ""en"", ""zh"")"),"A) 抛硬币")</f>
        <v>A) 抛硬币</v>
      </c>
      <c r="K16" s="4" t="str">
        <f>IFERROR(__xludf.DUMMYFUNCTION("GOOGLETRANSLATE(E16, ""en"", ""zh"")"),"正式比赛中，发球权通常通过抛硬币决定。")</f>
        <v>正式比赛中，发球权通常通过抛硬币决定。</v>
      </c>
      <c r="L16" s="2"/>
      <c r="M16" s="3"/>
      <c r="N16" s="3"/>
      <c r="O16" s="3"/>
      <c r="P16" s="2"/>
      <c r="Q16" s="2"/>
      <c r="R16" s="2"/>
      <c r="S16" s="2"/>
      <c r="T16" s="2"/>
      <c r="U16" s="2"/>
      <c r="V16" s="2"/>
      <c r="W16" s="2"/>
      <c r="X16" s="2"/>
      <c r="Y16" s="2"/>
      <c r="Z16" s="2"/>
      <c r="AA16" s="2"/>
      <c r="AB16" s="2"/>
    </row>
    <row r="17">
      <c r="A17" s="4">
        <v>16.0</v>
      </c>
      <c r="B17" s="5" t="s">
        <v>1453</v>
      </c>
      <c r="C17" s="5" t="s">
        <v>1454</v>
      </c>
      <c r="D17" s="5" t="s">
        <v>1455</v>
      </c>
      <c r="E17" s="5" t="s">
        <v>1456</v>
      </c>
      <c r="F17" s="2"/>
      <c r="G17" s="2"/>
      <c r="H17" s="4" t="str">
        <f>IFERROR(__xludf.DUMMYFUNCTION("GOOGLETRANSLATE(B17, ""en"", ""zh"")"),"以下哪一项不是煎子的变体？")</f>
        <v>以下哪一项不是煎子的变体？</v>
      </c>
      <c r="I17" s="4" t="str">
        <f>IFERROR(__xludf.DUMMYFUNCTION("GOOGLETRANSLATE(C17, ""en"", ""zh"")"),"A) 圆圈剪子、B) 单打剪子、C) 剪子足球、D) 剪子棒球")</f>
        <v>A) 圆圈剪子、B) 单打剪子、C) 剪子足球、D) 剪子棒球</v>
      </c>
      <c r="J17" s="4" t="str">
        <f>IFERROR(__xludf.DUMMYFUNCTION("GOOGLETRANSLATE(D17, ""en"", ""zh"")"),"D) 简子棒球")</f>
        <v>D) 简子棒球</v>
      </c>
      <c r="K17" s="4" t="str">
        <f>IFERROR(__xludf.DUMMYFUNCTION("GOOGLETRANSLATE(E17, ""en"", ""zh"")"),"剑子有很多变体，但棒球不是其中之一。")</f>
        <v>剑子有很多变体，但棒球不是其中之一。</v>
      </c>
      <c r="L17" s="3"/>
      <c r="M17" s="3"/>
      <c r="N17" s="3"/>
      <c r="O17" s="3"/>
      <c r="P17" s="3"/>
      <c r="Q17" s="2"/>
      <c r="R17" s="2"/>
      <c r="S17" s="2"/>
      <c r="T17" s="2"/>
      <c r="U17" s="2"/>
      <c r="V17" s="2"/>
      <c r="W17" s="2"/>
      <c r="X17" s="2"/>
      <c r="Y17" s="2"/>
      <c r="Z17" s="2"/>
      <c r="AA17" s="2"/>
      <c r="AB17" s="2"/>
    </row>
    <row r="18">
      <c r="A18" s="4">
        <v>17.0</v>
      </c>
      <c r="B18" s="5" t="s">
        <v>1457</v>
      </c>
      <c r="C18" s="5" t="s">
        <v>1458</v>
      </c>
      <c r="D18" s="5" t="s">
        <v>62</v>
      </c>
      <c r="E18" s="5" t="s">
        <v>1459</v>
      </c>
      <c r="F18" s="2"/>
      <c r="G18" s="2"/>
      <c r="H18" s="4" t="str">
        <f>IFERROR(__xludf.DUMMYFUNCTION("GOOGLETRANSLATE(B18, ""en"", ""zh"")"),"毽子比赛中裁判的角色是什么？")</f>
        <v>毽子比赛中裁判的角色是什么？</v>
      </c>
      <c r="I18" s="4" t="str">
        <f>IFERROR(__xludf.DUMMYFUNCTION("GOOGLETRANSLATE(C18, ""en"", ""zh"")"),"A) 记录分数，B) 执行规则，C) 管理时间，D) 以上所有选项")</f>
        <v>A) 记录分数，B) 执行规则，C) 管理时间，D) 以上所有选项</v>
      </c>
      <c r="J18" s="4" t="str">
        <f>IFERROR(__xludf.DUMMYFUNCTION("GOOGLETRANSLATE(D18, ""en"", ""zh"")"),"D) 以上所有选项")</f>
        <v>D) 以上所有选项</v>
      </c>
      <c r="K18" s="4" t="str">
        <f>IFERROR(__xludf.DUMMYFUNCTION("GOOGLETRANSLATE(E18, ""en"", ""zh"")"),"裁判负责计分、执行规则和管理比赛时间。")</f>
        <v>裁判负责计分、执行规则和管理比赛时间。</v>
      </c>
      <c r="L18" s="3"/>
      <c r="M18" s="3"/>
      <c r="N18" s="2"/>
      <c r="O18" s="3"/>
      <c r="P18" s="2"/>
      <c r="Q18" s="2"/>
      <c r="R18" s="2"/>
      <c r="S18" s="2"/>
      <c r="T18" s="2"/>
      <c r="U18" s="2"/>
      <c r="V18" s="2"/>
      <c r="W18" s="2"/>
      <c r="X18" s="2"/>
      <c r="Y18" s="2"/>
      <c r="Z18" s="2"/>
      <c r="AA18" s="2"/>
      <c r="AB18" s="2"/>
    </row>
    <row r="19">
      <c r="A19" s="4">
        <v>18.0</v>
      </c>
      <c r="B19" s="5" t="s">
        <v>1460</v>
      </c>
      <c r="C19" s="5" t="s">
        <v>1461</v>
      </c>
      <c r="D19" s="5" t="s">
        <v>1462</v>
      </c>
      <c r="E19" s="5" t="s">
        <v>1463</v>
      </c>
      <c r="F19" s="2"/>
      <c r="G19" s="2"/>
      <c r="H19" s="4" t="str">
        <f>IFERROR(__xludf.DUMMYFUNCTION("GOOGLETRANSLATE(B19, ""en"", ""zh"")"),"竞技剑子的主要计分方法是什么？")</f>
        <v>竞技剑子的主要计分方法是什么？</v>
      </c>
      <c r="I19" s="4" t="str">
        <f>IFERROR(__xludf.DUMMYFUNCTION("GOOGLETRANSLATE(C19, ""en"", ""zh"")"),"A) 进球数，B) 对手失误，C) 计时表现，D) 踢球次数")</f>
        <v>A) 进球数，B) 对手失误，C) 计时表现，D) 踢球次数</v>
      </c>
      <c r="J19" s="4" t="str">
        <f>IFERROR(__xludf.DUMMYFUNCTION("GOOGLETRANSLATE(D19, ""en"", ""zh"")"),"B) 对手失误")</f>
        <v>B) 对手失误</v>
      </c>
      <c r="K19" s="4" t="str">
        <f>IFERROR(__xludf.DUMMYFUNCTION("GOOGLETRANSLATE(E19, ""en"", ""zh"")"),"当对方球队未能正确回击羽毛球时，对方即可得分。")</f>
        <v>当对方球队未能正确回击羽毛球时，对方即可得分。</v>
      </c>
      <c r="L19" s="2"/>
      <c r="M19" s="3"/>
      <c r="N19" s="2"/>
      <c r="O19" s="3"/>
      <c r="P19" s="3"/>
      <c r="Q19" s="2"/>
      <c r="R19" s="2"/>
      <c r="S19" s="2"/>
      <c r="T19" s="2"/>
      <c r="U19" s="2"/>
      <c r="V19" s="2"/>
      <c r="W19" s="2"/>
      <c r="X19" s="2"/>
      <c r="Y19" s="2"/>
      <c r="Z19" s="2"/>
      <c r="AA19" s="2"/>
      <c r="AB19" s="2"/>
    </row>
    <row r="20">
      <c r="A20" s="4">
        <v>19.0</v>
      </c>
      <c r="B20" s="5" t="s">
        <v>1464</v>
      </c>
      <c r="C20" s="5" t="s">
        <v>1465</v>
      </c>
      <c r="D20" s="5" t="s">
        <v>1466</v>
      </c>
      <c r="E20" s="5" t="s">
        <v>1467</v>
      </c>
      <c r="F20" s="2"/>
      <c r="G20" s="2"/>
      <c r="H20" s="4" t="str">
        <f>IFERROR(__xludf.DUMMYFUNCTION("GOOGLETRANSLATE(B20, ""en"", ""zh"")"),"毽子双打比赛中，场上总共有多少名球员？")</f>
        <v>毽子双打比赛中，场上总共有多少名球员？</v>
      </c>
      <c r="I20" s="4" t="str">
        <f>IFERROR(__xludf.DUMMYFUNCTION("GOOGLETRANSLATE(C20, ""en"", ""zh"")"),"A) 2，B) 3，C) 4，D) 6")</f>
        <v>A) 2，B) 3，C) 4，D) 6</v>
      </c>
      <c r="J20" s="4" t="str">
        <f>IFERROR(__xludf.DUMMYFUNCTION("GOOGLETRANSLATE(D20, ""en"", ""zh"")"),"C) 4")</f>
        <v>C) 4</v>
      </c>
      <c r="K20" s="4" t="str">
        <f>IFERROR(__xludf.DUMMYFUNCTION("GOOGLETRANSLATE(E20, ""en"", ""zh"")"),"双打比赛由双方各两名球员组成，共四名球员。")</f>
        <v>双打比赛由双方各两名球员组成，共四名球员。</v>
      </c>
      <c r="L20" s="2"/>
      <c r="M20" s="3"/>
      <c r="N20" s="3"/>
      <c r="O20" s="3"/>
      <c r="P20" s="2"/>
      <c r="Q20" s="2"/>
      <c r="R20" s="2"/>
      <c r="S20" s="2"/>
      <c r="T20" s="2"/>
      <c r="U20" s="2"/>
      <c r="V20" s="2"/>
      <c r="W20" s="2"/>
      <c r="X20" s="2"/>
      <c r="Y20" s="2"/>
      <c r="Z20" s="2"/>
      <c r="AA20" s="2"/>
      <c r="AB20" s="2"/>
    </row>
    <row r="21">
      <c r="A21" s="4">
        <v>20.0</v>
      </c>
      <c r="B21" s="5" t="s">
        <v>1468</v>
      </c>
      <c r="C21" s="5" t="s">
        <v>1469</v>
      </c>
      <c r="D21" s="5" t="s">
        <v>152</v>
      </c>
      <c r="E21" s="5" t="s">
        <v>1470</v>
      </c>
      <c r="F21" s="2"/>
      <c r="G21" s="2"/>
      <c r="H21" s="4" t="str">
        <f>IFERROR(__xludf.DUMMYFUNCTION("GOOGLETRANSLATE(B21, ""en"", ""zh"")"),"在建子中，哪种行为被视为过错？")</f>
        <v>在建子中，哪种行为被视为过错？</v>
      </c>
      <c r="I21" s="4" t="str">
        <f>IFERROR(__xludf.DUMMYFUNCTION("GOOGLETRANSLATE(C21, ""en"", ""zh"")"),"A) 用脚踢，B) 用手，C) 用头顶，D) 跳跃")</f>
        <v>A) 用脚踢，B) 用手，C) 用头顶，D) 跳跃</v>
      </c>
      <c r="J21" s="4" t="str">
        <f>IFERROR(__xludf.DUMMYFUNCTION("GOOGLETRANSLATE(D21, ""en"", ""zh"")"),"B) 用手")</f>
        <v>B) 用手</v>
      </c>
      <c r="K21" s="4" t="str">
        <f>IFERROR(__xludf.DUMMYFUNCTION("GOOGLETRANSLATE(E21, ""en"", ""zh"")"),"在毽子比赛中，用手触球是违反规则的。")</f>
        <v>在毽子比赛中，用手触球是违反规则的。</v>
      </c>
      <c r="L21" s="2"/>
      <c r="M21" s="3"/>
      <c r="N21" s="2"/>
      <c r="O21" s="3"/>
      <c r="P21" s="2"/>
      <c r="Q21" s="2"/>
      <c r="R21" s="2"/>
      <c r="S21" s="2"/>
      <c r="T21" s="2"/>
      <c r="U21" s="2"/>
      <c r="V21" s="2"/>
      <c r="W21" s="2"/>
      <c r="X21" s="2"/>
      <c r="Y21" s="2"/>
      <c r="Z21" s="2"/>
      <c r="AA21" s="2"/>
      <c r="AB21" s="2"/>
    </row>
    <row r="22">
      <c r="A22" s="4">
        <v>21.0</v>
      </c>
      <c r="B22" s="5" t="s">
        <v>1471</v>
      </c>
      <c r="C22" s="5" t="s">
        <v>1472</v>
      </c>
      <c r="D22" s="5" t="s">
        <v>1473</v>
      </c>
      <c r="E22" s="5" t="s">
        <v>1474</v>
      </c>
      <c r="F22" s="2"/>
      <c r="G22" s="2"/>
      <c r="H22" s="4" t="str">
        <f>IFERROR(__xludf.DUMMYFUNCTION("GOOGLETRANSLATE(B22, ""en"", ""zh"")"),"标准毽子的重量范围是多少？")</f>
        <v>标准毽子的重量范围是多少？</v>
      </c>
      <c r="I22" s="4" t="str">
        <f>IFERROR(__xludf.DUMMYFUNCTION("GOOGLETRANSLATE(C22, ""en"", ""zh"")"),"A) 5-10克，B) 10-20克，C) 20-30克，D) 30-40克")</f>
        <v>A) 5-10克，B) 10-20克，C) 20-30克，D) 30-40克</v>
      </c>
      <c r="J22" s="4" t="str">
        <f>IFERROR(__xludf.DUMMYFUNCTION("GOOGLETRANSLATE(D22, ""en"", ""zh"")"),"B) 10-20克")</f>
        <v>B) 10-20克</v>
      </c>
      <c r="K22" s="4" t="str">
        <f>IFERROR(__xludf.DUMMYFUNCTION("GOOGLETRANSLATE(E22, ""en"", ""zh"")"),"标准的毽子重量在10克到20克之间。")</f>
        <v>标准的毽子重量在10克到20克之间。</v>
      </c>
      <c r="L22" s="2"/>
      <c r="M22" s="3"/>
      <c r="N22" s="2"/>
      <c r="O22" s="3"/>
      <c r="P22" s="2"/>
      <c r="Q22" s="2"/>
      <c r="R22" s="2"/>
      <c r="S22" s="2"/>
      <c r="T22" s="2"/>
      <c r="U22" s="2"/>
      <c r="V22" s="2"/>
      <c r="W22" s="2"/>
      <c r="X22" s="2"/>
      <c r="Y22" s="2"/>
      <c r="Z22" s="2"/>
      <c r="AA22" s="2"/>
      <c r="AB22" s="2"/>
    </row>
    <row r="23">
      <c r="A23" s="4">
        <v>22.0</v>
      </c>
      <c r="B23" s="5" t="s">
        <v>1475</v>
      </c>
      <c r="C23" s="5" t="s">
        <v>1476</v>
      </c>
      <c r="D23" s="5" t="s">
        <v>1477</v>
      </c>
      <c r="E23" s="5" t="s">
        <v>1478</v>
      </c>
      <c r="F23" s="2"/>
      <c r="G23" s="2"/>
      <c r="H23" s="4" t="str">
        <f>IFERROR(__xludf.DUMMYFUNCTION("GOOGLETRANSLATE(B23, ""en"", ""zh"")"),"一场竞技性的剑子比赛通常进行多少局？")</f>
        <v>一场竞技性的剑子比赛通常进行多少局？</v>
      </c>
      <c r="I23" s="4" t="str">
        <f>IFERROR(__xludf.DUMMYFUNCTION("GOOGLETRANSLATE(C23, ""en"", ""zh"")"),"A) 1，B) 2，C) 3，D) 5")</f>
        <v>A) 1，B) 2，C) 3，D) 5</v>
      </c>
      <c r="J23" s="4" t="str">
        <f>IFERROR(__xludf.DUMMYFUNCTION("GOOGLETRANSLATE(D23, ""en"", ""zh"")"),"C) 3")</f>
        <v>C) 3</v>
      </c>
      <c r="K23" s="4" t="str">
        <f>IFERROR(__xludf.DUMMYFUNCTION("GOOGLETRANSLATE(E23, ""en"", ""zh"")"),"大多数竞技性毽子比赛采用三局两胜制。")</f>
        <v>大多数竞技性毽子比赛采用三局两胜制。</v>
      </c>
      <c r="L23" s="2"/>
      <c r="M23" s="3"/>
      <c r="N23" s="3"/>
      <c r="O23" s="3"/>
      <c r="P23" s="3"/>
      <c r="Q23" s="2"/>
      <c r="R23" s="2"/>
      <c r="S23" s="2"/>
      <c r="T23" s="2"/>
      <c r="U23" s="2"/>
      <c r="V23" s="2"/>
      <c r="W23" s="2"/>
      <c r="X23" s="2"/>
      <c r="Y23" s="2"/>
      <c r="Z23" s="2"/>
      <c r="AA23" s="2"/>
      <c r="AB23" s="2"/>
    </row>
    <row r="24">
      <c r="A24" s="4">
        <v>23.0</v>
      </c>
      <c r="B24" s="5" t="s">
        <v>1479</v>
      </c>
      <c r="C24" s="5" t="s">
        <v>1480</v>
      </c>
      <c r="D24" s="5" t="s">
        <v>1481</v>
      </c>
      <c r="E24" s="5" t="s">
        <v>1482</v>
      </c>
      <c r="F24" s="2"/>
      <c r="G24" s="2"/>
      <c r="H24" s="4" t="str">
        <f>IFERROR(__xludf.DUMMYFUNCTION("GOOGLETRANSLATE(B24, ""en"", ""zh"")"),"一场竞技毽子比赛的最长持续时间是多少？")</f>
        <v>一场竞技毽子比赛的最长持续时间是多少？</v>
      </c>
      <c r="I24" s="4" t="str">
        <f>IFERROR(__xludf.DUMMYFUNCTION("GOOGLETRANSLATE(C24, ""en"", ""zh"")"),"A) 30分钟，B) 45分钟，C) 60分钟，D) 无限制")</f>
        <v>A) 30分钟，B) 45分钟，C) 60分钟，D) 无限制</v>
      </c>
      <c r="J24" s="4" t="str">
        <f>IFERROR(__xludf.DUMMYFUNCTION("GOOGLETRANSLATE(D24, ""en"", ""zh"")"),"C) 60分钟")</f>
        <v>C) 60分钟</v>
      </c>
      <c r="K24" s="4" t="str">
        <f>IFERROR(__xludf.DUMMYFUNCTION("GOOGLETRANSLATE(E24, ""en"", ""zh"")"),"竞技毽子比赛通常限制在60分钟以内。")</f>
        <v>竞技毽子比赛通常限制在60分钟以内。</v>
      </c>
      <c r="L24" s="2"/>
      <c r="M24" s="3"/>
      <c r="N24" s="2"/>
      <c r="O24" s="3"/>
      <c r="P24" s="3"/>
      <c r="Q24" s="2"/>
      <c r="R24" s="2"/>
      <c r="S24" s="2"/>
      <c r="T24" s="2"/>
      <c r="U24" s="2"/>
      <c r="V24" s="2"/>
      <c r="W24" s="2"/>
      <c r="X24" s="2"/>
      <c r="Y24" s="2"/>
      <c r="Z24" s="2"/>
      <c r="AA24" s="2"/>
      <c r="AB24" s="2"/>
    </row>
    <row r="25">
      <c r="A25" s="4">
        <v>24.0</v>
      </c>
      <c r="B25" s="5" t="s">
        <v>1483</v>
      </c>
      <c r="C25" s="5" t="s">
        <v>1484</v>
      </c>
      <c r="D25" s="5" t="s">
        <v>1485</v>
      </c>
      <c r="E25" s="5" t="s">
        <v>1486</v>
      </c>
      <c r="F25" s="2"/>
      <c r="G25" s="2"/>
      <c r="H25" s="4" t="str">
        <f>IFERROR(__xludf.DUMMYFUNCTION("GOOGLETRANSLATE(B25, ""en"", ""zh"")"),"毽子中，发球采用哪种技术？")</f>
        <v>毽子中，发球采用哪种技术？</v>
      </c>
      <c r="I25" s="4" t="str">
        <f>IFERROR(__xludf.DUMMYFUNCTION("GOOGLETRANSLATE(C25, ""en"", ""zh"")"),"A) 落踢，B) 侧踢，C) 脚跟踢，D) 下踢")</f>
        <v>A) 落踢，B) 侧踢，C) 脚跟踢，D) 下踢</v>
      </c>
      <c r="J25" s="4" t="str">
        <f>IFERROR(__xludf.DUMMYFUNCTION("GOOGLETRANSLATE(D25, ""en"", ""zh"")"),"A) 飞踢")</f>
        <v>A) 飞踢</v>
      </c>
      <c r="K25" s="4" t="str">
        <f>IFERROR(__xludf.DUMMYFUNCTION("GOOGLETRANSLATE(E25, ""en"", ""zh"")"),"毽子中，下旋踢是常见的发球技术。")</f>
        <v>毽子中，下旋踢是常见的发球技术。</v>
      </c>
      <c r="L25" s="3"/>
      <c r="M25" s="3"/>
      <c r="N25" s="2"/>
      <c r="O25" s="3"/>
      <c r="P25" s="2"/>
      <c r="Q25" s="2"/>
      <c r="R25" s="2"/>
      <c r="S25" s="2"/>
      <c r="T25" s="2"/>
      <c r="U25" s="2"/>
      <c r="V25" s="2"/>
      <c r="W25" s="2"/>
      <c r="X25" s="2"/>
      <c r="Y25" s="2"/>
      <c r="Z25" s="2"/>
      <c r="AA25" s="2"/>
      <c r="AB25" s="2"/>
    </row>
    <row r="26">
      <c r="A26" s="4">
        <v>25.0</v>
      </c>
      <c r="B26" s="5" t="s">
        <v>1487</v>
      </c>
      <c r="C26" s="5" t="s">
        <v>1440</v>
      </c>
      <c r="D26" s="5" t="s">
        <v>1477</v>
      </c>
      <c r="E26" s="5" t="s">
        <v>1488</v>
      </c>
      <c r="F26" s="2"/>
      <c r="G26" s="2"/>
      <c r="H26" s="4" t="str">
        <f>IFERROR(__xludf.DUMMYFUNCTION("GOOGLETRANSLATE(B26, ""en"", ""zh"")"),"在将球击回原位之前，每队最多允许触球多少次？")</f>
        <v>在将球击回原位之前，每队最多允许触球多少次？</v>
      </c>
      <c r="I26" s="4" t="str">
        <f>IFERROR(__xludf.DUMMYFUNCTION("GOOGLETRANSLATE(C26, ""en"", ""zh"")"),"A) 1，B) 2，C) 3，D) 无限制")</f>
        <v>A) 1，B) 2，C) 3，D) 无限制</v>
      </c>
      <c r="J26" s="4" t="str">
        <f>IFERROR(__xludf.DUMMYFUNCTION("GOOGLETRANSLATE(D26, ""en"", ""zh"")"),"C) 3")</f>
        <v>C) 3</v>
      </c>
      <c r="K26" s="4" t="str">
        <f>IFERROR(__xludf.DUMMYFUNCTION("GOOGLETRANSLATE(E26, ""en"", ""zh"")"),"每队在回击羽毛球前最多可以触球三次。")</f>
        <v>每队在回击羽毛球前最多可以触球三次。</v>
      </c>
      <c r="L26" s="2"/>
      <c r="M26" s="3"/>
      <c r="N26" s="3"/>
      <c r="O26" s="3"/>
      <c r="P26" s="3"/>
      <c r="Q26" s="2"/>
      <c r="R26" s="2"/>
      <c r="S26" s="2"/>
      <c r="T26" s="2"/>
      <c r="U26" s="2"/>
      <c r="V26" s="2"/>
      <c r="W26" s="2"/>
      <c r="X26" s="2"/>
      <c r="Y26" s="2"/>
      <c r="Z26" s="2"/>
      <c r="AA26" s="2"/>
      <c r="AB26" s="2"/>
    </row>
    <row r="27">
      <c r="A27" s="4">
        <v>26.0</v>
      </c>
      <c r="B27" s="5" t="s">
        <v>1489</v>
      </c>
      <c r="C27" s="5" t="s">
        <v>1490</v>
      </c>
      <c r="D27" s="5" t="s">
        <v>1491</v>
      </c>
      <c r="E27" s="5" t="s">
        <v>1492</v>
      </c>
      <c r="F27" s="2"/>
      <c r="G27" s="2"/>
      <c r="H27" s="4" t="str">
        <f>IFERROR(__xludf.DUMMYFUNCTION("GOOGLETRANSLATE(B27, ""en"", ""zh"")"),"男女混合竞技毽子比赛的球网高度是多少？")</f>
        <v>男女混合竞技毽子比赛的球网高度是多少？</v>
      </c>
      <c r="I27" s="4" t="str">
        <f>IFERROR(__xludf.DUMMYFUNCTION("GOOGLETRANSLATE(C27, ""en"", ""zh"")"),"A) 1.6米，B) 1.7米，C) 1.8米，D) 2米")</f>
        <v>A) 1.6米，B) 1.7米，C) 1.8米，D) 2米</v>
      </c>
      <c r="J27" s="4" t="str">
        <f>IFERROR(__xludf.DUMMYFUNCTION("GOOGLETRANSLATE(D27, ""en"", ""zh"")"),"B) 1.7 米")</f>
        <v>B) 1.7 米</v>
      </c>
      <c r="K27" s="4" t="str">
        <f>IFERROR(__xludf.DUMMYFUNCTION("GOOGLETRANSLATE(E27, ""en"", ""zh"")"),"男女混合比赛的球网高度设定为 1.7 米。")</f>
        <v>男女混合比赛的球网高度设定为 1.7 米。</v>
      </c>
      <c r="L27" s="2"/>
      <c r="M27" s="3"/>
      <c r="N27" s="2"/>
      <c r="O27" s="3"/>
      <c r="P27" s="3"/>
      <c r="Q27" s="2"/>
      <c r="R27" s="2"/>
      <c r="S27" s="2"/>
      <c r="T27" s="2"/>
      <c r="U27" s="2"/>
      <c r="V27" s="2"/>
      <c r="W27" s="2"/>
      <c r="X27" s="2"/>
      <c r="Y27" s="2"/>
      <c r="Z27" s="2"/>
      <c r="AA27" s="2"/>
      <c r="AB27" s="2"/>
    </row>
    <row r="28">
      <c r="A28" s="4">
        <v>27.0</v>
      </c>
      <c r="B28" s="5" t="s">
        <v>1493</v>
      </c>
      <c r="C28" s="5" t="s">
        <v>1494</v>
      </c>
      <c r="D28" s="5" t="s">
        <v>1495</v>
      </c>
      <c r="E28" s="5" t="s">
        <v>1496</v>
      </c>
      <c r="F28" s="2"/>
      <c r="G28" s="2"/>
      <c r="H28" s="4" t="str">
        <f>IFERROR(__xludf.DUMMYFUNCTION("GOOGLETRANSLATE(B28, ""en"", ""zh"")"),"让羽毛球保持在空中而不传球的动作术语是什么？")</f>
        <v>让羽毛球保持在空中而不传球的动作术语是什么？</v>
      </c>
      <c r="I28" s="4" t="str">
        <f>IFERROR(__xludf.DUMMYFUNCTION("GOOGLETRANSLATE(C28, ""en"", ""zh"")"),"A) 自由式，B) 单人杂耍，C) 连续表演，D) 自踢")</f>
        <v>A) 自由式，B) 单人杂耍，C) 连续表演，D) 自踢</v>
      </c>
      <c r="J28" s="4" t="str">
        <f>IFERROR(__xludf.DUMMYFUNCTION("GOOGLETRANSLATE(D28, ""en"", ""zh"")"),"B) 单人杂耍")</f>
        <v>B) 单人杂耍</v>
      </c>
      <c r="K28" s="4" t="str">
        <f>IFERROR(__xludf.DUMMYFUNCTION("GOOGLETRANSLATE(E28, ""en"", ""zh"")"),"单人颠球是指在不传球的情况下保持对羽毛球的控制。")</f>
        <v>单人颠球是指在不传球的情况下保持对羽毛球的控制。</v>
      </c>
      <c r="L28" s="2"/>
      <c r="M28" s="3"/>
      <c r="N28" s="2"/>
      <c r="O28" s="3"/>
      <c r="P28" s="3"/>
      <c r="Q28" s="2"/>
      <c r="R28" s="2"/>
      <c r="S28" s="2"/>
      <c r="T28" s="2"/>
      <c r="U28" s="2"/>
      <c r="V28" s="2"/>
      <c r="W28" s="2"/>
      <c r="X28" s="2"/>
      <c r="Y28" s="2"/>
      <c r="Z28" s="2"/>
      <c r="AA28" s="2"/>
      <c r="AB28" s="2"/>
    </row>
    <row r="29">
      <c r="A29" s="4">
        <v>28.0</v>
      </c>
      <c r="B29" s="5" t="s">
        <v>1497</v>
      </c>
      <c r="C29" s="5" t="s">
        <v>1498</v>
      </c>
      <c r="D29" s="5" t="s">
        <v>1499</v>
      </c>
      <c r="E29" s="5" t="s">
        <v>1500</v>
      </c>
      <c r="F29" s="2"/>
      <c r="G29" s="2"/>
      <c r="H29" s="4" t="str">
        <f>IFERROR(__xludf.DUMMYFUNCTION("GOOGLETRANSLATE(B29, ""en"", ""zh"")"),"哪种剑术流派侧重于表演技巧和花式动作？")</f>
        <v>哪种剑术流派侧重于表演技巧和花式动作？</v>
      </c>
      <c r="I29" s="4" t="str">
        <f>IFERROR(__xludf.DUMMYFUNCTION("GOOGLETRANSLATE(C29, ""en"", ""zh"")"),"A) 圆圈剪子、B) 网剪子、C) 自由剪子、D) 接力剪子")</f>
        <v>A) 圆圈剪子、B) 网剪子、C) 自由剪子、D) 接力剪子</v>
      </c>
      <c r="J29" s="4" t="str">
        <f>IFERROR(__xludf.DUMMYFUNCTION("GOOGLETRANSLATE(D29, ""en"", ""zh"")"),"C) 自由式煎子")</f>
        <v>C) 自由式煎子</v>
      </c>
      <c r="K29" s="4" t="str">
        <f>IFERROR(__xludf.DUMMYFUNCTION("GOOGLETRANSLATE(E29, ""en"", ""zh"")"),"自由式剑子注重创意技巧和娴熟动作。")</f>
        <v>自由式剑子注重创意技巧和娴熟动作。</v>
      </c>
      <c r="L29" s="3"/>
      <c r="M29" s="3"/>
      <c r="N29" s="3"/>
      <c r="O29" s="3"/>
      <c r="P29" s="2"/>
      <c r="Q29" s="2"/>
      <c r="R29" s="2"/>
      <c r="S29" s="2"/>
      <c r="T29" s="2"/>
      <c r="U29" s="2"/>
      <c r="V29" s="2"/>
      <c r="W29" s="2"/>
      <c r="X29" s="2"/>
      <c r="Y29" s="2"/>
      <c r="Z29" s="2"/>
      <c r="AA29" s="2"/>
      <c r="AB29" s="2"/>
    </row>
    <row r="30">
      <c r="A30" s="4">
        <v>29.0</v>
      </c>
      <c r="B30" s="5" t="s">
        <v>1501</v>
      </c>
      <c r="C30" s="5" t="s">
        <v>1502</v>
      </c>
      <c r="D30" s="5" t="s">
        <v>1503</v>
      </c>
      <c r="E30" s="5" t="s">
        <v>1504</v>
      </c>
      <c r="F30" s="2"/>
      <c r="G30" s="2"/>
      <c r="H30" s="4" t="str">
        <f>IFERROR(__xludf.DUMMYFUNCTION("GOOGLETRANSLATE(B30, ""en"", ""zh"")"),"在圈剑子中，如何决出胜负？")</f>
        <v>在圈剑子中，如何决出胜负？</v>
      </c>
      <c r="I30" s="4" t="str">
        <f>IFERROR(__xludf.DUMMYFUNCTION("GOOGLETRANSLATE(C30, ""en"", ""zh"")"),"A) 得分最多，B) 失误最少，C) 回合最长，D) 总踢球数")</f>
        <v>A) 得分最多，B) 失误最少，C) 回合最长，D) 总踢球数</v>
      </c>
      <c r="J30" s="4" t="str">
        <f>IFERROR(__xludf.DUMMYFUNCTION("GOOGLETRANSLATE(D30, ""en"", ""zh"")"),"D) 总踢球数")</f>
        <v>D) 总踢球数</v>
      </c>
      <c r="K30" s="4" t="str">
        <f>IFERROR(__xludf.DUMMYFUNCTION("GOOGLETRANSLATE(E30, ""en"", ""zh"")"),"在圈踢子游戏中，踢球次数最多的玩家获胜。")</f>
        <v>在圈踢子游戏中，踢球次数最多的玩家获胜。</v>
      </c>
      <c r="L30" s="3"/>
      <c r="M30" s="3"/>
      <c r="N30" s="3"/>
      <c r="O30" s="3"/>
      <c r="P30" s="3"/>
      <c r="Q30" s="2"/>
      <c r="R30" s="2"/>
      <c r="S30" s="2"/>
      <c r="T30" s="2"/>
      <c r="U30" s="2"/>
      <c r="V30" s="2"/>
      <c r="W30" s="2"/>
      <c r="X30" s="2"/>
      <c r="Y30" s="2"/>
      <c r="Z30" s="2"/>
      <c r="AA30" s="2"/>
      <c r="AB30" s="2"/>
    </row>
    <row r="31">
      <c r="A31" s="4">
        <v>30.0</v>
      </c>
      <c r="B31" s="5" t="s">
        <v>1505</v>
      </c>
      <c r="C31" s="5" t="s">
        <v>1506</v>
      </c>
      <c r="D31" s="5" t="s">
        <v>62</v>
      </c>
      <c r="E31" s="5" t="s">
        <v>1507</v>
      </c>
      <c r="F31" s="2"/>
      <c r="G31" s="2"/>
      <c r="H31" s="4" t="str">
        <f>IFERROR(__xludf.DUMMYFUNCTION("GOOGLETRANSLATE(B31, ""en"", ""zh"")"),"玩剑子的主要好处是什么？")</f>
        <v>玩剑子的主要好处是什么？</v>
      </c>
      <c r="I31" s="4" t="str">
        <f>IFERROR(__xludf.DUMMYFUNCTION("GOOGLETRANSLATE(C31, ""en"", ""zh"")"),"A) 增强力量，B) 提高平衡能力，C) 增强团队合作，D) 以上全部")</f>
        <v>A) 增强力量，B) 提高平衡能力，C) 增强团队合作，D) 以上全部</v>
      </c>
      <c r="J31" s="4" t="str">
        <f>IFERROR(__xludf.DUMMYFUNCTION("GOOGLETRANSLATE(D31, ""en"", ""zh"")"),"D) 以上所有选项")</f>
        <v>D) 以上所有选项</v>
      </c>
      <c r="K31" s="4" t="str">
        <f>IFERROR(__xludf.DUMMYFUNCTION("GOOGLETRANSLATE(E31, ""en"", ""zh"")"),"健子能提高身体素质、平衡能力和团队合作能力。")</f>
        <v>健子能提高身体素质、平衡能力和团队合作能力。</v>
      </c>
      <c r="L31" s="3"/>
      <c r="M31" s="3"/>
      <c r="N31" s="2"/>
      <c r="O31" s="3"/>
      <c r="P31" s="2"/>
      <c r="Q31" s="2"/>
      <c r="R31" s="2"/>
      <c r="S31" s="2"/>
      <c r="T31" s="2"/>
      <c r="U31" s="2"/>
      <c r="V31" s="2"/>
      <c r="W31" s="2"/>
      <c r="X31" s="2"/>
      <c r="Y31" s="2"/>
      <c r="Z31" s="2"/>
      <c r="AA31" s="2"/>
      <c r="AB31" s="2"/>
    </row>
    <row r="32">
      <c r="A32" s="4">
        <v>31.0</v>
      </c>
      <c r="B32" s="5" t="s">
        <v>1508</v>
      </c>
      <c r="C32" s="5" t="s">
        <v>1509</v>
      </c>
      <c r="D32" s="5" t="s">
        <v>1510</v>
      </c>
      <c r="E32" s="5" t="s">
        <v>1511</v>
      </c>
      <c r="F32" s="2"/>
      <c r="G32" s="2"/>
      <c r="H32" s="4" t="str">
        <f>IFERROR(__xludf.DUMMYFUNCTION("GOOGLETRANSLATE(B32, ""en"", ""zh"")"),"在竞争激烈的建子市场，服务范围有多广？")</f>
        <v>在竞争激烈的建子市场，服务范围有多广？</v>
      </c>
      <c r="I32" s="4" t="str">
        <f>IFERROR(__xludf.DUMMYFUNCTION("GOOGLETRANSLATE(C32, ""en"", ""zh"")"),"A) 1米，B) 1.5米，C) 2米，D) 2.5米")</f>
        <v>A) 1米，B) 1.5米，C) 2米，D) 2.5米</v>
      </c>
      <c r="J32" s="4" t="str">
        <f>IFERROR(__xludf.DUMMYFUNCTION("GOOGLETRANSLATE(D32, ""en"", ""zh"")"),"C) 2米")</f>
        <v>C) 2米</v>
      </c>
      <c r="K32" s="4" t="str">
        <f>IFERROR(__xludf.DUMMYFUNCTION("GOOGLETRANSLATE(E32, ""en"", ""zh"")"),"竞争激烈的建子服务区宽度为2米。")</f>
        <v>竞争激烈的建子服务区宽度为2米。</v>
      </c>
      <c r="L32" s="2"/>
      <c r="M32" s="3"/>
      <c r="N32" s="3"/>
      <c r="O32" s="3"/>
      <c r="P32" s="3"/>
      <c r="Q32" s="2"/>
      <c r="R32" s="2"/>
      <c r="S32" s="2"/>
      <c r="T32" s="2"/>
      <c r="U32" s="2"/>
      <c r="V32" s="2"/>
      <c r="W32" s="2"/>
      <c r="X32" s="2"/>
      <c r="Y32" s="2"/>
      <c r="Z32" s="2"/>
      <c r="AA32" s="2"/>
      <c r="AB32" s="2"/>
    </row>
    <row r="33">
      <c r="A33" s="4">
        <v>32.0</v>
      </c>
      <c r="B33" s="5" t="s">
        <v>1512</v>
      </c>
      <c r="C33" s="5" t="s">
        <v>1513</v>
      </c>
      <c r="D33" s="5" t="s">
        <v>1514</v>
      </c>
      <c r="E33" s="5" t="s">
        <v>1515</v>
      </c>
      <c r="F33" s="2"/>
      <c r="G33" s="2"/>
      <c r="H33" s="4" t="str">
        <f>IFERROR(__xludf.DUMMYFUNCTION("GOOGLETRANSLATE(B33, ""en"", ""zh"")"),"在一次回合中，一名球员双击球的处罚是什么？")</f>
        <v>在一次回合中，一名球员双击球的处罚是什么？</v>
      </c>
      <c r="I33" s="4" t="str">
        <f>IFERROR(__xludf.DUMMYFUNCTION("GOOGLETRANSLATE(C33, ""en"", ""zh"")"),"A) 重赛，B) 扣分，C) 警告，D) 无处罚")</f>
        <v>A) 重赛，B) 扣分，C) 警告，D) 无处罚</v>
      </c>
      <c r="J33" s="4" t="str">
        <f>IFERROR(__xludf.DUMMYFUNCTION("GOOGLETRANSLATE(D33, ""en"", ""zh"")"),"B）失分")</f>
        <v>B）失分</v>
      </c>
      <c r="K33" s="4" t="str">
        <f>IFERROR(__xludf.DUMMYFUNCTION("GOOGLETRANSLATE(E33, ""en"", ""zh"")"),"一名球员两次触球将导致失分。")</f>
        <v>一名球员两次触球将导致失分。</v>
      </c>
      <c r="L33" s="2"/>
      <c r="M33" s="3"/>
      <c r="N33" s="2"/>
      <c r="O33" s="3"/>
      <c r="P33" s="3"/>
      <c r="Q33" s="2"/>
      <c r="R33" s="2"/>
      <c r="S33" s="2"/>
      <c r="T33" s="2"/>
      <c r="U33" s="2"/>
      <c r="V33" s="2"/>
      <c r="W33" s="2"/>
      <c r="X33" s="2"/>
      <c r="Y33" s="2"/>
      <c r="Z33" s="2"/>
      <c r="AA33" s="2"/>
      <c r="AB33" s="2"/>
    </row>
    <row r="34">
      <c r="A34" s="4">
        <v>33.0</v>
      </c>
      <c r="B34" s="5" t="s">
        <v>1516</v>
      </c>
      <c r="C34" s="5" t="s">
        <v>1517</v>
      </c>
      <c r="D34" s="5" t="s">
        <v>1518</v>
      </c>
      <c r="E34" s="5" t="s">
        <v>1519</v>
      </c>
      <c r="F34" s="2"/>
      <c r="G34" s="2"/>
      <c r="H34" s="4" t="str">
        <f>IFERROR(__xludf.DUMMYFUNCTION("GOOGLETRANSLATE(B34, ""en"", ""zh"")"),"毽子游戏的主要目标是什么？")</f>
        <v>毽子游戏的主要目标是什么？</v>
      </c>
      <c r="I34" s="4" t="str">
        <f>IFERROR(__xludf.DUMMYFUNCTION("GOOGLETRANSLATE(C34, ""en"", ""zh"")"),"A) 得分，B) 使羽毛球保持在比赛中，C) 淘汰对手，D) 接住羽毛球")</f>
        <v>A) 得分，B) 使羽毛球保持在比赛中，C) 淘汰对手，D) 接住羽毛球</v>
      </c>
      <c r="J34" s="4" t="str">
        <f>IFERROR(__xludf.DUMMYFUNCTION("GOOGLETRANSLATE(D34, ""en"", ""zh"")"),"B) 保持羽毛球在场上")</f>
        <v>B) 保持羽毛球在场上</v>
      </c>
      <c r="K34" s="4" t="str">
        <f>IFERROR(__xludf.DUMMYFUNCTION("GOOGLETRANSLATE(E34, ""en"", ""zh"")"),"毽子的主要目的是防止毽子触地。")</f>
        <v>毽子的主要目的是防止毽子触地。</v>
      </c>
      <c r="L34" s="2"/>
      <c r="M34" s="3"/>
      <c r="N34" s="2"/>
      <c r="O34" s="3"/>
      <c r="P34" s="3"/>
      <c r="Q34" s="2"/>
      <c r="R34" s="2"/>
      <c r="S34" s="2"/>
      <c r="T34" s="2"/>
      <c r="U34" s="2"/>
      <c r="V34" s="2"/>
      <c r="W34" s="2"/>
      <c r="X34" s="2"/>
      <c r="Y34" s="2"/>
      <c r="Z34" s="2"/>
      <c r="AA34" s="2"/>
      <c r="AB34" s="2"/>
    </row>
    <row r="35">
      <c r="A35" s="4">
        <v>34.0</v>
      </c>
      <c r="B35" s="5" t="s">
        <v>1520</v>
      </c>
      <c r="C35" s="5" t="s">
        <v>1402</v>
      </c>
      <c r="D35" s="5" t="s">
        <v>116</v>
      </c>
      <c r="E35" s="5" t="s">
        <v>1521</v>
      </c>
      <c r="F35" s="2"/>
      <c r="G35" s="2"/>
      <c r="H35" s="4" t="str">
        <f>IFERROR(__xludf.DUMMYFUNCTION("GOOGLETRANSLATE(B35, ""en"", ""zh"")"),"击打毽子时最常用的身体部位是哪个？")</f>
        <v>击打毽子时最常用的身体部位是哪个？</v>
      </c>
      <c r="I35" s="4" t="str">
        <f>IFERROR(__xludf.DUMMYFUNCTION("GOOGLETRANSLATE(C35, ""en"", ""zh"")"),"A) 手，B) 脚，C) 头，D) 肘部")</f>
        <v>A) 手，B) 脚，C) 头，D) 肘部</v>
      </c>
      <c r="J35" s="4" t="str">
        <f>IFERROR(__xludf.DUMMYFUNCTION("GOOGLETRANSLATE(D35, ""en"", ""zh"")"),"B）脚")</f>
        <v>B）脚</v>
      </c>
      <c r="K35" s="4" t="str">
        <f>IFERROR(__xludf.DUMMYFUNCTION("GOOGLETRANSLATE(E35, ""en"", ""zh"")"),"毽子比赛中，球员主要用脚击打毽子。")</f>
        <v>毽子比赛中，球员主要用脚击打毽子。</v>
      </c>
      <c r="L35" s="2"/>
      <c r="M35" s="3"/>
      <c r="N35" s="2"/>
      <c r="O35" s="3"/>
      <c r="P35" s="3"/>
      <c r="Q35" s="2"/>
      <c r="R35" s="2"/>
      <c r="S35" s="2"/>
      <c r="T35" s="2"/>
      <c r="U35" s="2"/>
      <c r="V35" s="2"/>
      <c r="W35" s="2"/>
      <c r="X35" s="2"/>
      <c r="Y35" s="2"/>
      <c r="Z35" s="2"/>
      <c r="AA35" s="2"/>
      <c r="AB35" s="2"/>
    </row>
    <row r="36">
      <c r="A36" s="4">
        <v>35.0</v>
      </c>
      <c r="B36" s="5" t="s">
        <v>1522</v>
      </c>
      <c r="C36" s="5" t="s">
        <v>1523</v>
      </c>
      <c r="D36" s="5" t="s">
        <v>1524</v>
      </c>
      <c r="E36" s="5" t="s">
        <v>1525</v>
      </c>
      <c r="F36" s="2"/>
      <c r="G36" s="2"/>
      <c r="H36" s="4" t="str">
        <f>IFERROR(__xludf.DUMMYFUNCTION("GOOGLETRANSLATE(B36, ""en"", ""zh"")"),"标准毽子网球场的直径是多少？")</f>
        <v>标准毽子网球场的直径是多少？</v>
      </c>
      <c r="I36" s="4" t="str">
        <f>IFERROR(__xludf.DUMMYFUNCTION("GOOGLETRANSLATE(C36, ""en"", ""zh"")"),"A) 5米，B) 6.1米，C) 7.3米，D) 8.2米")</f>
        <v>A) 5米，B) 6.1米，C) 7.3米，D) 8.2米</v>
      </c>
      <c r="J36" s="4" t="str">
        <f>IFERROR(__xludf.DUMMYFUNCTION("GOOGLETRANSLATE(D36, ""en"", ""zh"")"),"C) 7.3 米")</f>
        <v>C) 7.3 米</v>
      </c>
      <c r="K36" s="4" t="str">
        <f>IFERROR(__xludf.DUMMYFUNCTION("GOOGLETRANSLATE(E36, ""en"", ""zh"")"),"戌子球场的官方直径为7.3米。")</f>
        <v>戌子球场的官方直径为7.3米。</v>
      </c>
      <c r="L36" s="2"/>
      <c r="M36" s="3"/>
      <c r="N36" s="2"/>
      <c r="O36" s="3"/>
      <c r="P36" s="3"/>
      <c r="Q36" s="2"/>
      <c r="R36" s="2"/>
      <c r="S36" s="2"/>
      <c r="T36" s="2"/>
      <c r="U36" s="2"/>
      <c r="V36" s="2"/>
      <c r="W36" s="2"/>
      <c r="X36" s="2"/>
      <c r="Y36" s="2"/>
      <c r="Z36" s="2"/>
      <c r="AA36" s="2"/>
      <c r="AB36" s="2"/>
    </row>
    <row r="37">
      <c r="A37" s="4">
        <v>36.0</v>
      </c>
      <c r="B37" s="5" t="s">
        <v>1526</v>
      </c>
      <c r="C37" s="5" t="s">
        <v>1527</v>
      </c>
      <c r="D37" s="5" t="s">
        <v>1528</v>
      </c>
      <c r="E37" s="5" t="s">
        <v>1529</v>
      </c>
      <c r="F37" s="2"/>
      <c r="G37" s="2"/>
      <c r="H37" s="4" t="str">
        <f>IFERROR(__xludf.DUMMYFUNCTION("GOOGLETRANSLATE(B37, ""en"", ""zh"")"),"在剑式比赛中，通常需要多少分才能赢得一局？")</f>
        <v>在剑式比赛中，通常需要多少分才能赢得一局？</v>
      </c>
      <c r="I37" s="4" t="str">
        <f>IFERROR(__xludf.DUMMYFUNCTION("GOOGLETRANSLATE(C37, ""en"", ""zh"")"),"A) 11，B) 15，C) 21，D) 25")</f>
        <v>A) 11，B) 15，C) 21，D) 25</v>
      </c>
      <c r="J37" s="4" t="str">
        <f>IFERROR(__xludf.DUMMYFUNCTION("GOOGLETRANSLATE(D37, ""en"", ""zh"")"),"C) 21")</f>
        <v>C) 21</v>
      </c>
      <c r="K37" s="4" t="str">
        <f>IFERROR(__xludf.DUMMYFUNCTION("GOOGLETRANSLATE(E37, ""en"", ""zh"")"),"在竞技剑子比赛中，球员或队伍必须获得 21 分才能赢得一局。")</f>
        <v>在竞技剑子比赛中，球员或队伍必须获得 21 分才能赢得一局。</v>
      </c>
      <c r="L37" s="2"/>
      <c r="M37" s="3"/>
      <c r="N37" s="2"/>
      <c r="O37" s="3"/>
      <c r="P37" s="3"/>
      <c r="Q37" s="2"/>
      <c r="R37" s="2"/>
      <c r="S37" s="2"/>
      <c r="T37" s="2"/>
      <c r="U37" s="2"/>
      <c r="V37" s="2"/>
      <c r="W37" s="2"/>
      <c r="X37" s="2"/>
      <c r="Y37" s="2"/>
      <c r="Z37" s="2"/>
      <c r="AA37" s="2"/>
      <c r="AB37" s="2"/>
    </row>
    <row r="38">
      <c r="A38" s="4">
        <v>37.0</v>
      </c>
      <c r="B38" s="5" t="s">
        <v>1530</v>
      </c>
      <c r="C38" s="5" t="s">
        <v>1531</v>
      </c>
      <c r="D38" s="5" t="s">
        <v>1532</v>
      </c>
      <c r="E38" s="5" t="s">
        <v>1533</v>
      </c>
      <c r="F38" s="2"/>
      <c r="G38" s="2"/>
      <c r="H38" s="4" t="str">
        <f>IFERROR(__xludf.DUMMYFUNCTION("GOOGLETRANSLATE(B38, ""en"", ""zh"")"),"圈刺子最多允许多少名玩家？")</f>
        <v>圈刺子最多允许多少名玩家？</v>
      </c>
      <c r="I38" s="4" t="str">
        <f>IFERROR(__xludf.DUMMYFUNCTION("GOOGLETRANSLATE(C38, ""en"", ""zh"")"),"A) 6，B) 8，C) 10，D) 无限")</f>
        <v>A) 6，B) 8，C) 10，D) 无限</v>
      </c>
      <c r="J38" s="4" t="str">
        <f>IFERROR(__xludf.DUMMYFUNCTION("GOOGLETRANSLATE(D38, ""en"", ""zh"")"),"D) 无限制")</f>
        <v>D) 无限制</v>
      </c>
      <c r="K38" s="4" t="str">
        <f>IFERROR(__xludf.DUMMYFUNCTION("GOOGLETRANSLATE(E38, ""en"", ""zh"")"),"只要玩家围成一个圆圈，圆圈戌子就可以容纳任意数量的玩家。")</f>
        <v>只要玩家围成一个圆圈，圆圈戌子就可以容纳任意数量的玩家。</v>
      </c>
      <c r="L38" s="3"/>
      <c r="M38" s="3"/>
      <c r="N38" s="3"/>
      <c r="O38" s="3"/>
      <c r="P38" s="3"/>
      <c r="Q38" s="2"/>
      <c r="R38" s="2"/>
      <c r="S38" s="2"/>
      <c r="T38" s="2"/>
      <c r="U38" s="2"/>
      <c r="V38" s="2"/>
      <c r="W38" s="2"/>
      <c r="X38" s="2"/>
      <c r="Y38" s="2"/>
      <c r="Z38" s="2"/>
      <c r="AA38" s="2"/>
      <c r="AB38" s="2"/>
    </row>
    <row r="39">
      <c r="A39" s="4">
        <v>38.0</v>
      </c>
      <c r="B39" s="5" t="s">
        <v>1534</v>
      </c>
      <c r="C39" s="5" t="s">
        <v>1535</v>
      </c>
      <c r="D39" s="5" t="s">
        <v>1536</v>
      </c>
      <c r="E39" s="5" t="s">
        <v>1537</v>
      </c>
      <c r="F39" s="2"/>
      <c r="G39" s="2"/>
      <c r="H39" s="4" t="str">
        <f>IFERROR(__xludf.DUMMYFUNCTION("GOOGLETRANSLATE(B39, ""en"", ""zh"")"),"穿尖子鞋推荐穿什么鞋？")</f>
        <v>穿尖子鞋推荐穿什么鞋？</v>
      </c>
      <c r="I39" s="4" t="str">
        <f>IFERROR(__xludf.DUMMYFUNCTION("GOOGLETRANSLATE(C39, ""en"", ""zh"")"),"A) 足球鞋，B) 运动鞋，C) 赤脚，D) 凉鞋")</f>
        <v>A) 足球鞋，B) 运动鞋，C) 赤脚，D) 凉鞋</v>
      </c>
      <c r="J39" s="4" t="str">
        <f>IFERROR(__xludf.DUMMYFUNCTION("GOOGLETRANSLATE(D39, ""en"", ""zh"")"),"B) 运动鞋")</f>
        <v>B) 运动鞋</v>
      </c>
      <c r="K39" s="4" t="str">
        <f>IFERROR(__xludf.DUMMYFUNCTION("GOOGLETRANSLATE(E39, ""en"", ""zh"")"),"运动鞋为涮子提供了必要的抓地力和支撑力。")</f>
        <v>运动鞋为涮子提供了必要的抓地力和支撑力。</v>
      </c>
      <c r="L39" s="2"/>
      <c r="M39" s="3"/>
      <c r="N39" s="2"/>
      <c r="O39" s="3"/>
      <c r="P39" s="3"/>
      <c r="Q39" s="2"/>
      <c r="R39" s="2"/>
      <c r="S39" s="2"/>
      <c r="T39" s="2"/>
      <c r="U39" s="2"/>
      <c r="V39" s="2"/>
      <c r="W39" s="2"/>
      <c r="X39" s="2"/>
      <c r="Y39" s="2"/>
      <c r="Z39" s="2"/>
      <c r="AA39" s="2"/>
      <c r="AB39" s="2"/>
    </row>
    <row r="40">
      <c r="A40" s="4">
        <v>39.0</v>
      </c>
      <c r="B40" s="5" t="s">
        <v>1538</v>
      </c>
      <c r="C40" s="5" t="s">
        <v>1539</v>
      </c>
      <c r="D40" s="5" t="s">
        <v>1540</v>
      </c>
      <c r="E40" s="5" t="s">
        <v>1541</v>
      </c>
      <c r="F40" s="2"/>
      <c r="G40" s="2"/>
      <c r="H40" s="4" t="str">
        <f>IFERROR(__xludf.DUMMYFUNCTION("GOOGLETRANSLATE(B40, ""en"", ""zh"")"),"毽子底座的主要材料是什么？")</f>
        <v>毽子底座的主要材料是什么？</v>
      </c>
      <c r="I40" s="4" t="str">
        <f>IFERROR(__xludf.DUMMYFUNCTION("GOOGLETRANSLATE(C40, ""en"", ""zh"")"),"A) 塑料，B) 橡胶，C) 金属，D) 木材")</f>
        <v>A) 塑料，B) 橡胶，C) 金属，D) 木材</v>
      </c>
      <c r="J40" s="4" t="str">
        <f>IFERROR(__xludf.DUMMYFUNCTION("GOOGLETRANSLATE(D40, ""en"", ""zh"")"),"B) 橡胶")</f>
        <v>B) 橡胶</v>
      </c>
      <c r="K40" s="4" t="str">
        <f>IFERROR(__xludf.DUMMYFUNCTION("GOOGLETRANSLATE(E40, ""en"", ""zh"")"),"毽子羽毛球的底部通常由橡胶制成，以增加稳定性。")</f>
        <v>毽子羽毛球的底部通常由橡胶制成，以增加稳定性。</v>
      </c>
      <c r="L40" s="2"/>
      <c r="M40" s="3"/>
      <c r="N40" s="2"/>
      <c r="O40" s="3"/>
      <c r="P40" s="3"/>
      <c r="Q40" s="2"/>
      <c r="R40" s="2"/>
      <c r="S40" s="2"/>
      <c r="T40" s="2"/>
      <c r="U40" s="2"/>
      <c r="V40" s="2"/>
      <c r="W40" s="2"/>
      <c r="X40" s="2"/>
      <c r="Y40" s="2"/>
      <c r="Z40" s="2"/>
      <c r="AA40" s="2"/>
      <c r="AB40" s="2"/>
    </row>
    <row r="41">
      <c r="A41" s="4">
        <v>40.0</v>
      </c>
      <c r="B41" s="5" t="s">
        <v>1542</v>
      </c>
      <c r="C41" s="5" t="s">
        <v>1543</v>
      </c>
      <c r="D41" s="5" t="s">
        <v>1544</v>
      </c>
      <c r="E41" s="5" t="s">
        <v>1545</v>
      </c>
      <c r="F41" s="2"/>
      <c r="G41" s="2"/>
      <c r="H41" s="4" t="str">
        <f>IFERROR(__xludf.DUMMYFUNCTION("GOOGLETRANSLATE(B41, ""en"", ""zh"")"),"哪种场地表面​​最适合竞技剑子比赛？")</f>
        <v>哪种场地表面​​最适合竞技剑子比赛？</v>
      </c>
      <c r="I41" s="4" t="str">
        <f>IFERROR(__xludf.DUMMYFUNCTION("GOOGLETRANSLATE(C41, ""en"", ""zh"")"),"A) 沙子，B) 草地，C) 木头，D) 混凝土")</f>
        <v>A) 沙子，B) 草地，C) 木头，D) 混凝土</v>
      </c>
      <c r="J41" s="4" t="str">
        <f>IFERROR(__xludf.DUMMYFUNCTION("GOOGLETRANSLATE(D41, ""en"", ""zh"")"),"C）木制")</f>
        <v>C）木制</v>
      </c>
      <c r="K41" s="4" t="str">
        <f>IFERROR(__xludf.DUMMYFUNCTION("GOOGLETRANSLATE(E41, ""en"", ""zh"")"),"木质球场因其光滑平整的比赛表面而备受青睐。")</f>
        <v>木质球场因其光滑平整的比赛表面而备受青睐。</v>
      </c>
      <c r="L41" s="3"/>
      <c r="M41" s="3"/>
      <c r="N41" s="2"/>
      <c r="O41" s="3"/>
      <c r="P41" s="2"/>
      <c r="Q41" s="2"/>
      <c r="R41" s="2"/>
      <c r="S41" s="2"/>
      <c r="T41" s="2"/>
      <c r="U41" s="2"/>
      <c r="V41" s="2"/>
      <c r="W41" s="2"/>
      <c r="X41" s="2"/>
      <c r="Y41" s="2"/>
      <c r="Z41" s="2"/>
      <c r="AA41" s="2"/>
      <c r="AB41" s="2"/>
    </row>
    <row r="42">
      <c r="A42" s="4">
        <v>41.0</v>
      </c>
      <c r="B42" s="5" t="s">
        <v>1546</v>
      </c>
      <c r="C42" s="5" t="s">
        <v>1547</v>
      </c>
      <c r="D42" s="5" t="s">
        <v>1548</v>
      </c>
      <c r="E42" s="5" t="s">
        <v>1549</v>
      </c>
      <c r="F42" s="2"/>
      <c r="G42" s="2"/>
      <c r="H42" s="4" t="str">
        <f>IFERROR(__xludf.DUMMYFUNCTION("GOOGLETRANSLATE(B42, ""en"", ""zh"")"),"掌握剑术的关键技能是什么？")</f>
        <v>掌握剑术的关键技能是什么？</v>
      </c>
      <c r="I42" s="4" t="str">
        <f>IFERROR(__xludf.DUMMYFUNCTION("GOOGLETRANSLATE(C42, ""en"", ""zh"")"),"A）手部力量，B）协调性，C）速度，D）耐力")</f>
        <v>A）手部力量，B）协调性，C）速度，D）耐力</v>
      </c>
      <c r="J42" s="4" t="str">
        <f>IFERROR(__xludf.DUMMYFUNCTION("GOOGLETRANSLATE(D42, ""en"", ""zh"")"),"B）协调")</f>
        <v>B）协调</v>
      </c>
      <c r="K42" s="4" t="str">
        <f>IFERROR(__xludf.DUMMYFUNCTION("GOOGLETRANSLATE(E42, ""en"", ""zh"")"),"协调配合对于有效控制和传球至关重要。")</f>
        <v>协调配合对于有效控制和传球至关重要。</v>
      </c>
      <c r="L42" s="2"/>
      <c r="M42" s="3"/>
      <c r="N42" s="3"/>
      <c r="O42" s="3"/>
      <c r="P42" s="3"/>
      <c r="Q42" s="2"/>
      <c r="R42" s="2"/>
      <c r="S42" s="2"/>
      <c r="T42" s="2"/>
      <c r="U42" s="2"/>
      <c r="V42" s="2"/>
      <c r="W42" s="2"/>
      <c r="X42" s="2"/>
      <c r="Y42" s="2"/>
      <c r="Z42" s="2"/>
      <c r="AA42" s="2"/>
      <c r="AB42" s="2"/>
    </row>
    <row r="43">
      <c r="A43" s="4">
        <v>42.0</v>
      </c>
      <c r="B43" s="5" t="s">
        <v>1550</v>
      </c>
      <c r="C43" s="5" t="s">
        <v>1551</v>
      </c>
      <c r="D43" s="5" t="s">
        <v>1481</v>
      </c>
      <c r="E43" s="5" t="s">
        <v>1552</v>
      </c>
      <c r="F43" s="2"/>
      <c r="G43" s="2"/>
      <c r="H43" s="4" t="str">
        <f>IFERROR(__xludf.DUMMYFUNCTION("GOOGLETRANSLATE(B43, ""en"", ""zh"")"),"一场毽子比赛的标准时长是多少？")</f>
        <v>一场毽子比赛的标准时长是多少？</v>
      </c>
      <c r="I43" s="4" t="str">
        <f>IFERROR(__xludf.DUMMYFUNCTION("GOOGLETRANSLATE(C43, ""en"", ""zh"")"),"A) 30分钟，B) 45分钟，C) 60分钟，D) 90分钟")</f>
        <v>A) 30分钟，B) 45分钟，C) 60分钟，D) 90分钟</v>
      </c>
      <c r="J43" s="4" t="str">
        <f>IFERROR(__xludf.DUMMYFUNCTION("GOOGLETRANSLATE(D43, ""en"", ""zh"")"),"C) 60分钟")</f>
        <v>C) 60分钟</v>
      </c>
      <c r="K43" s="4" t="str">
        <f>IFERROR(__xludf.DUMMYFUNCTION("GOOGLETRANSLATE(E43, ""en"", ""zh"")"),"一场竞技性的毽子比赛通常限制在60分钟以内。")</f>
        <v>一场竞技性的毽子比赛通常限制在60分钟以内。</v>
      </c>
      <c r="L43" s="2"/>
      <c r="M43" s="3"/>
      <c r="N43" s="2"/>
      <c r="O43" s="3"/>
      <c r="P43" s="3"/>
      <c r="Q43" s="2"/>
      <c r="R43" s="2"/>
      <c r="S43" s="2"/>
      <c r="T43" s="2"/>
      <c r="U43" s="2"/>
      <c r="V43" s="2"/>
      <c r="W43" s="2"/>
      <c r="X43" s="2"/>
      <c r="Y43" s="2"/>
      <c r="Z43" s="2"/>
      <c r="AA43" s="2"/>
      <c r="AB43" s="2"/>
    </row>
    <row r="44">
      <c r="A44" s="4">
        <v>43.0</v>
      </c>
      <c r="B44" s="5" t="s">
        <v>1553</v>
      </c>
      <c r="C44" s="5" t="s">
        <v>1554</v>
      </c>
      <c r="D44" s="5" t="s">
        <v>1514</v>
      </c>
      <c r="E44" s="5" t="s">
        <v>1555</v>
      </c>
      <c r="F44" s="2"/>
      <c r="G44" s="2"/>
      <c r="H44" s="4" t="str">
        <f>IFERROR(__xludf.DUMMYFUNCTION("GOOGLETRANSLATE(B44, ""en"", ""zh"")"),"比赛中出界会受到什么处罚？")</f>
        <v>比赛中出界会受到什么处罚？</v>
      </c>
      <c r="I44" s="4" t="str">
        <f>IFERROR(__xludf.DUMMYFUNCTION("GOOGLETRANSLATE(C44, ""en"", ""zh"")"),"A) 重赛，B) 失分，C) 警告，D) 对方发球")</f>
        <v>A) 重赛，B) 失分，C) 警告，D) 对方发球</v>
      </c>
      <c r="J44" s="4" t="str">
        <f>IFERROR(__xludf.DUMMYFUNCTION("GOOGLETRANSLATE(D44, ""en"", ""zh"")"),"B）失分")</f>
        <v>B）失分</v>
      </c>
      <c r="K44" s="4" t="str">
        <f>IFERROR(__xludf.DUMMYFUNCTION("GOOGLETRANSLATE(E44, ""en"", ""zh"")"),"出界将导致犯规球员失分。")</f>
        <v>出界将导致犯规球员失分。</v>
      </c>
      <c r="L44" s="2"/>
      <c r="M44" s="3"/>
      <c r="N44" s="2"/>
      <c r="O44" s="3"/>
      <c r="P44" s="3"/>
      <c r="Q44" s="2"/>
      <c r="R44" s="2"/>
      <c r="S44" s="2"/>
      <c r="T44" s="2"/>
      <c r="U44" s="2"/>
      <c r="V44" s="2"/>
      <c r="W44" s="2"/>
      <c r="X44" s="2"/>
      <c r="Y44" s="2"/>
      <c r="Z44" s="2"/>
      <c r="AA44" s="2"/>
      <c r="AB44" s="2"/>
    </row>
    <row r="45">
      <c r="A45" s="4">
        <v>44.0</v>
      </c>
      <c r="B45" s="5" t="s">
        <v>1556</v>
      </c>
      <c r="C45" s="5" t="s">
        <v>1557</v>
      </c>
      <c r="D45" s="5" t="s">
        <v>1558</v>
      </c>
      <c r="E45" s="5" t="s">
        <v>1559</v>
      </c>
      <c r="F45" s="2"/>
      <c r="G45" s="2"/>
      <c r="H45" s="4" t="str">
        <f>IFERROR(__xludf.DUMMYFUNCTION("GOOGLETRANSLATE(B45, ""en"", ""zh"")"),"剑子中禁止哪些动作？")</f>
        <v>剑子中禁止哪些动作？</v>
      </c>
      <c r="I45" s="4" t="str">
        <f>IFERROR(__xludf.DUMMYFUNCTION("GOOGLETRANSLATE(C45, ""en"", ""zh"")"),"A）跳跃，B）旋转，C）用手击打，D）传球")</f>
        <v>A）跳跃，B）旋转，C）用手击打，D）传球</v>
      </c>
      <c r="J45" s="4" t="str">
        <f>IFERROR(__xludf.DUMMYFUNCTION("GOOGLETRANSLATE(D45, ""en"", ""zh"")"),"C) 用手击打")</f>
        <v>C) 用手击打</v>
      </c>
      <c r="K45" s="4" t="str">
        <f>IFERROR(__xludf.DUMMYFUNCTION("GOOGLETRANSLATE(E45, ""en"", ""zh"")"),"毽子比赛中不允许用手击打毽子。")</f>
        <v>毽子比赛中不允许用手击打毽子。</v>
      </c>
      <c r="L45" s="2"/>
      <c r="M45" s="3"/>
      <c r="N45" s="2"/>
      <c r="O45" s="3"/>
      <c r="P45" s="3"/>
      <c r="Q45" s="2"/>
      <c r="R45" s="2"/>
      <c r="S45" s="2"/>
      <c r="T45" s="2"/>
      <c r="U45" s="2"/>
      <c r="V45" s="2"/>
      <c r="W45" s="2"/>
      <c r="X45" s="2"/>
      <c r="Y45" s="2"/>
      <c r="Z45" s="2"/>
      <c r="AA45" s="2"/>
      <c r="AB45" s="2"/>
    </row>
    <row r="46">
      <c r="A46" s="4">
        <v>45.0</v>
      </c>
      <c r="B46" s="5" t="s">
        <v>1560</v>
      </c>
      <c r="C46" s="5" t="s">
        <v>1561</v>
      </c>
      <c r="D46" s="5" t="s">
        <v>1562</v>
      </c>
      <c r="E46" s="5" t="s">
        <v>1563</v>
      </c>
      <c r="F46" s="2"/>
      <c r="G46" s="2"/>
      <c r="H46" s="4" t="str">
        <f>IFERROR(__xludf.DUMMYFUNCTION("GOOGLETRANSLATE(B46, ""en"", ""zh"")"),"刺子的竞技变种叫什么名字？")</f>
        <v>刺子的竞技变种叫什么名字？</v>
      </c>
      <c r="I46" s="4" t="str">
        <f>IFERROR(__xludf.DUMMYFUNCTION("GOOGLETRANSLATE(C46, ""en"", ""zh"")"),"A) 剪子网、B) 提剪子、C) 穿梭网、D) 剪气")</f>
        <v>A) 剪子网、B) 提剪子、C) 穿梭网、D) 剪气</v>
      </c>
      <c r="J46" s="4" t="str">
        <f>IFERROR(__xludf.DUMMYFUNCTION("GOOGLETRANSLATE(D46, ""en"", ""zh"")"),"B) 提剪子")</f>
        <v>B) 提剪子</v>
      </c>
      <c r="K46" s="4" t="str">
        <f>IFERROR(__xludf.DUMMYFUNCTION("GOOGLETRANSLATE(E46, ""en"", ""zh"")"),"体操是体操这项运动的竞技版本，采用特定的规则进行比赛。")</f>
        <v>体操是体操这项运动的竞技版本，采用特定的规则进行比赛。</v>
      </c>
      <c r="L46" s="3"/>
      <c r="M46" s="3"/>
      <c r="N46" s="3"/>
      <c r="O46" s="3"/>
      <c r="P46" s="3"/>
      <c r="Q46" s="2"/>
      <c r="R46" s="2"/>
      <c r="S46" s="2"/>
      <c r="T46" s="2"/>
      <c r="U46" s="2"/>
      <c r="V46" s="2"/>
      <c r="W46" s="2"/>
      <c r="X46" s="2"/>
      <c r="Y46" s="2"/>
      <c r="Z46" s="2"/>
      <c r="AA46" s="2"/>
      <c r="AB46" s="2"/>
    </row>
    <row r="47">
      <c r="A47" s="4">
        <v>46.0</v>
      </c>
      <c r="B47" s="5" t="s">
        <v>1564</v>
      </c>
      <c r="C47" s="5" t="s">
        <v>1440</v>
      </c>
      <c r="D47" s="5" t="s">
        <v>1477</v>
      </c>
      <c r="E47" s="5" t="s">
        <v>1565</v>
      </c>
      <c r="F47" s="2"/>
      <c r="G47" s="2"/>
      <c r="H47" s="4" t="str">
        <f>IFERROR(__xludf.DUMMYFUNCTION("GOOGLETRANSLATE(B47, ""en"", ""zh"")"),"在圆踢子中，一名球员最多可以连续踢多少次？")</f>
        <v>在圆踢子中，一名球员最多可以连续踢多少次？</v>
      </c>
      <c r="I47" s="4" t="str">
        <f>IFERROR(__xludf.DUMMYFUNCTION("GOOGLETRANSLATE(C47, ""en"", ""zh"")"),"A) 1，B) 2，C) 3，D) 无限制")</f>
        <v>A) 1，B) 2，C) 3，D) 无限制</v>
      </c>
      <c r="J47" s="4" t="str">
        <f>IFERROR(__xludf.DUMMYFUNCTION("GOOGLETRANSLATE(D47, ""en"", ""zh"")"),"C) 3")</f>
        <v>C) 3</v>
      </c>
      <c r="K47" s="4" t="str">
        <f>IFERROR(__xludf.DUMMYFUNCTION("GOOGLETRANSLATE(E47, ""en"", ""zh"")"),"在圆毽子中，一名球员最多可以连续踢毽子三次。")</f>
        <v>在圆毽子中，一名球员最多可以连续踢毽子三次。</v>
      </c>
      <c r="L47" s="3"/>
      <c r="M47" s="3"/>
      <c r="N47" s="3"/>
      <c r="O47" s="3"/>
      <c r="P47" s="3"/>
      <c r="Q47" s="2"/>
      <c r="R47" s="2"/>
      <c r="S47" s="2"/>
      <c r="T47" s="2"/>
      <c r="U47" s="2"/>
      <c r="V47" s="2"/>
      <c r="W47" s="2"/>
      <c r="X47" s="2"/>
      <c r="Y47" s="2"/>
      <c r="Z47" s="2"/>
      <c r="AA47" s="2"/>
      <c r="AB47" s="2"/>
    </row>
    <row r="48">
      <c r="A48" s="4">
        <v>47.0</v>
      </c>
      <c r="B48" s="5" t="s">
        <v>1566</v>
      </c>
      <c r="C48" s="5" t="s">
        <v>1567</v>
      </c>
      <c r="D48" s="5" t="s">
        <v>1568</v>
      </c>
      <c r="E48" s="5" t="s">
        <v>1569</v>
      </c>
      <c r="F48" s="2"/>
      <c r="G48" s="2"/>
      <c r="H48" s="4" t="str">
        <f>IFERROR(__xludf.DUMMYFUNCTION("GOOGLETRANSLATE(B48, ""en"", ""zh"")"),"以下哪些招式被认为是剑术中的高级招式？")</f>
        <v>以下哪些招式被认为是剑术中的高级招式？</v>
      </c>
      <c r="I48" s="4" t="str">
        <f>IFERROR(__xludf.DUMMYFUNCTION("GOOGLETRANSLATE(C48, ""en"", ""zh"")"),"A) 普通踢腿，B) 侧踢，C) 后空翻踢，D) 前踢")</f>
        <v>A) 普通踢腿，B) 侧踢，C) 后空翻踢，D) 前踢</v>
      </c>
      <c r="J48" s="4" t="str">
        <f>IFERROR(__xludf.DUMMYFUNCTION("GOOGLETRANSLATE(D48, ""en"", ""zh"")"),"C) 后空翻踢")</f>
        <v>C) 后空翻踢</v>
      </c>
      <c r="K48" s="4" t="str">
        <f>IFERROR(__xludf.DUMMYFUNCTION("GOOGLETRANSLATE(E48, ""en"", ""zh"")"),"后空翻踢是剑术中一项高难度、技巧性的动作。")</f>
        <v>后空翻踢是剑术中一项高难度、技巧性的动作。</v>
      </c>
      <c r="L48" s="3"/>
      <c r="M48" s="3"/>
      <c r="N48" s="3"/>
      <c r="O48" s="3"/>
      <c r="P48" s="3"/>
      <c r="Q48" s="2"/>
      <c r="R48" s="2"/>
      <c r="S48" s="2"/>
      <c r="T48" s="2"/>
      <c r="U48" s="2"/>
      <c r="V48" s="2"/>
      <c r="W48" s="2"/>
      <c r="X48" s="2"/>
      <c r="Y48" s="2"/>
      <c r="Z48" s="2"/>
      <c r="AA48" s="2"/>
      <c r="AB48" s="2"/>
    </row>
    <row r="49">
      <c r="A49" s="4">
        <v>48.0</v>
      </c>
      <c r="B49" s="5" t="s">
        <v>1570</v>
      </c>
      <c r="C49" s="5" t="s">
        <v>1571</v>
      </c>
      <c r="D49" s="5" t="s">
        <v>1572</v>
      </c>
      <c r="E49" s="5" t="s">
        <v>1573</v>
      </c>
      <c r="F49" s="2"/>
      <c r="G49" s="2"/>
      <c r="H49" s="4" t="str">
        <f>IFERROR(__xludf.DUMMYFUNCTION("GOOGLETRANSLATE(B49, ""en"", ""zh"")"),"剑子选手应该穿什么样的服装？")</f>
        <v>剑子选手应该穿什么样的服装？</v>
      </c>
      <c r="I49" s="4" t="str">
        <f>IFERROR(__xludf.DUMMYFUNCTION("GOOGLETRANSLATE(C49, ""en"", ""zh"")"),"A) 宽松轻便的服装，B) 紧身运动服，C) 传统长袍，D) 牛仔裤和T恤")</f>
        <v>A) 宽松轻便的服装，B) 紧身运动服，C) 传统长袍，D) 牛仔裤和T恤</v>
      </c>
      <c r="J49" s="4" t="str">
        <f>IFERROR(__xludf.DUMMYFUNCTION("GOOGLETRANSLATE(D49, ""en"", ""zh"")"),"A) 宽松轻便的衣物")</f>
        <v>A) 宽松轻便的衣物</v>
      </c>
      <c r="K49" s="4" t="str">
        <f>IFERROR(__xludf.DUMMYFUNCTION("GOOGLETRANSLATE(E49, ""en"", ""zh"")"),"宽松轻便的服装能让球员活动自如，倍感舒适。")</f>
        <v>宽松轻便的服装能让球员活动自如，倍感舒适。</v>
      </c>
      <c r="L49" s="3"/>
      <c r="M49" s="3"/>
      <c r="N49" s="2"/>
      <c r="O49" s="3"/>
      <c r="P49" s="3"/>
      <c r="Q49" s="2"/>
      <c r="R49" s="2"/>
      <c r="S49" s="2"/>
      <c r="T49" s="2"/>
      <c r="U49" s="2"/>
      <c r="V49" s="2"/>
      <c r="W49" s="2"/>
      <c r="X49" s="2"/>
      <c r="Y49" s="2"/>
      <c r="Z49" s="2"/>
      <c r="AA49" s="2"/>
      <c r="AB49" s="2"/>
    </row>
    <row r="50">
      <c r="A50" s="10">
        <v>49.0</v>
      </c>
      <c r="B50" s="5" t="s">
        <v>1574</v>
      </c>
      <c r="C50" s="5" t="s">
        <v>1575</v>
      </c>
      <c r="D50" s="5" t="s">
        <v>1576</v>
      </c>
      <c r="E50" s="5" t="s">
        <v>1577</v>
      </c>
      <c r="F50" s="2"/>
      <c r="G50" s="2"/>
      <c r="H50" s="4" t="str">
        <f>IFERROR(__xludf.DUMMYFUNCTION("GOOGLETRANSLATE(B50, ""en"", ""zh"")"),"在毽子中，保持毽子在空中的最佳方法是什么？")</f>
        <v>在毽子中，保持毽子在空中的最佳方法是什么？</v>
      </c>
      <c r="I50" s="4" t="str">
        <f>IFERROR(__xludf.DUMMYFUNCTION("GOOGLETRANSLATE(C50, ""en"", ""zh"")"),"A) 用手，B) 用脚，C) 用肘，D) 用球拍")</f>
        <v>A) 用手，B) 用脚，C) 用肘，D) 用球拍</v>
      </c>
      <c r="J50" s="4" t="str">
        <f>IFERROR(__xludf.DUMMYFUNCTION("GOOGLETRANSLATE(D50, ""en"", ""zh"")"),"B) 使用脚")</f>
        <v>B) 使用脚</v>
      </c>
      <c r="K50" s="4" t="str">
        <f>IFERROR(__xludf.DUMMYFUNCTION("GOOGLETRANSLATE(E50, ""en"", ""zh"")"),"羽毛球主要靠脚踢来保持在空中。")</f>
        <v>羽毛球主要靠脚踢来保持在空中。</v>
      </c>
      <c r="L50" s="2"/>
      <c r="M50" s="3"/>
      <c r="N50" s="3"/>
      <c r="O50" s="3"/>
      <c r="P50" s="2"/>
      <c r="Q50" s="2"/>
      <c r="R50" s="2"/>
      <c r="S50" s="2"/>
      <c r="T50" s="2"/>
      <c r="U50" s="2"/>
      <c r="V50" s="2"/>
      <c r="W50" s="2"/>
      <c r="X50" s="2"/>
      <c r="Y50" s="2"/>
      <c r="Z50" s="2"/>
      <c r="AA50" s="2"/>
      <c r="AB50" s="2"/>
    </row>
    <row r="51">
      <c r="A51" s="10">
        <v>50.0</v>
      </c>
      <c r="B51" s="5" t="s">
        <v>1578</v>
      </c>
      <c r="C51" s="5" t="s">
        <v>1579</v>
      </c>
      <c r="D51" s="5" t="s">
        <v>1437</v>
      </c>
      <c r="E51" s="5" t="s">
        <v>1580</v>
      </c>
      <c r="F51" s="2"/>
      <c r="G51" s="2"/>
      <c r="H51" s="4" t="str">
        <f>IFERROR(__xludf.DUMMYFUNCTION("GOOGLETRANSLATE(B51, ""en"", ""zh"")"),"演奏琴子最主要的技巧是什么？")</f>
        <v>演奏琴子最主要的技巧是什么？</v>
      </c>
      <c r="I51" s="4" t="str">
        <f>IFERROR(__xludf.DUMMYFUNCTION("GOOGLETRANSLATE(C51, ""en"", ""zh"")"),"A) 踢球，B) 跑动，C) 接球，D) 投掷")</f>
        <v>A) 踢球，B) 跑动，C) 接球，D) 投掷</v>
      </c>
      <c r="J51" s="4" t="str">
        <f>IFERROR(__xludf.DUMMYFUNCTION("GOOGLETRANSLATE(D51, ""en"", ""zh"")"),"A) 踢")</f>
        <v>A) 踢</v>
      </c>
      <c r="K51" s="4" t="str">
        <f>IFERROR(__xludf.DUMMYFUNCTION("GOOGLETRANSLATE(E51, ""en"", ""zh"")"),"毽子主要是用身体的不同部位踢毽子。")</f>
        <v>毽子主要是用身体的不同部位踢毽子。</v>
      </c>
      <c r="L51" s="2"/>
      <c r="M51" s="3"/>
      <c r="N51" s="2"/>
      <c r="O51" s="3"/>
      <c r="P51" s="2"/>
      <c r="Q51" s="2"/>
      <c r="R51" s="2"/>
      <c r="S51" s="2"/>
      <c r="T51" s="2"/>
      <c r="U51" s="2"/>
      <c r="V51" s="2"/>
      <c r="W51" s="2"/>
      <c r="X51" s="2"/>
      <c r="Y51" s="2"/>
      <c r="Z51" s="2"/>
      <c r="AA51" s="2"/>
      <c r="AB51" s="2"/>
    </row>
    <row r="52">
      <c r="A52" s="10">
        <v>51.0</v>
      </c>
      <c r="B52" s="5" t="s">
        <v>1581</v>
      </c>
      <c r="C52" s="5" t="s">
        <v>1582</v>
      </c>
      <c r="D52" s="5" t="s">
        <v>116</v>
      </c>
      <c r="E52" s="5" t="s">
        <v>1583</v>
      </c>
      <c r="F52" s="2"/>
      <c r="G52" s="2"/>
      <c r="H52" s="4" t="str">
        <f>IFERROR(__xludf.DUMMYFUNCTION("GOOGLETRANSLATE(B52, ""en"", ""zh"")"),"毽子中，最常用身体的哪个部位击球？")</f>
        <v>毽子中，最常用身体的哪个部位击球？</v>
      </c>
      <c r="I52" s="4" t="str">
        <f>IFERROR(__xludf.DUMMYFUNCTION("GOOGLETRANSLATE(C52, ""en"", ""zh"")"),"A) 手，B) 脚，C) 肘，D) 膝盖")</f>
        <v>A) 手，B) 脚，C) 肘，D) 膝盖</v>
      </c>
      <c r="J52" s="4" t="str">
        <f>IFERROR(__xludf.DUMMYFUNCTION("GOOGLETRANSLATE(D52, ""en"", ""zh"")"),"B）脚")</f>
        <v>B）脚</v>
      </c>
      <c r="K52" s="4" t="str">
        <f>IFERROR(__xludf.DUMMYFUNCTION("GOOGLETRANSLATE(E52, ""en"", ""zh"")"),"球员主要用脚来控制羽毛球在空中飞行。")</f>
        <v>球员主要用脚来控制羽毛球在空中飞行。</v>
      </c>
      <c r="L52" s="2"/>
      <c r="M52" s="3"/>
      <c r="N52" s="2"/>
      <c r="O52" s="3"/>
      <c r="P52" s="2"/>
      <c r="Q52" s="2"/>
      <c r="R52" s="2"/>
      <c r="S52" s="2"/>
      <c r="T52" s="2"/>
      <c r="U52" s="2"/>
      <c r="V52" s="2"/>
      <c r="W52" s="2"/>
      <c r="X52" s="2"/>
      <c r="Y52" s="2"/>
      <c r="Z52" s="2"/>
      <c r="AA52" s="2"/>
      <c r="AB52" s="2"/>
    </row>
    <row r="53">
      <c r="A53" s="10">
        <v>52.0</v>
      </c>
      <c r="B53" s="5" t="s">
        <v>1584</v>
      </c>
      <c r="C53" s="5" t="s">
        <v>1585</v>
      </c>
      <c r="D53" s="5" t="s">
        <v>1586</v>
      </c>
      <c r="E53" s="5" t="s">
        <v>1587</v>
      </c>
      <c r="F53" s="2"/>
      <c r="G53" s="2"/>
      <c r="H53" s="4" t="str">
        <f>IFERROR(__xludf.DUMMYFUNCTION("GOOGLETRANSLATE(B53, ""en"", ""zh"")"),"下琴的主要目的是什么？")</f>
        <v>下琴的主要目的是什么？</v>
      </c>
      <c r="I53" s="4" t="str">
        <f>IFERROR(__xludf.DUMMYFUNCTION("GOOGLETRANSLATE(C53, ""en"", ""zh"")"),"A) 使羽毛球不落地，B) 得分，C) 将羽毛球踢入球门，D) 接住羽毛球")</f>
        <v>A) 使羽毛球不落地，B) 得分，C) 将羽毛球踢入球门，D) 接住羽毛球</v>
      </c>
      <c r="J53" s="4" t="str">
        <f>IFERROR(__xludf.DUMMYFUNCTION("GOOGLETRANSLATE(D53, ""en"", ""zh"")"),"A) 使羽毛球不落地")</f>
        <v>A) 使羽毛球不落地</v>
      </c>
      <c r="K53" s="4" t="str">
        <f>IFERROR(__xludf.DUMMYFUNCTION("GOOGLETRANSLATE(E53, ""en"", ""zh"")"),"毽子的主要目标是让毽子保持在空中而不落地。")</f>
        <v>毽子的主要目标是让毽子保持在空中而不落地。</v>
      </c>
      <c r="L53" s="2"/>
      <c r="M53" s="3"/>
      <c r="N53" s="3"/>
      <c r="O53" s="3"/>
      <c r="P53" s="3"/>
      <c r="Q53" s="2"/>
      <c r="R53" s="2"/>
      <c r="S53" s="2"/>
      <c r="T53" s="2"/>
      <c r="U53" s="2"/>
      <c r="V53" s="2"/>
      <c r="W53" s="2"/>
      <c r="X53" s="2"/>
      <c r="Y53" s="2"/>
      <c r="Z53" s="2"/>
      <c r="AA53" s="2"/>
      <c r="AB53" s="2"/>
    </row>
    <row r="54">
      <c r="A54" s="10">
        <v>53.0</v>
      </c>
      <c r="B54" s="5" t="s">
        <v>1588</v>
      </c>
      <c r="C54" s="5" t="s">
        <v>1589</v>
      </c>
      <c r="D54" s="5" t="s">
        <v>1590</v>
      </c>
      <c r="E54" s="5" t="s">
        <v>1591</v>
      </c>
      <c r="F54" s="2"/>
      <c r="G54" s="2"/>
      <c r="H54" s="4" t="str">
        <f>IFERROR(__xludf.DUMMYFUNCTION("GOOGLETRANSLATE(B54, ""en"", ""zh"")"),"毽子通常用什么材料制成？")</f>
        <v>毽子通常用什么材料制成？</v>
      </c>
      <c r="I54" s="4" t="str">
        <f>IFERROR(__xludf.DUMMYFUNCTION("GOOGLETRANSLATE(C54, ""en"", ""zh"")"),"A) 木头，B) 塑料，C) 羽毛，D) 橡胶")</f>
        <v>A) 木头，B) 塑料，C) 羽毛，D) 橡胶</v>
      </c>
      <c r="J54" s="4" t="str">
        <f>IFERROR(__xludf.DUMMYFUNCTION("GOOGLETRANSLATE(D54, ""en"", ""zh"")"),"C）羽毛")</f>
        <v>C）羽毛</v>
      </c>
      <c r="K54" s="4" t="str">
        <f>IFERROR(__xludf.DUMMYFUNCTION("GOOGLETRANSLATE(E54, ""en"", ""zh"")"),"传统的毽子由羽毛和金属或塑料底座制成。")</f>
        <v>传统的毽子由羽毛和金属或塑料底座制成。</v>
      </c>
      <c r="L54" s="2"/>
      <c r="M54" s="3"/>
      <c r="N54" s="2"/>
      <c r="O54" s="3"/>
      <c r="P54" s="2"/>
      <c r="Q54" s="2"/>
      <c r="R54" s="2"/>
      <c r="S54" s="2"/>
      <c r="T54" s="2"/>
      <c r="U54" s="2"/>
      <c r="V54" s="2"/>
      <c r="W54" s="2"/>
      <c r="X54" s="2"/>
      <c r="Y54" s="2"/>
      <c r="Z54" s="2"/>
      <c r="AA54" s="2"/>
      <c r="AB54" s="2"/>
    </row>
    <row r="55">
      <c r="A55" s="10">
        <v>54.0</v>
      </c>
      <c r="B55" s="5" t="s">
        <v>1592</v>
      </c>
      <c r="C55" s="5" t="s">
        <v>1593</v>
      </c>
      <c r="D55" s="5" t="s">
        <v>1594</v>
      </c>
      <c r="E55" s="5" t="s">
        <v>1595</v>
      </c>
      <c r="F55" s="2"/>
      <c r="G55" s="2"/>
      <c r="H55" s="4" t="str">
        <f>IFERROR(__xludf.DUMMYFUNCTION("GOOGLETRANSLATE(B55, ""en"", ""zh"")"),"在剑子中，怎样的戏才算成功？")</f>
        <v>在剑子中，怎样的戏才算成功？</v>
      </c>
      <c r="I55" s="4" t="str">
        <f>IFERROR(__xludf.DUMMYFUNCTION("GOOGLETRANSLATE(C55, ""en"", ""zh"")"),"A) 踢一下羽毛球，B) 让羽毛球长时间保持在空中，C) 将羽毛球踢进球门，D) 将羽毛球传给另一名球员")</f>
        <v>A) 踢一下羽毛球，B) 让羽毛球长时间保持在空中，C) 将羽毛球踢进球门，D) 将羽毛球传给另一名球员</v>
      </c>
      <c r="J55" s="4" t="str">
        <f>IFERROR(__xludf.DUMMYFUNCTION("GOOGLETRANSLATE(D55, ""en"", ""zh"")"),"B）让羽毛球长时间保持在空中")</f>
        <v>B）让羽毛球长时间保持在空中</v>
      </c>
      <c r="K55" s="4" t="str">
        <f>IFERROR(__xludf.DUMMYFUNCTION("GOOGLETRANSLATE(E55, ""en"", ""zh"")"),"成功的击球方式是通过反复踢球使羽毛球不落地。")</f>
        <v>成功的击球方式是通过反复踢球使羽毛球不落地。</v>
      </c>
      <c r="L55" s="3"/>
      <c r="M55" s="3"/>
      <c r="N55" s="3"/>
      <c r="O55" s="3"/>
      <c r="P55" s="2"/>
      <c r="Q55" s="2"/>
      <c r="R55" s="2"/>
      <c r="S55" s="2"/>
      <c r="T55" s="2"/>
      <c r="U55" s="2"/>
      <c r="V55" s="2"/>
      <c r="W55" s="2"/>
      <c r="X55" s="2"/>
      <c r="Y55" s="2"/>
      <c r="Z55" s="2"/>
      <c r="AA55" s="2"/>
      <c r="AB55" s="2"/>
    </row>
    <row r="56">
      <c r="A56" s="10">
        <v>55.0</v>
      </c>
      <c r="B56" s="5" t="s">
        <v>1596</v>
      </c>
      <c r="C56" s="5" t="s">
        <v>1597</v>
      </c>
      <c r="D56" s="5" t="s">
        <v>1598</v>
      </c>
      <c r="E56" s="5" t="s">
        <v>1599</v>
      </c>
      <c r="F56" s="2"/>
      <c r="G56" s="2"/>
      <c r="H56" s="4" t="str">
        <f>IFERROR(__xludf.DUMMYFUNCTION("GOOGLETRANSLATE(B56, ""en"", ""zh"")"),"哪种运动在技巧和技术方面与毽子最相似？")</f>
        <v>哪种运动在技巧和技术方面与毽子最相似？</v>
      </c>
      <c r="I56" s="4" t="str">
        <f>IFERROR(__xludf.DUMMYFUNCTION("GOOGLETRANSLATE(C56, ""en"", ""zh"")"),"A) 足球，B) 排球，C) 羽毛球，D) 足球")</f>
        <v>A) 足球，B) 排球，C) 羽毛球，D) 足球</v>
      </c>
      <c r="J56" s="4" t="str">
        <f>IFERROR(__xludf.DUMMYFUNCTION("GOOGLETRANSLATE(D56, ""en"", ""zh"")"),"C) 羽毛球")</f>
        <v>C) 羽毛球</v>
      </c>
      <c r="K56" s="4" t="str">
        <f>IFERROR(__xludf.DUMMYFUNCTION("GOOGLETRANSLATE(E56, ""en"", ""zh"")"),"剑子与羽毛球的步法技巧相似，尤其是在踢球和控制羽毛球方面。")</f>
        <v>剑子与羽毛球的步法技巧相似，尤其是在踢球和控制羽毛球方面。</v>
      </c>
      <c r="L56" s="3"/>
      <c r="M56" s="3"/>
      <c r="N56" s="2"/>
      <c r="O56" s="3"/>
      <c r="P56" s="3"/>
      <c r="Q56" s="2"/>
      <c r="R56" s="2"/>
      <c r="S56" s="2"/>
      <c r="T56" s="2"/>
      <c r="U56" s="2"/>
      <c r="V56" s="2"/>
      <c r="W56" s="2"/>
      <c r="X56" s="2"/>
      <c r="Y56" s="2"/>
      <c r="Z56" s="2"/>
      <c r="AA56" s="2"/>
      <c r="AB56" s="2"/>
    </row>
    <row r="57">
      <c r="A57" s="10">
        <v>56.0</v>
      </c>
      <c r="B57" s="5" t="s">
        <v>1600</v>
      </c>
      <c r="C57" s="5" t="s">
        <v>1601</v>
      </c>
      <c r="D57" s="5" t="s">
        <v>1602</v>
      </c>
      <c r="E57" s="5" t="s">
        <v>1603</v>
      </c>
      <c r="F57" s="2"/>
      <c r="G57" s="2"/>
      <c r="H57" s="4" t="str">
        <f>IFERROR(__xludf.DUMMYFUNCTION("GOOGLETRANSLATE(B57, ""en"", ""zh"")"),"剑子中常用的步法技术叫什么名字？")</f>
        <v>剑子中常用的步法技术叫什么名字？</v>
      </c>
      <c r="I57" s="4" t="str">
        <f>IFERROR(__xludf.DUMMYFUNCTION("GOOGLETRANSLATE(C57, ""en"", ""zh"")"),"A) 脚下运球，B) 折返踢球，C) 颠球，D) 后空翻踢球")</f>
        <v>A) 脚下运球，B) 折返踢球，C) 颠球，D) 后空翻踢球</v>
      </c>
      <c r="J57" s="4" t="str">
        <f>IFERROR(__xludf.DUMMYFUNCTION("GOOGLETRANSLATE(D57, ""en"", ""zh"")"),"C) 杂耍")</f>
        <v>C) 杂耍</v>
      </c>
      <c r="K57" s="4" t="str">
        <f>IFERROR(__xludf.DUMMYFUNCTION("GOOGLETRANSLATE(E57, ""en"", ""zh"")"),"毽子的步法常被称为杂耍，球员用脚来控制毽子。")</f>
        <v>毽子的步法常被称为杂耍，球员用脚来控制毽子。</v>
      </c>
      <c r="L57" s="3"/>
      <c r="M57" s="3"/>
      <c r="N57" s="3"/>
      <c r="O57" s="3"/>
      <c r="P57" s="2"/>
      <c r="Q57" s="2"/>
      <c r="R57" s="2"/>
      <c r="S57" s="2"/>
      <c r="T57" s="2"/>
      <c r="U57" s="2"/>
      <c r="V57" s="2"/>
      <c r="W57" s="2"/>
      <c r="X57" s="2"/>
      <c r="Y57" s="2"/>
      <c r="Z57" s="2"/>
      <c r="AA57" s="2"/>
      <c r="AB57" s="2"/>
    </row>
    <row r="58">
      <c r="A58" s="10">
        <v>57.0</v>
      </c>
      <c r="B58" s="5" t="s">
        <v>1604</v>
      </c>
      <c r="C58" s="5" t="s">
        <v>1605</v>
      </c>
      <c r="D58" s="5" t="s">
        <v>1606</v>
      </c>
      <c r="E58" s="5" t="s">
        <v>1607</v>
      </c>
      <c r="F58" s="2"/>
      <c r="G58" s="2"/>
      <c r="H58" s="4" t="str">
        <f>IFERROR(__xludf.DUMMYFUNCTION("GOOGLETRANSLATE(B58, ""en"", ""zh"")"),"现代剑子通常是如何演奏的？")</f>
        <v>现代剑子通常是如何演奏的？</v>
      </c>
      <c r="I58" s="4" t="str">
        <f>IFERROR(__xludf.DUMMYFUNCTION("GOOGLETRANSLATE(C58, ""en"", ""zh"")"),"A) 作为一项个人运动，B) 作为一项团体运动，C) 作为一项健身活动，D) 作为一项竞技赛事")</f>
        <v>A) 作为一项个人运动，B) 作为一项团体运动，C) 作为一项健身活动，D) 作为一项竞技赛事</v>
      </c>
      <c r="J58" s="4" t="str">
        <f>IFERROR(__xludf.DUMMYFUNCTION("GOOGLETRANSLATE(D58, ""en"", ""zh"")"),"B）作为一项团队运动")</f>
        <v>B）作为一项团队运动</v>
      </c>
      <c r="K58" s="4" t="str">
        <f>IFERROR(__xludf.DUMMYFUNCTION("GOOGLETRANSLATE(E58, ""en"", ""zh"")"),"现代毽子通常以团队形式进行，队员轮流踢毽子。")</f>
        <v>现代毽子通常以团队形式进行，队员轮流踢毽子。</v>
      </c>
      <c r="L58" s="3"/>
      <c r="M58" s="3"/>
      <c r="N58" s="3"/>
      <c r="O58" s="3"/>
      <c r="P58" s="2"/>
      <c r="Q58" s="2"/>
      <c r="R58" s="2"/>
      <c r="S58" s="2"/>
      <c r="T58" s="2"/>
      <c r="U58" s="2"/>
      <c r="V58" s="2"/>
      <c r="W58" s="2"/>
      <c r="X58" s="2"/>
      <c r="Y58" s="2"/>
      <c r="Z58" s="2"/>
      <c r="AA58" s="2"/>
      <c r="AB58" s="2"/>
    </row>
    <row r="59">
      <c r="A59" s="10">
        <v>58.0</v>
      </c>
      <c r="B59" s="5" t="s">
        <v>1608</v>
      </c>
      <c r="C59" s="5" t="s">
        <v>1609</v>
      </c>
      <c r="D59" s="5" t="s">
        <v>1610</v>
      </c>
      <c r="E59" s="5" t="s">
        <v>1611</v>
      </c>
      <c r="F59" s="2"/>
      <c r="G59" s="2"/>
      <c r="H59" s="4" t="str">
        <f>IFERROR(__xludf.DUMMYFUNCTION("GOOGLETRANSLATE(B59, ""en"", ""zh"")"),"如今在尖子中常见的比赛类型有哪些？")</f>
        <v>如今在尖子中常见的比赛类型有哪些？</v>
      </c>
      <c r="I59" s="4" t="str">
        <f>IFERROR(__xludf.DUMMYFUNCTION("GOOGLETRANSLATE(C59, ""en"", ""zh"")"),"A) 个人表演，B) 杂耍比赛，C) 团队接力赛，D) 踢球精准度比赛")</f>
        <v>A) 个人表演，B) 杂耍比赛，C) 团队接力赛，D) 踢球精准度比赛</v>
      </c>
      <c r="J59" s="4" t="str">
        <f>IFERROR(__xludf.DUMMYFUNCTION("GOOGLETRANSLATE(D59, ""en"", ""zh"")"),"D) 踢球精准度比赛")</f>
        <v>D) 踢球精准度比赛</v>
      </c>
      <c r="K59" s="4" t="str">
        <f>IFERROR(__xludf.DUMMYFUNCTION("GOOGLETRANSLATE(E59, ""en"", ""zh"")"),"现代剑式比赛往往注重踢腿的准确性和风格。")</f>
        <v>现代剑式比赛往往注重踢腿的准确性和风格。</v>
      </c>
      <c r="L59" s="2"/>
      <c r="M59" s="3"/>
      <c r="N59" s="3"/>
      <c r="O59" s="3"/>
      <c r="P59" s="3"/>
      <c r="Q59" s="2"/>
      <c r="R59" s="2"/>
      <c r="S59" s="2"/>
      <c r="T59" s="2"/>
      <c r="U59" s="2"/>
      <c r="V59" s="2"/>
      <c r="W59" s="2"/>
      <c r="X59" s="2"/>
      <c r="Y59" s="2"/>
      <c r="Z59" s="2"/>
      <c r="AA59" s="2"/>
      <c r="AB59" s="2"/>
    </row>
    <row r="60">
      <c r="A60" s="10">
        <v>59.0</v>
      </c>
      <c r="B60" s="5" t="s">
        <v>1612</v>
      </c>
      <c r="C60" s="5" t="s">
        <v>1613</v>
      </c>
      <c r="D60" s="5" t="s">
        <v>1614</v>
      </c>
      <c r="E60" s="5" t="s">
        <v>1615</v>
      </c>
      <c r="F60" s="2"/>
      <c r="G60" s="2"/>
      <c r="H60" s="4" t="str">
        <f>IFERROR(__xludf.DUMMYFUNCTION("GOOGLETRANSLATE(B60, ""en"", ""zh"")"),"建子的主要目标是什么？")</f>
        <v>建子的主要目标是什么？</v>
      </c>
      <c r="I60" s="4" t="str">
        <f>IFERROR(__xludf.DUMMYFUNCTION("GOOGLETRANSLATE(C60, ""en"", ""zh"")"),"A) 进球得分，B) 将羽毛球踢得最远，C) 让羽毛球保持在空中，D) 将羽毛球传给其他人")</f>
        <v>A) 进球得分，B) 将羽毛球踢得最远，C) 让羽毛球保持在空中，D) 将羽毛球传给其他人</v>
      </c>
      <c r="J60" s="4" t="str">
        <f>IFERROR(__xludf.DUMMYFUNCTION("GOOGLETRANSLATE(D60, ""en"", ""zh"")"),"C) 使羽毛球保持在空中")</f>
        <v>C) 使羽毛球保持在空中</v>
      </c>
      <c r="K60" s="4" t="str">
        <f>IFERROR(__xludf.DUMMYFUNCTION("GOOGLETRANSLATE(E60, ""en"", ""zh"")"),"毽子的主要目标是防止毽子触地。")</f>
        <v>毽子的主要目标是防止毽子触地。</v>
      </c>
      <c r="L60" s="2"/>
      <c r="M60" s="3"/>
      <c r="N60" s="3"/>
      <c r="O60" s="3"/>
      <c r="P60" s="3"/>
      <c r="Q60" s="2"/>
      <c r="R60" s="2"/>
      <c r="S60" s="2"/>
      <c r="T60" s="2"/>
      <c r="U60" s="2"/>
      <c r="V60" s="2"/>
      <c r="W60" s="2"/>
      <c r="X60" s="2"/>
      <c r="Y60" s="2"/>
      <c r="Z60" s="2"/>
      <c r="AA60" s="2"/>
      <c r="AB60" s="2"/>
    </row>
    <row r="61">
      <c r="A61" s="10">
        <v>60.0</v>
      </c>
      <c r="B61" s="5" t="s">
        <v>1616</v>
      </c>
      <c r="C61" s="5" t="s">
        <v>1617</v>
      </c>
      <c r="D61" s="5" t="s">
        <v>1618</v>
      </c>
      <c r="E61" s="5" t="s">
        <v>1619</v>
      </c>
      <c r="F61" s="2"/>
      <c r="G61" s="2"/>
      <c r="H61" s="4" t="str">
        <f>IFERROR(__xludf.DUMMYFUNCTION("GOOGLETRANSLATE(B61, ""en"", ""zh"")"),"演奏琴子时，身体哪个部位用得最少？")</f>
        <v>演奏琴子时，身体哪个部位用得最少？</v>
      </c>
      <c r="I61" s="4" t="str">
        <f>IFERROR(__xludf.DUMMYFUNCTION("GOOGLETRANSLATE(C61, ""en"", ""zh"")"),"A) 脚，B) 头，C) 手，D) 膝盖")</f>
        <v>A) 脚，B) 头，C) 手，D) 膝盖</v>
      </c>
      <c r="J61" s="4" t="str">
        <f>IFERROR(__xludf.DUMMYFUNCTION("GOOGLETRANSLATE(D61, ""en"", ""zh"")"),"C）手")</f>
        <v>C）手</v>
      </c>
      <c r="K61" s="4" t="str">
        <f>IFERROR(__xludf.DUMMYFUNCTION("GOOGLETRANSLATE(E61, ""en"", ""zh"")"),"毽子比赛中，球员通常不用手，而是用脚、头甚至膝盖来控制毽子。")</f>
        <v>毽子比赛中，球员通常不用手，而是用脚、头甚至膝盖来控制毽子。</v>
      </c>
      <c r="L61" s="2"/>
      <c r="M61" s="3"/>
      <c r="N61" s="2"/>
      <c r="O61" s="3"/>
      <c r="P61" s="2"/>
      <c r="Q61" s="2"/>
      <c r="R61" s="2"/>
      <c r="S61" s="2"/>
      <c r="T61" s="2"/>
      <c r="U61" s="2"/>
      <c r="V61" s="2"/>
      <c r="W61" s="2"/>
      <c r="X61" s="2"/>
      <c r="Y61" s="2"/>
      <c r="Z61" s="2"/>
      <c r="AA61" s="2"/>
      <c r="AB61" s="2"/>
    </row>
    <row r="62">
      <c r="A62" s="10">
        <v>61.0</v>
      </c>
      <c r="B62" s="5" t="s">
        <v>1620</v>
      </c>
      <c r="C62" s="5" t="s">
        <v>1621</v>
      </c>
      <c r="D62" s="5" t="s">
        <v>1622</v>
      </c>
      <c r="E62" s="5" t="s">
        <v>1623</v>
      </c>
      <c r="F62" s="2"/>
      <c r="G62" s="2"/>
      <c r="H62" s="4" t="str">
        <f>IFERROR(__xludf.DUMMYFUNCTION("GOOGLETRANSLATE(B62, ""en"", ""zh"")"),"演奏剑子时，步法的哪个方面最为重要？")</f>
        <v>演奏剑子时，步法的哪个方面最为重要？</v>
      </c>
      <c r="I62" s="4" t="str">
        <f>IFERROR(__xludf.DUMMYFUNCTION("GOOGLETRANSLATE(C62, ""en"", ""zh"")"),"A) 敏捷性，B) 速度，C) 爆发力，D) 力量")</f>
        <v>A) 敏捷性，B) 速度，C) 爆发力，D) 力量</v>
      </c>
      <c r="J62" s="4" t="str">
        <f>IFERROR(__xludf.DUMMYFUNCTION("GOOGLETRANSLATE(D62, ""en"", ""zh"")"),"A) 敏捷性")</f>
        <v>A) 敏捷性</v>
      </c>
      <c r="K62" s="4" t="str">
        <f>IFERROR(__xludf.DUMMYFUNCTION("GOOGLETRANSLATE(E62, ""en"", ""zh"")"),"毽子运动注重敏捷性，因为球员必须快速而精准地移动才能控制毽子。")</f>
        <v>毽子运动注重敏捷性，因为球员必须快速而精准地移动才能控制毽子。</v>
      </c>
      <c r="L62" s="3"/>
      <c r="M62" s="3"/>
      <c r="N62" s="2"/>
      <c r="O62" s="3"/>
      <c r="P62" s="2"/>
      <c r="Q62" s="2"/>
      <c r="R62" s="2"/>
      <c r="S62" s="2"/>
      <c r="T62" s="2"/>
      <c r="U62" s="2"/>
      <c r="V62" s="2"/>
      <c r="W62" s="2"/>
      <c r="X62" s="2"/>
      <c r="Y62" s="2"/>
      <c r="Z62" s="2"/>
      <c r="AA62" s="2"/>
      <c r="AB62" s="2"/>
    </row>
    <row r="63">
      <c r="A63" s="10">
        <v>62.0</v>
      </c>
      <c r="B63" s="5" t="s">
        <v>1624</v>
      </c>
      <c r="C63" s="5" t="s">
        <v>1625</v>
      </c>
      <c r="D63" s="5" t="s">
        <v>1626</v>
      </c>
      <c r="E63" s="5" t="s">
        <v>1627</v>
      </c>
      <c r="F63" s="2"/>
      <c r="G63" s="2"/>
      <c r="H63" s="4" t="str">
        <f>IFERROR(__xludf.DUMMYFUNCTION("GOOGLETRANSLATE(B63, ""en"", ""zh"")"),"现代毽子比赛中最常见的比赛形式是什么？")</f>
        <v>现代毽子比赛中最常见的比赛形式是什么？</v>
      </c>
      <c r="I63" s="4" t="str">
        <f>IFERROR(__xludf.DUMMYFUNCTION("GOOGLETRANSLATE(C63, ""en"", ""zh"")"),"A) 个人表演，B) 团体比赛，C) 接力赛，D) 踢球精准度比赛")</f>
        <v>A) 个人表演，B) 团体比赛，C) 接力赛，D) 踢球精准度比赛</v>
      </c>
      <c r="J63" s="4" t="str">
        <f>IFERROR(__xludf.DUMMYFUNCTION("GOOGLETRANSLATE(D63, ""en"", ""zh"")"),"B）团体比赛")</f>
        <v>B）团体比赛</v>
      </c>
      <c r="K63" s="4" t="str">
        <f>IFERROR(__xludf.DUMMYFUNCTION("GOOGLETRANSLATE(E63, ""en"", ""zh"")"),"现代毽子比赛通常以小组形式进行，球员轮流击打毽子，使其保持在空中。")</f>
        <v>现代毽子比赛通常以小组形式进行，球员轮流击打毽子，使其保持在空中。</v>
      </c>
      <c r="L63" s="3"/>
      <c r="M63" s="3"/>
      <c r="N63" s="3"/>
      <c r="O63" s="3"/>
      <c r="P63" s="2"/>
      <c r="Q63" s="2"/>
      <c r="R63" s="2"/>
      <c r="S63" s="2"/>
      <c r="T63" s="2"/>
      <c r="U63" s="2"/>
      <c r="V63" s="2"/>
      <c r="W63" s="2"/>
      <c r="X63" s="2"/>
      <c r="Y63" s="2"/>
      <c r="Z63" s="2"/>
      <c r="AA63" s="2"/>
      <c r="AB63" s="2"/>
    </row>
    <row r="64">
      <c r="A64" s="10">
        <v>63.0</v>
      </c>
      <c r="B64" s="5" t="s">
        <v>1628</v>
      </c>
      <c r="C64" s="5" t="s">
        <v>1629</v>
      </c>
      <c r="D64" s="5" t="s">
        <v>1630</v>
      </c>
      <c r="E64" s="5" t="s">
        <v>1631</v>
      </c>
      <c r="F64" s="2"/>
      <c r="G64" s="2"/>
      <c r="H64" s="4" t="str">
        <f>IFERROR(__xludf.DUMMYFUNCTION("GOOGLETRANSLATE(B64, ""en"", ""zh"")"),"下剑时通常穿什么类型的鞋子？")</f>
        <v>下剑时通常穿什么类型的鞋子？</v>
      </c>
      <c r="I64" s="4" t="str">
        <f>IFERROR(__xludf.DUMMYFUNCTION("GOOGLETRANSLATE(C64, ""en"", ""zh"")"),"A) 赤脚，B) 运动鞋，C) 凉鞋，D) 靴子")</f>
        <v>A) 赤脚，B) 运动鞋，C) 凉鞋，D) 靴子</v>
      </c>
      <c r="J64" s="4" t="str">
        <f>IFERROR(__xludf.DUMMYFUNCTION("GOOGLETRANSLATE(D64, ""en"", ""zh"")"),"A）赤脚")</f>
        <v>A）赤脚</v>
      </c>
      <c r="K64" s="4" t="str">
        <f>IFERROR(__xludf.DUMMYFUNCTION("GOOGLETRANSLATE(E64, ""en"", ""zh"")"),"球员们经常赤脚打戌子，以提高脚步移动和敏捷性。")</f>
        <v>球员们经常赤脚打戌子，以提高脚步移动和敏捷性。</v>
      </c>
      <c r="L64" s="2"/>
      <c r="M64" s="3"/>
      <c r="N64" s="2"/>
      <c r="O64" s="3"/>
      <c r="P64" s="3"/>
      <c r="Q64" s="2"/>
      <c r="R64" s="2"/>
      <c r="S64" s="2"/>
      <c r="T64" s="2"/>
      <c r="U64" s="2"/>
      <c r="V64" s="2"/>
      <c r="W64" s="2"/>
      <c r="X64" s="2"/>
      <c r="Y64" s="2"/>
      <c r="Z64" s="2"/>
      <c r="AA64" s="2"/>
      <c r="AB64" s="2"/>
    </row>
    <row r="65">
      <c r="A65" s="10">
        <v>64.0</v>
      </c>
      <c r="B65" s="5" t="s">
        <v>1632</v>
      </c>
      <c r="C65" s="5" t="s">
        <v>1633</v>
      </c>
      <c r="D65" s="5" t="s">
        <v>1634</v>
      </c>
      <c r="E65" s="5" t="s">
        <v>1635</v>
      </c>
      <c r="F65" s="2"/>
      <c r="G65" s="2"/>
      <c r="H65" s="4" t="str">
        <f>IFERROR(__xludf.DUMMYFUNCTION("GOOGLETRANSLATE(B65, ""en"", ""zh"")"),"剑术中用来描述踢腿技术的常用术语是什么？")</f>
        <v>剑术中用来描述踢腿技术的常用术语是什么？</v>
      </c>
      <c r="I65" s="4" t="str">
        <f>IFERROR(__xludf.DUMMYFUNCTION("GOOGLETRANSLATE(C65, ""en"", ""zh"")"),"A) 颠球，B) 运球，C) 弹球，D) 扣球")</f>
        <v>A) 颠球，B) 运球，C) 弹球，D) 扣球</v>
      </c>
      <c r="J65" s="4" t="str">
        <f>IFERROR(__xludf.DUMMYFUNCTION("GOOGLETRANSLATE(D65, ""en"", ""zh"")"),"A) 杂耍")</f>
        <v>A) 杂耍</v>
      </c>
      <c r="K65" s="4" t="str">
        <f>IFERROR(__xludf.DUMMYFUNCTION("GOOGLETRANSLATE(E65, ""en"", ""zh"")"),"毽子中的踢球技巧常被称为颠球，因为球员要不断地让毽子保持在空中。")</f>
        <v>毽子中的踢球技巧常被称为颠球，因为球员要不断地让毽子保持在空中。</v>
      </c>
      <c r="L65" s="3"/>
      <c r="M65" s="3"/>
      <c r="N65" s="3"/>
      <c r="O65" s="3"/>
      <c r="P65" s="3"/>
      <c r="Q65" s="2"/>
      <c r="R65" s="2"/>
      <c r="S65" s="2"/>
      <c r="T65" s="2"/>
      <c r="U65" s="2"/>
      <c r="V65" s="2"/>
      <c r="W65" s="2"/>
      <c r="X65" s="2"/>
      <c r="Y65" s="2"/>
      <c r="Z65" s="2"/>
      <c r="AA65" s="2"/>
      <c r="AB65" s="2"/>
    </row>
    <row r="66">
      <c r="A66" s="10">
        <v>65.0</v>
      </c>
      <c r="B66" s="5" t="s">
        <v>1636</v>
      </c>
      <c r="C66" s="5" t="s">
        <v>1637</v>
      </c>
      <c r="D66" s="5" t="s">
        <v>1638</v>
      </c>
      <c r="E66" s="5" t="s">
        <v>1639</v>
      </c>
      <c r="F66" s="2"/>
      <c r="G66" s="2"/>
      <c r="H66" s="4" t="str">
        <f>IFERROR(__xludf.DUMMYFUNCTION("GOOGLETRANSLATE(B66, ""en"", ""zh"")"),"哪种毽子比赛要求选手表演复杂的技巧和特技？")</f>
        <v>哪种毽子比赛要求选手表演复杂的技巧和特技？</v>
      </c>
      <c r="I66" s="4" t="str">
        <f>IFERROR(__xludf.DUMMYFUNCTION("GOOGLETRANSLATE(C66, ""en"", ""zh"")"),"A) 自由式比赛，B) 踢球精准度，C) 接力赛，D) 速度比赛")</f>
        <v>A) 自由式比赛，B) 踢球精准度，C) 接力赛，D) 速度比赛</v>
      </c>
      <c r="J66" s="4" t="str">
        <f>IFERROR(__xludf.DUMMYFUNCTION("GOOGLETRANSLATE(D66, ""en"", ""zh"")"),"A) 自由式比赛")</f>
        <v>A) 自由式比赛</v>
      </c>
      <c r="K66" s="4" t="str">
        <f>IFERROR(__xludf.DUMMYFUNCTION("GOOGLETRANSLATE(E66, ""en"", ""zh"")"),"自由式毽子比赛注重选手用毽子表演复杂的技巧和特技。")</f>
        <v>自由式毽子比赛注重选手用毽子表演复杂的技巧和特技。</v>
      </c>
      <c r="L66" s="3"/>
      <c r="M66" s="3"/>
      <c r="N66" s="2"/>
      <c r="O66" s="3"/>
      <c r="P66" s="2"/>
      <c r="Q66" s="2"/>
      <c r="R66" s="2"/>
      <c r="S66" s="2"/>
      <c r="T66" s="2"/>
      <c r="U66" s="2"/>
      <c r="V66" s="2"/>
      <c r="W66" s="2"/>
      <c r="X66" s="2"/>
      <c r="Y66" s="2"/>
      <c r="Z66" s="2"/>
      <c r="AA66" s="2"/>
      <c r="AB66" s="2"/>
    </row>
    <row r="67">
      <c r="A67" s="10">
        <v>66.0</v>
      </c>
      <c r="B67" s="5" t="s">
        <v>1640</v>
      </c>
      <c r="C67" s="5" t="s">
        <v>1641</v>
      </c>
      <c r="D67" s="5" t="s">
        <v>1642</v>
      </c>
      <c r="E67" s="5" t="s">
        <v>1643</v>
      </c>
      <c r="F67" s="2"/>
      <c r="G67" s="2"/>
      <c r="H67" s="4" t="str">
        <f>IFERROR(__xludf.DUMMYFUNCTION("GOOGLETRANSLATE(B67, ""en"", ""zh"")"),"与其他羽毛球运动（如羽毛球）相比，毽子有何独特之处？")</f>
        <v>与其他羽毛球运动（如羽毛球）相比，毽子有何独特之处？</v>
      </c>
      <c r="I67" s="4" t="str">
        <f>IFERROR(__xludf.DUMMYFUNCTION("GOOGLETRANSLATE(C67, ""en"", ""zh"")"),"A) 在户外进行，B) 球员用头和脚，C) 使用球网，D) 使用较大的羽毛球")</f>
        <v>A) 在户外进行，B) 球员用头和脚，C) 使用球网，D) 使用较大的羽毛球</v>
      </c>
      <c r="J67" s="4" t="str">
        <f>IFERROR(__xludf.DUMMYFUNCTION("GOOGLETRANSLATE(D67, ""en"", ""zh"")"),"B) 球员运用头部和脚部")</f>
        <v>B) 球员运用头部和脚部</v>
      </c>
      <c r="K67" s="4" t="str">
        <f>IFERROR(__xludf.DUMMYFUNCTION("GOOGLETRANSLATE(E67, ""en"", ""zh"")"),"毽子的独特之处在于，球员可以用脚、膝盖甚至头部来控制毽子。")</f>
        <v>毽子的独特之处在于，球员可以用脚、膝盖甚至头部来控制毽子。</v>
      </c>
      <c r="L67" s="3"/>
      <c r="M67" s="3"/>
      <c r="N67" s="3"/>
      <c r="O67" s="3"/>
      <c r="P67" s="2"/>
      <c r="Q67" s="2"/>
      <c r="R67" s="2"/>
      <c r="S67" s="2"/>
      <c r="T67" s="2"/>
      <c r="U67" s="2"/>
      <c r="V67" s="2"/>
      <c r="W67" s="2"/>
      <c r="X67" s="2"/>
      <c r="Y67" s="2"/>
      <c r="Z67" s="2"/>
      <c r="AA67" s="2"/>
      <c r="AB67" s="2"/>
    </row>
    <row r="68">
      <c r="A68" s="10">
        <v>67.0</v>
      </c>
      <c r="B68" s="5" t="s">
        <v>1644</v>
      </c>
      <c r="C68" s="5" t="s">
        <v>1645</v>
      </c>
      <c r="D68" s="5" t="s">
        <v>1646</v>
      </c>
      <c r="E68" s="5" t="s">
        <v>1647</v>
      </c>
      <c r="F68" s="2"/>
      <c r="G68" s="2"/>
      <c r="H68" s="4" t="str">
        <f>IFERROR(__xludf.DUMMYFUNCTION("GOOGLETRANSLATE(B68, ""en"", ""zh"")"),"不用球网的毽子游戏传统名称是什么？")</f>
        <v>不用球网的毽子游戏传统名称是什么？</v>
      </c>
      <c r="I68" s="4" t="str">
        <f>IFERROR(__xludf.DUMMYFUNCTION("GOOGLETRANSLATE(C68, ""en"", ""zh"")"),"A) 自由剪子、B) 圈剪子、C) 开剪子、D) 田剪子")</f>
        <v>A) 自由剪子、B) 圈剪子、C) 开剪子、D) 田剪子</v>
      </c>
      <c r="J68" s="4" t="str">
        <f>IFERROR(__xludf.DUMMYFUNCTION("GOOGLETRANSLATE(D68, ""en"", ""zh"")"),"B) 圈剪子")</f>
        <v>B) 圈剪子</v>
      </c>
      <c r="K68" s="4" t="str">
        <f>IFERROR(__xludf.DUMMYFUNCTION("GOOGLETRANSLATE(E68, ""en"", ""zh"")"),"圈剑子是一种没有球网的运动，通常注重耐力和技巧。")</f>
        <v>圈剑子是一种没有球网的运动，通常注重耐力和技巧。</v>
      </c>
      <c r="L68" s="3"/>
      <c r="M68" s="3"/>
      <c r="N68" s="3"/>
      <c r="O68" s="3"/>
      <c r="P68" s="3"/>
      <c r="Q68" s="2"/>
      <c r="R68" s="2"/>
      <c r="S68" s="2"/>
      <c r="T68" s="2"/>
      <c r="U68" s="2"/>
      <c r="V68" s="2"/>
      <c r="W68" s="2"/>
      <c r="X68" s="2"/>
      <c r="Y68" s="2"/>
      <c r="Z68" s="2"/>
      <c r="AA68" s="2"/>
      <c r="AB68" s="2"/>
    </row>
    <row r="69">
      <c r="A69" s="16">
        <v>68.0</v>
      </c>
      <c r="B69" s="17" t="s">
        <v>1648</v>
      </c>
      <c r="C69" s="17" t="s">
        <v>1649</v>
      </c>
      <c r="D69" s="17" t="s">
        <v>920</v>
      </c>
      <c r="E69" s="20"/>
      <c r="F69" s="2"/>
      <c r="G69" s="2"/>
      <c r="H69" s="4" t="str">
        <f>IFERROR(__xludf.DUMMYFUNCTION("GOOGLETRANSLATE(B69, ""en"", ""zh"")"),"一盘标准的戌子棋通常有多少名棋手？")</f>
        <v>一盘标准的戌子棋通常有多少名棋手？</v>
      </c>
      <c r="I69" s="4" t="str">
        <f>IFERROR(__xludf.DUMMYFUNCTION("GOOGLETRANSLATE(C69, ""en"", ""zh"")"),"A) 1 B) 2 C) 4 D) 6")</f>
        <v>A) 1 B) 2 C) 4 D) 6</v>
      </c>
      <c r="J69" s="4" t="str">
        <f>IFERROR(__xludf.DUMMYFUNCTION("GOOGLETRANSLATE(D69, ""en"", ""zh"")"),"B) 2")</f>
        <v>B) 2</v>
      </c>
      <c r="K69" s="4" t="str">
        <f>IFERROR(__xludf.DUMMYFUNCTION("GOOGLETRANSLATE(E69, ""en"", ""zh"")"),"#VALUE!")</f>
        <v>#VALUE!</v>
      </c>
      <c r="L69" s="2"/>
      <c r="M69" s="2"/>
      <c r="N69" s="2"/>
      <c r="O69" s="2"/>
      <c r="P69" s="2"/>
      <c r="Q69" s="2"/>
      <c r="R69" s="2"/>
      <c r="S69" s="2"/>
      <c r="T69" s="2"/>
      <c r="U69" s="2"/>
      <c r="V69" s="2"/>
      <c r="W69" s="2"/>
      <c r="X69" s="2"/>
      <c r="Y69" s="2"/>
      <c r="Z69" s="2"/>
      <c r="AA69" s="2"/>
      <c r="AB69" s="2"/>
    </row>
    <row r="70">
      <c r="A70" s="16">
        <v>69.0</v>
      </c>
      <c r="B70" s="17" t="s">
        <v>1650</v>
      </c>
      <c r="C70" s="17" t="s">
        <v>1651</v>
      </c>
      <c r="D70" s="17" t="s">
        <v>1652</v>
      </c>
      <c r="E70" s="20"/>
      <c r="F70" s="2"/>
      <c r="G70" s="2"/>
      <c r="H70" s="4" t="str">
        <f>IFERROR(__xludf.DUMMYFUNCTION("GOOGLETRANSLATE(B70, ""en"", ""zh"")"),"建子的主要目标是什么？")</f>
        <v>建子的主要目标是什么？</v>
      </c>
      <c r="I70" s="4" t="str">
        <f>IFERROR(__xludf.DUMMYFUNCTION("GOOGLETRANSLATE(C70, ""en"", ""zh"")"),"A) 保持球在空中 B) 得分 C) 擒抱对手 D) 触杀球员")</f>
        <v>A) 保持球在空中 B) 得分 C) 擒抱对手 D) 触杀球员</v>
      </c>
      <c r="J70" s="4" t="str">
        <f>IFERROR(__xludf.DUMMYFUNCTION("GOOGLETRANSLATE(D70, ""en"", ""zh"")"),"A）保持航天飞机在空中飞行")</f>
        <v>A）保持航天飞机在空中飞行</v>
      </c>
      <c r="K70" s="4" t="str">
        <f>IFERROR(__xludf.DUMMYFUNCTION("GOOGLETRANSLATE(E70, ""en"", ""zh"")"),"#VALUE!")</f>
        <v>#VALUE!</v>
      </c>
      <c r="L70" s="2"/>
      <c r="M70" s="2"/>
      <c r="N70" s="2"/>
      <c r="O70" s="2"/>
      <c r="P70" s="2"/>
      <c r="Q70" s="2"/>
      <c r="R70" s="2"/>
      <c r="S70" s="2"/>
      <c r="T70" s="2"/>
      <c r="U70" s="2"/>
      <c r="V70" s="2"/>
      <c r="W70" s="2"/>
      <c r="X70" s="2"/>
      <c r="Y70" s="2"/>
      <c r="Z70" s="2"/>
      <c r="AA70" s="2"/>
      <c r="AB70" s="2"/>
    </row>
    <row r="71">
      <c r="A71" s="16">
        <v>70.0</v>
      </c>
      <c r="B71" s="17" t="s">
        <v>1653</v>
      </c>
      <c r="C71" s="17" t="s">
        <v>1654</v>
      </c>
      <c r="D71" s="17" t="s">
        <v>1655</v>
      </c>
      <c r="E71" s="20"/>
      <c r="F71" s="2"/>
      <c r="G71" s="2"/>
      <c r="H71" s="4" t="str">
        <f>IFERROR(__xludf.DUMMYFUNCTION("GOOGLETRANSLATE(B71, ""en"", ""zh"")"),"舂子时最常用脚的哪个部位？")</f>
        <v>舂子时最常用脚的哪个部位？</v>
      </c>
      <c r="I71" s="4" t="str">
        <f>IFERROR(__xludf.DUMMYFUNCTION("GOOGLETRANSLATE(C71, ""en"", ""zh"")"),"A) 脚后跟 B) 脚背 C) 脚趾 D) 脚踝")</f>
        <v>A) 脚后跟 B) 脚背 C) 脚趾 D) 脚踝</v>
      </c>
      <c r="J71" s="4" t="str">
        <f>IFERROR(__xludf.DUMMYFUNCTION("GOOGLETRANSLATE(D71, ""en"", ""zh"")"),"B) 脚背")</f>
        <v>B) 脚背</v>
      </c>
      <c r="K71" s="4" t="str">
        <f>IFERROR(__xludf.DUMMYFUNCTION("GOOGLETRANSLATE(E71, ""en"", ""zh"")"),"#VALUE!")</f>
        <v>#VALUE!</v>
      </c>
      <c r="L71" s="2"/>
      <c r="M71" s="2"/>
      <c r="N71" s="2"/>
      <c r="O71" s="2"/>
      <c r="P71" s="2"/>
      <c r="Q71" s="2"/>
      <c r="R71" s="2"/>
      <c r="S71" s="2"/>
      <c r="T71" s="2"/>
      <c r="U71" s="2"/>
      <c r="V71" s="2"/>
      <c r="W71" s="2"/>
      <c r="X71" s="2"/>
      <c r="Y71" s="2"/>
      <c r="Z71" s="2"/>
      <c r="AA71" s="2"/>
      <c r="AB71" s="2"/>
    </row>
    <row r="72">
      <c r="A72" s="16">
        <v>71.0</v>
      </c>
      <c r="B72" s="17" t="s">
        <v>1656</v>
      </c>
      <c r="C72" s="17" t="s">
        <v>1657</v>
      </c>
      <c r="D72" s="17" t="s">
        <v>247</v>
      </c>
      <c r="E72" s="20"/>
      <c r="F72" s="2"/>
      <c r="G72" s="2"/>
      <c r="H72" s="4" t="str">
        <f>IFERROR(__xludf.DUMMYFUNCTION("GOOGLETRANSLATE(B72, ""en"", ""zh"")"),"传戍子前，每位球员允许触球多少次？")</f>
        <v>传戍子前，每位球员允许触球多少次？</v>
      </c>
      <c r="I72" s="4" t="str">
        <f>IFERROR(__xludf.DUMMYFUNCTION("GOOGLETRANSLATE(C72, ""en"", ""zh"")"),"A) 1 B) 2 C) 3 D) 无限")</f>
        <v>A) 1 B) 2 C) 3 D) 无限</v>
      </c>
      <c r="J72" s="4" t="str">
        <f>IFERROR(__xludf.DUMMYFUNCTION("GOOGLETRANSLATE(D72, ""en"", ""zh"")"),"A) 1")</f>
        <v>A) 1</v>
      </c>
      <c r="K72" s="4" t="str">
        <f>IFERROR(__xludf.DUMMYFUNCTION("GOOGLETRANSLATE(E72, ""en"", ""zh"")"),"#VALUE!")</f>
        <v>#VALUE!</v>
      </c>
      <c r="L72" s="2"/>
      <c r="M72" s="2"/>
      <c r="N72" s="2"/>
      <c r="O72" s="2"/>
      <c r="P72" s="2"/>
      <c r="Q72" s="2"/>
      <c r="R72" s="2"/>
      <c r="S72" s="2"/>
      <c r="T72" s="2"/>
      <c r="U72" s="2"/>
      <c r="V72" s="2"/>
      <c r="W72" s="2"/>
      <c r="X72" s="2"/>
      <c r="Y72" s="2"/>
      <c r="Z72" s="2"/>
      <c r="AA72" s="2"/>
      <c r="AB72" s="2"/>
    </row>
    <row r="73">
      <c r="A73" s="16">
        <v>72.0</v>
      </c>
      <c r="B73" s="17" t="s">
        <v>1658</v>
      </c>
      <c r="C73" s="17" t="s">
        <v>1659</v>
      </c>
      <c r="D73" s="17" t="s">
        <v>62</v>
      </c>
      <c r="E73" s="20"/>
      <c r="F73" s="2"/>
      <c r="G73" s="2"/>
      <c r="H73" s="4" t="str">
        <f>IFERROR(__xludf.DUMMYFUNCTION("GOOGLETRANSLATE(B73, ""en"", ""zh"")"),"溏心比赛中什么才算犯规？")</f>
        <v>溏心比赛中什么才算犯规？</v>
      </c>
      <c r="I73" s="4" t="str">
        <f>IFERROR(__xludf.DUMMYFUNCTION("GOOGLETRANSLATE(C73, ""en"", ""zh"")"),"A) 用手击球 B) 漏接球 C) 双击 D) 以上全部")</f>
        <v>A) 用手击球 B) 漏接球 C) 双击 D) 以上全部</v>
      </c>
      <c r="J73" s="4" t="str">
        <f>IFERROR(__xludf.DUMMYFUNCTION("GOOGLETRANSLATE(D73, ""en"", ""zh"")"),"D) 以上所有选项")</f>
        <v>D) 以上所有选项</v>
      </c>
      <c r="K73" s="4" t="str">
        <f>IFERROR(__xludf.DUMMYFUNCTION("GOOGLETRANSLATE(E73, ""en"", ""zh"")"),"#VALUE!")</f>
        <v>#VALUE!</v>
      </c>
      <c r="L73" s="2"/>
      <c r="M73" s="2"/>
      <c r="N73" s="2"/>
      <c r="O73" s="2"/>
      <c r="P73" s="2"/>
      <c r="Q73" s="2"/>
      <c r="R73" s="2"/>
      <c r="S73" s="2"/>
      <c r="T73" s="2"/>
      <c r="U73" s="2"/>
      <c r="V73" s="2"/>
      <c r="W73" s="2"/>
      <c r="X73" s="2"/>
      <c r="Y73" s="2"/>
      <c r="Z73" s="2"/>
      <c r="AA73" s="2"/>
      <c r="AB73" s="2"/>
    </row>
    <row r="74">
      <c r="A74" s="19">
        <v>73.0</v>
      </c>
      <c r="B74" s="17" t="s">
        <v>1660</v>
      </c>
      <c r="C74" s="17" t="s">
        <v>1661</v>
      </c>
      <c r="D74" s="17" t="s">
        <v>1662</v>
      </c>
      <c r="E74" s="20"/>
      <c r="F74" s="2"/>
      <c r="G74" s="2"/>
      <c r="H74" s="4" t="str">
        <f>IFERROR(__xludf.DUMMYFUNCTION("GOOGLETRANSLATE(B74, ""en"", ""zh"")"),"游戏如何开始？")</f>
        <v>游戏如何开始？</v>
      </c>
      <c r="I74" s="4" t="str">
        <f>IFERROR(__xludf.DUMMYFUNCTION("GOOGLETRANSLATE(C74, ""en"", ""zh"")"),"A) 抛球 B) 落球 C) 开球 D) 鼓手信号")</f>
        <v>A) 抛球 B) 落球 C) 开球 D) 鼓手信号</v>
      </c>
      <c r="J74" s="4" t="str">
        <f>IFERROR(__xludf.DUMMYFUNCTION("GOOGLETRANSLATE(D74, ""en"", ""zh"")"),"B) 接送服务")</f>
        <v>B) 接送服务</v>
      </c>
      <c r="K74" s="4" t="str">
        <f>IFERROR(__xludf.DUMMYFUNCTION("GOOGLETRANSLATE(E74, ""en"", ""zh"")"),"#VALUE!")</f>
        <v>#VALUE!</v>
      </c>
      <c r="L74" s="2"/>
      <c r="M74" s="2"/>
      <c r="N74" s="2"/>
      <c r="O74" s="2"/>
      <c r="P74" s="2"/>
      <c r="Q74" s="2"/>
      <c r="R74" s="2"/>
      <c r="S74" s="2"/>
      <c r="T74" s="2"/>
      <c r="U74" s="2"/>
      <c r="V74" s="2"/>
      <c r="W74" s="2"/>
      <c r="X74" s="2"/>
      <c r="Y74" s="2"/>
      <c r="Z74" s="2"/>
      <c r="AA74" s="2"/>
      <c r="AB74" s="2"/>
    </row>
    <row r="75">
      <c r="A75" s="19">
        <v>74.0</v>
      </c>
      <c r="B75" s="17" t="s">
        <v>1663</v>
      </c>
      <c r="C75" s="17" t="s">
        <v>1664</v>
      </c>
      <c r="D75" s="17" t="s">
        <v>1665</v>
      </c>
      <c r="E75" s="20"/>
      <c r="F75" s="2"/>
      <c r="G75" s="2"/>
      <c r="H75" s="4" t="str">
        <f>IFERROR(__xludf.DUMMYFUNCTION("GOOGLETRANSLATE(B75, ""en"", ""zh"")"),"在团体游戏中，每队各有多少名队员？")</f>
        <v>在团体游戏中，每队各有多少名队员？</v>
      </c>
      <c r="I75" s="4" t="str">
        <f>IFERROR(__xludf.DUMMYFUNCTION("GOOGLETRANSLATE(C75, ""en"", ""zh"")"),"A) 2–4 B) 3–5 C) 5–7 D) 4–6")</f>
        <v>A) 2–4 B) 3–5 C) 5–7 D) 4–6</v>
      </c>
      <c r="J75" s="4" t="str">
        <f>IFERROR(__xludf.DUMMYFUNCTION("GOOGLETRANSLATE(D75, ""en"", ""zh"")"),"D) 4–6")</f>
        <v>D) 4–6</v>
      </c>
      <c r="K75" s="4" t="str">
        <f>IFERROR(__xludf.DUMMYFUNCTION("GOOGLETRANSLATE(E75, ""en"", ""zh"")"),"#VALUE!")</f>
        <v>#VALUE!</v>
      </c>
      <c r="L75" s="2"/>
      <c r="M75" s="2"/>
      <c r="N75" s="2"/>
      <c r="O75" s="2"/>
      <c r="P75" s="2"/>
      <c r="Q75" s="2"/>
      <c r="R75" s="2"/>
      <c r="S75" s="2"/>
      <c r="T75" s="2"/>
      <c r="U75" s="2"/>
      <c r="V75" s="2"/>
      <c r="W75" s="2"/>
      <c r="X75" s="2"/>
      <c r="Y75" s="2"/>
      <c r="Z75" s="2"/>
      <c r="AA75" s="2"/>
      <c r="AB75" s="2"/>
    </row>
    <row r="76">
      <c r="A76" s="21">
        <v>75.0</v>
      </c>
      <c r="B76" s="17" t="s">
        <v>1666</v>
      </c>
      <c r="C76" s="17" t="s">
        <v>1667</v>
      </c>
      <c r="D76" s="17" t="s">
        <v>1668</v>
      </c>
      <c r="E76" s="20"/>
      <c r="F76" s="2"/>
      <c r="G76" s="2"/>
      <c r="H76" s="4" t="str">
        <f>IFERROR(__xludf.DUMMYFUNCTION("GOOGLETRANSLATE(B76, ""en"", ""zh"")"),"建字中的“基本规则”是什么？")</f>
        <v>建字中的“基本规则”是什么？</v>
      </c>
      <c r="I76" s="4" t="str">
        <f>IFERROR(__xludf.DUMMYFUNCTION("GOOGLETRANSLATE(C76, ""en"", ""zh"")"),"A) 球杆不得触地 B) 禁止奔跑 C) 禁止踢球 D) 禁止传球")</f>
        <v>A) 球杆不得触地 B) 禁止奔跑 C) 禁止踢球 D) 禁止传球</v>
      </c>
      <c r="J76" s="4" t="str">
        <f>IFERROR(__xludf.DUMMYFUNCTION("GOOGLETRANSLATE(D76, ""en"", ""zh"")"),"A) 航天飞机不得触地")</f>
        <v>A) 航天飞机不得触地</v>
      </c>
      <c r="K76" s="4" t="str">
        <f>IFERROR(__xludf.DUMMYFUNCTION("GOOGLETRANSLATE(E76, ""en"", ""zh"")"),"#VALUE!")</f>
        <v>#VALUE!</v>
      </c>
      <c r="L76" s="2"/>
      <c r="M76" s="2"/>
      <c r="N76" s="2"/>
      <c r="O76" s="2"/>
      <c r="P76" s="2"/>
      <c r="Q76" s="2"/>
      <c r="R76" s="2"/>
      <c r="S76" s="2"/>
      <c r="T76" s="2"/>
      <c r="U76" s="2"/>
      <c r="V76" s="2"/>
      <c r="W76" s="2"/>
      <c r="X76" s="2"/>
      <c r="Y76" s="2"/>
      <c r="Z76" s="2"/>
      <c r="AA76" s="2"/>
      <c r="AB76" s="2"/>
    </row>
    <row r="77">
      <c r="A77" s="21">
        <v>76.0</v>
      </c>
      <c r="B77" s="17" t="s">
        <v>1669</v>
      </c>
      <c r="C77" s="17" t="s">
        <v>1670</v>
      </c>
      <c r="D77" s="17" t="s">
        <v>1671</v>
      </c>
      <c r="E77" s="20"/>
      <c r="F77" s="2"/>
      <c r="G77" s="2"/>
      <c r="H77" s="4" t="str">
        <f>IFERROR(__xludf.DUMMYFUNCTION("GOOGLETRANSLATE(B77, ""en"", ""zh"")"),"在涮子中，哪些动作是违法的？")</f>
        <v>在涮子中，哪些动作是违法的？</v>
      </c>
      <c r="I77" s="4" t="str">
        <f>IFERROR(__xludf.DUMMYFUNCTION("GOOGLETRANSLATE(C77, ""en"", ""zh"")"),"A) 用手击打 B) 踢 C) 跳跃 D) 传球")</f>
        <v>A) 用手击打 B) 踢 C) 跳跃 D) 传球</v>
      </c>
      <c r="J77" s="4" t="str">
        <f>IFERROR(__xludf.DUMMYFUNCTION("GOOGLETRANSLATE(D77, ""en"", ""zh"")"),"A) 用手击打")</f>
        <v>A) 用手击打</v>
      </c>
      <c r="K77" s="4" t="str">
        <f>IFERROR(__xludf.DUMMYFUNCTION("GOOGLETRANSLATE(E77, ""en"", ""zh"")"),"#VALUE!")</f>
        <v>#VALUE!</v>
      </c>
      <c r="L77" s="2"/>
      <c r="M77" s="2"/>
      <c r="N77" s="2"/>
      <c r="O77" s="2"/>
      <c r="P77" s="2"/>
      <c r="Q77" s="2"/>
      <c r="R77" s="2"/>
      <c r="S77" s="2"/>
      <c r="T77" s="2"/>
      <c r="U77" s="2"/>
      <c r="V77" s="2"/>
      <c r="W77" s="2"/>
      <c r="X77" s="2"/>
      <c r="Y77" s="2"/>
      <c r="Z77" s="2"/>
      <c r="AA77" s="2"/>
      <c r="AB77" s="2"/>
    </row>
    <row r="78">
      <c r="A78" s="21">
        <v>77.0</v>
      </c>
      <c r="B78" s="17" t="s">
        <v>1672</v>
      </c>
      <c r="C78" s="17" t="s">
        <v>1673</v>
      </c>
      <c r="D78" s="17" t="s">
        <v>1674</v>
      </c>
      <c r="E78" s="20"/>
      <c r="F78" s="2"/>
      <c r="G78" s="2"/>
      <c r="H78" s="4" t="str">
        <f>IFERROR(__xludf.DUMMYFUNCTION("GOOGLETRANSLATE(B78, ""en"", ""zh"")"),"竞技剑子比赛是如何计分的？")</f>
        <v>竞技剑子比赛是如何计分的？</v>
      </c>
      <c r="I78" s="4" t="str">
        <f>IFERROR(__xludf.DUMMYFUNCTION("GOOGLETRANSLATE(C78, ""en"", ""zh"")"),"A) 按连续成功踢球次数 B) 按传球次数 C) 按时间 D) 按球员人数")</f>
        <v>A) 按连续成功踢球次数 B) 按传球次数 C) 按时间 D) 按球员人数</v>
      </c>
      <c r="J78" s="4" t="str">
        <f>IFERROR(__xludf.DUMMYFUNCTION("GOOGLETRANSLATE(D78, ""en"", ""zh"")"),"A) 通过连续成功踢球")</f>
        <v>A) 通过连续成功踢球</v>
      </c>
      <c r="K78" s="4" t="str">
        <f>IFERROR(__xludf.DUMMYFUNCTION("GOOGLETRANSLATE(E78, ""en"", ""zh"")"),"#VALUE!")</f>
        <v>#VALUE!</v>
      </c>
      <c r="L78" s="2"/>
      <c r="M78" s="2"/>
      <c r="N78" s="2"/>
      <c r="O78" s="2"/>
      <c r="P78" s="2"/>
      <c r="Q78" s="2"/>
      <c r="R78" s="2"/>
      <c r="S78" s="2"/>
      <c r="T78" s="2"/>
      <c r="U78" s="2"/>
      <c r="V78" s="2"/>
      <c r="W78" s="2"/>
      <c r="X78" s="2"/>
      <c r="Y78" s="2"/>
      <c r="Z78" s="2"/>
      <c r="AA78" s="2"/>
      <c r="AB78" s="2"/>
    </row>
    <row r="79">
      <c r="A79" s="21">
        <v>78.0</v>
      </c>
      <c r="B79" s="17" t="s">
        <v>1675</v>
      </c>
      <c r="C79" s="17" t="s">
        <v>1676</v>
      </c>
      <c r="D79" s="17" t="s">
        <v>1677</v>
      </c>
      <c r="E79" s="20"/>
      <c r="F79" s="2"/>
      <c r="G79" s="2"/>
      <c r="H79" s="4" t="str">
        <f>IFERROR(__xludf.DUMMYFUNCTION("GOOGLETRANSLATE(B79, ""en"", ""zh"")"),"煎子中的“发球”是什么意思？")</f>
        <v>煎子中的“发球”是什么意思？</v>
      </c>
      <c r="I79" s="4" t="str">
        <f>IFERROR(__xludf.DUMMYFUNCTION("GOOGLETRANSLATE(C79, ""en"", ""zh"")"),"A) 开球踢球 B) 手触球 C) 抛球 D) 跳踢")</f>
        <v>A) 开球踢球 B) 手触球 C) 抛球 D) 跳踢</v>
      </c>
      <c r="J79" s="4" t="str">
        <f>IFERROR(__xludf.DUMMYFUNCTION("GOOGLETRANSLATE(D79, ""en"", ""zh"")"),"A) 拉力赛第一轮启动")</f>
        <v>A) 拉力赛第一轮启动</v>
      </c>
      <c r="K79" s="4" t="str">
        <f>IFERROR(__xludf.DUMMYFUNCTION("GOOGLETRANSLATE(E79, ""en"", ""zh"")"),"#VALUE!")</f>
        <v>#VALUE!</v>
      </c>
      <c r="L79" s="2"/>
      <c r="M79" s="2"/>
      <c r="N79" s="2"/>
      <c r="O79" s="2"/>
      <c r="P79" s="2"/>
      <c r="Q79" s="2"/>
      <c r="R79" s="2"/>
      <c r="S79" s="2"/>
      <c r="T79" s="2"/>
      <c r="U79" s="2"/>
      <c r="V79" s="2"/>
      <c r="W79" s="2"/>
      <c r="X79" s="2"/>
      <c r="Y79" s="2"/>
      <c r="Z79" s="2"/>
      <c r="AA79" s="2"/>
      <c r="AB79" s="2"/>
    </row>
    <row r="80">
      <c r="A80" s="21">
        <v>79.0</v>
      </c>
      <c r="B80" s="17" t="s">
        <v>1678</v>
      </c>
      <c r="C80" s="17" t="s">
        <v>1679</v>
      </c>
      <c r="D80" s="17" t="s">
        <v>1680</v>
      </c>
      <c r="E80" s="20"/>
      <c r="F80" s="2"/>
      <c r="G80" s="2"/>
      <c r="H80" s="4" t="str">
        <f>IFERROR(__xludf.DUMMYFUNCTION("GOOGLETRANSLATE(B80, ""en"", ""zh"")"),"集会是如何结束的？")</f>
        <v>集会是如何结束的？</v>
      </c>
      <c r="I80" s="4" t="str">
        <f>IFERROR(__xludf.DUMMYFUNCTION("GOOGLETRANSLATE(C80, ""en"", ""zh"")"),"A) 球落地 B) 球员用手触球 C) 球出界 D) 以上任意一种情况")</f>
        <v>A) 球落地 B) 球员用手触球 C) 球出界 D) 以上任意一种情况</v>
      </c>
      <c r="J80" s="4" t="str">
        <f>IFERROR(__xludf.DUMMYFUNCTION("GOOGLETRANSLATE(D80, ""en"", ""zh"")"),"D) 以上任何一项")</f>
        <v>D) 以上任何一项</v>
      </c>
      <c r="K80" s="4" t="str">
        <f>IFERROR(__xludf.DUMMYFUNCTION("GOOGLETRANSLATE(E80, ""en"", ""zh"")"),"#VALUE!")</f>
        <v>#VALUE!</v>
      </c>
      <c r="L80" s="2"/>
      <c r="M80" s="2"/>
      <c r="N80" s="2"/>
      <c r="O80" s="2"/>
      <c r="P80" s="2"/>
      <c r="Q80" s="2"/>
      <c r="R80" s="2"/>
      <c r="S80" s="2"/>
      <c r="T80" s="2"/>
      <c r="U80" s="2"/>
      <c r="V80" s="2"/>
      <c r="W80" s="2"/>
      <c r="X80" s="2"/>
      <c r="Y80" s="2"/>
      <c r="Z80" s="2"/>
      <c r="AA80" s="2"/>
      <c r="AB80" s="2"/>
    </row>
    <row r="81">
      <c r="A81" s="21">
        <v>80.0</v>
      </c>
      <c r="B81" s="17" t="s">
        <v>1681</v>
      </c>
      <c r="C81" s="17" t="s">
        <v>1682</v>
      </c>
      <c r="D81" s="17" t="s">
        <v>1683</v>
      </c>
      <c r="E81" s="20"/>
      <c r="F81" s="2"/>
      <c r="G81" s="2"/>
      <c r="H81" s="4" t="str">
        <f>IFERROR(__xludf.DUMMYFUNCTION("GOOGLETRANSLATE(B81, ""en"", ""zh"")"),"哪种是常见的刺子技法？")</f>
        <v>哪种是常见的刺子技法？</v>
      </c>
      <c r="I81" s="4" t="str">
        <f>IFERROR(__xludf.DUMMYFUNCTION("GOOGLETRANSLATE(C81, ""en"", ""zh"")"),"A) 内侧踢 B) 手部弹击 C) 头部击打 D) 投掷")</f>
        <v>A) 内侧踢 B) 手部弹击 C) 头部击打 D) 投掷</v>
      </c>
      <c r="J81" s="4" t="str">
        <f>IFERROR(__xludf.DUMMYFUNCTION("GOOGLETRANSLATE(D81, ""en"", ""zh"")"),"A) 内侧踢球")</f>
        <v>A) 内侧踢球</v>
      </c>
      <c r="K81" s="4" t="str">
        <f>IFERROR(__xludf.DUMMYFUNCTION("GOOGLETRANSLATE(E81, ""en"", ""zh"")"),"#VALUE!")</f>
        <v>#VALUE!</v>
      </c>
      <c r="L81" s="2"/>
      <c r="M81" s="2"/>
      <c r="N81" s="2"/>
      <c r="O81" s="2"/>
      <c r="P81" s="2"/>
      <c r="Q81" s="2"/>
      <c r="R81" s="2"/>
      <c r="S81" s="2"/>
      <c r="T81" s="2"/>
      <c r="U81" s="2"/>
      <c r="V81" s="2"/>
      <c r="W81" s="2"/>
      <c r="X81" s="2"/>
      <c r="Y81" s="2"/>
      <c r="Z81" s="2"/>
      <c r="AA81" s="2"/>
      <c r="AB81" s="2"/>
    </row>
    <row r="82">
      <c r="A82" s="21">
        <v>81.0</v>
      </c>
      <c r="B82" s="17" t="s">
        <v>1684</v>
      </c>
      <c r="C82" s="17" t="s">
        <v>1685</v>
      </c>
      <c r="D82" s="17" t="s">
        <v>1686</v>
      </c>
      <c r="E82" s="20"/>
      <c r="F82" s="2"/>
      <c r="G82" s="2"/>
      <c r="H82" s="4" t="str">
        <f>IFERROR(__xludf.DUMMYFUNCTION("GOOGLETRANSLATE(B82, ""en"", ""zh"")"),"球员应该如何击球？")</f>
        <v>球员应该如何击球？</v>
      </c>
      <c r="I82" s="4" t="str">
        <f>IFERROR(__xludf.DUMMYFUNCTION("GOOGLETRANSLATE(C82, ""en"", ""zh"")"),"A) 平稳地以可控的力道 B) 随意地 C) 拍打 D) 投掷")</f>
        <v>A) 平稳地以可控的力道 B) 随意地 C) 拍打 D) 投掷</v>
      </c>
      <c r="J82" s="4" t="str">
        <f>IFERROR(__xludf.DUMMYFUNCTION("GOOGLETRANSLATE(D82, ""en"", ""zh"")"),"A) 平稳地以可控的力")</f>
        <v>A) 平稳地以可控的力</v>
      </c>
      <c r="K82" s="4" t="str">
        <f>IFERROR(__xludf.DUMMYFUNCTION("GOOGLETRANSLATE(E82, ""en"", ""zh"")"),"#VALUE!")</f>
        <v>#VALUE!</v>
      </c>
      <c r="L82" s="2"/>
      <c r="M82" s="2"/>
      <c r="N82" s="2"/>
      <c r="O82" s="2"/>
      <c r="P82" s="2"/>
      <c r="Q82" s="2"/>
      <c r="R82" s="2"/>
      <c r="S82" s="2"/>
      <c r="T82" s="2"/>
      <c r="U82" s="2"/>
      <c r="V82" s="2"/>
      <c r="W82" s="2"/>
      <c r="X82" s="2"/>
      <c r="Y82" s="2"/>
      <c r="Z82" s="2"/>
      <c r="AA82" s="2"/>
      <c r="AB82" s="2"/>
    </row>
    <row r="83">
      <c r="A83" s="21">
        <v>82.0</v>
      </c>
      <c r="B83" s="17" t="s">
        <v>1687</v>
      </c>
      <c r="C83" s="17" t="s">
        <v>1688</v>
      </c>
      <c r="D83" s="17" t="s">
        <v>1689</v>
      </c>
      <c r="E83" s="20"/>
      <c r="F83" s="2"/>
      <c r="G83" s="2"/>
      <c r="H83" s="4" t="str">
        <f>IFERROR(__xludf.DUMMYFUNCTION("GOOGLETRANSLATE(B83, ""en"", ""zh"")"),"剑子中什么是“越界”？")</f>
        <v>剑子中什么是“越界”？</v>
      </c>
      <c r="I83" s="4" t="str">
        <f>IFERROR(__xludf.DUMMYFUNCTION("GOOGLETRANSLATE(C83, ""en"", ""zh"")"),"A) 羽毛球落在划线区域外 B) 羽毛球击中球员 C) 羽毛球触网 D) 羽毛球弹跳")</f>
        <v>A) 羽毛球落在划线区域外 B) 羽毛球击中球员 C) 羽毛球触网 D) 羽毛球弹跳</v>
      </c>
      <c r="J83" s="4" t="str">
        <f>IFERROR(__xludf.DUMMYFUNCTION("GOOGLETRANSLATE(D83, ""en"", ""zh"")"),"A) 航天飞机降落在划定区域外")</f>
        <v>A) 航天飞机降落在划定区域外</v>
      </c>
      <c r="K83" s="4" t="str">
        <f>IFERROR(__xludf.DUMMYFUNCTION("GOOGLETRANSLATE(E83, ""en"", ""zh"")"),"#VALUE!")</f>
        <v>#VALUE!</v>
      </c>
      <c r="L83" s="2"/>
      <c r="M83" s="2"/>
      <c r="N83" s="2"/>
      <c r="O83" s="2"/>
      <c r="P83" s="2"/>
      <c r="Q83" s="2"/>
      <c r="R83" s="2"/>
      <c r="S83" s="2"/>
      <c r="T83" s="2"/>
      <c r="U83" s="2"/>
      <c r="V83" s="2"/>
      <c r="W83" s="2"/>
      <c r="X83" s="2"/>
      <c r="Y83" s="2"/>
      <c r="Z83" s="2"/>
      <c r="AA83" s="2"/>
      <c r="AB83" s="2"/>
    </row>
    <row r="84">
      <c r="A84" s="21">
        <v>83.0</v>
      </c>
      <c r="B84" s="17" t="s">
        <v>1690</v>
      </c>
      <c r="C84" s="17" t="s">
        <v>1691</v>
      </c>
      <c r="D84" s="17" t="s">
        <v>26</v>
      </c>
      <c r="E84" s="20"/>
      <c r="F84" s="2"/>
      <c r="G84" s="2"/>
      <c r="H84" s="4" t="str">
        <f>IFERROR(__xludf.DUMMYFUNCTION("GOOGLETRANSLATE(B84, ""en"", ""zh"")"),"身体的哪个部位禁止触碰航天飞机？")</f>
        <v>身体的哪个部位禁止触碰航天飞机？</v>
      </c>
      <c r="I84" s="4" t="str">
        <f>IFERROR(__xludf.DUMMYFUNCTION("GOOGLETRANSLATE(C84, ""en"", ""zh"")"),"A) 手 B) 脚 C) 膝盖 D) 头部")</f>
        <v>A) 手 B) 脚 C) 膝盖 D) 头部</v>
      </c>
      <c r="J84" s="4" t="str">
        <f>IFERROR(__xludf.DUMMYFUNCTION("GOOGLETRANSLATE(D84, ""en"", ""zh"")"),"A) 手")</f>
        <v>A) 手</v>
      </c>
      <c r="K84" s="4" t="str">
        <f>IFERROR(__xludf.DUMMYFUNCTION("GOOGLETRANSLATE(E84, ""en"", ""zh"")"),"#VALUE!")</f>
        <v>#VALUE!</v>
      </c>
      <c r="L84" s="2"/>
      <c r="M84" s="2"/>
      <c r="N84" s="2"/>
      <c r="O84" s="2"/>
      <c r="P84" s="2"/>
      <c r="Q84" s="2"/>
      <c r="R84" s="2"/>
      <c r="S84" s="2"/>
      <c r="T84" s="2"/>
      <c r="U84" s="2"/>
      <c r="V84" s="2"/>
      <c r="W84" s="2"/>
      <c r="X84" s="2"/>
      <c r="Y84" s="2"/>
      <c r="Z84" s="2"/>
      <c r="AA84" s="2"/>
      <c r="AB84" s="2"/>
    </row>
    <row r="85">
      <c r="A85" s="21">
        <v>84.0</v>
      </c>
      <c r="B85" s="17" t="s">
        <v>1692</v>
      </c>
      <c r="C85" s="17" t="s">
        <v>1693</v>
      </c>
      <c r="D85" s="17" t="s">
        <v>1429</v>
      </c>
      <c r="E85" s="20"/>
      <c r="F85" s="2"/>
      <c r="G85" s="2"/>
      <c r="H85" s="4" t="str">
        <f>IFERROR(__xludf.DUMMYFUNCTION("GOOGLETRANSLATE(B85, ""en"", ""zh"")"),"一场典型的积分赛需要多长时间？")</f>
        <v>一场典型的积分赛需要多长时间？</v>
      </c>
      <c r="I85" s="4" t="str">
        <f>IFERROR(__xludf.DUMMYFUNCTION("GOOGLETRANSLATE(C85, ""en"", ""zh"")"),"A) 15 B) 21 C) 11 D) 10")</f>
        <v>A) 15 B) 21 C) 11 D) 10</v>
      </c>
      <c r="J85" s="4" t="str">
        <f>IFERROR(__xludf.DUMMYFUNCTION("GOOGLETRANSLATE(D85, ""en"", ""zh"")"),"B) 21")</f>
        <v>B) 21</v>
      </c>
      <c r="K85" s="4" t="str">
        <f>IFERROR(__xludf.DUMMYFUNCTION("GOOGLETRANSLATE(E85, ""en"", ""zh"")"),"#VALUE!")</f>
        <v>#VALUE!</v>
      </c>
      <c r="L85" s="2"/>
      <c r="M85" s="2"/>
      <c r="N85" s="2"/>
      <c r="O85" s="2"/>
      <c r="P85" s="2"/>
      <c r="Q85" s="2"/>
      <c r="R85" s="2"/>
      <c r="S85" s="2"/>
      <c r="T85" s="2"/>
      <c r="U85" s="2"/>
      <c r="V85" s="2"/>
      <c r="W85" s="2"/>
      <c r="X85" s="2"/>
      <c r="Y85" s="2"/>
      <c r="Z85" s="2"/>
      <c r="AA85" s="2"/>
      <c r="AB85" s="2"/>
    </row>
    <row r="86">
      <c r="A86" s="21">
        <v>85.0</v>
      </c>
      <c r="B86" s="17" t="s">
        <v>876</v>
      </c>
      <c r="C86" s="17" t="s">
        <v>1694</v>
      </c>
      <c r="D86" s="17" t="s">
        <v>1695</v>
      </c>
      <c r="E86" s="20"/>
      <c r="F86" s="2"/>
      <c r="G86" s="2"/>
      <c r="H86" s="4" t="str">
        <f>IFERROR(__xludf.DUMMYFUNCTION("GOOGLETRANSLATE(B86, ""en"", ""zh"")"),"如何决出胜负？")</f>
        <v>如何决出胜负？</v>
      </c>
      <c r="I86" s="4" t="str">
        <f>IFERROR(__xludf.DUMMYFUNCTION("GOOGLETRANSLATE(C86, ""en"", ""zh"")"),"A) 最先到达目标点 B) 按回合数 C) 按羽毛球高度 D) 按球员轮次")</f>
        <v>A) 最先到达目标点 B) 按回合数 C) 按羽毛球高度 D) 按球员轮次</v>
      </c>
      <c r="J86" s="4" t="str">
        <f>IFERROR(__xludf.DUMMYFUNCTION("GOOGLETRANSLATE(D86, ""en"", ""zh"")"),"A) 首先到达目标点")</f>
        <v>A) 首先到达目标点</v>
      </c>
      <c r="K86" s="4" t="str">
        <f>IFERROR(__xludf.DUMMYFUNCTION("GOOGLETRANSLATE(E86, ""en"", ""zh"")"),"#VALUE!")</f>
        <v>#VALUE!</v>
      </c>
      <c r="L86" s="2"/>
      <c r="M86" s="2"/>
      <c r="N86" s="2"/>
      <c r="O86" s="2"/>
      <c r="P86" s="2"/>
      <c r="Q86" s="2"/>
      <c r="R86" s="2"/>
      <c r="S86" s="2"/>
      <c r="T86" s="2"/>
      <c r="U86" s="2"/>
      <c r="V86" s="2"/>
      <c r="W86" s="2"/>
      <c r="X86" s="2"/>
      <c r="Y86" s="2"/>
      <c r="Z86" s="2"/>
      <c r="AA86" s="2"/>
      <c r="AB86" s="2"/>
    </row>
    <row r="87">
      <c r="A87" s="21">
        <v>86.0</v>
      </c>
      <c r="B87" s="17" t="s">
        <v>1696</v>
      </c>
      <c r="C87" s="17" t="s">
        <v>1697</v>
      </c>
      <c r="D87" s="17" t="s">
        <v>1698</v>
      </c>
      <c r="E87" s="20"/>
      <c r="F87" s="2"/>
      <c r="G87" s="2"/>
      <c r="H87" s="4" t="str">
        <f>IFERROR(__xludf.DUMMYFUNCTION("GOOGLETRANSLATE(B87, ""en"", ""zh"")"),"煎子中的“组合”是什么意思？")</f>
        <v>煎子中的“组合”是什么意思？</v>
      </c>
      <c r="I87" s="4" t="str">
        <f>IFERROR(__xludf.DUMMYFUNCTION("GOOGLETRANSLATE(C87, ""en"", ""zh"")"),"A) 多次踢球而不掉球 B) 团队策略 C) 传球 D) 跳跃")</f>
        <v>A) 多次踢球而不掉球 B) 团队策略 C) 传球 D) 跳跃</v>
      </c>
      <c r="J87" s="4" t="str">
        <f>IFERROR(__xludf.DUMMYFUNCTION("GOOGLETRANSLATE(D87, ""en"", ""zh"")"),"A) 多次踢球而不掉球")</f>
        <v>A) 多次踢球而不掉球</v>
      </c>
      <c r="K87" s="4" t="str">
        <f>IFERROR(__xludf.DUMMYFUNCTION("GOOGLETRANSLATE(E87, ""en"", ""zh"")"),"#VALUE!")</f>
        <v>#VALUE!</v>
      </c>
      <c r="L87" s="2"/>
      <c r="M87" s="2"/>
      <c r="N87" s="2"/>
      <c r="O87" s="2"/>
      <c r="P87" s="2"/>
      <c r="Q87" s="2"/>
      <c r="R87" s="2"/>
      <c r="S87" s="2"/>
      <c r="T87" s="2"/>
      <c r="U87" s="2"/>
      <c r="V87" s="2"/>
      <c r="W87" s="2"/>
      <c r="X87" s="2"/>
      <c r="Y87" s="2"/>
      <c r="Z87" s="2"/>
      <c r="AA87" s="2"/>
      <c r="AB87" s="2"/>
    </row>
    <row r="88">
      <c r="A88" s="21">
        <v>87.0</v>
      </c>
      <c r="B88" s="17" t="s">
        <v>1699</v>
      </c>
      <c r="C88" s="17" t="s">
        <v>1700</v>
      </c>
      <c r="D88" s="17" t="s">
        <v>1701</v>
      </c>
      <c r="E88" s="20"/>
      <c r="F88" s="2"/>
      <c r="G88" s="2"/>
      <c r="H88" s="4" t="str">
        <f>IFERROR(__xludf.DUMMYFUNCTION("GOOGLETRANSLATE(B88, ""en"", ""zh"")"),"正式比赛中如何分组？")</f>
        <v>正式比赛中如何分组？</v>
      </c>
      <c r="I88" s="4" t="str">
        <f>IFERROR(__xludf.DUMMYFUNCTION("GOOGLETRANSLATE(C88, ""en"", ""zh"")"),"A) 沿标记线 B) 抛球 C) 随机 D) 按颜色")</f>
        <v>A) 沿标记线 B) 抛球 C) 随机 D) 按颜色</v>
      </c>
      <c r="J88" s="4" t="str">
        <f>IFERROR(__xludf.DUMMYFUNCTION("GOOGLETRANSLATE(D88, ""en"", ""zh"")"),"A) 沿着标记线")</f>
        <v>A) 沿着标记线</v>
      </c>
      <c r="K88" s="4" t="str">
        <f>IFERROR(__xludf.DUMMYFUNCTION("GOOGLETRANSLATE(E88, ""en"", ""zh"")"),"#VALUE!")</f>
        <v>#VALUE!</v>
      </c>
      <c r="L88" s="2"/>
      <c r="M88" s="2"/>
      <c r="N88" s="2"/>
      <c r="O88" s="2"/>
      <c r="P88" s="2"/>
      <c r="Q88" s="2"/>
      <c r="R88" s="2"/>
      <c r="S88" s="2"/>
      <c r="T88" s="2"/>
      <c r="U88" s="2"/>
      <c r="V88" s="2"/>
      <c r="W88" s="2"/>
      <c r="X88" s="2"/>
      <c r="Y88" s="2"/>
      <c r="Z88" s="2"/>
      <c r="AA88" s="2"/>
      <c r="AB88" s="2"/>
    </row>
    <row r="89">
      <c r="A89" s="21">
        <v>88.0</v>
      </c>
      <c r="B89" s="17" t="s">
        <v>1702</v>
      </c>
      <c r="C89" s="17" t="s">
        <v>1703</v>
      </c>
      <c r="D89" s="17" t="s">
        <v>1704</v>
      </c>
      <c r="E89" s="20"/>
      <c r="F89" s="2"/>
      <c r="G89" s="2"/>
      <c r="H89" s="4" t="str">
        <f>IFERROR(__xludf.DUMMYFUNCTION("GOOGLETRANSLATE(B89, ""en"", ""zh"")"),"剑术中最关键的技能是什么？")</f>
        <v>剑术中最关键的技能是什么？</v>
      </c>
      <c r="I89" s="4" t="str">
        <f>IFERROR(__xludf.DUMMYFUNCTION("GOOGLETRANSLATE(C89, ""en"", ""zh"")"),"A) 平衡 B) 力量 C) 短跑 D) 投掷")</f>
        <v>A) 平衡 B) 力量 C) 短跑 D) 投掷</v>
      </c>
      <c r="J89" s="4" t="str">
        <f>IFERROR(__xludf.DUMMYFUNCTION("GOOGLETRANSLATE(D89, ""en"", ""zh"")"),"A) 平衡")</f>
        <v>A) 平衡</v>
      </c>
      <c r="K89" s="4" t="str">
        <f>IFERROR(__xludf.DUMMYFUNCTION("GOOGLETRANSLATE(E89, ""en"", ""zh"")"),"#VALUE!")</f>
        <v>#VALUE!</v>
      </c>
      <c r="L89" s="2"/>
      <c r="M89" s="2"/>
      <c r="N89" s="2"/>
      <c r="O89" s="2"/>
      <c r="P89" s="2"/>
      <c r="Q89" s="2"/>
      <c r="R89" s="2"/>
      <c r="S89" s="2"/>
      <c r="T89" s="2"/>
      <c r="U89" s="2"/>
      <c r="V89" s="2"/>
      <c r="W89" s="2"/>
      <c r="X89" s="2"/>
      <c r="Y89" s="2"/>
      <c r="Z89" s="2"/>
      <c r="AA89" s="2"/>
      <c r="AB89" s="2"/>
    </row>
    <row r="90">
      <c r="A90" s="21">
        <v>89.0</v>
      </c>
      <c r="B90" s="17" t="s">
        <v>1705</v>
      </c>
      <c r="C90" s="17" t="s">
        <v>1706</v>
      </c>
      <c r="D90" s="17" t="s">
        <v>1707</v>
      </c>
      <c r="E90" s="20"/>
      <c r="F90" s="2"/>
      <c r="G90" s="2"/>
      <c r="H90" s="4" t="str">
        <f>IFERROR(__xludf.DUMMYFUNCTION("GOOGLETRANSLATE(B90, ""en"", ""zh"")"),"什么是“倒钩踢”？")</f>
        <v>什么是“倒钩踢”？</v>
      </c>
      <c r="I90" s="4" t="str">
        <f>IFERROR(__xludf.DUMMYFUNCTION("GOOGLETRANSLATE(C90, ""en"", ""zh"")"),"A) 头顶踢球 B) 侧踢球 C) 传球 D) 落踢")</f>
        <v>A) 头顶踢球 B) 侧踢球 C) 传球 D) 落踢</v>
      </c>
      <c r="J90" s="4" t="str">
        <f>IFERROR(__xludf.DUMMYFUNCTION("GOOGLETRANSLATE(D90, ""en"", ""zh"")"),"A) 头顶上方踢球")</f>
        <v>A) 头顶上方踢球</v>
      </c>
      <c r="K90" s="4" t="str">
        <f>IFERROR(__xludf.DUMMYFUNCTION("GOOGLETRANSLATE(E90, ""en"", ""zh"")"),"#VALUE!")</f>
        <v>#VALUE!</v>
      </c>
      <c r="L90" s="2"/>
      <c r="M90" s="2"/>
      <c r="N90" s="2"/>
      <c r="O90" s="2"/>
      <c r="P90" s="2"/>
      <c r="Q90" s="2"/>
      <c r="R90" s="2"/>
      <c r="S90" s="2"/>
      <c r="T90" s="2"/>
      <c r="U90" s="2"/>
      <c r="V90" s="2"/>
      <c r="W90" s="2"/>
      <c r="X90" s="2"/>
      <c r="Y90" s="2"/>
      <c r="Z90" s="2"/>
      <c r="AA90" s="2"/>
      <c r="AB90" s="2"/>
    </row>
    <row r="91">
      <c r="A91" s="21">
        <v>90.0</v>
      </c>
      <c r="B91" s="17" t="s">
        <v>1708</v>
      </c>
      <c r="C91" s="17" t="s">
        <v>1709</v>
      </c>
      <c r="D91" s="17" t="s">
        <v>1710</v>
      </c>
      <c r="E91" s="20"/>
      <c r="F91" s="2"/>
      <c r="G91" s="2"/>
      <c r="H91" s="4" t="str">
        <f>IFERROR(__xludf.DUMMYFUNCTION("GOOGLETRANSLATE(B91, ""en"", ""zh"")"),"球员在毽子中可以使用膝盖吗？")</f>
        <v>球员在毽子中可以使用膝盖吗？</v>
      </c>
      <c r="I91" s="4" t="str">
        <f>IFERROR(__xludf.DUMMYFUNCTION("GOOGLETRANSLATE(C91, ""en"", ""zh"")"),"A) 是 B) 否 C) 仅限友谊赛 D) 仅限发球时")</f>
        <v>A) 是 B) 否 C) 仅限友谊赛 D) 仅限发球时</v>
      </c>
      <c r="J91" s="4" t="str">
        <f>IFERROR(__xludf.DUMMYFUNCTION("GOOGLETRANSLATE(D91, ""en"", ""zh"")"),"A) 是的")</f>
        <v>A) 是的</v>
      </c>
      <c r="K91" s="4" t="str">
        <f>IFERROR(__xludf.DUMMYFUNCTION("GOOGLETRANSLATE(E91, ""en"", ""zh"")"),"#VALUE!")</f>
        <v>#VALUE!</v>
      </c>
      <c r="L91" s="2"/>
      <c r="M91" s="2"/>
      <c r="N91" s="2"/>
      <c r="O91" s="2"/>
      <c r="P91" s="2"/>
      <c r="Q91" s="2"/>
      <c r="R91" s="2"/>
      <c r="S91" s="2"/>
      <c r="T91" s="2"/>
      <c r="U91" s="2"/>
      <c r="V91" s="2"/>
      <c r="W91" s="2"/>
      <c r="X91" s="2"/>
      <c r="Y91" s="2"/>
      <c r="Z91" s="2"/>
      <c r="AA91" s="2"/>
      <c r="AB91" s="2"/>
    </row>
    <row r="92">
      <c r="A92" s="21">
        <v>91.0</v>
      </c>
      <c r="B92" s="17" t="s">
        <v>1711</v>
      </c>
      <c r="C92" s="17" t="s">
        <v>1712</v>
      </c>
      <c r="D92" s="17" t="s">
        <v>1713</v>
      </c>
      <c r="E92" s="20"/>
      <c r="F92" s="2"/>
      <c r="G92" s="2"/>
      <c r="H92" s="4" t="str">
        <f>IFERROR(__xludf.DUMMYFUNCTION("GOOGLETRANSLATE(B92, ""en"", ""zh"")"),"如果航天飞机触地会发生什么？")</f>
        <v>如果航天飞机触地会发生什么？</v>
      </c>
      <c r="I92" s="4" t="str">
        <f>IFERROR(__xludf.DUMMYFUNCTION("GOOGLETRANSLATE(C92, ""en"", ""zh"")"),"A) 回合结束 B) 扣分 C) 比赛重置 D) 无影响")</f>
        <v>A) 回合结束 B) 扣分 C) 比赛重置 D) 无影响</v>
      </c>
      <c r="J92" s="4" t="str">
        <f>IFERROR(__xludf.DUMMYFUNCTION("GOOGLETRANSLATE(D92, ""en"", ""zh"")"),"A) 集会结束")</f>
        <v>A) 集会结束</v>
      </c>
      <c r="K92" s="4" t="str">
        <f>IFERROR(__xludf.DUMMYFUNCTION("GOOGLETRANSLATE(E92, ""en"", ""zh"")"),"#VALUE!")</f>
        <v>#VALUE!</v>
      </c>
      <c r="L92" s="2"/>
      <c r="M92" s="2"/>
      <c r="N92" s="2"/>
      <c r="O92" s="2"/>
      <c r="P92" s="2"/>
      <c r="Q92" s="2"/>
      <c r="R92" s="2"/>
      <c r="S92" s="2"/>
      <c r="T92" s="2"/>
      <c r="U92" s="2"/>
      <c r="V92" s="2"/>
      <c r="W92" s="2"/>
      <c r="X92" s="2"/>
      <c r="Y92" s="2"/>
      <c r="Z92" s="2"/>
      <c r="AA92" s="2"/>
      <c r="AB92" s="2"/>
    </row>
    <row r="93">
      <c r="A93" s="21">
        <v>92.0</v>
      </c>
      <c r="B93" s="17" t="s">
        <v>1714</v>
      </c>
      <c r="C93" s="17" t="s">
        <v>1715</v>
      </c>
      <c r="D93" s="17" t="s">
        <v>1716</v>
      </c>
      <c r="E93" s="20"/>
      <c r="F93" s="2"/>
      <c r="G93" s="2"/>
      <c r="H93" s="4" t="str">
        <f>IFERROR(__xludf.DUMMYFUNCTION("GOOGLETRANSLATE(B93, ""en"", ""zh"")"),"竞技建子中，平局如何决出胜负？")</f>
        <v>竞技建子中，平局如何决出胜负？</v>
      </c>
      <c r="I93" s="4" t="str">
        <f>IFERROR(__xludf.DUMMYFUNCTION("GOOGLETRANSLATE(C93, ""en"", ""zh"")"),"A) 额外回合 B) 掷硬币 C) 重赛 D) 裁判判决")</f>
        <v>A) 额外回合 B) 掷硬币 C) 重赛 D) 裁判判决</v>
      </c>
      <c r="J93" s="4" t="str">
        <f>IFERROR(__xludf.DUMMYFUNCTION("GOOGLETRANSLATE(D93, ""en"", ""zh"")"),"A) 额外集会")</f>
        <v>A) 额外集会</v>
      </c>
      <c r="K93" s="4" t="str">
        <f>IFERROR(__xludf.DUMMYFUNCTION("GOOGLETRANSLATE(E93, ""en"", ""zh"")"),"#VALUE!")</f>
        <v>#VALUE!</v>
      </c>
      <c r="L93" s="2"/>
      <c r="M93" s="2"/>
      <c r="N93" s="2"/>
      <c r="O93" s="2"/>
      <c r="P93" s="2"/>
      <c r="Q93" s="2"/>
      <c r="R93" s="2"/>
      <c r="S93" s="2"/>
      <c r="T93" s="2"/>
      <c r="U93" s="2"/>
      <c r="V93" s="2"/>
      <c r="W93" s="2"/>
      <c r="X93" s="2"/>
      <c r="Y93" s="2"/>
      <c r="Z93" s="2"/>
      <c r="AA93" s="2"/>
      <c r="AB93" s="2"/>
    </row>
    <row r="94">
      <c r="A94" s="21">
        <v>93.0</v>
      </c>
      <c r="B94" s="17" t="s">
        <v>1717</v>
      </c>
      <c r="C94" s="17" t="s">
        <v>1718</v>
      </c>
      <c r="D94" s="17" t="s">
        <v>1719</v>
      </c>
      <c r="E94" s="20"/>
      <c r="F94" s="2"/>
      <c r="G94" s="2"/>
      <c r="H94" s="4" t="str">
        <f>IFERROR(__xludf.DUMMYFUNCTION("GOOGLETRANSLATE(B94, ""en"", ""zh"")"),"练习期间的主要重点是什么？")</f>
        <v>练习期间的主要重点是什么？</v>
      </c>
      <c r="I94" s="4" t="str">
        <f>IFERROR(__xludf.DUMMYFUNCTION("GOOGLETRANSLATE(C94, ""en"", ""zh"")"),"A) 精准度和控制力 B) 速度 C) 力量 D) 跳跃高度")</f>
        <v>A) 精准度和控制力 B) 速度 C) 力量 D) 跳跃高度</v>
      </c>
      <c r="J94" s="4" t="str">
        <f>IFERROR(__xludf.DUMMYFUNCTION("GOOGLETRANSLATE(D94, ""en"", ""zh"")"),"A) 准确性和控制")</f>
        <v>A) 准确性和控制</v>
      </c>
      <c r="K94" s="4" t="str">
        <f>IFERROR(__xludf.DUMMYFUNCTION("GOOGLETRANSLATE(E94, ""en"", ""zh"")"),"#VALUE!")</f>
        <v>#VALUE!</v>
      </c>
      <c r="L94" s="2"/>
      <c r="M94" s="2"/>
      <c r="N94" s="2"/>
      <c r="O94" s="2"/>
      <c r="P94" s="2"/>
      <c r="Q94" s="2"/>
      <c r="R94" s="2"/>
      <c r="S94" s="2"/>
      <c r="T94" s="2"/>
      <c r="U94" s="2"/>
      <c r="V94" s="2"/>
      <c r="W94" s="2"/>
      <c r="X94" s="2"/>
      <c r="Y94" s="2"/>
      <c r="Z94" s="2"/>
      <c r="AA94" s="2"/>
      <c r="AB94" s="2"/>
    </row>
    <row r="95">
      <c r="A95" s="21">
        <v>94.0</v>
      </c>
      <c r="B95" s="17" t="s">
        <v>1720</v>
      </c>
      <c r="C95" s="17" t="s">
        <v>1721</v>
      </c>
      <c r="D95" s="17" t="s">
        <v>1722</v>
      </c>
      <c r="E95" s="20"/>
      <c r="F95" s="2"/>
      <c r="G95" s="2"/>
      <c r="H95" s="4" t="str">
        <f>IFERROR(__xludf.DUMMYFUNCTION("GOOGLETRANSLATE(B95, ""en"", ""zh"")"),"毽子中球员可以带球跑吗？")</f>
        <v>毽子中球员可以带球跑吗？</v>
      </c>
      <c r="I95" s="4" t="str">
        <f>IFERROR(__xludf.DUMMYFUNCTION("GOOGLETRANSLATE(C95, ""en"", ""zh"")"),"A) 否 B) 是 C) 仅在发球时 D) 仅在友谊赛中")</f>
        <v>A) 否 B) 是 C) 仅在发球时 D) 仅在友谊赛中</v>
      </c>
      <c r="J95" s="4" t="str">
        <f>IFERROR(__xludf.DUMMYFUNCTION("GOOGLETRANSLATE(D95, ""en"", ""zh"")"),"A) 否")</f>
        <v>A) 否</v>
      </c>
      <c r="K95" s="4" t="str">
        <f>IFERROR(__xludf.DUMMYFUNCTION("GOOGLETRANSLATE(E95, ""en"", ""zh"")"),"#VALUE!")</f>
        <v>#VALUE!</v>
      </c>
      <c r="L95" s="2"/>
      <c r="M95" s="2"/>
      <c r="N95" s="2"/>
      <c r="O95" s="2"/>
      <c r="P95" s="2"/>
      <c r="Q95" s="2"/>
      <c r="R95" s="2"/>
      <c r="S95" s="2"/>
      <c r="T95" s="2"/>
      <c r="U95" s="2"/>
      <c r="V95" s="2"/>
      <c r="W95" s="2"/>
      <c r="X95" s="2"/>
      <c r="Y95" s="2"/>
      <c r="Z95" s="2"/>
      <c r="AA95" s="2"/>
      <c r="AB95" s="2"/>
    </row>
    <row r="96">
      <c r="A96" s="21">
        <v>95.0</v>
      </c>
      <c r="B96" s="17" t="s">
        <v>1723</v>
      </c>
      <c r="C96" s="17" t="s">
        <v>1724</v>
      </c>
      <c r="D96" s="17" t="s">
        <v>1725</v>
      </c>
      <c r="E96" s="20"/>
      <c r="F96" s="2"/>
      <c r="G96" s="2"/>
      <c r="H96" s="4" t="str">
        <f>IFERROR(__xludf.DUMMYFUNCTION("GOOGLETRANSLATE(B96, ""en"", ""zh"")"),"剑子中的“脚控”是什么意思？")</f>
        <v>剑子中的“脚控”是什么意思？</v>
      </c>
      <c r="I96" s="4" t="str">
        <f>IFERROR(__xludf.DUMMYFUNCTION("GOOGLETRANSLATE(C96, ""en"", ""zh"")"),"A) 击球精准度 B) 力量 C) 跳跃高度 D) 手部动作")</f>
        <v>A) 击球精准度 B) 力量 C) 跳跃高度 D) 手部动作</v>
      </c>
      <c r="J96" s="4" t="str">
        <f>IFERROR(__xludf.DUMMYFUNCTION("GOOGLETRANSLATE(D96, ""en"", ""zh"")"),"A) 击球的精准度")</f>
        <v>A) 击球的精准度</v>
      </c>
      <c r="K96" s="4" t="str">
        <f>IFERROR(__xludf.DUMMYFUNCTION("GOOGLETRANSLATE(E96, ""en"", ""zh"")"),"#VALUE!")</f>
        <v>#VALUE!</v>
      </c>
      <c r="L96" s="2"/>
      <c r="M96" s="2"/>
      <c r="N96" s="2"/>
      <c r="O96" s="2"/>
      <c r="P96" s="2"/>
      <c r="Q96" s="2"/>
      <c r="R96" s="2"/>
      <c r="S96" s="2"/>
      <c r="T96" s="2"/>
      <c r="U96" s="2"/>
      <c r="V96" s="2"/>
      <c r="W96" s="2"/>
      <c r="X96" s="2"/>
      <c r="Y96" s="2"/>
      <c r="Z96" s="2"/>
      <c r="AA96" s="2"/>
      <c r="AB96" s="2"/>
    </row>
    <row r="97">
      <c r="A97" s="21">
        <v>96.0</v>
      </c>
      <c r="B97" s="17" t="s">
        <v>1726</v>
      </c>
      <c r="C97" s="17" t="s">
        <v>1727</v>
      </c>
      <c r="D97" s="17" t="s">
        <v>1728</v>
      </c>
      <c r="E97" s="20"/>
      <c r="F97" s="2"/>
      <c r="G97" s="2"/>
      <c r="H97" s="4" t="str">
        <f>IFERROR(__xludf.DUMMYFUNCTION("GOOGLETRANSLATE(B97, ""en"", ""zh"")"),"一场正式比赛中通常会有多少名裁判？")</f>
        <v>一场正式比赛中通常会有多少名裁判？</v>
      </c>
      <c r="I97" s="4" t="str">
        <f>IFERROR(__xludf.DUMMYFUNCTION("GOOGLETRANSLATE(C97, ""en"", ""zh"")"),"A) 1-2 B) 3-4 C) 5 D) 无")</f>
        <v>A) 1-2 B) 3-4 C) 5 D) 无</v>
      </c>
      <c r="J97" s="4" t="str">
        <f>IFERROR(__xludf.DUMMYFUNCTION("GOOGLETRANSLATE(D97, ""en"", ""zh"")"),"A) 1–2")</f>
        <v>A) 1–2</v>
      </c>
      <c r="K97" s="4" t="str">
        <f>IFERROR(__xludf.DUMMYFUNCTION("GOOGLETRANSLATE(E97, ""en"", ""zh"")"),"#VALUE!")</f>
        <v>#VALUE!</v>
      </c>
      <c r="L97" s="2"/>
      <c r="M97" s="2"/>
      <c r="N97" s="2"/>
      <c r="O97" s="2"/>
      <c r="P97" s="2"/>
      <c r="Q97" s="2"/>
      <c r="R97" s="2"/>
      <c r="S97" s="2"/>
      <c r="T97" s="2"/>
      <c r="U97" s="2"/>
      <c r="V97" s="2"/>
      <c r="W97" s="2"/>
      <c r="X97" s="2"/>
      <c r="Y97" s="2"/>
      <c r="Z97" s="2"/>
      <c r="AA97" s="2"/>
      <c r="AB97" s="2"/>
    </row>
    <row r="98">
      <c r="A98" s="21">
        <v>97.0</v>
      </c>
      <c r="B98" s="17" t="s">
        <v>1729</v>
      </c>
      <c r="C98" s="17" t="s">
        <v>1730</v>
      </c>
      <c r="D98" s="17" t="s">
        <v>1731</v>
      </c>
      <c r="E98" s="20"/>
      <c r="F98" s="2"/>
      <c r="G98" s="2"/>
      <c r="H98" s="4" t="str">
        <f>IFERROR(__xludf.DUMMYFUNCTION("GOOGLETRANSLATE(B98, ""en"", ""zh"")"),"剑术中常见的防守招式是什么？")</f>
        <v>剑术中常见的防守招式是什么？</v>
      </c>
      <c r="I98" s="4" t="str">
        <f>IFERROR(__xludf.DUMMYFUNCTION("GOOGLETRANSLATE(C98, ""en"", ""zh"")"),"A) 软陷阱 B) 传球 C) 摔投 D) 手挡")</f>
        <v>A) 软陷阱 B) 传球 C) 摔投 D) 手挡</v>
      </c>
      <c r="J98" s="4" t="str">
        <f>IFERROR(__xludf.DUMMYFUNCTION("GOOGLETRANSLATE(D98, ""en"", ""zh"")"),"A) 软陷阱")</f>
        <v>A) 软陷阱</v>
      </c>
      <c r="K98" s="4" t="str">
        <f>IFERROR(__xludf.DUMMYFUNCTION("GOOGLETRANSLATE(E98, ""en"", ""zh"")"),"#VALUE!")</f>
        <v>#VALUE!</v>
      </c>
      <c r="L98" s="2"/>
      <c r="M98" s="2"/>
      <c r="N98" s="2"/>
      <c r="O98" s="2"/>
      <c r="P98" s="2"/>
      <c r="Q98" s="2"/>
      <c r="R98" s="2"/>
      <c r="S98" s="2"/>
      <c r="T98" s="2"/>
      <c r="U98" s="2"/>
      <c r="V98" s="2"/>
      <c r="W98" s="2"/>
      <c r="X98" s="2"/>
      <c r="Y98" s="2"/>
      <c r="Z98" s="2"/>
      <c r="AA98" s="2"/>
      <c r="AB98" s="2"/>
    </row>
    <row r="99">
      <c r="A99" s="21">
        <v>98.0</v>
      </c>
      <c r="B99" s="17" t="s">
        <v>1732</v>
      </c>
      <c r="C99" s="17" t="s">
        <v>1733</v>
      </c>
      <c r="D99" s="17" t="s">
        <v>1734</v>
      </c>
      <c r="E99" s="20"/>
      <c r="F99" s="2"/>
      <c r="G99" s="2"/>
      <c r="H99" s="4" t="str">
        <f>IFERROR(__xludf.DUMMYFUNCTION("GOOGLETRANSLATE(B99, ""en"", ""zh"")"),"拉力赛中，接力球的高度规定是什么？")</f>
        <v>拉力赛中，接力球的高度规定是什么？</v>
      </c>
      <c r="I99" s="4" t="str">
        <f>IFERROR(__xludf.DUMMYFUNCTION("GOOGLETRANSLATE(C99, ""en"", ""zh"")"),"A) 无限制 B) 必须低于头部 C) 必须高于头部 D) 必须低于膝盖")</f>
        <v>A) 无限制 B) 必须低于头部 C) 必须高于头部 D) 必须低于膝盖</v>
      </c>
      <c r="J99" s="4" t="str">
        <f>IFERROR(__xludf.DUMMYFUNCTION("GOOGLETRANSLATE(D99, ""en"", ""zh"")"),"A) 无限制")</f>
        <v>A) 无限制</v>
      </c>
      <c r="K99" s="4" t="str">
        <f>IFERROR(__xludf.DUMMYFUNCTION("GOOGLETRANSLATE(E99, ""en"", ""zh"")"),"#VALUE!")</f>
        <v>#VALUE!</v>
      </c>
      <c r="L99" s="2"/>
      <c r="M99" s="2"/>
      <c r="N99" s="2"/>
      <c r="O99" s="2"/>
      <c r="P99" s="2"/>
      <c r="Q99" s="2"/>
      <c r="R99" s="2"/>
      <c r="S99" s="2"/>
      <c r="T99" s="2"/>
      <c r="U99" s="2"/>
      <c r="V99" s="2"/>
      <c r="W99" s="2"/>
      <c r="X99" s="2"/>
      <c r="Y99" s="2"/>
      <c r="Z99" s="2"/>
      <c r="AA99" s="2"/>
      <c r="AB99" s="2"/>
    </row>
    <row r="100">
      <c r="A100" s="21">
        <v>99.0</v>
      </c>
      <c r="B100" s="17" t="s">
        <v>1735</v>
      </c>
      <c r="C100" s="17" t="s">
        <v>1736</v>
      </c>
      <c r="D100" s="17" t="s">
        <v>1737</v>
      </c>
      <c r="E100" s="20"/>
      <c r="F100" s="2"/>
      <c r="G100" s="2"/>
      <c r="H100" s="4" t="str">
        <f>IFERROR(__xludf.DUMMYFUNCTION("GOOGLETRANSLATE(B100, ""en"", ""zh"")"),"如何决定发球方向？")</f>
        <v>如何决定发球方向？</v>
      </c>
      <c r="I100" s="4" t="str">
        <f>IFERROR(__xludf.DUMMYFUNCTION("GOOGLETRANSLATE(C100, ""en"", ""zh"")"),"A) 掷硬币 B) 预先决定的场地 C) 对手选择 D) 随机踢球")</f>
        <v>A) 掷硬币 B) 预先决定的场地 C) 对手选择 D) 随机踢球</v>
      </c>
      <c r="J100" s="4" t="str">
        <f>IFERROR(__xludf.DUMMYFUNCTION("GOOGLETRANSLATE(D100, ""en"", ""zh"")"),"A）抛掷")</f>
        <v>A）抛掷</v>
      </c>
      <c r="K100" s="4" t="str">
        <f>IFERROR(__xludf.DUMMYFUNCTION("GOOGLETRANSLATE(E100, ""en"", ""zh"")"),"#VALUE!")</f>
        <v>#VALUE!</v>
      </c>
      <c r="L100" s="2"/>
      <c r="M100" s="2"/>
      <c r="N100" s="2"/>
      <c r="O100" s="2"/>
      <c r="P100" s="2"/>
      <c r="Q100" s="2"/>
      <c r="R100" s="2"/>
      <c r="S100" s="2"/>
      <c r="T100" s="2"/>
      <c r="U100" s="2"/>
      <c r="V100" s="2"/>
      <c r="W100" s="2"/>
      <c r="X100" s="2"/>
      <c r="Y100" s="2"/>
      <c r="Z100" s="2"/>
      <c r="AA100" s="2"/>
      <c r="AB100" s="2"/>
    </row>
    <row r="101">
      <c r="A101" s="21">
        <v>100.0</v>
      </c>
      <c r="B101" s="17" t="s">
        <v>1738</v>
      </c>
      <c r="C101" s="17" t="s">
        <v>1739</v>
      </c>
      <c r="D101" s="17" t="s">
        <v>1740</v>
      </c>
      <c r="E101" s="20"/>
      <c r="F101" s="2"/>
      <c r="G101" s="2"/>
      <c r="H101" s="4" t="str">
        <f>IFERROR(__xludf.DUMMYFUNCTION("GOOGLETRANSLATE(B101, ""en"", ""zh"")"),"桀子队不允许做什么？")</f>
        <v>桀子队不允许做什么？</v>
      </c>
      <c r="I101" s="4" t="str">
        <f>IFERROR(__xludf.DUMMYFUNCTION("GOOGLETRANSLATE(C101, ""en"", ""zh"")"),"A) 用手握球 B) 用脚传球 C) 击球 D) 跳跃")</f>
        <v>A) 用手握球 B) 用脚传球 C) 击球 D) 跳跃</v>
      </c>
      <c r="J101" s="4" t="str">
        <f>IFERROR(__xludf.DUMMYFUNCTION("GOOGLETRANSLATE(D101, ""en"", ""zh"")"),"A) 用手握住梭子")</f>
        <v>A) 用手握住梭子</v>
      </c>
      <c r="K101" s="4" t="str">
        <f>IFERROR(__xludf.DUMMYFUNCTION("GOOGLETRANSLATE(E101, ""en"", ""zh"")"),"#VALUE!")</f>
        <v>#VALUE!</v>
      </c>
      <c r="L101" s="2"/>
      <c r="M101" s="2"/>
      <c r="N101" s="2"/>
      <c r="O101" s="2"/>
      <c r="P101" s="2"/>
      <c r="Q101" s="2"/>
      <c r="R101" s="2"/>
      <c r="S101" s="2"/>
      <c r="T101" s="2"/>
      <c r="U101" s="2"/>
      <c r="V101" s="2"/>
      <c r="W101" s="2"/>
      <c r="X101" s="2"/>
      <c r="Y101" s="2"/>
      <c r="Z101" s="2"/>
      <c r="AA101" s="2"/>
      <c r="AB101" s="2"/>
    </row>
    <row r="102">
      <c r="A102" s="21">
        <v>101.0</v>
      </c>
      <c r="B102" s="17" t="s">
        <v>1741</v>
      </c>
      <c r="C102" s="17" t="s">
        <v>1742</v>
      </c>
      <c r="D102" s="17" t="s">
        <v>1743</v>
      </c>
      <c r="E102" s="20"/>
      <c r="F102" s="2"/>
      <c r="G102" s="2"/>
      <c r="H102" s="4" t="str">
        <f>IFERROR(__xludf.DUMMYFUNCTION("GOOGLETRANSLATE(B102, ""en"", ""zh"")"),"面对对手掉球，球员应该如何应对？")</f>
        <v>面对对手掉球，球员应该如何应对？</v>
      </c>
      <c r="I102" s="4" t="str">
        <f>IFERROR(__xludf.DUMMYFUNCTION("GOOGLETRANSLATE(C102, ""en"", ""zh"")"),"A) 停止集会 B) 继续 C) 踢 D) 手接")</f>
        <v>A) 停止集会 B) 继续 C) 踢 D) 手接</v>
      </c>
      <c r="J102" s="4" t="str">
        <f>IFERROR(__xludf.DUMMYFUNCTION("GOOGLETRANSLATE(D102, ""en"", ""zh"")"),"B) 继续")</f>
        <v>B) 继续</v>
      </c>
      <c r="K102" s="4" t="str">
        <f>IFERROR(__xludf.DUMMYFUNCTION("GOOGLETRANSLATE(E102, ""en"", ""zh"")"),"#VALUE!")</f>
        <v>#VALUE!</v>
      </c>
      <c r="L102" s="2"/>
      <c r="M102" s="2"/>
      <c r="N102" s="2"/>
      <c r="O102" s="2"/>
      <c r="P102" s="2"/>
      <c r="Q102" s="2"/>
      <c r="R102" s="2"/>
      <c r="S102" s="2"/>
      <c r="T102" s="2"/>
      <c r="U102" s="2"/>
      <c r="V102" s="2"/>
      <c r="W102" s="2"/>
      <c r="X102" s="2"/>
      <c r="Y102" s="2"/>
      <c r="Z102" s="2"/>
      <c r="AA102" s="2"/>
      <c r="AB102" s="2"/>
    </row>
    <row r="103">
      <c r="A103" s="21">
        <v>102.0</v>
      </c>
      <c r="B103" s="17" t="s">
        <v>1744</v>
      </c>
      <c r="C103" s="17" t="s">
        <v>1745</v>
      </c>
      <c r="D103" s="17" t="s">
        <v>1746</v>
      </c>
      <c r="E103" s="20"/>
      <c r="F103" s="2"/>
      <c r="G103" s="2"/>
      <c r="H103" s="4" t="str">
        <f>IFERROR(__xludf.DUMMYFUNCTION("GOOGLETRANSLATE(B103, ""en"", ""zh"")"),"什么才算“干净利落的击球”？")</f>
        <v>什么才算“干净利落的击球”？</v>
      </c>
      <c r="I103" s="4" t="str">
        <f>IFERROR(__xludf.DUMMYFUNCTION("GOOGLETRANSLATE(C103, ""en"", ""zh"")"),"A) 击球不触地 B) 球弹跳 C) 手触球 D) 抛掷")</f>
        <v>A) 击球不触地 B) 球弹跳 C) 手触球 D) 抛掷</v>
      </c>
      <c r="J103" s="4" t="str">
        <f>IFERROR(__xludf.DUMMYFUNCTION("GOOGLETRANSLATE(D103, ""en"", ""zh"")"),"A）击球时不触地")</f>
        <v>A）击球时不触地</v>
      </c>
      <c r="K103" s="4" t="str">
        <f>IFERROR(__xludf.DUMMYFUNCTION("GOOGLETRANSLATE(E103, ""en"", ""zh"")"),"#VALUE!")</f>
        <v>#VALUE!</v>
      </c>
      <c r="L103" s="2"/>
      <c r="M103" s="2"/>
      <c r="N103" s="2"/>
      <c r="O103" s="2"/>
      <c r="P103" s="2"/>
      <c r="Q103" s="2"/>
      <c r="R103" s="2"/>
      <c r="S103" s="2"/>
      <c r="T103" s="2"/>
      <c r="U103" s="2"/>
      <c r="V103" s="2"/>
      <c r="W103" s="2"/>
      <c r="X103" s="2"/>
      <c r="Y103" s="2"/>
      <c r="Z103" s="2"/>
      <c r="AA103" s="2"/>
      <c r="AB103" s="2"/>
    </row>
    <row r="104">
      <c r="A104" s="21">
        <v>103.0</v>
      </c>
      <c r="B104" s="17" t="s">
        <v>1747</v>
      </c>
      <c r="C104" s="17" t="s">
        <v>1748</v>
      </c>
      <c r="D104" s="17" t="s">
        <v>1710</v>
      </c>
      <c r="E104" s="20"/>
      <c r="F104" s="2"/>
      <c r="G104" s="2"/>
      <c r="H104" s="4" t="str">
        <f>IFERROR(__xludf.DUMMYFUNCTION("GOOGLETRANSLATE(B104, ""en"", ""zh"")"),"羽毛球能碰到球员的头部吗？")</f>
        <v>羽毛球能碰到球员的头部吗？</v>
      </c>
      <c r="I104" s="4" t="str">
        <f>IFERROR(__xludf.DUMMYFUNCTION("GOOGLETRANSLATE(C104, ""en"", ""zh"")"),"A) 是 B) 否 C) 仅限友好场合 D) 仅限服务")</f>
        <v>A) 是 B) 否 C) 仅限友好场合 D) 仅限服务</v>
      </c>
      <c r="J104" s="4" t="str">
        <f>IFERROR(__xludf.DUMMYFUNCTION("GOOGLETRANSLATE(D104, ""en"", ""zh"")"),"A) 是的")</f>
        <v>A) 是的</v>
      </c>
      <c r="K104" s="4" t="str">
        <f>IFERROR(__xludf.DUMMYFUNCTION("GOOGLETRANSLATE(E104, ""en"", ""zh"")"),"#VALUE!")</f>
        <v>#VALUE!</v>
      </c>
      <c r="L104" s="2"/>
      <c r="M104" s="2"/>
      <c r="N104" s="2"/>
      <c r="O104" s="2"/>
      <c r="P104" s="2"/>
      <c r="Q104" s="2"/>
      <c r="R104" s="2"/>
      <c r="S104" s="2"/>
      <c r="T104" s="2"/>
      <c r="U104" s="2"/>
      <c r="V104" s="2"/>
      <c r="W104" s="2"/>
      <c r="X104" s="2"/>
      <c r="Y104" s="2"/>
      <c r="Z104" s="2"/>
      <c r="AA104" s="2"/>
      <c r="AB104" s="2"/>
    </row>
    <row r="105">
      <c r="A105" s="21">
        <v>104.0</v>
      </c>
      <c r="B105" s="17" t="s">
        <v>1749</v>
      </c>
      <c r="C105" s="17" t="s">
        <v>1657</v>
      </c>
      <c r="D105" s="17" t="s">
        <v>247</v>
      </c>
      <c r="E105" s="20"/>
      <c r="F105" s="2"/>
      <c r="G105" s="2"/>
      <c r="H105" s="4" t="str">
        <f>IFERROR(__xludf.DUMMYFUNCTION("GOOGLETRANSLATE(B105, ""en"", ""zh"")"),"每位球员最多允许连续踢球多少次？")</f>
        <v>每位球员最多允许连续踢球多少次？</v>
      </c>
      <c r="I105" s="4" t="str">
        <f>IFERROR(__xludf.DUMMYFUNCTION("GOOGLETRANSLATE(C105, ""en"", ""zh"")"),"A) 1 B) 2 C) 3 D) 无限")</f>
        <v>A) 1 B) 2 C) 3 D) 无限</v>
      </c>
      <c r="J105" s="4" t="str">
        <f>IFERROR(__xludf.DUMMYFUNCTION("GOOGLETRANSLATE(D105, ""en"", ""zh"")"),"A) 1")</f>
        <v>A) 1</v>
      </c>
      <c r="K105" s="4" t="str">
        <f>IFERROR(__xludf.DUMMYFUNCTION("GOOGLETRANSLATE(E105, ""en"", ""zh"")"),"#VALUE!")</f>
        <v>#VALUE!</v>
      </c>
      <c r="L105" s="2"/>
      <c r="M105" s="2"/>
      <c r="N105" s="2"/>
      <c r="O105" s="2"/>
      <c r="P105" s="2"/>
      <c r="Q105" s="2"/>
      <c r="R105" s="2"/>
      <c r="S105" s="2"/>
      <c r="T105" s="2"/>
      <c r="U105" s="2"/>
      <c r="V105" s="2"/>
      <c r="W105" s="2"/>
      <c r="X105" s="2"/>
      <c r="Y105" s="2"/>
      <c r="Z105" s="2"/>
      <c r="AA105" s="2"/>
      <c r="AB105" s="2"/>
    </row>
    <row r="106">
      <c r="A106" s="21">
        <v>105.0</v>
      </c>
      <c r="B106" s="17" t="s">
        <v>1750</v>
      </c>
      <c r="C106" s="17" t="s">
        <v>1751</v>
      </c>
      <c r="D106" s="17" t="s">
        <v>312</v>
      </c>
      <c r="E106" s="20"/>
      <c r="F106" s="2"/>
      <c r="G106" s="2"/>
      <c r="H106" s="4" t="str">
        <f>IFERROR(__xludf.DUMMYFUNCTION("GOOGLETRANSLATE(B106, ""en"", ""zh"")"),"如何选择起始边？")</f>
        <v>如何选择起始边？</v>
      </c>
      <c r="I106" s="4" t="str">
        <f>IFERROR(__xludf.DUMMYFUNCTION("GOOGLETRANSLATE(C106, ""en"", ""zh"")"),"A) 抛硬币 B) 握手 C) 随机 D) 裁判")</f>
        <v>A) 抛硬币 B) 握手 C) 随机 D) 裁判</v>
      </c>
      <c r="J106" s="4" t="str">
        <f>IFERROR(__xludf.DUMMYFUNCTION("GOOGLETRANSLATE(D106, ""en"", ""zh"")"),"A) 抛硬币")</f>
        <v>A) 抛硬币</v>
      </c>
      <c r="K106" s="4" t="str">
        <f>IFERROR(__xludf.DUMMYFUNCTION("GOOGLETRANSLATE(E106, ""en"", ""zh"")"),"#VALUE!")</f>
        <v>#VALUE!</v>
      </c>
      <c r="L106" s="2"/>
      <c r="M106" s="2"/>
      <c r="N106" s="2"/>
      <c r="O106" s="2"/>
      <c r="P106" s="2"/>
      <c r="Q106" s="2"/>
      <c r="R106" s="2"/>
      <c r="S106" s="2"/>
      <c r="T106" s="2"/>
      <c r="U106" s="2"/>
      <c r="V106" s="2"/>
      <c r="W106" s="2"/>
      <c r="X106" s="2"/>
      <c r="Y106" s="2"/>
      <c r="Z106" s="2"/>
      <c r="AA106" s="2"/>
      <c r="AB106" s="2"/>
    </row>
    <row r="107">
      <c r="A107" s="21">
        <v>106.0</v>
      </c>
      <c r="B107" s="17" t="s">
        <v>1752</v>
      </c>
      <c r="C107" s="17" t="s">
        <v>1753</v>
      </c>
      <c r="D107" s="17" t="s">
        <v>1754</v>
      </c>
      <c r="E107" s="20"/>
      <c r="F107" s="2"/>
      <c r="G107" s="2"/>
      <c r="H107" s="4" t="str">
        <f>IFERROR(__xludf.DUMMYFUNCTION("GOOGLETRANSLATE(B107, ""en"", ""zh"")"),"正式比赛最好使用哪种类型的场地？")</f>
        <v>正式比赛最好使用哪种类型的场地？</v>
      </c>
      <c r="I107" s="4" t="str">
        <f>IFERROR(__xludf.DUMMYFUNCTION("GOOGLETRANSLATE(C107, ""en"", ""zh"")"),"A) 平坦、防滑的地面 B) 草地 C) 泥地 D) 沙地")</f>
        <v>A) 平坦、防滑的地面 B) 草地 C) 泥地 D) 沙地</v>
      </c>
      <c r="J107" s="4" t="str">
        <f>IFERROR(__xludf.DUMMYFUNCTION("GOOGLETRANSLATE(D107, ""en"", ""zh"")"),"A) 平坦、防滑")</f>
        <v>A) 平坦、防滑</v>
      </c>
      <c r="K107" s="4" t="str">
        <f>IFERROR(__xludf.DUMMYFUNCTION("GOOGLETRANSLATE(E107, ""en"", ""zh"")"),"#VALUE!")</f>
        <v>#VALUE!</v>
      </c>
      <c r="L107" s="2"/>
      <c r="M107" s="2"/>
      <c r="N107" s="2"/>
      <c r="O107" s="2"/>
      <c r="P107" s="2"/>
      <c r="Q107" s="2"/>
      <c r="R107" s="2"/>
      <c r="S107" s="2"/>
      <c r="T107" s="2"/>
      <c r="U107" s="2"/>
      <c r="V107" s="2"/>
      <c r="W107" s="2"/>
      <c r="X107" s="2"/>
      <c r="Y107" s="2"/>
      <c r="Z107" s="2"/>
      <c r="AA107" s="2"/>
      <c r="AB107" s="2"/>
    </row>
    <row r="108">
      <c r="A108" s="21">
        <v>107.0</v>
      </c>
      <c r="B108" s="17" t="s">
        <v>1755</v>
      </c>
      <c r="C108" s="17" t="s">
        <v>1756</v>
      </c>
      <c r="D108" s="17" t="s">
        <v>1757</v>
      </c>
      <c r="E108" s="20"/>
      <c r="F108" s="2"/>
      <c r="G108" s="2"/>
      <c r="H108" s="4" t="str">
        <f>IFERROR(__xludf.DUMMYFUNCTION("GOOGLETRANSLATE(B108, ""en"", ""zh"")"),"什么是“低踢”技术？")</f>
        <v>什么是“低踢”技术？</v>
      </c>
      <c r="I108" s="4" t="str">
        <f>IFERROR(__xludf.DUMMYFUNCTION("GOOGLETRANSLATE(C108, ""en"", ""zh"")"),"A) 低踢球 B) 高踢球 C) 传球 D) 跳跃")</f>
        <v>A) 低踢球 B) 高踢球 C) 传球 D) 跳跃</v>
      </c>
      <c r="J108" s="4" t="str">
        <f>IFERROR(__xludf.DUMMYFUNCTION("GOOGLETRANSLATE(D108, ""en"", ""zh"")"),"A) 近地面踢球")</f>
        <v>A) 近地面踢球</v>
      </c>
      <c r="K108" s="4" t="str">
        <f>IFERROR(__xludf.DUMMYFUNCTION("GOOGLETRANSLATE(E108, ""en"", ""zh"")"),"#VALUE!")</f>
        <v>#VALUE!</v>
      </c>
      <c r="L108" s="2"/>
      <c r="M108" s="2"/>
      <c r="N108" s="2"/>
      <c r="O108" s="2"/>
      <c r="P108" s="2"/>
      <c r="Q108" s="2"/>
      <c r="R108" s="2"/>
      <c r="S108" s="2"/>
      <c r="T108" s="2"/>
      <c r="U108" s="2"/>
      <c r="V108" s="2"/>
      <c r="W108" s="2"/>
      <c r="X108" s="2"/>
      <c r="Y108" s="2"/>
      <c r="Z108" s="2"/>
      <c r="AA108" s="2"/>
      <c r="AB108" s="2"/>
    </row>
    <row r="109">
      <c r="A109" s="21">
        <v>108.0</v>
      </c>
      <c r="B109" s="17" t="s">
        <v>1758</v>
      </c>
      <c r="C109" s="17" t="s">
        <v>1759</v>
      </c>
      <c r="D109" s="17" t="s">
        <v>1760</v>
      </c>
      <c r="E109" s="20"/>
      <c r="F109" s="2"/>
      <c r="G109" s="2"/>
      <c r="H109" s="4" t="str">
        <f>IFERROR(__xludf.DUMMYFUNCTION("GOOGLETRANSLATE(B109, ""en"", ""zh"")"),"羽毛球可以同时被双脚击中吗？")</f>
        <v>羽毛球可以同时被双脚击中吗？</v>
      </c>
      <c r="I109" s="4" t="str">
        <f>IFERROR(__xludf.DUMMYFUNCTION("GOOGLETRANSLATE(C109, ""en"", ""zh"")"),"A) 是 B) 否 C) 仅在发球期间 D) 仅限友好交流")</f>
        <v>A) 是 B) 否 C) 仅在发球期间 D) 仅限友好交流</v>
      </c>
      <c r="J109" s="4" t="str">
        <f>IFERROR(__xludf.DUMMYFUNCTION("GOOGLETRANSLATE(D109, ""en"", ""zh"")"),"B) 否")</f>
        <v>B) 否</v>
      </c>
      <c r="K109" s="4" t="str">
        <f>IFERROR(__xludf.DUMMYFUNCTION("GOOGLETRANSLATE(E109, ""en"", ""zh"")"),"#VALUE!")</f>
        <v>#VALUE!</v>
      </c>
      <c r="L109" s="2"/>
      <c r="M109" s="2"/>
      <c r="N109" s="2"/>
      <c r="O109" s="2"/>
      <c r="P109" s="2"/>
      <c r="Q109" s="2"/>
      <c r="R109" s="2"/>
      <c r="S109" s="2"/>
      <c r="T109" s="2"/>
      <c r="U109" s="2"/>
      <c r="V109" s="2"/>
      <c r="W109" s="2"/>
      <c r="X109" s="2"/>
      <c r="Y109" s="2"/>
      <c r="Z109" s="2"/>
      <c r="AA109" s="2"/>
      <c r="AB109" s="2"/>
    </row>
    <row r="110">
      <c r="A110" s="21">
        <v>109.0</v>
      </c>
      <c r="B110" s="17" t="s">
        <v>1761</v>
      </c>
      <c r="C110" s="17" t="s">
        <v>246</v>
      </c>
      <c r="D110" s="17" t="s">
        <v>247</v>
      </c>
      <c r="E110" s="20"/>
      <c r="F110" s="2"/>
      <c r="G110" s="2"/>
      <c r="H110" s="4" t="str">
        <f>IFERROR(__xludf.DUMMYFUNCTION("GOOGLETRANSLATE(B110, ""en"", ""zh"")"),"每次成功得分，球员可以获得多少分？")</f>
        <v>每次成功得分，球员可以获得多少分？</v>
      </c>
      <c r="I110" s="4" t="str">
        <f>IFERROR(__xludf.DUMMYFUNCTION("GOOGLETRANSLATE(C110, ""en"", ""zh"")"),"A) 1 B) 2 C) 3 D) 5")</f>
        <v>A) 1 B) 2 C) 3 D) 5</v>
      </c>
      <c r="J110" s="4" t="str">
        <f>IFERROR(__xludf.DUMMYFUNCTION("GOOGLETRANSLATE(D110, ""en"", ""zh"")"),"A) 1")</f>
        <v>A) 1</v>
      </c>
      <c r="K110" s="4" t="str">
        <f>IFERROR(__xludf.DUMMYFUNCTION("GOOGLETRANSLATE(E110, ""en"", ""zh"")"),"#VALUE!")</f>
        <v>#VALUE!</v>
      </c>
      <c r="L110" s="2"/>
      <c r="M110" s="2"/>
      <c r="N110" s="2"/>
      <c r="O110" s="2"/>
      <c r="P110" s="2"/>
      <c r="Q110" s="2"/>
      <c r="R110" s="2"/>
      <c r="S110" s="2"/>
      <c r="T110" s="2"/>
      <c r="U110" s="2"/>
      <c r="V110" s="2"/>
      <c r="W110" s="2"/>
      <c r="X110" s="2"/>
      <c r="Y110" s="2"/>
      <c r="Z110" s="2"/>
      <c r="AA110" s="2"/>
      <c r="AB110" s="2"/>
    </row>
    <row r="111">
      <c r="A111" s="21">
        <v>110.0</v>
      </c>
      <c r="B111" s="17" t="s">
        <v>1762</v>
      </c>
      <c r="C111" s="17" t="s">
        <v>1763</v>
      </c>
      <c r="D111" s="17" t="s">
        <v>1764</v>
      </c>
      <c r="E111" s="20"/>
      <c r="F111" s="2"/>
      <c r="G111" s="2"/>
      <c r="H111" s="4" t="str">
        <f>IFERROR(__xludf.DUMMYFUNCTION("GOOGLETRANSLATE(B111, ""en"", ""zh"")"),"如果发生非法罢工会发生什么？")</f>
        <v>如果发生非法罢工会发生什么？</v>
      </c>
      <c r="I111" s="4" t="str">
        <f>IFERROR(__xludf.DUMMYFUNCTION("GOOGLETRANSLATE(C111, ""en"", ""zh"")"),"A) 失分 B) 无影响 C) 比赛结束 D) 重新反击")</f>
        <v>A) 失分 B) 无影响 C) 比赛结束 D) 重新反击</v>
      </c>
      <c r="J111" s="4" t="str">
        <f>IFERROR(__xludf.DUMMYFUNCTION("GOOGLETRANSLATE(D111, ""en"", ""zh"")"),"A) 失分")</f>
        <v>A) 失分</v>
      </c>
      <c r="K111" s="4" t="str">
        <f>IFERROR(__xludf.DUMMYFUNCTION("GOOGLETRANSLATE(E111, ""en"", ""zh"")"),"#VALUE!")</f>
        <v>#VALUE!</v>
      </c>
      <c r="L111" s="2"/>
      <c r="M111" s="2"/>
      <c r="N111" s="2"/>
      <c r="O111" s="2"/>
      <c r="P111" s="2"/>
      <c r="Q111" s="2"/>
      <c r="R111" s="2"/>
      <c r="S111" s="2"/>
      <c r="T111" s="2"/>
      <c r="U111" s="2"/>
      <c r="V111" s="2"/>
      <c r="W111" s="2"/>
      <c r="X111" s="2"/>
      <c r="Y111" s="2"/>
      <c r="Z111" s="2"/>
      <c r="AA111" s="2"/>
      <c r="AB111" s="2"/>
    </row>
    <row r="112">
      <c r="A112" s="21">
        <v>111.0</v>
      </c>
      <c r="B112" s="17" t="s">
        <v>1765</v>
      </c>
      <c r="C112" s="17" t="s">
        <v>1766</v>
      </c>
      <c r="D112" s="17" t="s">
        <v>1767</v>
      </c>
      <c r="E112" s="20"/>
      <c r="F112" s="2"/>
      <c r="G112" s="2"/>
      <c r="H112" s="4" t="str">
        <f>IFERROR(__xludf.DUMMYFUNCTION("GOOGLETRANSLATE(B112, ""en"", ""zh"")"),"哪种踢球方式被称为“外侧踢球”？")</f>
        <v>哪种踢球方式被称为“外侧踢球”？</v>
      </c>
      <c r="I112" s="4" t="str">
        <f>IFERROR(__xludf.DUMMYFUNCTION("GOOGLETRANSLATE(C112, ""en"", ""zh"")"),"A) 用脚外侧 B) 用脚后跟 C) 用手 D) 用膝盖")</f>
        <v>A) 用脚外侧 B) 用脚后跟 C) 用手 D) 用膝盖</v>
      </c>
      <c r="J112" s="4" t="str">
        <f>IFERROR(__xludf.DUMMYFUNCTION("GOOGLETRANSLATE(D112, ""en"", ""zh"")"),"A）用脚外侧")</f>
        <v>A）用脚外侧</v>
      </c>
      <c r="K112" s="4" t="str">
        <f>IFERROR(__xludf.DUMMYFUNCTION("GOOGLETRANSLATE(E112, ""en"", ""zh"")"),"#VALUE!")</f>
        <v>#VALUE!</v>
      </c>
      <c r="L112" s="2"/>
      <c r="M112" s="2"/>
      <c r="N112" s="2"/>
      <c r="O112" s="2"/>
      <c r="P112" s="2"/>
      <c r="Q112" s="2"/>
      <c r="R112" s="2"/>
      <c r="S112" s="2"/>
      <c r="T112" s="2"/>
      <c r="U112" s="2"/>
      <c r="V112" s="2"/>
      <c r="W112" s="2"/>
      <c r="X112" s="2"/>
      <c r="Y112" s="2"/>
      <c r="Z112" s="2"/>
      <c r="AA112" s="2"/>
      <c r="AB112" s="2"/>
    </row>
    <row r="113">
      <c r="A113" s="21">
        <v>112.0</v>
      </c>
      <c r="B113" s="17" t="s">
        <v>1768</v>
      </c>
      <c r="C113" s="17" t="s">
        <v>1769</v>
      </c>
      <c r="D113" s="17" t="s">
        <v>1770</v>
      </c>
      <c r="E113" s="20"/>
      <c r="F113" s="2"/>
      <c r="G113" s="2"/>
      <c r="H113" s="4" t="str">
        <f>IFERROR(__xludf.DUMMYFUNCTION("GOOGLETRANSLATE(B113, ""en"", ""zh"")"),"发球时允许使用哪些规则？")</f>
        <v>发球时允许使用哪些规则？</v>
      </c>
      <c r="I113" s="4" t="str">
        <f>IFERROR(__xludf.DUMMYFUNCTION("GOOGLETRANSLATE(C113, ""en"", ""zh"")"),"A) 仅手部下落 B) 手部击打 C) 脚部控制 D) 膝击")</f>
        <v>A) 仅手部下落 B) 手部击打 C) 脚部控制 D) 膝击</v>
      </c>
      <c r="J113" s="4" t="str">
        <f>IFERROR(__xludf.DUMMYFUNCTION("GOOGLETRANSLATE(D113, ""en"", ""zh"")"),"A) 仅限人工投递")</f>
        <v>A) 仅限人工投递</v>
      </c>
      <c r="K113" s="4" t="str">
        <f>IFERROR(__xludf.DUMMYFUNCTION("GOOGLETRANSLATE(E113, ""en"", ""zh"")"),"#VALUE!")</f>
        <v>#VALUE!</v>
      </c>
      <c r="L113" s="2"/>
      <c r="M113" s="2"/>
      <c r="N113" s="2"/>
      <c r="O113" s="2"/>
      <c r="P113" s="2"/>
      <c r="Q113" s="2"/>
      <c r="R113" s="2"/>
      <c r="S113" s="2"/>
      <c r="T113" s="2"/>
      <c r="U113" s="2"/>
      <c r="V113" s="2"/>
      <c r="W113" s="2"/>
      <c r="X113" s="2"/>
      <c r="Y113" s="2"/>
      <c r="Z113" s="2"/>
      <c r="AA113" s="2"/>
      <c r="AB113" s="2"/>
    </row>
    <row r="114">
      <c r="A114" s="21">
        <v>113.0</v>
      </c>
      <c r="B114" s="17" t="s">
        <v>1771</v>
      </c>
      <c r="C114" s="17" t="s">
        <v>1772</v>
      </c>
      <c r="D114" s="17" t="s">
        <v>1773</v>
      </c>
      <c r="E114" s="20"/>
      <c r="F114" s="2"/>
      <c r="G114" s="2"/>
      <c r="H114" s="4" t="str">
        <f>IFERROR(__xludf.DUMMYFUNCTION("GOOGLETRANSLATE(B114, ""en"", ""zh"")"),"球队应该如何轮换球员？")</f>
        <v>球队应该如何轮换球员？</v>
      </c>
      <c r="I114" s="4" t="str">
        <f>IFERROR(__xludf.DUMMYFUNCTION("GOOGLETRANSLATE(C114, ""en"", ""zh"")"),"A) 每次回合结束后 B) 每场比赛结束后 C) 随机 D) 无轮换")</f>
        <v>A) 每次回合结束后 B) 每场比赛结束后 C) 随机 D) 无轮换</v>
      </c>
      <c r="J114" s="4" t="str">
        <f>IFERROR(__xludf.DUMMYFUNCTION("GOOGLETRANSLATE(D114, ""en"", ""zh"")"),"A) 每次集会后")</f>
        <v>A) 每次集会后</v>
      </c>
      <c r="K114" s="4" t="str">
        <f>IFERROR(__xludf.DUMMYFUNCTION("GOOGLETRANSLATE(E114, ""en"", ""zh"")"),"#VALUE!")</f>
        <v>#VALUE!</v>
      </c>
      <c r="L114" s="2"/>
      <c r="M114" s="2"/>
      <c r="N114" s="2"/>
      <c r="O114" s="2"/>
      <c r="P114" s="2"/>
      <c r="Q114" s="2"/>
      <c r="R114" s="2"/>
      <c r="S114" s="2"/>
      <c r="T114" s="2"/>
      <c r="U114" s="2"/>
      <c r="V114" s="2"/>
      <c r="W114" s="2"/>
      <c r="X114" s="2"/>
      <c r="Y114" s="2"/>
      <c r="Z114" s="2"/>
      <c r="AA114" s="2"/>
      <c r="AB114" s="2"/>
    </row>
    <row r="115">
      <c r="A115" s="21">
        <v>114.0</v>
      </c>
      <c r="B115" s="17" t="s">
        <v>1774</v>
      </c>
      <c r="C115" s="17" t="s">
        <v>1775</v>
      </c>
      <c r="D115" s="17" t="s">
        <v>1776</v>
      </c>
      <c r="E115" s="20"/>
      <c r="F115" s="2"/>
      <c r="G115" s="2"/>
      <c r="H115" s="4" t="str">
        <f>IFERROR(__xludf.DUMMYFUNCTION("GOOGLETRANSLATE(B115, ""en"", ""zh"")"),"在复杂的踢腿动作中如何保持平衡？")</f>
        <v>在复杂的踢腿动作中如何保持平衡？</v>
      </c>
      <c r="I115" s="4" t="str">
        <f>IFERROR(__xludf.DUMMYFUNCTION("GOOGLETRANSLATE(C115, ""en"", ""zh"")"),"A) 核心稳定性 B) 手部支撑 C) 足部运动 D) 随机性")</f>
        <v>A) 核心稳定性 B) 手部支撑 C) 足部运动 D) 随机性</v>
      </c>
      <c r="J115" s="4" t="str">
        <f>IFERROR(__xludf.DUMMYFUNCTION("GOOGLETRANSLATE(D115, ""en"", ""zh"")"),"A) 核心稳定性")</f>
        <v>A) 核心稳定性</v>
      </c>
      <c r="K115" s="4" t="str">
        <f>IFERROR(__xludf.DUMMYFUNCTION("GOOGLETRANSLATE(E115, ""en"", ""zh"")"),"#VALUE!")</f>
        <v>#VALUE!</v>
      </c>
      <c r="L115" s="2"/>
      <c r="M115" s="2"/>
      <c r="N115" s="2"/>
      <c r="O115" s="2"/>
      <c r="P115" s="2"/>
      <c r="Q115" s="2"/>
      <c r="R115" s="2"/>
      <c r="S115" s="2"/>
      <c r="T115" s="2"/>
      <c r="U115" s="2"/>
      <c r="V115" s="2"/>
      <c r="W115" s="2"/>
      <c r="X115" s="2"/>
      <c r="Y115" s="2"/>
      <c r="Z115" s="2"/>
      <c r="AA115" s="2"/>
      <c r="AB115" s="2"/>
    </row>
    <row r="116">
      <c r="A116" s="21">
        <v>115.0</v>
      </c>
      <c r="B116" s="17" t="s">
        <v>1777</v>
      </c>
      <c r="C116" s="17" t="s">
        <v>1778</v>
      </c>
      <c r="D116" s="17" t="s">
        <v>1779</v>
      </c>
      <c r="E116" s="20"/>
      <c r="F116" s="2"/>
      <c r="G116" s="2"/>
      <c r="H116" s="4" t="str">
        <f>IFERROR(__xludf.DUMMYFUNCTION("GOOGLETRANSLATE(B116, ""en"", ""zh"")"),"剑子中的“跳踢”是什么？")</f>
        <v>剑子中的“跳踢”是什么？</v>
      </c>
      <c r="I116" s="4" t="str">
        <f>IFERROR(__xludf.DUMMYFUNCTION("GOOGLETRANSLATE(C116, ""en"", ""zh"")"),"A) 空中击球 B) 跺脚 C) 头球 D) 投掷")</f>
        <v>A) 空中击球 B) 跺脚 C) 头球 D) 投掷</v>
      </c>
      <c r="J116" s="4" t="str">
        <f>IFERROR(__xludf.DUMMYFUNCTION("GOOGLETRANSLATE(D116, ""en"", ""zh"")"),"A) 空中撞击航天飞机")</f>
        <v>A) 空中撞击航天飞机</v>
      </c>
      <c r="K116" s="4" t="str">
        <f>IFERROR(__xludf.DUMMYFUNCTION("GOOGLETRANSLATE(E116, ""en"", ""zh"")"),"#VALUE!")</f>
        <v>#VALUE!</v>
      </c>
      <c r="L116" s="2"/>
      <c r="M116" s="2"/>
      <c r="N116" s="2"/>
      <c r="O116" s="2"/>
      <c r="P116" s="2"/>
      <c r="Q116" s="2"/>
      <c r="R116" s="2"/>
      <c r="S116" s="2"/>
      <c r="T116" s="2"/>
      <c r="U116" s="2"/>
      <c r="V116" s="2"/>
      <c r="W116" s="2"/>
      <c r="X116" s="2"/>
      <c r="Y116" s="2"/>
      <c r="Z116" s="2"/>
      <c r="AA116" s="2"/>
      <c r="AB116" s="2"/>
    </row>
    <row r="117">
      <c r="A117" s="21">
        <v>116.0</v>
      </c>
      <c r="B117" s="17" t="s">
        <v>1780</v>
      </c>
      <c r="C117" s="17" t="s">
        <v>1781</v>
      </c>
      <c r="D117" s="17" t="s">
        <v>1782</v>
      </c>
      <c r="E117" s="20"/>
      <c r="F117" s="2"/>
      <c r="G117" s="2"/>
      <c r="H117" s="4" t="str">
        <f>IFERROR(__xludf.DUMMYFUNCTION("GOOGLETRANSLATE(B117, ""en"", ""zh"")"),"航天飞机的哪个部分被击中了？")</f>
        <v>航天飞机的哪个部分被击中了？</v>
      </c>
      <c r="I117" s="4" t="str">
        <f>IFERROR(__xludf.DUMMYFUNCTION("GOOGLETRANSLATE(C117, ""en"", ""zh"")"),"A) 羽毛 B) 仅底座 C) 整架航天飞机 D) 未触碰")</f>
        <v>A) 羽毛 B) 仅底座 C) 整架航天飞机 D) 未触碰</v>
      </c>
      <c r="J117" s="4" t="str">
        <f>IFERROR(__xludf.DUMMYFUNCTION("GOOGLETRANSLATE(D117, ""en"", ""zh"")"),"B) 仅限基础版")</f>
        <v>B) 仅限基础版</v>
      </c>
      <c r="K117" s="4" t="str">
        <f>IFERROR(__xludf.DUMMYFUNCTION("GOOGLETRANSLATE(E117, ""en"", ""zh"")"),"#VALUE!")</f>
        <v>#VALUE!</v>
      </c>
      <c r="L117" s="2"/>
      <c r="M117" s="2"/>
      <c r="N117" s="2"/>
      <c r="O117" s="2"/>
      <c r="P117" s="2"/>
      <c r="Q117" s="2"/>
      <c r="R117" s="2"/>
      <c r="S117" s="2"/>
      <c r="T117" s="2"/>
      <c r="U117" s="2"/>
      <c r="V117" s="2"/>
      <c r="W117" s="2"/>
      <c r="X117" s="2"/>
      <c r="Y117" s="2"/>
      <c r="Z117" s="2"/>
      <c r="AA117" s="2"/>
      <c r="AB117" s="2"/>
    </row>
    <row r="118">
      <c r="A118" s="21">
        <v>117.0</v>
      </c>
      <c r="B118" s="17" t="s">
        <v>1783</v>
      </c>
      <c r="C118" s="17" t="s">
        <v>1784</v>
      </c>
      <c r="D118" s="17" t="s">
        <v>410</v>
      </c>
      <c r="E118" s="20"/>
      <c r="F118" s="2"/>
      <c r="G118" s="2"/>
      <c r="H118" s="4" t="str">
        <f>IFERROR(__xludf.DUMMYFUNCTION("GOOGLETRANSLATE(B118, ""en"", ""zh"")"),"如何确保公平竞争？")</f>
        <v>如何确保公平竞争？</v>
      </c>
      <c r="I118" s="4" t="str">
        <f>IFERROR(__xludf.DUMMYFUNCTION("GOOGLETRANSLATE(C118, ""en"", ""zh"")"),"A) 裁判 B) 对手 C) 队长 D) 观众")</f>
        <v>A) 裁判 B) 对手 C) 队长 D) 观众</v>
      </c>
      <c r="J118" s="4" t="str">
        <f>IFERROR(__xludf.DUMMYFUNCTION("GOOGLETRANSLATE(D118, ""en"", ""zh"")"),"A) 裁判")</f>
        <v>A) 裁判</v>
      </c>
      <c r="K118" s="4" t="str">
        <f>IFERROR(__xludf.DUMMYFUNCTION("GOOGLETRANSLATE(E118, ""en"", ""zh"")"),"#VALUE!")</f>
        <v>#VALUE!</v>
      </c>
      <c r="L118" s="2"/>
      <c r="M118" s="2"/>
      <c r="N118" s="2"/>
      <c r="O118" s="2"/>
      <c r="P118" s="2"/>
      <c r="Q118" s="2"/>
      <c r="R118" s="2"/>
      <c r="S118" s="2"/>
      <c r="T118" s="2"/>
      <c r="U118" s="2"/>
      <c r="V118" s="2"/>
      <c r="W118" s="2"/>
      <c r="X118" s="2"/>
      <c r="Y118" s="2"/>
      <c r="Z118" s="2"/>
      <c r="AA118" s="2"/>
      <c r="AB118" s="2"/>
    </row>
    <row r="119">
      <c r="A119" s="21">
        <v>118.0</v>
      </c>
      <c r="B119" s="17" t="s">
        <v>1785</v>
      </c>
      <c r="C119" s="17" t="s">
        <v>1786</v>
      </c>
      <c r="D119" s="17" t="s">
        <v>1787</v>
      </c>
      <c r="E119" s="20"/>
      <c r="F119" s="2"/>
      <c r="G119" s="2"/>
      <c r="H119" s="4" t="str">
        <f>IFERROR(__xludf.DUMMYFUNCTION("GOOGLETRANSLATE(B119, ""en"", ""zh"")"),"哪个动作不建议初学者尝试？")</f>
        <v>哪个动作不建议初学者尝试？</v>
      </c>
      <c r="I119" s="4" t="str">
        <f>IFERROR(__xludf.DUMMYFUNCTION("GOOGLETRANSLATE(C119, ""en"", ""zh"")"),"A) 跳踢 B) 基本脚背踢 C) 低踢 D) 软陷阱踢")</f>
        <v>A) 跳踢 B) 基本脚背踢 C) 低踢 D) 软陷阱踢</v>
      </c>
      <c r="J119" s="4" t="str">
        <f>IFERROR(__xludf.DUMMYFUNCTION("GOOGLETRANSLATE(D119, ""en"", ""zh"")"),"A) 跳踢")</f>
        <v>A) 跳踢</v>
      </c>
      <c r="K119" s="4" t="str">
        <f>IFERROR(__xludf.DUMMYFUNCTION("GOOGLETRANSLATE(E119, ""en"", ""zh"")"),"#VALUE!")</f>
        <v>#VALUE!</v>
      </c>
      <c r="L119" s="2"/>
      <c r="M119" s="2"/>
      <c r="N119" s="2"/>
      <c r="O119" s="2"/>
      <c r="P119" s="2"/>
      <c r="Q119" s="2"/>
      <c r="R119" s="2"/>
      <c r="S119" s="2"/>
      <c r="T119" s="2"/>
      <c r="U119" s="2"/>
      <c r="V119" s="2"/>
      <c r="W119" s="2"/>
      <c r="X119" s="2"/>
      <c r="Y119" s="2"/>
      <c r="Z119" s="2"/>
      <c r="AA119" s="2"/>
      <c r="AB119" s="2"/>
    </row>
    <row r="120">
      <c r="A120" s="21">
        <v>119.0</v>
      </c>
      <c r="B120" s="17" t="s">
        <v>1788</v>
      </c>
      <c r="C120" s="17" t="s">
        <v>1789</v>
      </c>
      <c r="D120" s="17" t="s">
        <v>1728</v>
      </c>
      <c r="E120" s="20"/>
      <c r="F120" s="2"/>
      <c r="G120" s="2"/>
      <c r="H120" s="4" t="str">
        <f>IFERROR(__xludf.DUMMYFUNCTION("GOOGLETRANSLATE(B120, ""en"", ""zh"")"),"一场比赛中通常会用到多少个羽毛球？")</f>
        <v>一场比赛中通常会用到多少个羽毛球？</v>
      </c>
      <c r="I120" s="4" t="str">
        <f>IFERROR(__xludf.DUMMYFUNCTION("GOOGLETRANSLATE(C120, ""en"", ""zh"")"),"A) 1-2 B) 5 C) 3 D) 4")</f>
        <v>A) 1-2 B) 5 C) 3 D) 4</v>
      </c>
      <c r="J120" s="4" t="str">
        <f>IFERROR(__xludf.DUMMYFUNCTION("GOOGLETRANSLATE(D120, ""en"", ""zh"")"),"A) 1–2")</f>
        <v>A) 1–2</v>
      </c>
      <c r="K120" s="4" t="str">
        <f>IFERROR(__xludf.DUMMYFUNCTION("GOOGLETRANSLATE(E120, ""en"", ""zh"")"),"#VALUE!")</f>
        <v>#VALUE!</v>
      </c>
      <c r="L120" s="2"/>
      <c r="M120" s="2"/>
      <c r="N120" s="2"/>
      <c r="O120" s="2"/>
      <c r="P120" s="2"/>
      <c r="Q120" s="2"/>
      <c r="R120" s="2"/>
      <c r="S120" s="2"/>
      <c r="T120" s="2"/>
      <c r="U120" s="2"/>
      <c r="V120" s="2"/>
      <c r="W120" s="2"/>
      <c r="X120" s="2"/>
      <c r="Y120" s="2"/>
      <c r="Z120" s="2"/>
      <c r="AA120" s="2"/>
      <c r="AB120" s="2"/>
    </row>
    <row r="121">
      <c r="A121" s="21">
        <v>120.0</v>
      </c>
      <c r="B121" s="17" t="s">
        <v>1790</v>
      </c>
      <c r="C121" s="17" t="s">
        <v>1791</v>
      </c>
      <c r="D121" s="17" t="s">
        <v>1792</v>
      </c>
      <c r="E121" s="20"/>
      <c r="F121" s="2"/>
      <c r="G121" s="2"/>
      <c r="H121" s="4" t="str">
        <f>IFERROR(__xludf.DUMMYFUNCTION("GOOGLETRANSLATE(B121, ""en"", ""zh"")"),"团队积分如何计算？")</f>
        <v>团队积分如何计算？</v>
      </c>
      <c r="I121" s="4" t="str">
        <f>IFERROR(__xludf.DUMMYFUNCTION("GOOGLETRANSLATE(C121, ""en"", ""zh"")"),"A) 按连续成功踢球次数 B) 按赢得回合数 C) 按比赛时长 D) 按羽毛球高度")</f>
        <v>A) 按连续成功踢球次数 B) 按赢得回合数 C) 按比赛时长 D) 按羽毛球高度</v>
      </c>
      <c r="J121" s="4" t="str">
        <f>IFERROR(__xludf.DUMMYFUNCTION("GOOGLETRANSLATE(D121, ""en"", ""zh"")"),"A) 通过连续成功踢球")</f>
        <v>A) 通过连续成功踢球</v>
      </c>
      <c r="K121" s="4" t="str">
        <f>IFERROR(__xludf.DUMMYFUNCTION("GOOGLETRANSLATE(E121, ""en"", ""zh"")"),"#VALUE!")</f>
        <v>#VALUE!</v>
      </c>
      <c r="L121" s="2"/>
      <c r="M121" s="2"/>
      <c r="N121" s="2"/>
      <c r="O121" s="2"/>
      <c r="P121" s="2"/>
      <c r="Q121" s="2"/>
      <c r="R121" s="2"/>
      <c r="S121" s="2"/>
      <c r="T121" s="2"/>
      <c r="U121" s="2"/>
      <c r="V121" s="2"/>
      <c r="W121" s="2"/>
      <c r="X121" s="2"/>
      <c r="Y121" s="2"/>
      <c r="Z121" s="2"/>
      <c r="AA121" s="2"/>
      <c r="AB121" s="2"/>
    </row>
    <row r="122">
      <c r="A122" s="21">
        <v>121.0</v>
      </c>
      <c r="B122" s="17" t="s">
        <v>1793</v>
      </c>
      <c r="C122" s="17" t="s">
        <v>1794</v>
      </c>
      <c r="D122" s="17" t="s">
        <v>1795</v>
      </c>
      <c r="E122" s="20"/>
      <c r="F122" s="2"/>
      <c r="G122" s="2"/>
      <c r="H122" s="4" t="str">
        <f>IFERROR(__xludf.DUMMYFUNCTION("GOOGLETRANSLATE(B122, ""en"", ""zh"")"),"队长的职责是什么？")</f>
        <v>队长的职责是什么？</v>
      </c>
      <c r="I122" s="4" t="str">
        <f>IFERROR(__xludf.DUMMYFUNCTION("GOOGLETRANSLATE(C122, ""en"", ""zh"")"),"A) 策略和秩序 B) 只踢球 C) 只传球 D) 裁判")</f>
        <v>A) 策略和秩序 B) 只踢球 C) 只传球 D) 裁判</v>
      </c>
      <c r="J122" s="4" t="str">
        <f>IFERROR(__xludf.DUMMYFUNCTION("GOOGLETRANSLATE(D122, ""en"", ""zh"")"),"A) 战略与秩序")</f>
        <v>A) 战略与秩序</v>
      </c>
      <c r="K122" s="4" t="str">
        <f>IFERROR(__xludf.DUMMYFUNCTION("GOOGLETRANSLATE(E122, ""en"", ""zh"")"),"#VALUE!")</f>
        <v>#VALUE!</v>
      </c>
      <c r="L122" s="2"/>
      <c r="M122" s="2"/>
      <c r="N122" s="2"/>
      <c r="O122" s="2"/>
      <c r="P122" s="2"/>
      <c r="Q122" s="2"/>
      <c r="R122" s="2"/>
      <c r="S122" s="2"/>
      <c r="T122" s="2"/>
      <c r="U122" s="2"/>
      <c r="V122" s="2"/>
      <c r="W122" s="2"/>
      <c r="X122" s="2"/>
      <c r="Y122" s="2"/>
      <c r="Z122" s="2"/>
      <c r="AA122" s="2"/>
      <c r="AB122" s="2"/>
    </row>
    <row r="123">
      <c r="A123" s="21">
        <v>122.0</v>
      </c>
      <c r="B123" s="17" t="s">
        <v>1796</v>
      </c>
      <c r="C123" s="17" t="s">
        <v>1797</v>
      </c>
      <c r="D123" s="17" t="s">
        <v>1798</v>
      </c>
      <c r="E123" s="20"/>
      <c r="F123" s="2"/>
      <c r="G123" s="2"/>
      <c r="H123" s="4" t="str">
        <f>IFERROR(__xludf.DUMMYFUNCTION("GOOGLETRANSLATE(B123, ""en"", ""zh"")"),"练习过程中，羽毛球可以触地吗？")</f>
        <v>练习过程中，羽毛球可以触地吗？</v>
      </c>
      <c r="I123" s="4" t="str">
        <f>IFERROR(__xludf.DUMMYFUNCTION("GOOGLETRANSLATE(C123, ""en"", ""zh"")"),"A) 是，重新开始 B) 否 C) 仅限发球 D) 仅限正式比赛")</f>
        <v>A) 是，重新开始 B) 否 C) 仅限发球 D) 仅限正式比赛</v>
      </c>
      <c r="J123" s="4" t="str">
        <f>IFERROR(__xludf.DUMMYFUNCTION("GOOGLETRANSLATE(D123, ""en"", ""zh"")"),"A) 是的，重新启动")</f>
        <v>A) 是的，重新启动</v>
      </c>
      <c r="K123" s="4" t="str">
        <f>IFERROR(__xludf.DUMMYFUNCTION("GOOGLETRANSLATE(E123, ""en"", ""zh"")"),"#VALUE!")</f>
        <v>#VALUE!</v>
      </c>
      <c r="L123" s="2"/>
      <c r="M123" s="2"/>
      <c r="N123" s="2"/>
      <c r="O123" s="2"/>
      <c r="P123" s="2"/>
      <c r="Q123" s="2"/>
      <c r="R123" s="2"/>
      <c r="S123" s="2"/>
      <c r="T123" s="2"/>
      <c r="U123" s="2"/>
      <c r="V123" s="2"/>
      <c r="W123" s="2"/>
      <c r="X123" s="2"/>
      <c r="Y123" s="2"/>
      <c r="Z123" s="2"/>
      <c r="AA123" s="2"/>
      <c r="AB123" s="2"/>
    </row>
    <row r="124">
      <c r="A124" s="21">
        <v>123.0</v>
      </c>
      <c r="B124" s="17" t="s">
        <v>1799</v>
      </c>
      <c r="C124" s="17" t="s">
        <v>1800</v>
      </c>
      <c r="D124" s="17" t="s">
        <v>1801</v>
      </c>
      <c r="E124" s="20"/>
      <c r="F124" s="2"/>
      <c r="G124" s="2"/>
      <c r="H124" s="4" t="str">
        <f>IFERROR(__xludf.DUMMYFUNCTION("GOOGLETRANSLATE(B124, ""en"", ""zh"")"),"如何解决纠纷？")</f>
        <v>如何解决纠纷？</v>
      </c>
      <c r="I124" s="4" t="str">
        <f>IFERROR(__xludf.DUMMYFUNCTION("GOOGLETRANSLATE(C124, ""en"", ""zh"")"),"A) 裁判判罚 B) 球员协商 C) 教练判罚 D) 掷硬币")</f>
        <v>A) 裁判判罚 B) 球员协商 C) 教练判罚 D) 掷硬币</v>
      </c>
      <c r="J124" s="4" t="str">
        <f>IFERROR(__xludf.DUMMYFUNCTION("GOOGLETRANSLATE(D124, ""en"", ""zh"")"),"A) 裁判判罚")</f>
        <v>A) 裁判判罚</v>
      </c>
      <c r="K124" s="4" t="str">
        <f>IFERROR(__xludf.DUMMYFUNCTION("GOOGLETRANSLATE(E124, ""en"", ""zh"")"),"#VALUE!")</f>
        <v>#VALUE!</v>
      </c>
      <c r="L124" s="2"/>
      <c r="M124" s="2"/>
      <c r="N124" s="2"/>
      <c r="O124" s="2"/>
      <c r="P124" s="2"/>
      <c r="Q124" s="2"/>
      <c r="R124" s="2"/>
      <c r="S124" s="2"/>
      <c r="T124" s="2"/>
      <c r="U124" s="2"/>
      <c r="V124" s="2"/>
      <c r="W124" s="2"/>
      <c r="X124" s="2"/>
      <c r="Y124" s="2"/>
      <c r="Z124" s="2"/>
      <c r="AA124" s="2"/>
      <c r="AB124" s="2"/>
    </row>
    <row r="125">
      <c r="A125" s="21">
        <v>124.0</v>
      </c>
      <c r="B125" s="17" t="s">
        <v>1802</v>
      </c>
      <c r="C125" s="17" t="s">
        <v>1803</v>
      </c>
      <c r="D125" s="17" t="s">
        <v>1804</v>
      </c>
      <c r="E125" s="20"/>
      <c r="F125" s="2"/>
      <c r="G125" s="2"/>
      <c r="H125" s="4" t="str">
        <f>IFERROR(__xludf.DUMMYFUNCTION("GOOGLETRANSLATE(B125, ""en"", ""zh"")"),"什么是“羽毛控制”？")</f>
        <v>什么是“羽毛控制”？</v>
      </c>
      <c r="I125" s="4" t="str">
        <f>IFERROR(__xludf.DUMMYFUNCTION("GOOGLETRANSLATE(C125, ""en"", ""zh"")"),"A) 精准击打 B) 手触球 C) 膝击 D) 跳跃")</f>
        <v>A) 精准击打 B) 手触球 C) 膝击 D) 跳跃</v>
      </c>
      <c r="J125" s="4" t="str">
        <f>IFERROR(__xludf.DUMMYFUNCTION("GOOGLETRANSLATE(D125, ""en"", ""zh"")"),"A) 精准打击")</f>
        <v>A) 精准打击</v>
      </c>
      <c r="K125" s="4" t="str">
        <f>IFERROR(__xludf.DUMMYFUNCTION("GOOGLETRANSLATE(E125, ""en"", ""zh"")"),"#VALUE!")</f>
        <v>#VALUE!</v>
      </c>
      <c r="L125" s="2"/>
      <c r="M125" s="2"/>
      <c r="N125" s="2"/>
      <c r="O125" s="2"/>
      <c r="P125" s="2"/>
      <c r="Q125" s="2"/>
      <c r="R125" s="2"/>
      <c r="S125" s="2"/>
      <c r="T125" s="2"/>
      <c r="U125" s="2"/>
      <c r="V125" s="2"/>
      <c r="W125" s="2"/>
      <c r="X125" s="2"/>
      <c r="Y125" s="2"/>
      <c r="Z125" s="2"/>
      <c r="AA125" s="2"/>
      <c r="AB125" s="2"/>
    </row>
    <row r="126">
      <c r="A126" s="21">
        <v>125.0</v>
      </c>
      <c r="B126" s="17" t="s">
        <v>1805</v>
      </c>
      <c r="C126" s="17" t="s">
        <v>1806</v>
      </c>
      <c r="D126" s="17" t="s">
        <v>1807</v>
      </c>
      <c r="E126" s="20"/>
      <c r="F126" s="2"/>
      <c r="G126" s="2"/>
      <c r="H126" s="4" t="str">
        <f>IFERROR(__xludf.DUMMYFUNCTION("GOOGLETRANSLATE(B126, ""en"", ""zh"")"),"锦标赛通常有多少轮？")</f>
        <v>锦标赛通常有多少轮？</v>
      </c>
      <c r="I126" s="4" t="str">
        <f>IFERROR(__xludf.DUMMYFUNCTION("GOOGLETRANSLATE(C126, ""en"", ""zh"")"),"A) 3–5 B) 1 C) 2 D) 6–8")</f>
        <v>A) 3–5 B) 1 C) 2 D) 6–8</v>
      </c>
      <c r="J126" s="4" t="str">
        <f>IFERROR(__xludf.DUMMYFUNCTION("GOOGLETRANSLATE(D126, ""en"", ""zh"")"),"A) 3–5")</f>
        <v>A) 3–5</v>
      </c>
      <c r="K126" s="4" t="str">
        <f>IFERROR(__xludf.DUMMYFUNCTION("GOOGLETRANSLATE(E126, ""en"", ""zh"")"),"#VALUE!")</f>
        <v>#VALUE!</v>
      </c>
      <c r="L126" s="2"/>
      <c r="M126" s="2"/>
      <c r="N126" s="2"/>
      <c r="O126" s="2"/>
      <c r="P126" s="2"/>
      <c r="Q126" s="2"/>
      <c r="R126" s="2"/>
      <c r="S126" s="2"/>
      <c r="T126" s="2"/>
      <c r="U126" s="2"/>
      <c r="V126" s="2"/>
      <c r="W126" s="2"/>
      <c r="X126" s="2"/>
      <c r="Y126" s="2"/>
      <c r="Z126" s="2"/>
      <c r="AA126" s="2"/>
      <c r="AB126" s="2"/>
    </row>
    <row r="127">
      <c r="A127" s="21">
        <v>126.0</v>
      </c>
      <c r="B127" s="17" t="s">
        <v>1808</v>
      </c>
      <c r="C127" s="17" t="s">
        <v>1809</v>
      </c>
      <c r="D127" s="17" t="s">
        <v>1810</v>
      </c>
      <c r="E127" s="20"/>
      <c r="F127" s="2"/>
      <c r="G127" s="2"/>
      <c r="H127" s="4" t="str">
        <f>IFERROR(__xludf.DUMMYFUNCTION("GOOGLETRANSLATE(B127, ""en"", ""zh"")"),"哪种踢法会增加难度？")</f>
        <v>哪种踢法会增加难度？</v>
      </c>
      <c r="I127" s="4" t="str">
        <f>IFERROR(__xludf.DUMMYFUNCTION("GOOGLETRANSLATE(C127, ""en"", ""zh"")"),"A) 侧踢 B) 脚背 C) 脚尖 D) 脚跟")</f>
        <v>A) 侧踢 B) 脚背 C) 脚尖 D) 脚跟</v>
      </c>
      <c r="J127" s="4" t="str">
        <f>IFERROR(__xludf.DUMMYFUNCTION("GOOGLETRANSLATE(D127, ""en"", ""zh"")"),"A) 侧踢")</f>
        <v>A) 侧踢</v>
      </c>
      <c r="K127" s="4" t="str">
        <f>IFERROR(__xludf.DUMMYFUNCTION("GOOGLETRANSLATE(E127, ""en"", ""zh"")"),"#VALUE!")</f>
        <v>#VALUE!</v>
      </c>
      <c r="L127" s="2"/>
      <c r="M127" s="2"/>
      <c r="N127" s="2"/>
      <c r="O127" s="2"/>
      <c r="P127" s="2"/>
      <c r="Q127" s="2"/>
      <c r="R127" s="2"/>
      <c r="S127" s="2"/>
      <c r="T127" s="2"/>
      <c r="U127" s="2"/>
      <c r="V127" s="2"/>
      <c r="W127" s="2"/>
      <c r="X127" s="2"/>
      <c r="Y127" s="2"/>
      <c r="Z127" s="2"/>
      <c r="AA127" s="2"/>
      <c r="AB127" s="2"/>
    </row>
    <row r="128">
      <c r="A128" s="21">
        <v>127.0</v>
      </c>
      <c r="B128" s="17" t="s">
        <v>1811</v>
      </c>
      <c r="C128" s="17" t="s">
        <v>1812</v>
      </c>
      <c r="D128" s="17" t="s">
        <v>1813</v>
      </c>
      <c r="E128" s="20"/>
      <c r="F128" s="2"/>
      <c r="G128" s="2"/>
      <c r="H128" s="4" t="str">
        <f>IFERROR(__xludf.DUMMYFUNCTION("GOOGLETRANSLATE(B128, ""en"", ""zh"")"),"剑子中的“后踢”是什么？")</f>
        <v>剑子中的“后踢”是什么？</v>
      </c>
      <c r="I128" s="4" t="str">
        <f>IFERROR(__xludf.DUMMYFUNCTION("GOOGLETRANSLATE(C128, ""en"", ""zh"")"),"A) 身后击球 B) 前踢 C) 头部击打 D) 下踢")</f>
        <v>A) 身后击球 B) 前踢 C) 头部击打 D) 下踢</v>
      </c>
      <c r="J128" s="4" t="str">
        <f>IFERROR(__xludf.DUMMYFUNCTION("GOOGLETRANSLATE(D128, ""en"", ""zh"")"),"A) 击打身体后方的羽毛球")</f>
        <v>A) 击打身体后方的羽毛球</v>
      </c>
      <c r="K128" s="4" t="str">
        <f>IFERROR(__xludf.DUMMYFUNCTION("GOOGLETRANSLATE(E128, ""en"", ""zh"")"),"#VALUE!")</f>
        <v>#VALUE!</v>
      </c>
      <c r="L128" s="2"/>
      <c r="M128" s="2"/>
      <c r="N128" s="2"/>
      <c r="O128" s="2"/>
      <c r="P128" s="2"/>
      <c r="Q128" s="2"/>
      <c r="R128" s="2"/>
      <c r="S128" s="2"/>
      <c r="T128" s="2"/>
      <c r="U128" s="2"/>
      <c r="V128" s="2"/>
      <c r="W128" s="2"/>
      <c r="X128" s="2"/>
      <c r="Y128" s="2"/>
      <c r="Z128" s="2"/>
      <c r="AA128" s="2"/>
      <c r="AB128" s="2"/>
    </row>
    <row r="129">
      <c r="A129" s="21">
        <v>128.0</v>
      </c>
      <c r="B129" s="17" t="s">
        <v>1814</v>
      </c>
      <c r="C129" s="17" t="s">
        <v>1815</v>
      </c>
      <c r="D129" s="17" t="s">
        <v>1816</v>
      </c>
      <c r="E129" s="20"/>
      <c r="F129" s="2"/>
      <c r="G129" s="2"/>
      <c r="H129" s="4" t="str">
        <f>IFERROR(__xludf.DUMMYFUNCTION("GOOGLETRANSLATE(B129, ""en"", ""zh"")"),"官方比赛时间是如何控制的？")</f>
        <v>官方比赛时间是如何控制的？</v>
      </c>
      <c r="I129" s="4" t="str">
        <f>IFERROR(__xludf.DUMMYFUNCTION("GOOGLETRANSLATE(C129, ""en"", ""zh"")"),"A) 秒表 B) 自由发挥 C) 裁判哨 D) 计时器（可选）")</f>
        <v>A) 秒表 B) 自由发挥 C) 裁判哨 D) 计时器（可选）</v>
      </c>
      <c r="J129" s="4" t="str">
        <f>IFERROR(__xludf.DUMMYFUNCTION("GOOGLETRANSLATE(D129, ""en"", ""zh"")"),"A) 秒表")</f>
        <v>A) 秒表</v>
      </c>
      <c r="K129" s="4" t="str">
        <f>IFERROR(__xludf.DUMMYFUNCTION("GOOGLETRANSLATE(E129, ""en"", ""zh"")"),"#VALUE!")</f>
        <v>#VALUE!</v>
      </c>
      <c r="L129" s="2"/>
      <c r="M129" s="2"/>
      <c r="N129" s="2"/>
      <c r="O129" s="2"/>
      <c r="P129" s="2"/>
      <c r="Q129" s="2"/>
      <c r="R129" s="2"/>
      <c r="S129" s="2"/>
      <c r="T129" s="2"/>
      <c r="U129" s="2"/>
      <c r="V129" s="2"/>
      <c r="W129" s="2"/>
      <c r="X129" s="2"/>
      <c r="Y129" s="2"/>
      <c r="Z129" s="2"/>
      <c r="AA129" s="2"/>
      <c r="AB129" s="2"/>
    </row>
    <row r="130">
      <c r="A130" s="21">
        <v>129.0</v>
      </c>
      <c r="B130" s="17" t="s">
        <v>1817</v>
      </c>
      <c r="C130" s="17" t="s">
        <v>1818</v>
      </c>
      <c r="D130" s="17" t="s">
        <v>1819</v>
      </c>
      <c r="E130" s="20"/>
      <c r="F130" s="2"/>
      <c r="G130" s="2"/>
      <c r="H130" s="4" t="str">
        <f>IFERROR(__xludf.DUMMYFUNCTION("GOOGLETRANSLATE(B130, ""en"", ""zh"")"),"航天飞机的哪个部分更重？")</f>
        <v>航天飞机的哪个部分更重？</v>
      </c>
      <c r="I130" s="4" t="str">
        <f>IFERROR(__xludf.DUMMYFUNCTION("GOOGLETRANSLATE(C130, ""en"", ""zh"")"),"A) 底座 B) 羽毛 C) 尖端 D) 整个梭子")</f>
        <v>A) 底座 B) 羽毛 C) 尖端 D) 整个梭子</v>
      </c>
      <c r="J130" s="4" t="str">
        <f>IFERROR(__xludf.DUMMYFUNCTION("GOOGLETRANSLATE(D130, ""en"", ""zh"")"),"A) 基础")</f>
        <v>A) 基础</v>
      </c>
      <c r="K130" s="4" t="str">
        <f>IFERROR(__xludf.DUMMYFUNCTION("GOOGLETRANSLATE(E130, ""en"", ""zh"")"),"#VALUE!")</f>
        <v>#VALUE!</v>
      </c>
      <c r="L130" s="2"/>
      <c r="M130" s="2"/>
      <c r="N130" s="2"/>
      <c r="O130" s="2"/>
      <c r="P130" s="2"/>
      <c r="Q130" s="2"/>
      <c r="R130" s="2"/>
      <c r="S130" s="2"/>
      <c r="T130" s="2"/>
      <c r="U130" s="2"/>
      <c r="V130" s="2"/>
      <c r="W130" s="2"/>
      <c r="X130" s="2"/>
      <c r="Y130" s="2"/>
      <c r="Z130" s="2"/>
      <c r="AA130" s="2"/>
      <c r="AB130" s="2"/>
    </row>
    <row r="131">
      <c r="A131" s="21">
        <v>130.0</v>
      </c>
      <c r="B131" s="17" t="s">
        <v>1820</v>
      </c>
      <c r="C131" s="17" t="s">
        <v>1821</v>
      </c>
      <c r="D131" s="17" t="s">
        <v>1822</v>
      </c>
      <c r="E131" s="20"/>
      <c r="F131" s="2"/>
      <c r="G131" s="2"/>
      <c r="H131" s="4" t="str">
        <f>IFERROR(__xludf.DUMMYFUNCTION("GOOGLETRANSLATE(B131, ""en"", ""zh"")"),"长期上涨的关键是什么？")</f>
        <v>长期上涨的关键是什么？</v>
      </c>
      <c r="I131" s="4" t="str">
        <f>IFERROR(__xludf.DUMMYFUNCTION("GOOGLETRANSLATE(C131, ""en"", ""zh"")"),"A) 准确性和时机 B) 力量 C) 速度 D) 手部击球")</f>
        <v>A) 准确性和时机 B) 力量 C) 速度 D) 手部击球</v>
      </c>
      <c r="J131" s="4" t="str">
        <f>IFERROR(__xludf.DUMMYFUNCTION("GOOGLETRANSLATE(D131, ""en"", ""zh"")"),"A) 准确性和时效性")</f>
        <v>A) 准确性和时效性</v>
      </c>
      <c r="K131" s="4" t="str">
        <f>IFERROR(__xludf.DUMMYFUNCTION("GOOGLETRANSLATE(E131, ""en"", ""zh"")"),"#VALUE!")</f>
        <v>#VALUE!</v>
      </c>
      <c r="L131" s="2"/>
      <c r="M131" s="2"/>
      <c r="N131" s="2"/>
      <c r="O131" s="2"/>
      <c r="P131" s="2"/>
      <c r="Q131" s="2"/>
      <c r="R131" s="2"/>
      <c r="S131" s="2"/>
      <c r="T131" s="2"/>
      <c r="U131" s="2"/>
      <c r="V131" s="2"/>
      <c r="W131" s="2"/>
      <c r="X131" s="2"/>
      <c r="Y131" s="2"/>
      <c r="Z131" s="2"/>
      <c r="AA131" s="2"/>
      <c r="AB131" s="2"/>
    </row>
    <row r="132">
      <c r="A132" s="21">
        <v>131.0</v>
      </c>
      <c r="B132" s="17" t="s">
        <v>1823</v>
      </c>
      <c r="C132" s="17" t="s">
        <v>1824</v>
      </c>
      <c r="D132" s="17" t="s">
        <v>1825</v>
      </c>
      <c r="E132" s="20"/>
      <c r="F132" s="2"/>
      <c r="G132" s="2"/>
      <c r="H132" s="4" t="str">
        <f>IFERROR(__xludf.DUMMYFUNCTION("GOOGLETRANSLATE(B132, ""en"", ""zh"")"),"用哪种踢法传球给队友？")</f>
        <v>用哪种踢法传球给队友？</v>
      </c>
      <c r="I132" s="4" t="str">
        <f>IFERROR(__xludf.DUMMYFUNCTION("GOOGLETRANSLATE(C132, ""en"", ""zh"")"),"A) 前踢 B) 后踢 C) 跳踢 D) 手击")</f>
        <v>A) 前踢 B) 后踢 C) 跳踢 D) 手击</v>
      </c>
      <c r="J132" s="4" t="str">
        <f>IFERROR(__xludf.DUMMYFUNCTION("GOOGLETRANSLATE(D132, ""en"", ""zh"")"),"A) 前踢")</f>
        <v>A) 前踢</v>
      </c>
      <c r="K132" s="4" t="str">
        <f>IFERROR(__xludf.DUMMYFUNCTION("GOOGLETRANSLATE(E132, ""en"", ""zh"")"),"#VALUE!")</f>
        <v>#VALUE!</v>
      </c>
      <c r="L132" s="2"/>
      <c r="M132" s="2"/>
      <c r="N132" s="2"/>
      <c r="O132" s="2"/>
      <c r="P132" s="2"/>
      <c r="Q132" s="2"/>
      <c r="R132" s="2"/>
      <c r="S132" s="2"/>
      <c r="T132" s="2"/>
      <c r="U132" s="2"/>
      <c r="V132" s="2"/>
      <c r="W132" s="2"/>
      <c r="X132" s="2"/>
      <c r="Y132" s="2"/>
      <c r="Z132" s="2"/>
      <c r="AA132" s="2"/>
      <c r="AB132" s="2"/>
    </row>
    <row r="133">
      <c r="A133" s="21">
        <v>132.0</v>
      </c>
      <c r="B133" s="17" t="s">
        <v>1826</v>
      </c>
      <c r="C133" s="17" t="s">
        <v>1827</v>
      </c>
      <c r="D133" s="17" t="s">
        <v>1740</v>
      </c>
      <c r="E133" s="20"/>
      <c r="F133" s="2"/>
      <c r="G133" s="2"/>
      <c r="H133" s="4" t="str">
        <f>IFERROR(__xludf.DUMMYFUNCTION("GOOGLETRANSLATE(B133, ""en"", ""zh"")"),"团队比赛中禁止的是什么动作？")</f>
        <v>团队比赛中禁止的是什么动作？</v>
      </c>
      <c r="I133" s="4" t="str">
        <f>IFERROR(__xludf.DUMMYFUNCTION("GOOGLETRANSLATE(C133, ""en"", ""zh"")"),"A) 手控球 B) 传球 C) 脚击球 D) 软式接球")</f>
        <v>A) 手控球 B) 传球 C) 脚击球 D) 软式接球</v>
      </c>
      <c r="J133" s="4" t="str">
        <f>IFERROR(__xludf.DUMMYFUNCTION("GOOGLETRANSLATE(D133, ""en"", ""zh"")"),"A) 用手握住梭子")</f>
        <v>A) 用手握住梭子</v>
      </c>
      <c r="K133" s="4" t="str">
        <f>IFERROR(__xludf.DUMMYFUNCTION("GOOGLETRANSLATE(E133, ""en"", ""zh"")"),"#VALUE!")</f>
        <v>#VALUE!</v>
      </c>
      <c r="L133" s="2"/>
      <c r="M133" s="2"/>
      <c r="N133" s="2"/>
      <c r="O133" s="2"/>
      <c r="P133" s="2"/>
      <c r="Q133" s="2"/>
      <c r="R133" s="2"/>
      <c r="S133" s="2"/>
      <c r="T133" s="2"/>
      <c r="U133" s="2"/>
      <c r="V133" s="2"/>
      <c r="W133" s="2"/>
      <c r="X133" s="2"/>
      <c r="Y133" s="2"/>
      <c r="Z133" s="2"/>
      <c r="AA133" s="2"/>
      <c r="AB133" s="2"/>
    </row>
    <row r="134">
      <c r="A134" s="21">
        <v>133.0</v>
      </c>
      <c r="B134" s="17" t="s">
        <v>1828</v>
      </c>
      <c r="C134" s="17" t="s">
        <v>1829</v>
      </c>
      <c r="D134" s="17" t="s">
        <v>1830</v>
      </c>
      <c r="E134" s="20"/>
      <c r="F134" s="2"/>
      <c r="G134" s="2"/>
      <c r="H134" s="4" t="str">
        <f>IFERROR(__xludf.DUMMYFUNCTION("GOOGLETRANSLATE(B134, ""en"", ""zh"")"),"哪种技术被认为是高级技术？")</f>
        <v>哪种技术被认为是高级技术？</v>
      </c>
      <c r="I134" s="4" t="str">
        <f>IFERROR(__xludf.DUMMYFUNCTION("GOOGLETRANSLATE(C134, ""en"", ""zh"")"),"A) 跳踢 B) 基本脚背踢 C) 低踢 D) 软陷阱踢")</f>
        <v>A) 跳踢 B) 基本脚背踢 C) 低踢 D) 软陷阱踢</v>
      </c>
      <c r="J134" s="4" t="str">
        <f>IFERROR(__xludf.DUMMYFUNCTION("GOOGLETRANSLATE(D134, ""en"", ""zh"")"),"A) 跳踢")</f>
        <v>A) 跳踢</v>
      </c>
      <c r="K134" s="4" t="str">
        <f>IFERROR(__xludf.DUMMYFUNCTION("GOOGLETRANSLATE(E134, ""en"", ""zh"")"),"#VALUE!")</f>
        <v>#VALUE!</v>
      </c>
      <c r="L134" s="2"/>
      <c r="M134" s="2"/>
      <c r="N134" s="2"/>
      <c r="O134" s="2"/>
      <c r="P134" s="2"/>
      <c r="Q134" s="2"/>
      <c r="R134" s="2"/>
      <c r="S134" s="2"/>
      <c r="T134" s="2"/>
      <c r="U134" s="2"/>
      <c r="V134" s="2"/>
      <c r="W134" s="2"/>
      <c r="X134" s="2"/>
      <c r="Y134" s="2"/>
      <c r="Z134" s="2"/>
      <c r="AA134" s="2"/>
      <c r="AB134" s="2"/>
    </row>
    <row r="135">
      <c r="A135" s="21">
        <v>134.0</v>
      </c>
      <c r="B135" s="17" t="s">
        <v>1831</v>
      </c>
      <c r="C135" s="17" t="s">
        <v>1832</v>
      </c>
      <c r="D135" s="17" t="s">
        <v>1833</v>
      </c>
      <c r="E135" s="20"/>
      <c r="F135" s="2"/>
      <c r="G135" s="2"/>
      <c r="H135" s="4" t="str">
        <f>IFERROR(__xludf.DUMMYFUNCTION("GOOGLETRANSLATE(B135, ""en"", ""zh"")"),"球员应该如何热身？")</f>
        <v>球员应该如何热身？</v>
      </c>
      <c r="I135" s="4" t="str">
        <f>IFERROR(__xludf.DUMMYFUNCTION("GOOGLETRANSLATE(C135, ""en"", ""zh"")"),"A) 轻踢和伸展 B) 全力跳跃 C) 手击 D) 短跑")</f>
        <v>A) 轻踢和伸展 B) 全力跳跃 C) 手击 D) 短跑</v>
      </c>
      <c r="J135" s="4" t="str">
        <f>IFERROR(__xludf.DUMMYFUNCTION("GOOGLETRANSLATE(D135, ""en"", ""zh"")"),"A) 轻柔的踢腿和伸展")</f>
        <v>A) 轻柔的踢腿和伸展</v>
      </c>
      <c r="K135" s="4" t="str">
        <f>IFERROR(__xludf.DUMMYFUNCTION("GOOGLETRANSLATE(E135, ""en"", ""zh"")"),"#VALUE!")</f>
        <v>#VALUE!</v>
      </c>
      <c r="L135" s="2"/>
      <c r="M135" s="2"/>
      <c r="N135" s="2"/>
      <c r="O135" s="2"/>
      <c r="P135" s="2"/>
      <c r="Q135" s="2"/>
      <c r="R135" s="2"/>
      <c r="S135" s="2"/>
      <c r="T135" s="2"/>
      <c r="U135" s="2"/>
      <c r="V135" s="2"/>
      <c r="W135" s="2"/>
      <c r="X135" s="2"/>
      <c r="Y135" s="2"/>
      <c r="Z135" s="2"/>
      <c r="AA135" s="2"/>
      <c r="AB135" s="2"/>
    </row>
    <row r="136">
      <c r="A136" s="21">
        <v>135.0</v>
      </c>
      <c r="B136" s="17" t="s">
        <v>1834</v>
      </c>
      <c r="C136" s="17" t="s">
        <v>1835</v>
      </c>
      <c r="D136" s="17" t="s">
        <v>1836</v>
      </c>
      <c r="E136" s="20"/>
      <c r="F136" s="2"/>
      <c r="G136" s="2"/>
      <c r="H136" s="4" t="str">
        <f>IFERROR(__xludf.DUMMYFUNCTION("GOOGLETRANSLATE(B136, ""en"", ""zh"")"),"正式比赛中如何替换接力棒？")</f>
        <v>正式比赛中如何替换接力棒？</v>
      </c>
      <c r="I136" s="4" t="str">
        <f>IFERROR(__xludf.DUMMYFUNCTION("GOOGLETRANSLATE(C136, ""en"", ""zh"")"),"A) 受损后 B) 每次回合 C) 随机 D) 不替换")</f>
        <v>A) 受损后 B) 每次回合 C) 随机 D) 不替换</v>
      </c>
      <c r="J136" s="4" t="str">
        <f>IFERROR(__xludf.DUMMYFUNCTION("GOOGLETRANSLATE(D136, ""en"", ""zh"")"),"A) 损伤后")</f>
        <v>A) 损伤后</v>
      </c>
      <c r="K136" s="4" t="str">
        <f>IFERROR(__xludf.DUMMYFUNCTION("GOOGLETRANSLATE(E136, ""en"", ""zh"")"),"#VALUE!")</f>
        <v>#VALUE!</v>
      </c>
      <c r="L136" s="2"/>
      <c r="M136" s="2"/>
      <c r="N136" s="2"/>
      <c r="O136" s="2"/>
      <c r="P136" s="2"/>
      <c r="Q136" s="2"/>
      <c r="R136" s="2"/>
      <c r="S136" s="2"/>
      <c r="T136" s="2"/>
      <c r="U136" s="2"/>
      <c r="V136" s="2"/>
      <c r="W136" s="2"/>
      <c r="X136" s="2"/>
      <c r="Y136" s="2"/>
      <c r="Z136" s="2"/>
      <c r="AA136" s="2"/>
      <c r="AB136" s="2"/>
    </row>
    <row r="137">
      <c r="A137" s="22">
        <v>136.0</v>
      </c>
      <c r="B137" s="17" t="s">
        <v>1837</v>
      </c>
      <c r="C137" s="17" t="s">
        <v>1838</v>
      </c>
      <c r="D137" s="17" t="s">
        <v>1839</v>
      </c>
      <c r="E137" s="20"/>
      <c r="F137" s="2"/>
      <c r="G137" s="2"/>
      <c r="H137" s="4" t="str">
        <f>IFERROR(__xludf.DUMMYFUNCTION("GOOGLETRANSLATE(B137, ""en"", ""zh"")"),"犯规如何处罚？")</f>
        <v>犯规如何处罚？</v>
      </c>
      <c r="I137" s="4" t="str">
        <f>IFERROR(__xludf.DUMMYFUNCTION("GOOGLETRANSLATE(C137, ""en"", ""zh"")"),"A) 失分 B) 加时赛 C) 比赛中止 D) 仅警告")</f>
        <v>A) 失分 B) 加时赛 C) 比赛中止 D) 仅警告</v>
      </c>
      <c r="J137" s="4" t="str">
        <f>IFERROR(__xludf.DUMMYFUNCTION("GOOGLETRANSLATE(D137, ""en"", ""zh"")"),"A) 点数损失")</f>
        <v>A) 点数损失</v>
      </c>
      <c r="K137" s="4" t="str">
        <f>IFERROR(__xludf.DUMMYFUNCTION("GOOGLETRANSLATE(E137, ""en"", ""zh"")"),"#VALUE!")</f>
        <v>#VALUE!</v>
      </c>
      <c r="L137" s="2"/>
      <c r="M137" s="2"/>
      <c r="N137" s="2"/>
      <c r="O137" s="2"/>
      <c r="P137" s="2"/>
      <c r="Q137" s="2"/>
      <c r="R137" s="2"/>
      <c r="S137" s="2"/>
      <c r="T137" s="2"/>
      <c r="U137" s="2"/>
      <c r="V137" s="2"/>
      <c r="W137" s="2"/>
      <c r="X137" s="2"/>
      <c r="Y137" s="2"/>
      <c r="Z137" s="2"/>
      <c r="AA137" s="2"/>
      <c r="AB137" s="2"/>
    </row>
    <row r="138">
      <c r="A138" s="24"/>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c r="A139" s="24"/>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c r="A140" s="24"/>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c r="A141" s="24"/>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c r="A142" s="24"/>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row>
    <row r="986">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3"/>
      <c r="AB986" s="23"/>
    </row>
    <row r="987">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3"/>
      <c r="AB987" s="23"/>
    </row>
    <row r="988">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3"/>
      <c r="AB988" s="23"/>
    </row>
    <row r="989">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3"/>
      <c r="AB989" s="23"/>
    </row>
    <row r="990">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3"/>
      <c r="AB990" s="23"/>
    </row>
    <row r="99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3"/>
      <c r="AB991" s="23"/>
    </row>
    <row r="992">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3"/>
      <c r="AB992" s="23"/>
    </row>
    <row r="993">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3"/>
      <c r="AB993" s="23"/>
    </row>
    <row r="994">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3"/>
      <c r="AB994" s="23"/>
    </row>
    <row r="99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c r="AA995" s="23"/>
      <c r="AB995" s="23"/>
    </row>
    <row r="996">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c r="AA996" s="23"/>
      <c r="AB996" s="23"/>
    </row>
    <row r="997">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c r="AA997" s="23"/>
      <c r="AB997" s="23"/>
    </row>
    <row r="998">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c r="AA998" s="23"/>
      <c r="AB998" s="23"/>
    </row>
    <row r="999">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c r="AA999" s="23"/>
      <c r="AB999" s="23"/>
    </row>
  </sheetData>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2.75"/>
    <col customWidth="1" min="5" max="5" width="12.75"/>
    <col customWidth="1" min="10" max="10" width="12.75"/>
  </cols>
  <sheetData>
    <row r="1">
      <c r="A1" s="28" t="s">
        <v>0</v>
      </c>
      <c r="B1" s="28" t="s">
        <v>1</v>
      </c>
      <c r="C1" s="28" t="s">
        <v>2</v>
      </c>
      <c r="D1" s="28" t="s">
        <v>3</v>
      </c>
      <c r="E1" s="28" t="s">
        <v>4</v>
      </c>
      <c r="F1" s="12"/>
      <c r="G1" s="12"/>
      <c r="H1" s="3"/>
      <c r="I1" s="28" t="s">
        <v>5</v>
      </c>
      <c r="J1" s="28" t="s">
        <v>6</v>
      </c>
      <c r="K1" s="28" t="s">
        <v>7</v>
      </c>
      <c r="L1" s="28" t="s">
        <v>4</v>
      </c>
      <c r="M1" s="13"/>
      <c r="N1" s="13"/>
      <c r="O1" s="13"/>
      <c r="P1" s="13"/>
      <c r="Q1" s="12"/>
      <c r="R1" s="12"/>
      <c r="S1" s="12"/>
      <c r="T1" s="12"/>
      <c r="U1" s="12"/>
      <c r="V1" s="12"/>
      <c r="W1" s="12"/>
      <c r="X1" s="12"/>
      <c r="Y1" s="12"/>
      <c r="Z1" s="12"/>
      <c r="AA1" s="12"/>
    </row>
    <row r="2">
      <c r="A2" s="29">
        <v>1.0</v>
      </c>
      <c r="B2" s="11" t="s">
        <v>1840</v>
      </c>
      <c r="C2" s="11" t="s">
        <v>1841</v>
      </c>
      <c r="D2" s="11" t="s">
        <v>1842</v>
      </c>
      <c r="E2" s="11" t="s">
        <v>1843</v>
      </c>
      <c r="F2" s="12"/>
      <c r="G2" s="12"/>
      <c r="H2" s="25"/>
      <c r="I2" s="11" t="str">
        <f>IFERROR(__xludf.DUMMYFUNCTION("GOOGLETRANSLATE(B2, ""en"", ""zh"")"),"在功夫中，下列哪种动物通常不会被用作风格灵感的来源？")</f>
        <v>在功夫中，下列哪种动物通常不会被用作风格灵感的来源？</v>
      </c>
      <c r="J2" s="11" t="str">
        <f>IFERROR(__xludf.DUMMYFUNCTION("GOOGLETRANSLATE(C2, ""en"", ""zh"")"),"A) 龙，B) 猴子，C) 大象，D) 老虎")</f>
        <v>A) 龙，B) 猴子，C) 大象，D) 老虎</v>
      </c>
      <c r="K2" s="11" t="str">
        <f>IFERROR(__xludf.DUMMYFUNCTION("GOOGLETRANSLATE(D2, ""en"", ""zh"")"),"C）大象")</f>
        <v>C）大象</v>
      </c>
      <c r="L2" s="11" t="str">
        <f>IFERROR(__xludf.DUMMYFUNCTION("GOOGLETRANSLATE(E2, ""en"", ""zh"")"),"功夫的风格传统上受到龙、猴、虎等动物的启发，但并非受到大象的启发。")</f>
        <v>功夫的风格传统上受到龙、猴、虎等动物的启发，但并非受到大象的启发。</v>
      </c>
      <c r="M2" s="13"/>
      <c r="N2" s="13"/>
      <c r="O2" s="13"/>
      <c r="P2" s="13"/>
      <c r="Q2" s="12"/>
      <c r="R2" s="12"/>
      <c r="S2" s="12"/>
      <c r="T2" s="12"/>
      <c r="U2" s="12"/>
      <c r="V2" s="12"/>
      <c r="W2" s="12"/>
      <c r="X2" s="12"/>
      <c r="Y2" s="12"/>
      <c r="Z2" s="12"/>
      <c r="AA2" s="12"/>
    </row>
    <row r="3">
      <c r="A3" s="29">
        <v>2.0</v>
      </c>
      <c r="B3" s="11" t="s">
        <v>1844</v>
      </c>
      <c r="C3" s="11" t="s">
        <v>1845</v>
      </c>
      <c r="D3" s="11" t="s">
        <v>1846</v>
      </c>
      <c r="E3" s="11" t="s">
        <v>1847</v>
      </c>
      <c r="F3" s="12"/>
      <c r="G3" s="12"/>
      <c r="H3" s="25"/>
      <c r="I3" s="11" t="str">
        <f>IFERROR(__xludf.DUMMYFUNCTION("GOOGLETRANSLATE(B3, ""en"", ""zh"")"),"哪个术语常用来描述功夫中使用的内力？")</f>
        <v>哪个术语常用来描述功夫中使用的内力？</v>
      </c>
      <c r="J3" s="11" t="str">
        <f>IFERROR(__xludf.DUMMYFUNCTION("GOOGLETRANSLATE(C3, ""en"", ""zh"")"),"A) 气，B) 武，C) 禅，D) 理")</f>
        <v>A) 气，B) 武，C) 禅，D) 理</v>
      </c>
      <c r="K3" s="11" t="str">
        <f>IFERROR(__xludf.DUMMYFUNCTION("GOOGLETRANSLATE(D3, ""en"", ""zh"")"),"A) 气")</f>
        <v>A) 气</v>
      </c>
      <c r="L3" s="11" t="str">
        <f>IFERROR(__xludf.DUMMYFUNCTION("GOOGLETRANSLATE(E3, ""en"", ""zh"")"),"气代表着内在的能量或生命力，人们认为它对包括功夫在内的许多中国武术至关重要。")</f>
        <v>气代表着内在的能量或生命力，人们认为它对包括功夫在内的许多中国武术至关重要。</v>
      </c>
      <c r="M3" s="13"/>
      <c r="N3" s="12"/>
      <c r="O3" s="13"/>
      <c r="P3" s="13"/>
      <c r="Q3" s="12"/>
      <c r="R3" s="12"/>
      <c r="S3" s="12"/>
      <c r="T3" s="12"/>
      <c r="U3" s="12"/>
      <c r="V3" s="12"/>
      <c r="W3" s="12"/>
      <c r="X3" s="12"/>
      <c r="Y3" s="12"/>
      <c r="Z3" s="12"/>
      <c r="AA3" s="12"/>
    </row>
    <row r="4">
      <c r="A4" s="29">
        <v>3.0</v>
      </c>
      <c r="B4" s="11" t="s">
        <v>1848</v>
      </c>
      <c r="C4" s="11" t="s">
        <v>1849</v>
      </c>
      <c r="D4" s="11" t="s">
        <v>1850</v>
      </c>
      <c r="E4" s="11" t="s">
        <v>1851</v>
      </c>
      <c r="F4" s="12"/>
      <c r="G4" s="12"/>
      <c r="H4" s="25"/>
      <c r="I4" s="11" t="str">
        <f>IFERROR(__xludf.DUMMYFUNCTION("GOOGLETRANSLATE(B4, ""en"", ""zh"")"),"这些拳法中哪一种是功夫的基础风格？")</f>
        <v>这些拳法中哪一种是功夫的基础风格？</v>
      </c>
      <c r="J4" s="11" t="str">
        <f>IFERROR(__xludf.DUMMYFUNCTION("GOOGLETRANSLATE(C4, ""en"", ""zh"")"),"A) 少林寺，B) 卡拉里帕亚图，C) 柔道，D) 空手道")</f>
        <v>A) 少林寺，B) 卡拉里帕亚图，C) 柔道，D) 空手道</v>
      </c>
      <c r="K4" s="11" t="str">
        <f>IFERROR(__xludf.DUMMYFUNCTION("GOOGLETRANSLATE(D4, ""en"", ""zh"")"),"A) 少林")</f>
        <v>A) 少林</v>
      </c>
      <c r="L4" s="11" t="str">
        <f>IFERROR(__xludf.DUMMYFUNCTION("GOOGLETRANSLATE(E4, ""en"", ""zh"")"),"少林功夫是最古老、最著名的武术流派之一，起源于少林寺传统。")</f>
        <v>少林功夫是最古老、最著名的武术流派之一，起源于少林寺传统。</v>
      </c>
      <c r="M4" s="13"/>
      <c r="N4" s="13"/>
      <c r="O4" s="13"/>
      <c r="P4" s="13"/>
      <c r="Q4" s="12"/>
      <c r="R4" s="12"/>
      <c r="S4" s="12"/>
      <c r="T4" s="12"/>
      <c r="U4" s="12"/>
      <c r="V4" s="12"/>
      <c r="W4" s="12"/>
      <c r="X4" s="12"/>
      <c r="Y4" s="12"/>
      <c r="Z4" s="12"/>
      <c r="AA4" s="12"/>
    </row>
    <row r="5">
      <c r="A5" s="29">
        <v>4.0</v>
      </c>
      <c r="B5" s="11" t="s">
        <v>1852</v>
      </c>
      <c r="C5" s="11" t="s">
        <v>1853</v>
      </c>
      <c r="D5" s="11" t="s">
        <v>1854</v>
      </c>
      <c r="E5" s="11" t="s">
        <v>1855</v>
      </c>
      <c r="F5" s="12"/>
      <c r="G5" s="12"/>
      <c r="H5" s="25"/>
      <c r="I5" s="11" t="str">
        <f>IFERROR(__xludf.DUMMYFUNCTION("GOOGLETRANSLATE(B5, ""en"", ""zh"")"),"咏春拳作为一种功夫流派，其主要特点是什么？")</f>
        <v>咏春拳作为一种功夫流派，其主要特点是什么？</v>
      </c>
      <c r="J5" s="11" t="str">
        <f>IFERROR(__xludf.DUMMYFUNCTION("GOOGLETRANSLATE(C5, ""en"", ""zh"")"),"A) 强力踢击，B) 地面格斗，C) 近身格斗，D) 高跳")</f>
        <v>A) 强力踢击，B) 地面格斗，C) 近身格斗，D) 高跳</v>
      </c>
      <c r="K5" s="11" t="str">
        <f>IFERROR(__xludf.DUMMYFUNCTION("GOOGLETRANSLATE(D5, ""en"", ""zh"")"),"C）近距离战斗")</f>
        <v>C）近距离战斗</v>
      </c>
      <c r="L5" s="11" t="str">
        <f>IFERROR(__xludf.DUMMYFUNCTION("GOOGLETRANSLATE(E5, ""en"", ""zh"")"),"咏春拳是一种注重高效近身格斗的拳法，强调防守和快速打击。")</f>
        <v>咏春拳是一种注重高效近身格斗的拳法，强调防守和快速打击。</v>
      </c>
      <c r="M5" s="13"/>
      <c r="N5" s="13"/>
      <c r="O5" s="13"/>
      <c r="P5" s="12"/>
      <c r="Q5" s="12"/>
      <c r="R5" s="12"/>
      <c r="S5" s="12"/>
      <c r="T5" s="12"/>
      <c r="U5" s="12"/>
      <c r="V5" s="12"/>
      <c r="W5" s="12"/>
      <c r="X5" s="12"/>
      <c r="Y5" s="12"/>
      <c r="Z5" s="12"/>
      <c r="AA5" s="12"/>
    </row>
    <row r="6">
      <c r="A6" s="29">
        <v>5.0</v>
      </c>
      <c r="B6" s="11" t="s">
        <v>1856</v>
      </c>
      <c r="C6" s="11" t="s">
        <v>1857</v>
      </c>
      <c r="D6" s="11" t="s">
        <v>1858</v>
      </c>
      <c r="E6" s="11" t="s">
        <v>1859</v>
      </c>
      <c r="F6" s="12"/>
      <c r="G6" s="12"/>
      <c r="H6" s="25"/>
      <c r="I6" s="11" t="str">
        <f>IFERROR(__xludf.DUMMYFUNCTION("GOOGLETRANSLATE(B6, ""en"", ""zh"")"),"哪种武器通常与功夫训练联系在一起？")</f>
        <v>哪种武器通常与功夫训练联系在一起？</v>
      </c>
      <c r="J6" s="11" t="str">
        <f>IFERROR(__xludf.DUMMYFUNCTION("GOOGLETRANSLATE(C6, ""en"", ""zh"")"),"A）博杖，B）武士刀，C）双节棍，D）Tonfa")</f>
        <v>A）博杖，B）武士刀，C）双节棍，D）Tonfa</v>
      </c>
      <c r="K6" s="11" t="str">
        <f>IFERROR(__xludf.DUMMYFUNCTION("GOOGLETRANSLATE(D6, ""en"", ""zh"")"),"A) Bo 员工")</f>
        <v>A) Bo 员工</v>
      </c>
      <c r="L6" s="11" t="str">
        <f>IFERROR(__xludf.DUMMYFUNCTION("GOOGLETRANSLATE(E6, ""en"", ""zh"")"),"棍棒是功夫中的一种传统武器，用于各种套路和训练，以提高技能。")</f>
        <v>棍棒是功夫中的一种传统武器，用于各种套路和训练，以提高技能。</v>
      </c>
      <c r="M6" s="13"/>
      <c r="N6" s="13"/>
      <c r="O6" s="13"/>
      <c r="P6" s="13"/>
      <c r="Q6" s="12"/>
      <c r="R6" s="12"/>
      <c r="S6" s="12"/>
      <c r="T6" s="12"/>
      <c r="U6" s="12"/>
      <c r="V6" s="12"/>
      <c r="W6" s="12"/>
      <c r="X6" s="12"/>
      <c r="Y6" s="12"/>
      <c r="Z6" s="12"/>
      <c r="AA6" s="12"/>
    </row>
    <row r="7">
      <c r="A7" s="29">
        <v>6.0</v>
      </c>
      <c r="B7" s="11" t="s">
        <v>1860</v>
      </c>
      <c r="C7" s="11" t="s">
        <v>1861</v>
      </c>
      <c r="D7" s="11" t="s">
        <v>1862</v>
      </c>
      <c r="E7" s="11" t="s">
        <v>1863</v>
      </c>
      <c r="F7" s="12"/>
      <c r="G7" s="12"/>
      <c r="H7" s="25"/>
      <c r="I7" s="11" t="str">
        <f>IFERROR(__xludf.DUMMYFUNCTION("GOOGLETRANSLATE(B7, ""en"", ""zh"")"),"练习功夫的主要好处是什么？")</f>
        <v>练习功夫的主要好处是什么？</v>
      </c>
      <c r="J7" s="11" t="str">
        <f>IFERROR(__xludf.DUMMYFUNCTION("GOOGLETRANSLATE(C7, ""en"", ""zh"")"),"A) 灵活性，B) 财富，C) 步行速度，D) 身高增加")</f>
        <v>A) 灵活性，B) 财富，C) 步行速度，D) 身高增加</v>
      </c>
      <c r="K7" s="11" t="str">
        <f>IFERROR(__xludf.DUMMYFUNCTION("GOOGLETRANSLATE(D7, ""en"", ""zh"")"),"A) 灵活性")</f>
        <v>A) 灵活性</v>
      </c>
      <c r="L7" s="11" t="str">
        <f>IFERROR(__xludf.DUMMYFUNCTION("GOOGLETRANSLATE(E7, ""en"", ""zh"")"),"功夫强调柔韧性、力量和平衡性是其关键的身体益处。")</f>
        <v>功夫强调柔韧性、力量和平衡性是其关键的身体益处。</v>
      </c>
      <c r="M7" s="13"/>
      <c r="N7" s="12"/>
      <c r="O7" s="13"/>
      <c r="P7" s="13"/>
      <c r="Q7" s="12"/>
      <c r="R7" s="12"/>
      <c r="S7" s="12"/>
      <c r="T7" s="12"/>
      <c r="U7" s="12"/>
      <c r="V7" s="12"/>
      <c r="W7" s="12"/>
      <c r="X7" s="12"/>
      <c r="Y7" s="12"/>
      <c r="Z7" s="12"/>
      <c r="AA7" s="12"/>
    </row>
    <row r="8">
      <c r="A8" s="29">
        <v>7.0</v>
      </c>
      <c r="B8" s="11" t="s">
        <v>1864</v>
      </c>
      <c r="C8" s="11" t="s">
        <v>1865</v>
      </c>
      <c r="D8" s="11" t="s">
        <v>1866</v>
      </c>
      <c r="E8" s="11" t="s">
        <v>1867</v>
      </c>
      <c r="F8" s="12"/>
      <c r="G8" s="12"/>
      <c r="H8" s="25"/>
      <c r="I8" s="11" t="str">
        <f>IFERROR(__xludf.DUMMYFUNCTION("GOOGLETRANSLATE(B8, ""en"", ""zh"")"),"在五行动物体系中，哪种动物以动作流畅灵活而闻名？")</f>
        <v>在五行动物体系中，哪种动物以动作流畅灵活而闻名？</v>
      </c>
      <c r="J8" s="11" t="str">
        <f>IFERROR(__xludf.DUMMYFUNCTION("GOOGLETRANSLATE(C8, ""en"", ""zh"")"),"A) 老虎，B) 蛇，C) 鹤，D) 豹")</f>
        <v>A) 老虎，B) 蛇，C) 鹤，D) 豹</v>
      </c>
      <c r="K8" s="11" t="str">
        <f>IFERROR(__xludf.DUMMYFUNCTION("GOOGLETRANSLATE(D8, ""en"", ""zh"")"),"B) 蛇")</f>
        <v>B) 蛇</v>
      </c>
      <c r="L8" s="11" t="str">
        <f>IFERROR(__xludf.DUMMYFUNCTION("GOOGLETRANSLATE(E8, ""en"", ""zh"")"),"蛇形风格强调流畅、灵活的动作，象征着适应性和精准性。")</f>
        <v>蛇形风格强调流畅、灵活的动作，象征着适应性和精准性。</v>
      </c>
      <c r="M8" s="13"/>
      <c r="N8" s="12"/>
      <c r="O8" s="13"/>
      <c r="P8" s="13"/>
      <c r="Q8" s="12"/>
      <c r="R8" s="12"/>
      <c r="S8" s="12"/>
      <c r="T8" s="12"/>
      <c r="U8" s="12"/>
      <c r="V8" s="12"/>
      <c r="W8" s="12"/>
      <c r="X8" s="12"/>
      <c r="Y8" s="12"/>
      <c r="Z8" s="12"/>
      <c r="AA8" s="12"/>
    </row>
    <row r="9">
      <c r="A9" s="29">
        <v>8.0</v>
      </c>
      <c r="B9" s="11" t="s">
        <v>1868</v>
      </c>
      <c r="C9" s="11" t="s">
        <v>1869</v>
      </c>
      <c r="D9" s="11" t="s">
        <v>1870</v>
      </c>
      <c r="E9" s="11" t="s">
        <v>1871</v>
      </c>
      <c r="F9" s="12"/>
      <c r="G9" s="12"/>
      <c r="H9" s="25"/>
      <c r="I9" s="11" t="str">
        <f>IFERROR(__xludf.DUMMYFUNCTION("GOOGLETRANSLATE(B9, ""en"", ""zh"")"),"“功夫”字面翻译是什么？")</f>
        <v>“功夫”字面翻译是什么？</v>
      </c>
      <c r="J9" s="11" t="str">
        <f>IFERROR(__xludf.DUMMYFUNCTION("GOOGLETRANSLATE(C9, ""en"", ""zh"")"),"A）武艺，B）时间和精力，C）精神能量，D）武士之道")</f>
        <v>A）武艺，B）时间和精力，C）精神能量，D）武士之道</v>
      </c>
      <c r="K9" s="11" t="str">
        <f>IFERROR(__xludf.DUMMYFUNCTION("GOOGLETRANSLATE(D9, ""en"", ""zh"")"),"B) 时间和精力")</f>
        <v>B) 时间和精力</v>
      </c>
      <c r="L9" s="11" t="str">
        <f>IFERROR(__xludf.DUMMYFUNCTION("GOOGLETRANSLATE(E9, ""en"", ""zh"")"),"功夫的字面意思是“时间和精力”，体现了掌握这门技艺所需的奉献精神。")</f>
        <v>功夫的字面意思是“时间和精力”，体现了掌握这门技艺所需的奉献精神。</v>
      </c>
      <c r="M9" s="13"/>
      <c r="N9" s="12"/>
      <c r="O9" s="13"/>
      <c r="P9" s="13"/>
      <c r="Q9" s="12"/>
      <c r="R9" s="12"/>
      <c r="S9" s="12"/>
      <c r="T9" s="12"/>
      <c r="U9" s="12"/>
      <c r="V9" s="12"/>
      <c r="W9" s="12"/>
      <c r="X9" s="12"/>
      <c r="Y9" s="12"/>
      <c r="Z9" s="12"/>
      <c r="AA9" s="12"/>
    </row>
    <row r="10">
      <c r="A10" s="29">
        <v>9.0</v>
      </c>
      <c r="B10" s="11" t="s">
        <v>1872</v>
      </c>
      <c r="C10" s="11" t="s">
        <v>1873</v>
      </c>
      <c r="D10" s="11" t="s">
        <v>1874</v>
      </c>
      <c r="E10" s="11" t="s">
        <v>1875</v>
      </c>
      <c r="F10" s="12"/>
      <c r="G10" s="12"/>
      <c r="H10" s="25"/>
      <c r="I10" s="11" t="str">
        <f>IFERROR(__xludf.DUMMYFUNCTION("GOOGLETRANSLATE(B10, ""en"", ""zh"")"),"在许多功夫流派中，哪种站姿对于保持平衡和增强力量至关重要？")</f>
        <v>在许多功夫流派中，哪种站姿对于保持平衡和增强力量至关重要？</v>
      </c>
      <c r="J10" s="11" t="str">
        <f>IFERROR(__xludf.DUMMYFUNCTION("GOOGLETRANSLATE(C10, ""en"", ""zh"")"),"A）马步，B）猫步，C）鹤步，D）鹰步")</f>
        <v>A）马步，B）猫步，C）鹤步，D）鹰步</v>
      </c>
      <c r="K10" s="11" t="str">
        <f>IFERROR(__xludf.DUMMYFUNCTION("GOOGLETRANSLATE(D10, ""en"", ""zh"")"),"A) 马步")</f>
        <v>A) 马步</v>
      </c>
      <c r="L10" s="11" t="str">
        <f>IFERROR(__xludf.DUMMYFUNCTION("GOOGLETRANSLATE(E10, ""en"", ""zh"")"),"马步是一种基础姿势，可以增强腿部力量和平衡感。")</f>
        <v>马步是一种基础姿势，可以增强腿部力量和平衡感。</v>
      </c>
      <c r="M10" s="13"/>
      <c r="N10" s="13"/>
      <c r="O10" s="13"/>
      <c r="P10" s="13"/>
      <c r="Q10" s="12"/>
      <c r="R10" s="12"/>
      <c r="S10" s="12"/>
      <c r="T10" s="12"/>
      <c r="U10" s="12"/>
      <c r="V10" s="12"/>
      <c r="W10" s="12"/>
      <c r="X10" s="12"/>
      <c r="Y10" s="12"/>
      <c r="Z10" s="12"/>
      <c r="AA10" s="12"/>
    </row>
    <row r="11">
      <c r="A11" s="29">
        <v>10.0</v>
      </c>
      <c r="B11" s="11" t="s">
        <v>1876</v>
      </c>
      <c r="C11" s="11" t="s">
        <v>1877</v>
      </c>
      <c r="D11" s="11" t="s">
        <v>1878</v>
      </c>
      <c r="E11" s="11" t="s">
        <v>1879</v>
      </c>
      <c r="F11" s="12"/>
      <c r="G11" s="12"/>
      <c r="H11" s="25"/>
      <c r="I11" s="11" t="str">
        <f>IFERROR(__xludf.DUMMYFUNCTION("GOOGLETRANSLATE(B11, ""en"", ""zh"")"),"哪种哲学思想对功夫实践影响最大？")</f>
        <v>哪种哲学思想对功夫实践影响最大？</v>
      </c>
      <c r="J11" s="11" t="str">
        <f>IFERROR(__xludf.DUMMYFUNCTION("GOOGLETRANSLATE(C11, ""en"", ""zh"")"),"A) 儒家思想，B) 道家思想，C) 佛教，D) 神道教")</f>
        <v>A) 儒家思想，B) 道家思想，C) 佛教，D) 神道教</v>
      </c>
      <c r="K11" s="11" t="str">
        <f>IFERROR(__xludf.DUMMYFUNCTION("GOOGLETRANSLATE(D11, ""en"", ""zh"")"),"B）道教")</f>
        <v>B）道教</v>
      </c>
      <c r="L11" s="11" t="str">
        <f>IFERROR(__xludf.DUMMYFUNCTION("GOOGLETRANSLATE(E11, ""en"", ""zh"")"),"道家思想的平衡与和谐等原则对功夫产生了深远的影响。")</f>
        <v>道家思想的平衡与和谐等原则对功夫产生了深远的影响。</v>
      </c>
      <c r="M11" s="13"/>
      <c r="N11" s="12"/>
      <c r="O11" s="13"/>
      <c r="P11" s="12"/>
      <c r="Q11" s="12"/>
      <c r="R11" s="12"/>
      <c r="S11" s="12"/>
      <c r="T11" s="12"/>
      <c r="U11" s="12"/>
      <c r="V11" s="12"/>
      <c r="W11" s="12"/>
      <c r="X11" s="12"/>
      <c r="Y11" s="12"/>
      <c r="Z11" s="12"/>
      <c r="AA11" s="12"/>
    </row>
    <row r="12">
      <c r="A12" s="29">
        <v>11.0</v>
      </c>
      <c r="B12" s="11" t="s">
        <v>1880</v>
      </c>
      <c r="C12" s="11" t="s">
        <v>1881</v>
      </c>
      <c r="D12" s="11" t="s">
        <v>1882</v>
      </c>
      <c r="E12" s="11" t="s">
        <v>1883</v>
      </c>
      <c r="F12" s="12"/>
      <c r="G12" s="12"/>
      <c r="H12" s="25"/>
      <c r="I12" s="11" t="str">
        <f>IFERROR(__xludf.DUMMYFUNCTION("GOOGLETRANSLATE(B12, ""en"", ""zh"")"),"功夫中冥想的主要目的是什么？")</f>
        <v>功夫中冥想的主要目的是什么？</v>
      </c>
      <c r="J12" s="11" t="str">
        <f>IFERROR(__xludf.DUMMYFUNCTION("GOOGLETRANSLATE(C12, ""en"", ""zh"")"),"A) 增强体能，B) 集中注意力，C) 增强耐力，D) 学习形式")</f>
        <v>A) 增强体能，B) 集中注意力，C) 增强耐力，D) 学习形式</v>
      </c>
      <c r="K12" s="11" t="str">
        <f>IFERROR(__xludf.DUMMYFUNCTION("GOOGLETRANSLATE(D12, ""en"", ""zh"")"),"B）集中注意力")</f>
        <v>B）集中注意力</v>
      </c>
      <c r="L12" s="11" t="str">
        <f>IFERROR(__xludf.DUMMYFUNCTION("GOOGLETRANSLATE(E12, ""en"", ""zh"")"),"功夫中的冥想被用来培养专注力和思维清晰度。")</f>
        <v>功夫中的冥想被用来培养专注力和思维清晰度。</v>
      </c>
      <c r="M12" s="13"/>
      <c r="N12" s="13"/>
      <c r="O12" s="13"/>
      <c r="P12" s="13"/>
      <c r="Q12" s="12"/>
      <c r="R12" s="12"/>
      <c r="S12" s="12"/>
      <c r="T12" s="12"/>
      <c r="U12" s="12"/>
      <c r="V12" s="12"/>
      <c r="W12" s="12"/>
      <c r="X12" s="12"/>
      <c r="Y12" s="12"/>
      <c r="Z12" s="12"/>
      <c r="AA12" s="12"/>
    </row>
    <row r="13">
      <c r="A13" s="29">
        <v>12.0</v>
      </c>
      <c r="B13" s="11" t="s">
        <v>1884</v>
      </c>
      <c r="C13" s="11" t="s">
        <v>1885</v>
      </c>
      <c r="D13" s="11" t="s">
        <v>1886</v>
      </c>
      <c r="E13" s="11" t="s">
        <v>1887</v>
      </c>
      <c r="F13" s="12"/>
      <c r="G13" s="12"/>
      <c r="H13" s="25"/>
      <c r="I13" s="11" t="str">
        <f>IFERROR(__xludf.DUMMYFUNCTION("GOOGLETRANSLATE(B13, ""en"", ""zh"")"),"哪种功夫流派强调模仿鸟类的动作？")</f>
        <v>哪种功夫流派强调模仿鸟类的动作？</v>
      </c>
      <c r="J13" s="11" t="str">
        <f>IFERROR(__xludf.DUMMYFUNCTION("GOOGLETRANSLATE(C13, ""en"", ""zh"")"),"A) 鹰爪，B) 蛇，C) 虎，D) 豹")</f>
        <v>A) 鹰爪，B) 蛇，C) 虎，D) 豹</v>
      </c>
      <c r="K13" s="11" t="str">
        <f>IFERROR(__xludf.DUMMYFUNCTION("GOOGLETRANSLATE(D13, ""en"", ""zh"")"),"A) 鹰爪")</f>
        <v>A) 鹰爪</v>
      </c>
      <c r="L13" s="11" t="str">
        <f>IFERROR(__xludf.DUMMYFUNCTION("GOOGLETRANSLATE(E13, ""en"", ""zh"")"),"鹰爪拳风格运用类似鹰爪的动作来抓取和控制对手。")</f>
        <v>鹰爪拳风格运用类似鹰爪的动作来抓取和控制对手。</v>
      </c>
      <c r="M13" s="13"/>
      <c r="N13" s="12"/>
      <c r="O13" s="13"/>
      <c r="P13" s="13"/>
      <c r="Q13" s="12"/>
      <c r="R13" s="12"/>
      <c r="S13" s="12"/>
      <c r="T13" s="12"/>
      <c r="U13" s="12"/>
      <c r="V13" s="12"/>
      <c r="W13" s="12"/>
      <c r="X13" s="12"/>
      <c r="Y13" s="12"/>
      <c r="Z13" s="12"/>
      <c r="AA13" s="12"/>
    </row>
    <row r="14">
      <c r="A14" s="29">
        <v>13.0</v>
      </c>
      <c r="B14" s="11" t="s">
        <v>1888</v>
      </c>
      <c r="C14" s="11" t="s">
        <v>1889</v>
      </c>
      <c r="D14" s="11" t="s">
        <v>1890</v>
      </c>
      <c r="E14" s="11" t="s">
        <v>1891</v>
      </c>
      <c r="F14" s="12"/>
      <c r="G14" s="12"/>
      <c r="H14" s="25"/>
      <c r="I14" s="11" t="str">
        <f>IFERROR(__xludf.DUMMYFUNCTION("GOOGLETRANSLATE(B14, ""en"", ""zh"")"),"现代功夫中“武术”的主要关注点是什么？")</f>
        <v>现代功夫中“武术”的主要关注点是什么？</v>
      </c>
      <c r="J14" s="11" t="str">
        <f>IFERROR(__xludf.DUMMYFUNCTION("GOOGLETRANSLATE(C14, ""en"", ""zh"")"),"A) 格斗技巧，B) 表演和杂技，C) 冥想，D) 哲学研究")</f>
        <v>A) 格斗技巧，B) 表演和杂技，C) 冥想，D) 哲学研究</v>
      </c>
      <c r="K14" s="11" t="str">
        <f>IFERROR(__xludf.DUMMYFUNCTION("GOOGLETRANSLATE(D14, ""en"", ""zh"")"),"B) 表演和杂技")</f>
        <v>B) 表演和杂技</v>
      </c>
      <c r="L14" s="11" t="str">
        <f>IFERROR(__xludf.DUMMYFUNCTION("GOOGLETRANSLATE(E14, ""en"", ""zh"")"),"武术强调竞技表现，尤其注重套路和杂技动作。")</f>
        <v>武术强调竞技表现，尤其注重套路和杂技动作。</v>
      </c>
      <c r="M14" s="13"/>
      <c r="N14" s="12"/>
      <c r="O14" s="13"/>
      <c r="P14" s="13"/>
      <c r="Q14" s="12"/>
      <c r="R14" s="12"/>
      <c r="S14" s="12"/>
      <c r="T14" s="12"/>
      <c r="U14" s="12"/>
      <c r="V14" s="12"/>
      <c r="W14" s="12"/>
      <c r="X14" s="12"/>
      <c r="Y14" s="12"/>
      <c r="Z14" s="12"/>
      <c r="AA14" s="12"/>
    </row>
    <row r="15">
      <c r="A15" s="29">
        <v>14.0</v>
      </c>
      <c r="B15" s="11" t="s">
        <v>1892</v>
      </c>
      <c r="C15" s="11" t="s">
        <v>1893</v>
      </c>
      <c r="D15" s="11" t="s">
        <v>1894</v>
      </c>
      <c r="E15" s="11" t="s">
        <v>1895</v>
      </c>
      <c r="F15" s="12"/>
      <c r="G15" s="12"/>
      <c r="H15" s="25"/>
      <c r="I15" s="11" t="str">
        <f>IFERROR(__xludf.DUMMYFUNCTION("GOOGLETRANSLATE(B15, ""en"", ""zh"")"),"在功夫中，哪种动物代表力量和威力？")</f>
        <v>在功夫中，哪种动物代表力量和威力？</v>
      </c>
      <c r="J15" s="11" t="str">
        <f>IFERROR(__xludf.DUMMYFUNCTION("GOOGLETRANSLATE(C15, ""en"", ""zh"")"),"A) 豹，B) 蛇，C) 龙，D) 虎")</f>
        <v>A) 豹，B) 蛇，C) 龙，D) 虎</v>
      </c>
      <c r="K15" s="11" t="str">
        <f>IFERROR(__xludf.DUMMYFUNCTION("GOOGLETRANSLATE(D15, ""en"", ""zh"")"),"D) 老虎")</f>
        <v>D) 老虎</v>
      </c>
      <c r="L15" s="11" t="str">
        <f>IFERROR(__xludf.DUMMYFUNCTION("GOOGLETRANSLATE(E15, ""en"", ""zh"")"),"在功夫的动物拳法中，虎代表着原始的力量和威猛。")</f>
        <v>在功夫的动物拳法中，虎代表着原始的力量和威猛。</v>
      </c>
      <c r="M15" s="13"/>
      <c r="N15" s="13"/>
      <c r="O15" s="13"/>
      <c r="P15" s="13"/>
      <c r="Q15" s="12"/>
      <c r="R15" s="12"/>
      <c r="S15" s="12"/>
      <c r="T15" s="12"/>
      <c r="U15" s="12"/>
      <c r="V15" s="12"/>
      <c r="W15" s="12"/>
      <c r="X15" s="12"/>
      <c r="Y15" s="12"/>
      <c r="Z15" s="12"/>
      <c r="AA15" s="12"/>
    </row>
    <row r="16">
      <c r="A16" s="29">
        <v>15.0</v>
      </c>
      <c r="B16" s="11" t="s">
        <v>1896</v>
      </c>
      <c r="C16" s="11" t="s">
        <v>1897</v>
      </c>
      <c r="D16" s="11" t="s">
        <v>1898</v>
      </c>
      <c r="E16" s="11" t="s">
        <v>1899</v>
      </c>
      <c r="F16" s="12"/>
      <c r="G16" s="12"/>
      <c r="H16" s="25"/>
      <c r="I16" s="11" t="str">
        <f>IFERROR(__xludf.DUMMYFUNCTION("GOOGLETRANSLATE(B16, ""en"", ""zh"")"),"功夫训练通常包括加强身体的哪个部位以增强稳定性？")</f>
        <v>功夫训练通常包括加强身体的哪个部位以增强稳定性？</v>
      </c>
      <c r="J16" s="11" t="str">
        <f>IFERROR(__xludf.DUMMYFUNCTION("GOOGLETRANSLATE(C16, ""en"", ""zh"")"),"A) 手臂，B) 肩膀，C) 核心肌群，D) 腿部")</f>
        <v>A) 手臂，B) 肩膀，C) 核心肌群，D) 腿部</v>
      </c>
      <c r="K16" s="11" t="str">
        <f>IFERROR(__xludf.DUMMYFUNCTION("GOOGLETRANSLATE(D16, ""en"", ""zh"")"),"D) 腿")</f>
        <v>D) 腿</v>
      </c>
      <c r="L16" s="11" t="str">
        <f>IFERROR(__xludf.DUMMYFUNCTION("GOOGLETRANSLATE(E16, ""en"", ""zh"")"),"腿部力量对于许多功夫姿势和动作的稳定性和平衡性至关重要。")</f>
        <v>腿部力量对于许多功夫姿势和动作的稳定性和平衡性至关重要。</v>
      </c>
      <c r="M16" s="13"/>
      <c r="N16" s="13"/>
      <c r="O16" s="13"/>
      <c r="P16" s="12"/>
      <c r="Q16" s="12"/>
      <c r="R16" s="12"/>
      <c r="S16" s="12"/>
      <c r="T16" s="12"/>
      <c r="U16" s="12"/>
      <c r="V16" s="12"/>
      <c r="W16" s="12"/>
      <c r="X16" s="12"/>
      <c r="Y16" s="12"/>
      <c r="Z16" s="12"/>
      <c r="AA16" s="12"/>
    </row>
    <row r="17">
      <c r="A17" s="29">
        <v>16.0</v>
      </c>
      <c r="B17" s="11" t="s">
        <v>1900</v>
      </c>
      <c r="C17" s="11" t="s">
        <v>1901</v>
      </c>
      <c r="D17" s="11" t="s">
        <v>1874</v>
      </c>
      <c r="E17" s="11" t="s">
        <v>1902</v>
      </c>
      <c r="F17" s="12"/>
      <c r="G17" s="12"/>
      <c r="H17" s="25"/>
      <c r="I17" s="11" t="str">
        <f>IFERROR(__xludf.DUMMYFUNCTION("GOOGLETRANSLATE(B17, ""en"", ""zh"")"),"在功夫中，哪种姿势常被用来增强耐力？")</f>
        <v>在功夫中，哪种姿势常被用来增强耐力？</v>
      </c>
      <c r="J17" s="11" t="str">
        <f>IFERROR(__xludf.DUMMYFUNCTION("GOOGLETRANSLATE(C17, ""en"", ""zh"")"),"A）马步，B）弓步，C）鹤步，D）龙步")</f>
        <v>A）马步，B）弓步，C）鹤步，D）龙步</v>
      </c>
      <c r="K17" s="11" t="str">
        <f>IFERROR(__xludf.DUMMYFUNCTION("GOOGLETRANSLATE(D17, ""en"", ""zh"")"),"A) 马步")</f>
        <v>A) 马步</v>
      </c>
      <c r="L17" s="11" t="str">
        <f>IFERROR(__xludf.DUMMYFUNCTION("GOOGLETRANSLATE(E17, ""en"", ""zh"")"),"马步姿势可以增强下肢耐力和力量。")</f>
        <v>马步姿势可以增强下肢耐力和力量。</v>
      </c>
      <c r="M17" s="13"/>
      <c r="N17" s="13"/>
      <c r="O17" s="13"/>
      <c r="P17" s="13"/>
      <c r="Q17" s="12"/>
      <c r="R17" s="12"/>
      <c r="S17" s="12"/>
      <c r="T17" s="12"/>
      <c r="U17" s="12"/>
      <c r="V17" s="12"/>
      <c r="W17" s="12"/>
      <c r="X17" s="12"/>
      <c r="Y17" s="12"/>
      <c r="Z17" s="12"/>
      <c r="AA17" s="12"/>
    </row>
    <row r="18">
      <c r="A18" s="29">
        <v>17.0</v>
      </c>
      <c r="B18" s="11" t="s">
        <v>1903</v>
      </c>
      <c r="C18" s="11" t="s">
        <v>1904</v>
      </c>
      <c r="D18" s="11" t="s">
        <v>1905</v>
      </c>
      <c r="E18" s="11" t="s">
        <v>1906</v>
      </c>
      <c r="F18" s="12"/>
      <c r="G18" s="12"/>
      <c r="H18" s="25"/>
      <c r="I18" s="11" t="str">
        <f>IFERROR(__xludf.DUMMYFUNCTION("GOOGLETRANSLATE(B18, ""en"", ""zh"")"),"功夫中的“套路”是什么？")</f>
        <v>功夫中的“套路”是什么？</v>
      </c>
      <c r="J18" s="11" t="str">
        <f>IFERROR(__xludf.DUMMYFUNCTION("GOOGLETRANSLATE(C18, ""en"", ""zh"")"),"A) 武器，B) 练习，C) 动作组合，D) 冥想")</f>
        <v>A) 武器，B) 练习，C) 动作组合，D) 冥想</v>
      </c>
      <c r="K18" s="11" t="str">
        <f>IFERROR(__xludf.DUMMYFUNCTION("GOOGLETRANSLATE(D18, ""en"", ""zh"")"),"C) 一系列动作")</f>
        <v>C) 一系列动作</v>
      </c>
      <c r="L18" s="11" t="str">
        <f>IFERROR(__xludf.DUMMYFUNCTION("GOOGLETRANSLATE(E18, ""en"", ""zh"")"),"套路是一系列模拟实战、有助于提升技术的动作。")</f>
        <v>套路是一系列模拟实战、有助于提升技术的动作。</v>
      </c>
      <c r="M18" s="13"/>
      <c r="N18" s="12"/>
      <c r="O18" s="13"/>
      <c r="P18" s="13"/>
      <c r="Q18" s="12"/>
      <c r="R18" s="12"/>
      <c r="S18" s="12"/>
      <c r="T18" s="12"/>
      <c r="U18" s="12"/>
      <c r="V18" s="12"/>
      <c r="W18" s="12"/>
      <c r="X18" s="12"/>
      <c r="Y18" s="12"/>
      <c r="Z18" s="12"/>
      <c r="AA18" s="12"/>
    </row>
    <row r="19">
      <c r="A19" s="29">
        <v>18.0</v>
      </c>
      <c r="B19" s="11" t="s">
        <v>1907</v>
      </c>
      <c r="C19" s="11" t="s">
        <v>1908</v>
      </c>
      <c r="D19" s="11" t="s">
        <v>1909</v>
      </c>
      <c r="E19" s="11" t="s">
        <v>1910</v>
      </c>
      <c r="F19" s="12"/>
      <c r="G19" s="12"/>
      <c r="H19" s="25"/>
      <c r="I19" s="11" t="str">
        <f>IFERROR(__xludf.DUMMYFUNCTION("GOOGLETRANSLATE(B19, ""en"", ""zh"")"),"哪种风格以其手法技巧的速度和精准度而闻名？")</f>
        <v>哪种风格以其手法技巧的速度和精准度而闻名？</v>
      </c>
      <c r="J19" s="11" t="str">
        <f>IFERROR(__xludf.DUMMYFUNCTION("GOOGLETRANSLATE(C19, ""en"", ""zh"")"),"A)咏春拳，B)少林拳，C)螳螂拳，D)武术")</f>
        <v>A)咏春拳，B)少林拳，C)螳螂拳，D)武术</v>
      </c>
      <c r="K19" s="11" t="str">
        <f>IFERROR(__xludf.DUMMYFUNCTION("GOOGLETRANSLATE(D19, ""en"", ""zh"")"),"A)咏春拳")</f>
        <v>A)咏春拳</v>
      </c>
      <c r="L19" s="11" t="str">
        <f>IFERROR(__xludf.DUMMYFUNCTION("GOOGLETRANSLATE(E19, ""en"", ""zh"")"),"咏春拳强调快速、精准的近身搏斗手法。")</f>
        <v>咏春拳强调快速、精准的近身搏斗手法。</v>
      </c>
      <c r="M19" s="13"/>
      <c r="N19" s="12"/>
      <c r="O19" s="13"/>
      <c r="P19" s="12"/>
      <c r="Q19" s="12"/>
      <c r="R19" s="12"/>
      <c r="S19" s="12"/>
      <c r="T19" s="12"/>
      <c r="U19" s="12"/>
      <c r="V19" s="12"/>
      <c r="W19" s="12"/>
      <c r="X19" s="12"/>
      <c r="Y19" s="12"/>
      <c r="Z19" s="12"/>
      <c r="AA19" s="12"/>
    </row>
    <row r="20">
      <c r="A20" s="29">
        <v>19.0</v>
      </c>
      <c r="B20" s="11" t="s">
        <v>1911</v>
      </c>
      <c r="C20" s="11" t="s">
        <v>1912</v>
      </c>
      <c r="D20" s="11" t="s">
        <v>1618</v>
      </c>
      <c r="E20" s="11" t="s">
        <v>1913</v>
      </c>
      <c r="F20" s="12"/>
      <c r="G20" s="12"/>
      <c r="H20" s="25"/>
      <c r="I20" s="11" t="str">
        <f>IFERROR(__xludf.DUMMYFUNCTION("GOOGLETRANSLATE(B20, ""en"", ""zh"")"),"功夫练习者运用“铁砂掌”训练主要是为了增强身体的哪个部位？")</f>
        <v>功夫练习者运用“铁砂掌”训练主要是为了增强身体的哪个部位？</v>
      </c>
      <c r="J20" s="11" t="str">
        <f>IFERROR(__xludf.DUMMYFUNCTION("GOOGLETRANSLATE(C20, ""en"", ""zh"")"),"A) 脚，B) 肩膀，C) 手，D) 膝盖")</f>
        <v>A) 脚，B) 肩膀，C) 手，D) 膝盖</v>
      </c>
      <c r="K20" s="11" t="str">
        <f>IFERROR(__xludf.DUMMYFUNCTION("GOOGLETRANSLATE(D20, ""en"", ""zh"")"),"C）手")</f>
        <v>C）手</v>
      </c>
      <c r="L20" s="11" t="str">
        <f>IFERROR(__xludf.DUMMYFUNCTION("GOOGLETRANSLATE(E20, ""en"", ""zh"")"),"铁砂掌训练旨在增强手部力量，以便发出强有力的打击。")</f>
        <v>铁砂掌训练旨在增强手部力量，以便发出强有力的打击。</v>
      </c>
      <c r="M20" s="13"/>
      <c r="N20" s="12"/>
      <c r="O20" s="13"/>
      <c r="P20" s="12"/>
      <c r="Q20" s="12"/>
      <c r="R20" s="12"/>
      <c r="S20" s="12"/>
      <c r="T20" s="12"/>
      <c r="U20" s="12"/>
      <c r="V20" s="12"/>
      <c r="W20" s="12"/>
      <c r="X20" s="12"/>
      <c r="Y20" s="12"/>
      <c r="Z20" s="12"/>
      <c r="AA20" s="12"/>
    </row>
    <row r="21">
      <c r="A21" s="29">
        <v>20.0</v>
      </c>
      <c r="B21" s="11" t="s">
        <v>1914</v>
      </c>
      <c r="C21" s="11" t="s">
        <v>1915</v>
      </c>
      <c r="D21" s="11" t="s">
        <v>1916</v>
      </c>
      <c r="E21" s="11" t="s">
        <v>1917</v>
      </c>
      <c r="F21" s="12"/>
      <c r="G21" s="12"/>
      <c r="H21" s="25"/>
      <c r="I21" s="11" t="str">
        <f>IFERROR(__xludf.DUMMYFUNCTION("GOOGLETRANSLATE(B21, ""en"", ""zh"")"),"用来指代功夫大师或老师的词是什么？")</f>
        <v>用来指代功夫大师或老师的词是什么？</v>
      </c>
      <c r="J21" s="11" t="str">
        <f>IFERROR(__xludf.DUMMYFUNCTION("GOOGLETRANSLATE(C21, ""en"", ""zh"")"),"A) 老师，B) 师父，C) 师父，D) Sense")</f>
        <v>A) 老师，B) 师父，C) 师父，D) Sense</v>
      </c>
      <c r="K21" s="11" t="str">
        <f>IFERROR(__xludf.DUMMYFUNCTION("GOOGLETRANSLATE(D21, ""en"", ""zh"")"),"B) 师父")</f>
        <v>B) 师父</v>
      </c>
      <c r="L21" s="11" t="str">
        <f>IFERROR(__xludf.DUMMYFUNCTION("GOOGLETRANSLATE(E21, ""en"", ""zh"")"),"“师父”是中文里对功夫大师或老师的称呼。")</f>
        <v>“师父”是中文里对功夫大师或老师的称呼。</v>
      </c>
      <c r="M21" s="13"/>
      <c r="N21" s="12"/>
      <c r="O21" s="13"/>
      <c r="P21" s="13"/>
      <c r="Q21" s="12"/>
      <c r="R21" s="12"/>
      <c r="S21" s="12"/>
      <c r="T21" s="12"/>
      <c r="U21" s="12"/>
      <c r="V21" s="12"/>
      <c r="W21" s="12"/>
      <c r="X21" s="12"/>
      <c r="Y21" s="12"/>
      <c r="Z21" s="12"/>
      <c r="AA21" s="12"/>
    </row>
    <row r="22">
      <c r="A22" s="29">
        <v>21.0</v>
      </c>
      <c r="B22" s="11" t="s">
        <v>1918</v>
      </c>
      <c r="C22" s="11" t="s">
        <v>1919</v>
      </c>
      <c r="D22" s="11" t="s">
        <v>1920</v>
      </c>
      <c r="E22" s="11" t="s">
        <v>1921</v>
      </c>
      <c r="F22" s="12"/>
      <c r="G22" s="12"/>
      <c r="H22" s="25"/>
      <c r="I22" s="11" t="str">
        <f>IFERROR(__xludf.DUMMYFUNCTION("GOOGLETRANSLATE(B22, ""en"", ""zh"")"),"练习功夫动物招式的主要好处是什么？")</f>
        <v>练习功夫动物招式的主要好处是什么？</v>
      </c>
      <c r="J22" s="11" t="str">
        <f>IFERROR(__xludf.DUMMYFUNCTION("GOOGLETRANSLATE(C22, ""en"", ""zh"")"),"A) 增强体能，B) 提升精力，C) 掌握多种战斗技巧，D) 提高步速")</f>
        <v>A) 增强体能，B) 提升精力，C) 掌握多种战斗技巧，D) 提高步速</v>
      </c>
      <c r="K22" s="11" t="str">
        <f>IFERROR(__xludf.DUMMYFUNCTION("GOOGLETRANSLATE(D22, ""en"", ""zh"")"),"C) 发展多种战斗技巧")</f>
        <v>C) 发展多种战斗技巧</v>
      </c>
      <c r="L22" s="11" t="str">
        <f>IFERROR(__xludf.DUMMYFUNCTION("GOOGLETRANSLATE(E22, ""en"", ""zh"")"),"动物式瑜伽可以帮助练习者学习基于不同动物的各种技巧。")</f>
        <v>动物式瑜伽可以帮助练习者学习基于不同动物的各种技巧。</v>
      </c>
      <c r="M22" s="13"/>
      <c r="N22" s="12"/>
      <c r="O22" s="13"/>
      <c r="P22" s="13"/>
      <c r="Q22" s="12"/>
      <c r="R22" s="12"/>
      <c r="S22" s="12"/>
      <c r="T22" s="12"/>
      <c r="U22" s="12"/>
      <c r="V22" s="12"/>
      <c r="W22" s="12"/>
      <c r="X22" s="12"/>
      <c r="Y22" s="12"/>
      <c r="Z22" s="12"/>
      <c r="AA22" s="12"/>
    </row>
    <row r="23">
      <c r="A23" s="29">
        <v>22.0</v>
      </c>
      <c r="B23" s="30" t="s">
        <v>1922</v>
      </c>
      <c r="C23" s="30" t="s">
        <v>1923</v>
      </c>
      <c r="D23" s="30" t="s">
        <v>1924</v>
      </c>
      <c r="E23" s="30" t="s">
        <v>1925</v>
      </c>
      <c r="F23" s="31"/>
      <c r="G23" s="31"/>
      <c r="H23" s="32"/>
      <c r="I23" s="11" t="str">
        <f>IFERROR(__xludf.DUMMYFUNCTION("GOOGLETRANSLATE(B23, ""en"", ""zh"")"),"以下哪项是螳螂拳风格的关键特征？")</f>
        <v>以下哪项是螳螂拳风格的关键特征？</v>
      </c>
      <c r="J23" s="11" t="str">
        <f>IFERROR(__xludf.DUMMYFUNCTION("GOOGLETRANSLATE(C23, ""en"", ""zh"")"),"A）高踢腿，B）低姿，C）勾手，D）强力掌击")</f>
        <v>A）高踢腿，B）低姿，C）勾手，D）强力掌击</v>
      </c>
      <c r="K23" s="11" t="str">
        <f>IFERROR(__xludf.DUMMYFUNCTION("GOOGLETRANSLATE(D23, ""en"", ""zh"")"),"C）钩状手部打击")</f>
        <v>C）钩状手部打击</v>
      </c>
      <c r="L23" s="11" t="str">
        <f>IFERROR(__xludf.DUMMYFUNCTION("GOOGLETRANSLATE(E23, ""en"", ""zh"")"),"螳螂拳运用钩状的手部技巧来困住对手。")</f>
        <v>螳螂拳运用钩状的手部技巧来困住对手。</v>
      </c>
      <c r="M23" s="33"/>
      <c r="N23" s="33"/>
      <c r="O23" s="33"/>
      <c r="P23" s="33"/>
      <c r="Q23" s="12"/>
      <c r="R23" s="12"/>
      <c r="S23" s="12"/>
      <c r="T23" s="12"/>
      <c r="U23" s="12"/>
      <c r="V23" s="12"/>
      <c r="W23" s="12"/>
      <c r="X23" s="12"/>
      <c r="Y23" s="12"/>
      <c r="Z23" s="12"/>
      <c r="AA23" s="12"/>
    </row>
    <row r="24">
      <c r="A24" s="29">
        <v>23.0</v>
      </c>
      <c r="B24" s="11" t="s">
        <v>1926</v>
      </c>
      <c r="C24" s="11" t="s">
        <v>1927</v>
      </c>
      <c r="D24" s="11" t="s">
        <v>1928</v>
      </c>
      <c r="E24" s="11" t="s">
        <v>1929</v>
      </c>
      <c r="F24" s="12"/>
      <c r="G24" s="12"/>
      <c r="H24" s="25"/>
      <c r="I24" s="11" t="str">
        <f>IFERROR(__xludf.DUMMYFUNCTION("GOOGLETRANSLATE(B24, ""en"", ""zh"")"),"“功夫”一词可以翻译为：")</f>
        <v>“功夫”一词可以翻译为：</v>
      </c>
      <c r="J24" s="11" t="str">
        <f>IFERROR(__xludf.DUMMYFUNCTION("GOOGLETRANSLATE(C24, ""en"", ""zh"")"),"A) 勤奋，B) 战斗技巧，C) 冥想，D) 平衡")</f>
        <v>A) 勤奋，B) 战斗技巧，C) 冥想，D) 平衡</v>
      </c>
      <c r="K24" s="11" t="str">
        <f>IFERROR(__xludf.DUMMYFUNCTION("GOOGLETRANSLATE(D24, ""en"", ""zh"")"),"A) 努力工作")</f>
        <v>A) 努力工作</v>
      </c>
      <c r="L24" s="11" t="str">
        <f>IFERROR(__xludf.DUMMYFUNCTION("GOOGLETRANSLATE(E24, ""en"", ""zh"")"),"功夫蕴含着通过努力和专注来掌握一项技能的概念。")</f>
        <v>功夫蕴含着通过努力和专注来掌握一项技能的概念。</v>
      </c>
      <c r="M24" s="13"/>
      <c r="N24" s="13"/>
      <c r="O24" s="13"/>
      <c r="P24" s="13"/>
      <c r="Q24" s="12"/>
      <c r="R24" s="12"/>
      <c r="S24" s="12"/>
      <c r="T24" s="12"/>
      <c r="U24" s="12"/>
      <c r="V24" s="12"/>
      <c r="W24" s="12"/>
      <c r="X24" s="12"/>
      <c r="Y24" s="12"/>
      <c r="Z24" s="12"/>
      <c r="AA24" s="12"/>
    </row>
    <row r="25">
      <c r="A25" s="29">
        <v>24.0</v>
      </c>
      <c r="B25" s="11" t="s">
        <v>1930</v>
      </c>
      <c r="C25" s="11" t="s">
        <v>1931</v>
      </c>
      <c r="D25" s="11" t="s">
        <v>1932</v>
      </c>
      <c r="E25" s="11" t="s">
        <v>1933</v>
      </c>
      <c r="F25" s="12"/>
      <c r="G25" s="12"/>
      <c r="H25" s="25"/>
      <c r="I25" s="11" t="str">
        <f>IFERROR(__xludf.DUMMYFUNCTION("GOOGLETRANSLATE(B25, ""en"", ""zh"")"),"李小龙推广的是哪种功夫流派？")</f>
        <v>李小龙推广的是哪种功夫流派？</v>
      </c>
      <c r="J25" s="11" t="str">
        <f>IFERROR(__xludf.DUMMYFUNCTION("GOOGLETRANSLATE(C25, ""en"", ""zh"")"),"A) 少林，B) 咏春，C) 太极，D) 截拳道")</f>
        <v>A) 少林，B) 咏春，C) 太极，D) 截拳道</v>
      </c>
      <c r="K25" s="11" t="str">
        <f>IFERROR(__xludf.DUMMYFUNCTION("GOOGLETRANSLATE(D25, ""en"", ""zh"")"),"D) 截拳道")</f>
        <v>D) 截拳道</v>
      </c>
      <c r="L25" s="11" t="str">
        <f>IFERROR(__xludf.DUMMYFUNCTION("GOOGLETRANSLATE(E25, ""en"", ""zh"")"),"李小龙创立了截拳道，这是一种兼具效率和极简主义的武术风格。")</f>
        <v>李小龙创立了截拳道，这是一种兼具效率和极简主义的武术风格。</v>
      </c>
      <c r="M25" s="13"/>
      <c r="N25" s="12"/>
      <c r="O25" s="13"/>
      <c r="P25" s="13"/>
      <c r="Q25" s="31"/>
      <c r="R25" s="31"/>
      <c r="S25" s="31"/>
      <c r="T25" s="31"/>
      <c r="U25" s="31"/>
      <c r="V25" s="31"/>
      <c r="W25" s="31"/>
      <c r="X25" s="31"/>
      <c r="Y25" s="31"/>
      <c r="Z25" s="31"/>
      <c r="AA25" s="31"/>
    </row>
    <row r="26">
      <c r="A26" s="29">
        <v>25.0</v>
      </c>
      <c r="B26" s="11" t="s">
        <v>1934</v>
      </c>
      <c r="C26" s="11" t="s">
        <v>1935</v>
      </c>
      <c r="D26" s="11" t="s">
        <v>1936</v>
      </c>
      <c r="E26" s="11" t="s">
        <v>1937</v>
      </c>
      <c r="F26" s="12"/>
      <c r="G26" s="12"/>
      <c r="H26" s="25"/>
      <c r="I26" s="11" t="str">
        <f>IFERROR(__xludf.DUMMYFUNCTION("GOOGLETRANSLATE(B26, ""en"", ""zh"")"),"功夫中的哪个概念侧重于转移对手的能量？")</f>
        <v>功夫中的哪个概念侧重于转移对手的能量？</v>
      </c>
      <c r="J26" s="11" t="str">
        <f>IFERROR(__xludf.DUMMYFUNCTION("GOOGLETRANSLATE(C26, ""en"", ""zh"")"),"A) 气，B) 武德，C) 推手，D) 合气道")</f>
        <v>A) 气，B) 武德，C) 推手，D) 合气道</v>
      </c>
      <c r="K26" s="11" t="str">
        <f>IFERROR(__xludf.DUMMYFUNCTION("GOOGLETRANSLATE(D26, ""en"", ""zh"")"),"C) 推手")</f>
        <v>C) 推手</v>
      </c>
      <c r="L26" s="11" t="str">
        <f>IFERROR(__xludf.DUMMYFUNCTION("GOOGLETRANSLATE(E26, ""en"", ""zh"")"),"推手是一种旨在转移对手能量以控制对手的技术。")</f>
        <v>推手是一种旨在转移对手能量以控制对手的技术。</v>
      </c>
      <c r="M26" s="13"/>
      <c r="N26" s="12"/>
      <c r="O26" s="13"/>
      <c r="P26" s="13"/>
      <c r="Q26" s="12"/>
      <c r="R26" s="12"/>
      <c r="S26" s="12"/>
      <c r="T26" s="12"/>
      <c r="U26" s="12"/>
      <c r="V26" s="12"/>
      <c r="W26" s="12"/>
      <c r="X26" s="12"/>
      <c r="Y26" s="12"/>
      <c r="Z26" s="12"/>
      <c r="AA26" s="12"/>
    </row>
    <row r="27">
      <c r="A27" s="29">
        <v>26.0</v>
      </c>
      <c r="B27" s="11" t="s">
        <v>1938</v>
      </c>
      <c r="C27" s="11" t="s">
        <v>1939</v>
      </c>
      <c r="D27" s="11" t="s">
        <v>1940</v>
      </c>
      <c r="E27" s="11" t="s">
        <v>1941</v>
      </c>
      <c r="F27" s="12"/>
      <c r="G27" s="12"/>
      <c r="H27" s="25"/>
      <c r="I27" s="11" t="str">
        <f>IFERROR(__xludf.DUMMYFUNCTION("GOOGLETRANSLATE(B27, ""en"", ""zh"")"),"虎鹤拳融合了哪两种动物的拳法技巧？")</f>
        <v>虎鹤拳融合了哪两种动物的拳法技巧？</v>
      </c>
      <c r="J27" s="11" t="str">
        <f>IFERROR(__xludf.DUMMYFUNCTION("GOOGLETRANSLATE(C27, ""en"", ""zh"")"),"A) 鹤与蛇，B) 虎与鹤，C) 龙与鹤，D) 猴与鹤")</f>
        <v>A) 鹤与蛇，B) 虎与鹤，C) 龙与鹤，D) 猴与鹤</v>
      </c>
      <c r="K27" s="11" t="str">
        <f>IFERROR(__xludf.DUMMYFUNCTION("GOOGLETRANSLATE(D27, ""en"", ""zh"")"),"B) 虎与鹤")</f>
        <v>B) 虎与鹤</v>
      </c>
      <c r="L27" s="11" t="str">
        <f>IFERROR(__xludf.DUMMYFUNCTION("GOOGLETRANSLATE(E27, ""en"", ""zh"")"),"虎鹤风格融合了虎的力量和鹤的优雅。")</f>
        <v>虎鹤风格融合了虎的力量和鹤的优雅。</v>
      </c>
      <c r="M27" s="13"/>
      <c r="N27" s="12"/>
      <c r="O27" s="13"/>
      <c r="P27" s="13"/>
      <c r="Q27" s="12"/>
      <c r="R27" s="12"/>
      <c r="S27" s="12"/>
      <c r="T27" s="12"/>
      <c r="U27" s="12"/>
      <c r="V27" s="12"/>
      <c r="W27" s="12"/>
      <c r="X27" s="12"/>
      <c r="Y27" s="12"/>
      <c r="Z27" s="12"/>
      <c r="AA27" s="12"/>
    </row>
    <row r="28">
      <c r="A28" s="29">
        <v>27.0</v>
      </c>
      <c r="B28" s="11" t="s">
        <v>1942</v>
      </c>
      <c r="C28" s="11" t="s">
        <v>1943</v>
      </c>
      <c r="D28" s="11" t="s">
        <v>1944</v>
      </c>
      <c r="E28" s="11" t="s">
        <v>1945</v>
      </c>
      <c r="F28" s="12"/>
      <c r="G28" s="12"/>
      <c r="H28" s="25"/>
      <c r="I28" s="11" t="str">
        <f>IFERROR(__xludf.DUMMYFUNCTION("GOOGLETRANSLATE(B28, ""en"", ""zh"")"),"功夫中哪种动物拳法注重闪避和敏捷的动作？")</f>
        <v>功夫中哪种动物拳法注重闪避和敏捷的动作？</v>
      </c>
      <c r="J28" s="11" t="str">
        <f>IFERROR(__xludf.DUMMYFUNCTION("GOOGLETRANSLATE(C28, ""en"", ""zh"")"),"A) 龙，B) 蛇，C) 猴，D) 虎")</f>
        <v>A) 龙，B) 蛇，C) 猴，D) 虎</v>
      </c>
      <c r="K28" s="11" t="str">
        <f>IFERROR(__xludf.DUMMYFUNCTION("GOOGLETRANSLATE(D28, ""en"", ""zh"")"),"C) 猴子")</f>
        <v>C) 猴子</v>
      </c>
      <c r="L28" s="11" t="str">
        <f>IFERROR(__xludf.DUMMYFUNCTION("GOOGLETRANSLATE(E28, ""en"", ""zh"")"),"猴式拳法以敏捷和闪避为特点来战胜对手。")</f>
        <v>猴式拳法以敏捷和闪避为特点来战胜对手。</v>
      </c>
      <c r="M28" s="13"/>
      <c r="N28" s="13"/>
      <c r="O28" s="13"/>
      <c r="P28" s="13"/>
      <c r="Q28" s="12"/>
      <c r="R28" s="12"/>
      <c r="S28" s="12"/>
      <c r="T28" s="12"/>
      <c r="U28" s="12"/>
      <c r="V28" s="12"/>
      <c r="W28" s="12"/>
      <c r="X28" s="12"/>
      <c r="Y28" s="12"/>
      <c r="Z28" s="12"/>
      <c r="AA28" s="12"/>
    </row>
    <row r="29">
      <c r="A29" s="29">
        <v>28.0</v>
      </c>
      <c r="B29" s="11" t="s">
        <v>1946</v>
      </c>
      <c r="C29" s="11" t="s">
        <v>1947</v>
      </c>
      <c r="D29" s="11" t="s">
        <v>1948</v>
      </c>
      <c r="E29" s="11" t="s">
        <v>1949</v>
      </c>
      <c r="F29" s="12"/>
      <c r="G29" s="12"/>
      <c r="H29" s="25"/>
      <c r="I29" s="11" t="str">
        <f>IFERROR(__xludf.DUMMYFUNCTION("GOOGLETRANSLATE(B29, ""en"", ""zh"")"),"豹式功夫的特点是采用哪种类型的攻击？")</f>
        <v>豹式功夫的特点是采用哪种类型的攻击？</v>
      </c>
      <c r="J29" s="11" t="str">
        <f>IFERROR(__xludf.DUMMYFUNCTION("GOOGLETRANSLATE(C29, ""en"", ""zh"")"),"A）抓挠，B）肘击，C）掌击，D）指关节击")</f>
        <v>A）抓挠，B）肘击，C）掌击，D）指关节击</v>
      </c>
      <c r="K29" s="11" t="str">
        <f>IFERROR(__xludf.DUMMYFUNCTION("GOOGLETRANSLATE(D29, ""en"", ""zh"")"),"D）指关节拳击")</f>
        <v>D）指关节拳击</v>
      </c>
      <c r="L29" s="11" t="str">
        <f>IFERROR(__xludf.DUMMYFUNCTION("GOOGLETRANSLATE(E29, ""en"", ""zh"")"),"豹式拳击采用指关节击打，强调速度和精准度。")</f>
        <v>豹式拳击采用指关节击打，强调速度和精准度。</v>
      </c>
      <c r="M29" s="13"/>
      <c r="N29" s="12"/>
      <c r="O29" s="13"/>
      <c r="P29" s="13"/>
      <c r="Q29" s="12"/>
      <c r="R29" s="12"/>
      <c r="S29" s="12"/>
      <c r="T29" s="12"/>
      <c r="U29" s="12"/>
      <c r="V29" s="12"/>
      <c r="W29" s="12"/>
      <c r="X29" s="12"/>
      <c r="Y29" s="12"/>
      <c r="Z29" s="12"/>
      <c r="AA29" s="12"/>
    </row>
    <row r="30">
      <c r="A30" s="29">
        <v>29.0</v>
      </c>
      <c r="B30" s="11" t="s">
        <v>1950</v>
      </c>
      <c r="C30" s="11" t="s">
        <v>1951</v>
      </c>
      <c r="D30" s="11" t="s">
        <v>1952</v>
      </c>
      <c r="E30" s="11" t="s">
        <v>1953</v>
      </c>
      <c r="F30" s="12"/>
      <c r="G30" s="12"/>
      <c r="H30" s="25"/>
      <c r="I30" s="11" t="str">
        <f>IFERROR(__xludf.DUMMYFUNCTION("GOOGLETRANSLATE(B30, ""en"", ""zh"")"),"功夫中呼吸技巧的主要目的是什么？")</f>
        <v>功夫中呼吸技巧的主要目的是什么？</v>
      </c>
      <c r="J30" s="11" t="str">
        <f>IFERROR(__xludf.DUMMYFUNCTION("GOOGLETRANSLATE(C30, ""en"", ""zh"")"),"A) 放松身心，B) 强健肌肉，C) 增强耐力，D) 改善气血运行")</f>
        <v>A) 放松身心，B) 强健肌肉，C) 增强耐力，D) 改善气血运行</v>
      </c>
      <c r="K30" s="11" t="str">
        <f>IFERROR(__xludf.DUMMYFUNCTION("GOOGLETRANSLATE(D30, ""en"", ""zh"")"),"D）改善气血运行")</f>
        <v>D）改善气血运行</v>
      </c>
      <c r="L30" s="11" t="str">
        <f>IFERROR(__xludf.DUMMYFUNCTION("GOOGLETRANSLATE(E30, ""en"", ""zh"")"),"呼吸技巧有助于改善气血运行，增强能量和控制力。")</f>
        <v>呼吸技巧有助于改善气血运行，增强能量和控制力。</v>
      </c>
      <c r="M30" s="13"/>
      <c r="N30" s="12"/>
      <c r="O30" s="13"/>
      <c r="P30" s="12"/>
      <c r="Q30" s="12"/>
      <c r="R30" s="12"/>
      <c r="S30" s="12"/>
      <c r="T30" s="12"/>
      <c r="U30" s="12"/>
      <c r="V30" s="12"/>
      <c r="W30" s="12"/>
      <c r="X30" s="12"/>
      <c r="Y30" s="12"/>
      <c r="Z30" s="12"/>
      <c r="AA30" s="12"/>
    </row>
    <row r="31">
      <c r="A31" s="29">
        <v>30.0</v>
      </c>
      <c r="B31" s="11" t="s">
        <v>1954</v>
      </c>
      <c r="C31" s="11" t="s">
        <v>1955</v>
      </c>
      <c r="D31" s="11" t="s">
        <v>1956</v>
      </c>
      <c r="E31" s="11" t="s">
        <v>1957</v>
      </c>
      <c r="F31" s="12"/>
      <c r="G31" s="12"/>
      <c r="H31" s="25"/>
      <c r="I31" s="11" t="str">
        <f>IFERROR(__xludf.DUMMYFUNCTION("GOOGLETRANSLATE(B31, ""en"", ""zh"")"),"以下哪一项属于功夫内家拳？")</f>
        <v>以下哪一项属于功夫内家拳？</v>
      </c>
      <c r="J31" s="11" t="str">
        <f>IFERROR(__xludf.DUMMYFUNCTION("GOOGLETRANSLATE(C31, ""en"", ""zh"")"),"A) 少林拳，B) 螳螂拳，C) 太极拳，D) 咏春拳")</f>
        <v>A) 少林拳，B) 螳螂拳，C) 太极拳，D) 咏春拳</v>
      </c>
      <c r="K31" s="11" t="str">
        <f>IFERROR(__xludf.DUMMYFUNCTION("GOOGLETRANSLATE(D31, ""en"", ""zh"")"),"C) 太极拳")</f>
        <v>C) 太极拳</v>
      </c>
      <c r="L31" s="11" t="str">
        <f>IFERROR(__xludf.DUMMYFUNCTION("GOOGLETRANSLATE(E31, ""en"", ""zh"")"),"太极拳被认为是一种内家拳，注重内在能量和控制。")</f>
        <v>太极拳被认为是一种内家拳，注重内在能量和控制。</v>
      </c>
      <c r="M31" s="13"/>
      <c r="N31" s="12"/>
      <c r="O31" s="13"/>
      <c r="P31" s="13"/>
      <c r="Q31" s="12"/>
      <c r="R31" s="12"/>
      <c r="S31" s="12"/>
      <c r="T31" s="12"/>
      <c r="U31" s="12"/>
      <c r="V31" s="12"/>
      <c r="W31" s="12"/>
      <c r="X31" s="12"/>
      <c r="Y31" s="12"/>
      <c r="Z31" s="12"/>
      <c r="AA31" s="12"/>
    </row>
    <row r="32">
      <c r="A32" s="29">
        <v>31.0</v>
      </c>
      <c r="B32" s="11" t="s">
        <v>1958</v>
      </c>
      <c r="C32" s="11" t="s">
        <v>1959</v>
      </c>
      <c r="D32" s="11" t="s">
        <v>1960</v>
      </c>
      <c r="E32" s="11" t="s">
        <v>1961</v>
      </c>
      <c r="F32" s="12"/>
      <c r="G32" s="12"/>
      <c r="H32" s="25"/>
      <c r="I32" s="11" t="str">
        <f>IFERROR(__xludf.DUMMYFUNCTION("GOOGLETRANSLATE(B32, ""en"", ""zh"")"),"以下哪项是功夫中的防御动作？")</f>
        <v>以下哪项是功夫中的防御动作？</v>
      </c>
      <c r="J32" s="11" t="str">
        <f>IFERROR(__xludf.DUMMYFUNCTION("GOOGLETRANSLATE(C32, ""en"", ""zh"")"),"A）马步，B）高踢，C）掌格挡，D）旋肘")</f>
        <v>A）马步，B）高踢，C）掌格挡，D）旋肘</v>
      </c>
      <c r="K32" s="11" t="str">
        <f>IFERROR(__xludf.DUMMYFUNCTION("GOOGLETRANSLATE(D32, ""en"", ""zh"")"),"C) 开掌块")</f>
        <v>C) 开掌块</v>
      </c>
      <c r="L32" s="11" t="str">
        <f>IFERROR(__xludf.DUMMYFUNCTION("GOOGLETRANSLATE(E32, ""en"", ""zh"")"),"掌格挡是常见的防御动作，可以用来化解攻击。")</f>
        <v>掌格挡是常见的防御动作，可以用来化解攻击。</v>
      </c>
      <c r="M32" s="13"/>
      <c r="N32" s="13"/>
      <c r="O32" s="13"/>
      <c r="P32" s="13"/>
      <c r="Q32" s="12"/>
      <c r="R32" s="12"/>
      <c r="S32" s="12"/>
      <c r="T32" s="12"/>
      <c r="U32" s="12"/>
      <c r="V32" s="12"/>
      <c r="W32" s="12"/>
      <c r="X32" s="12"/>
      <c r="Y32" s="12"/>
      <c r="Z32" s="12"/>
      <c r="AA32" s="12"/>
    </row>
    <row r="33">
      <c r="A33" s="29">
        <v>32.0</v>
      </c>
      <c r="B33" s="11" t="s">
        <v>1962</v>
      </c>
      <c r="C33" s="11" t="s">
        <v>1963</v>
      </c>
      <c r="D33" s="11" t="s">
        <v>1964</v>
      </c>
      <c r="E33" s="11" t="s">
        <v>1965</v>
      </c>
      <c r="F33" s="12"/>
      <c r="G33" s="12"/>
      <c r="H33" s="25"/>
      <c r="I33" s="11" t="str">
        <f>IFERROR(__xludf.DUMMYFUNCTION("GOOGLETRANSLATE(B33, ""en"", ""zh"")"),"功夫中的“气功”一词指的是：")</f>
        <v>功夫中的“气功”一词指的是：</v>
      </c>
      <c r="J33" s="11" t="str">
        <f>IFERROR(__xludf.DUMMYFUNCTION("GOOGLETRANSLATE(C33, ""en"", ""zh"")"),"A）冥想练习，B）高踢腿，C）肘击，D）实战练习")</f>
        <v>A）冥想练习，B）高踢腿，C）肘击，D）实战练习</v>
      </c>
      <c r="K33" s="11" t="str">
        <f>IFERROR(__xludf.DUMMYFUNCTION("GOOGLETRANSLATE(D33, ""en"", ""zh"")"),"A) 冥想练习")</f>
        <v>A) 冥想练习</v>
      </c>
      <c r="L33" s="11" t="str">
        <f>IFERROR(__xludf.DUMMYFUNCTION("GOOGLETRANSLATE(E33, ""en"", ""zh"")"),"气功是一种以控制和培养气为重点的冥想练习。")</f>
        <v>气功是一种以控制和培养气为重点的冥想练习。</v>
      </c>
      <c r="M33" s="13"/>
      <c r="N33" s="12"/>
      <c r="O33" s="13"/>
      <c r="P33" s="13"/>
      <c r="Q33" s="12"/>
      <c r="R33" s="12"/>
      <c r="S33" s="12"/>
      <c r="T33" s="12"/>
      <c r="U33" s="12"/>
      <c r="V33" s="12"/>
      <c r="W33" s="12"/>
      <c r="X33" s="12"/>
      <c r="Y33" s="12"/>
      <c r="Z33" s="12"/>
      <c r="AA33" s="12"/>
    </row>
    <row r="34">
      <c r="A34" s="29">
        <v>33.0</v>
      </c>
      <c r="B34" s="11" t="s">
        <v>1966</v>
      </c>
      <c r="C34" s="11" t="s">
        <v>1967</v>
      </c>
      <c r="D34" s="11" t="s">
        <v>1968</v>
      </c>
      <c r="E34" s="11" t="s">
        <v>1969</v>
      </c>
      <c r="F34" s="12"/>
      <c r="G34" s="12"/>
      <c r="H34" s="25"/>
      <c r="I34" s="11" t="str">
        <f>IFERROR(__xludf.DUMMYFUNCTION("GOOGLETRANSLATE(B34, ""en"", ""zh"")"),"哪种功夫技巧主要用于破坏对手的平衡？")</f>
        <v>哪种功夫技巧主要用于破坏对手的平衡？</v>
      </c>
      <c r="J34" s="11" t="str">
        <f>IFERROR(__xludf.DUMMYFUNCTION("GOOGLETRANSLATE(C34, ""en"", ""zh"")"),"A) 推手，B) 锤击，C) 铁掌，D) 蝴蝶踢")</f>
        <v>A) 推手，B) 锤击，C) 铁掌，D) 蝴蝶踢</v>
      </c>
      <c r="K34" s="11" t="str">
        <f>IFERROR(__xludf.DUMMYFUNCTION("GOOGLETRANSLATE(D34, ""en"", ""zh"")"),"A) 推手")</f>
        <v>A) 推手</v>
      </c>
      <c r="L34" s="11" t="str">
        <f>IFERROR(__xludf.DUMMYFUNCTION("GOOGLETRANSLATE(E34, ""en"", ""zh"")"),"推手是一种使对手失去平衡和不稳定的技术。")</f>
        <v>推手是一种使对手失去平衡和不稳定的技术。</v>
      </c>
      <c r="M34" s="13"/>
      <c r="N34" s="12"/>
      <c r="O34" s="13"/>
      <c r="P34" s="13"/>
      <c r="Q34" s="12"/>
      <c r="R34" s="12"/>
      <c r="S34" s="12"/>
      <c r="T34" s="12"/>
      <c r="U34" s="12"/>
      <c r="V34" s="12"/>
      <c r="W34" s="12"/>
      <c r="X34" s="12"/>
      <c r="Y34" s="12"/>
      <c r="Z34" s="12"/>
      <c r="AA34" s="12"/>
    </row>
    <row r="35">
      <c r="A35" s="29">
        <v>34.0</v>
      </c>
      <c r="B35" s="11" t="s">
        <v>1970</v>
      </c>
      <c r="C35" s="11" t="s">
        <v>1971</v>
      </c>
      <c r="D35" s="11" t="s">
        <v>1972</v>
      </c>
      <c r="E35" s="11" t="s">
        <v>1973</v>
      </c>
      <c r="F35" s="12"/>
      <c r="G35" s="12"/>
      <c r="H35" s="25"/>
      <c r="I35" s="11" t="str">
        <f>IFERROR(__xludf.DUMMYFUNCTION("GOOGLETRANSLATE(B35, ""en"", ""zh"")"),"功夫技巧通常分为哪两大类？")</f>
        <v>功夫技巧通常分为哪两大类？</v>
      </c>
      <c r="J35" s="11" t="str">
        <f>IFERROR(__xludf.DUMMYFUNCTION("GOOGLETRANSLATE(C35, ""en"", ""zh"")"),"A) 轻和重，B) 快和慢，C) 硬和软，D) 内和外")</f>
        <v>A) 轻和重，B) 快和慢，C) 硬和软，D) 内和外</v>
      </c>
      <c r="K35" s="11" t="str">
        <f>IFERROR(__xludf.DUMMYFUNCTION("GOOGLETRANSLATE(D35, ""en"", ""zh"")"),"C) 硬和软")</f>
        <v>C) 硬和软</v>
      </c>
      <c r="L35" s="11" t="str">
        <f>IFERROR(__xludf.DUMMYFUNCTION("GOOGLETRANSLATE(E35, ""en"", ""zh"")"),"功夫将技法分为“刚猛”（强力）和“柔和”（柔顺）两种方法。")</f>
        <v>功夫将技法分为“刚猛”（强力）和“柔和”（柔顺）两种方法。</v>
      </c>
      <c r="M35" s="13"/>
      <c r="N35" s="13"/>
      <c r="O35" s="13"/>
      <c r="P35" s="13"/>
      <c r="Q35" s="12"/>
      <c r="R35" s="12"/>
      <c r="S35" s="12"/>
      <c r="T35" s="12"/>
      <c r="U35" s="12"/>
      <c r="V35" s="12"/>
      <c r="W35" s="12"/>
      <c r="X35" s="12"/>
      <c r="Y35" s="12"/>
      <c r="Z35" s="12"/>
      <c r="AA35" s="12"/>
    </row>
    <row r="36">
      <c r="A36" s="29">
        <v>35.0</v>
      </c>
      <c r="B36" s="11" t="s">
        <v>1974</v>
      </c>
      <c r="C36" s="11" t="s">
        <v>1975</v>
      </c>
      <c r="D36" s="11" t="s">
        <v>1976</v>
      </c>
      <c r="E36" s="11" t="s">
        <v>1977</v>
      </c>
      <c r="F36" s="12"/>
      <c r="G36" s="12"/>
      <c r="H36" s="25"/>
      <c r="I36" s="11" t="str">
        <f>IFERROR(__xludf.DUMMYFUNCTION("GOOGLETRANSLATE(B36, ""en"", ""zh"")"),"在《功夫》中，“醉拳”的灵感来源于什么？")</f>
        <v>在《功夫》中，“醉拳”的灵感来源于什么？</v>
      </c>
      <c r="J36" s="11" t="str">
        <f>IFERROR(__xludf.DUMMYFUNCTION("GOOGLETRANSLATE(C36, ""en"", ""zh"")"),"A) 动物的动作，B) 醉酒的动作，C) 海浪，D) 落叶")</f>
        <v>A) 动物的动作，B) 醉酒的动作，C) 海浪，D) 落叶</v>
      </c>
      <c r="K36" s="11" t="str">
        <f>IFERROR(__xludf.DUMMYFUNCTION("GOOGLETRANSLATE(D36, ""en"", ""zh"")"),"B）醉酒动作")</f>
        <v>B）醉酒动作</v>
      </c>
      <c r="L36" s="11" t="str">
        <f>IFERROR(__xludf.DUMMYFUNCTION("GOOGLETRANSLATE(E36, ""en"", ""zh"")"),"醉拳模仿醉酒者不可预测、步履蹒跚的动作。")</f>
        <v>醉拳模仿醉酒者不可预测、步履蹒跚的动作。</v>
      </c>
      <c r="M36" s="13"/>
      <c r="N36" s="12"/>
      <c r="O36" s="13"/>
      <c r="P36" s="12"/>
      <c r="Q36" s="12"/>
      <c r="R36" s="12"/>
      <c r="S36" s="12"/>
      <c r="T36" s="12"/>
      <c r="U36" s="12"/>
      <c r="V36" s="12"/>
      <c r="W36" s="12"/>
      <c r="X36" s="12"/>
      <c r="Y36" s="12"/>
      <c r="Z36" s="12"/>
      <c r="AA36" s="12"/>
    </row>
    <row r="37">
      <c r="A37" s="29">
        <v>36.0</v>
      </c>
      <c r="B37" s="11" t="s">
        <v>1978</v>
      </c>
      <c r="C37" s="11" t="s">
        <v>1979</v>
      </c>
      <c r="D37" s="11" t="s">
        <v>1980</v>
      </c>
      <c r="E37" s="11" t="s">
        <v>1981</v>
      </c>
      <c r="F37" s="12"/>
      <c r="G37" s="12"/>
      <c r="H37" s="25"/>
      <c r="I37" s="11" t="str">
        <f>IFERROR(__xludf.DUMMYFUNCTION("GOOGLETRANSLATE(B37, ""en"", ""zh"")"),"少林功夫的主要特点是什么？")</f>
        <v>少林功夫的主要特点是什么？</v>
      </c>
      <c r="J37" s="11" t="str">
        <f>IFERROR(__xludf.DUMMYFUNCTION("GOOGLETRANSLATE(C37, ""en"", ""zh"")"),"A) 柔韧性，B) 体能和速度，C) 冥想，D) 武器训练")</f>
        <v>A) 柔韧性，B) 体能和速度，C) 冥想，D) 武器训练</v>
      </c>
      <c r="K37" s="11" t="str">
        <f>IFERROR(__xludf.DUMMYFUNCTION("GOOGLETRANSLATE(D37, ""en"", ""zh"")"),"B) 体能和速度")</f>
        <v>B) 体能和速度</v>
      </c>
      <c r="L37" s="11" t="str">
        <f>IFERROR(__xludf.DUMMYFUNCTION("GOOGLETRANSLATE(E37, ""en"", ""zh"")"),"少林功夫以注重体能训练、力量和速度而闻名。")</f>
        <v>少林功夫以注重体能训练、力量和速度而闻名。</v>
      </c>
      <c r="M37" s="13"/>
      <c r="N37" s="12"/>
      <c r="O37" s="13"/>
      <c r="P37" s="12"/>
      <c r="Q37" s="12"/>
      <c r="R37" s="12"/>
      <c r="S37" s="12"/>
      <c r="T37" s="12"/>
      <c r="U37" s="12"/>
      <c r="V37" s="12"/>
      <c r="W37" s="12"/>
      <c r="X37" s="12"/>
      <c r="Y37" s="12"/>
      <c r="Z37" s="12"/>
      <c r="AA37" s="12"/>
    </row>
    <row r="38">
      <c r="A38" s="29">
        <v>37.0</v>
      </c>
      <c r="B38" s="11" t="s">
        <v>1982</v>
      </c>
      <c r="C38" s="11" t="s">
        <v>1983</v>
      </c>
      <c r="D38" s="11" t="s">
        <v>1984</v>
      </c>
      <c r="E38" s="11" t="s">
        <v>1985</v>
      </c>
      <c r="F38" s="12"/>
      <c r="G38" s="12"/>
      <c r="H38" s="25"/>
      <c r="I38" s="11" t="str">
        <f>IFERROR(__xludf.DUMMYFUNCTION("GOOGLETRANSLATE(B38, ""en"", ""zh"")"),"“龙式”功夫强调以下动作：")</f>
        <v>“龙式”功夫强调以下动作：</v>
      </c>
      <c r="J38" s="11" t="str">
        <f>IFERROR(__xludf.DUMMYFUNCTION("GOOGLETRANSLATE(C38, ""en"", ""zh"")"),"A) 流畅而有力，B) 缓慢而可控，C) 不稳定，D) 防守型")</f>
        <v>A) 流畅而有力，B) 缓慢而可控，C) 不稳定，D) 防守型</v>
      </c>
      <c r="K38" s="11" t="str">
        <f>IFERROR(__xludf.DUMMYFUNCTION("GOOGLETRANSLATE(D38, ""en"", ""zh"")"),"A) 流畅而强劲")</f>
        <v>A) 流畅而强劲</v>
      </c>
      <c r="L38" s="11" t="str">
        <f>IFERROR(__xludf.DUMMYFUNCTION("GOOGLETRANSLATE(E38, ""en"", ""zh"")"),"龙式武术结合了流畅、强劲的动作，体现了力量和柔韧性。")</f>
        <v>龙式武术结合了流畅、强劲的动作，体现了力量和柔韧性。</v>
      </c>
      <c r="M38" s="13"/>
      <c r="N38" s="13"/>
      <c r="O38" s="13"/>
      <c r="P38" s="12"/>
      <c r="Q38" s="12"/>
      <c r="R38" s="12"/>
      <c r="S38" s="12"/>
      <c r="T38" s="12"/>
      <c r="U38" s="12"/>
      <c r="V38" s="12"/>
      <c r="W38" s="12"/>
      <c r="X38" s="12"/>
      <c r="Y38" s="12"/>
      <c r="Z38" s="12"/>
      <c r="AA38" s="12"/>
    </row>
    <row r="39">
      <c r="A39" s="29">
        <v>38.0</v>
      </c>
      <c r="B39" s="11" t="s">
        <v>1986</v>
      </c>
      <c r="C39" s="11" t="s">
        <v>1987</v>
      </c>
      <c r="D39" s="11" t="s">
        <v>1988</v>
      </c>
      <c r="E39" s="11" t="s">
        <v>1989</v>
      </c>
      <c r="F39" s="12"/>
      <c r="G39" s="12"/>
      <c r="H39" s="25"/>
      <c r="I39" s="11" t="str">
        <f>IFERROR(__xludf.DUMMYFUNCTION("GOOGLETRANSLATE(B39, ""en"", ""zh"")"),"功夫学生经常使用哪种练习来模拟实战场景？")</f>
        <v>功夫学生经常使用哪种练习来模拟实战场景？</v>
      </c>
      <c r="J39" s="11" t="str">
        <f>IFERROR(__xludf.DUMMYFUNCTION("GOOGLETRANSLATE(C39, ""en"", ""zh"")"),"A) 冥想，B) 对练，C) 套路，D) 呼吸练习")</f>
        <v>A) 冥想，B) 对练，C) 套路，D) 呼吸练习</v>
      </c>
      <c r="K39" s="11" t="str">
        <f>IFERROR(__xludf.DUMMYFUNCTION("GOOGLETRANSLATE(D39, ""en"", ""zh"")"),"B）陪练")</f>
        <v>B）陪练</v>
      </c>
      <c r="L39" s="11" t="str">
        <f>IFERROR(__xludf.DUMMYFUNCTION("GOOGLETRANSLATE(E39, ""en"", ""zh"")"),"实战练习可以让学生在可控的、类似实战的环境中运用技术。")</f>
        <v>实战练习可以让学生在可控的、类似实战的环境中运用技术。</v>
      </c>
      <c r="M39" s="13"/>
      <c r="N39" s="13"/>
      <c r="O39" s="13"/>
      <c r="P39" s="13"/>
      <c r="Q39" s="12"/>
      <c r="R39" s="12"/>
      <c r="S39" s="12"/>
      <c r="T39" s="12"/>
      <c r="U39" s="12"/>
      <c r="V39" s="12"/>
      <c r="W39" s="12"/>
      <c r="X39" s="12"/>
      <c r="Y39" s="12"/>
      <c r="Z39" s="12"/>
      <c r="AA39" s="12"/>
    </row>
    <row r="40">
      <c r="A40" s="29">
        <v>39.0</v>
      </c>
      <c r="B40" s="11" t="s">
        <v>1990</v>
      </c>
      <c r="C40" s="11" t="s">
        <v>1991</v>
      </c>
      <c r="D40" s="11" t="s">
        <v>1992</v>
      </c>
      <c r="E40" s="11" t="s">
        <v>1993</v>
      </c>
      <c r="F40" s="12"/>
      <c r="G40" s="12"/>
      <c r="H40" s="25"/>
      <c r="I40" s="11" t="str">
        <f>IFERROR(__xludf.DUMMYFUNCTION("GOOGLETRANSLATE(B40, ""en"", ""zh"")"),"功夫中练习“站姿”的目的是什么？")</f>
        <v>功夫中练习“站姿”的目的是什么？</v>
      </c>
      <c r="J40" s="11" t="str">
        <f>IFERROR(__xludf.DUMMYFUNCTION("GOOGLETRANSLATE(C40, ""en"", ""zh"")"),"A) 速度提升，B) 夯实基础，C) 提高精神专注力，D) 武器控制")</f>
        <v>A) 速度提升，B) 夯实基础，C) 提高精神专注力，D) 武器控制</v>
      </c>
      <c r="K40" s="11" t="str">
        <f>IFERROR(__xludf.DUMMYFUNCTION("GOOGLETRANSLATE(D40, ""en"", ""zh"")"),"B）打好基础")</f>
        <v>B）打好基础</v>
      </c>
      <c r="L40" s="11" t="str">
        <f>IFERROR(__xludf.DUMMYFUNCTION("GOOGLETRANSLATE(E40, ""en"", ""zh"")"),"正确的站姿有助于建立稳定的基础，这对于保持平衡和发挥力量至关重要。")</f>
        <v>正确的站姿有助于建立稳定的基础，这对于保持平衡和发挥力量至关重要。</v>
      </c>
      <c r="M40" s="13"/>
      <c r="N40" s="13"/>
      <c r="O40" s="13"/>
      <c r="P40" s="13"/>
      <c r="Q40" s="12"/>
      <c r="R40" s="12"/>
      <c r="S40" s="12"/>
      <c r="T40" s="12"/>
      <c r="U40" s="12"/>
      <c r="V40" s="12"/>
      <c r="W40" s="12"/>
      <c r="X40" s="12"/>
      <c r="Y40" s="12"/>
      <c r="Z40" s="12"/>
      <c r="AA40" s="12"/>
    </row>
    <row r="41">
      <c r="A41" s="29">
        <v>40.0</v>
      </c>
      <c r="B41" s="11" t="s">
        <v>1994</v>
      </c>
      <c r="C41" s="11" t="s">
        <v>1995</v>
      </c>
      <c r="D41" s="11" t="s">
        <v>1996</v>
      </c>
      <c r="E41" s="11" t="s">
        <v>1997</v>
      </c>
      <c r="F41" s="12"/>
      <c r="G41" s="12"/>
      <c r="H41" s="25"/>
      <c r="I41" s="11" t="str">
        <f>IFERROR(__xludf.DUMMYFUNCTION("GOOGLETRANSLATE(B41, ""en"", ""zh"")"),"功夫中的蛇形拳强调哪种类型的动作？")</f>
        <v>功夫中的蛇形拳强调哪种类型的动作？</v>
      </c>
      <c r="J41" s="11" t="str">
        <f>IFERROR(__xludf.DUMMYFUNCTION("GOOGLETRANSLATE(C41, ""en"", ""zh"")"),"A) 直接打击，B) 闪避和流畅的动作，C) 高踢，D) 快速手部格挡")</f>
        <v>A) 直接打击，B) 闪避和流畅的动作，C) 高踢，D) 快速手部格挡</v>
      </c>
      <c r="K41" s="11" t="str">
        <f>IFERROR(__xludf.DUMMYFUNCTION("GOOGLETRANSLATE(D41, ""en"", ""zh"")"),"B) 闪避和流畅的动作")</f>
        <v>B) 闪避和流畅的动作</v>
      </c>
      <c r="L41" s="11" t="str">
        <f>IFERROR(__xludf.DUMMYFUNCTION("GOOGLETRANSLATE(E41, ""en"", ""zh"")"),"蛇形拳法以流畅、躲闪的动作来避免直接攻击。")</f>
        <v>蛇形拳法以流畅、躲闪的动作来避免直接攻击。</v>
      </c>
      <c r="M41" s="13"/>
      <c r="N41" s="13"/>
      <c r="O41" s="13"/>
      <c r="P41" s="13"/>
      <c r="Q41" s="12"/>
      <c r="R41" s="12"/>
      <c r="S41" s="12"/>
      <c r="T41" s="12"/>
      <c r="U41" s="12"/>
      <c r="V41" s="12"/>
      <c r="W41" s="12"/>
      <c r="X41" s="12"/>
      <c r="Y41" s="12"/>
      <c r="Z41" s="12"/>
      <c r="AA41" s="12"/>
    </row>
    <row r="42">
      <c r="A42" s="29">
        <v>41.0</v>
      </c>
      <c r="B42" s="11" t="s">
        <v>1998</v>
      </c>
      <c r="C42" s="11" t="s">
        <v>1999</v>
      </c>
      <c r="D42" s="11" t="s">
        <v>2000</v>
      </c>
      <c r="E42" s="11" t="s">
        <v>2001</v>
      </c>
      <c r="F42" s="12"/>
      <c r="G42" s="12"/>
      <c r="H42" s="25"/>
      <c r="I42" s="11" t="str">
        <f>IFERROR(__xludf.DUMMYFUNCTION("GOOGLETRANSLATE(B42, ""en"", ""zh"")"),"哪种功夫兵器以其灵活性和长度为特点？")</f>
        <v>哪种功夫兵器以其灵活性和长度为特点？</v>
      </c>
      <c r="J42" s="11" t="str">
        <f>IFERROR(__xludf.DUMMYFUNCTION("GOOGLETRANSLATE(C42, ""en"", ""zh"")"),"A) 剑，B) 棍棒，C) 绳镖，D) 匕首")</f>
        <v>A) 剑，B) 棍棒，C) 绳镖，D) 匕首</v>
      </c>
      <c r="K42" s="11" t="str">
        <f>IFERROR(__xludf.DUMMYFUNCTION("GOOGLETRANSLATE(D42, ""en"", ""zh"")"),"C）绳镖")</f>
        <v>C）绳镖</v>
      </c>
      <c r="L42" s="11" t="str">
        <f>IFERROR(__xludf.DUMMYFUNCTION("GOOGLETRANSLATE(E42, ""en"", ""zh"")"),"绳镖是一种灵活的长武器，可以进行动态、流畅的动作。")</f>
        <v>绳镖是一种灵活的长武器，可以进行动态、流畅的动作。</v>
      </c>
      <c r="M42" s="13"/>
      <c r="N42" s="12"/>
      <c r="O42" s="13"/>
      <c r="P42" s="12"/>
      <c r="Q42" s="12"/>
      <c r="R42" s="12"/>
      <c r="S42" s="12"/>
      <c r="T42" s="12"/>
      <c r="U42" s="12"/>
      <c r="V42" s="12"/>
      <c r="W42" s="12"/>
      <c r="X42" s="12"/>
      <c r="Y42" s="12"/>
      <c r="Z42" s="12"/>
      <c r="AA42" s="12"/>
    </row>
    <row r="43">
      <c r="A43" s="29">
        <v>42.0</v>
      </c>
      <c r="B43" s="11" t="s">
        <v>2002</v>
      </c>
      <c r="C43" s="11" t="s">
        <v>2003</v>
      </c>
      <c r="D43" s="11" t="s">
        <v>2004</v>
      </c>
      <c r="E43" s="11" t="s">
        <v>2005</v>
      </c>
      <c r="F43" s="12"/>
      <c r="G43" s="12"/>
      <c r="H43" s="25"/>
      <c r="I43" s="11" t="str">
        <f>IFERROR(__xludf.DUMMYFUNCTION("GOOGLETRANSLATE(B43, ""en"", ""zh"")"),"功夫训练中经常包含“铁身”训练，其目的是什么？")</f>
        <v>功夫训练中经常包含“铁身”训练，其目的是什么？</v>
      </c>
      <c r="J43" s="11" t="str">
        <f>IFERROR(__xludf.DUMMYFUNCTION("GOOGLETRANSLATE(C43, ""en"", ""zh"")"),"A）耐力，B）敏捷性，C）增强身体抗击打能力，D）冥想")</f>
        <v>A）耐力，B）敏捷性，C）增强身体抗击打能力，D）冥想</v>
      </c>
      <c r="K43" s="11" t="str">
        <f>IFERROR(__xludf.DUMMYFUNCTION("GOOGLETRANSLATE(D43, ""en"", ""zh"")"),"C）增强身体抵抗打击的能力")</f>
        <v>C）增强身体抵抗打击的能力</v>
      </c>
      <c r="L43" s="11" t="str">
        <f>IFERROR(__xludf.DUMMYFUNCTION("GOOGLETRANSLATE(E43, ""en"", ""zh"")"),"铁人体能训练可以增强身体承受冲击的能力，提高身体的抵抗力。")</f>
        <v>铁人体能训练可以增强身体承受冲击的能力，提高身体的抵抗力。</v>
      </c>
      <c r="M43" s="13"/>
      <c r="N43" s="12"/>
      <c r="O43" s="13"/>
      <c r="P43" s="13"/>
      <c r="Q43" s="12"/>
      <c r="R43" s="12"/>
      <c r="S43" s="12"/>
      <c r="T43" s="12"/>
      <c r="U43" s="12"/>
      <c r="V43" s="12"/>
      <c r="W43" s="12"/>
      <c r="X43" s="12"/>
      <c r="Y43" s="12"/>
      <c r="Z43" s="12"/>
      <c r="AA43" s="12"/>
    </row>
    <row r="44">
      <c r="A44" s="29">
        <v>43.0</v>
      </c>
      <c r="B44" s="11" t="s">
        <v>2006</v>
      </c>
      <c r="C44" s="11" t="s">
        <v>2007</v>
      </c>
      <c r="D44" s="11" t="s">
        <v>2008</v>
      </c>
      <c r="E44" s="11" t="s">
        <v>2009</v>
      </c>
      <c r="F44" s="12"/>
      <c r="G44" s="12"/>
      <c r="H44" s="25"/>
      <c r="I44" s="11" t="str">
        <f>IFERROR(__xludf.DUMMYFUNCTION("GOOGLETRANSLATE(B44, ""en"", ""zh"")"),"在五行动物造型中，哪种动物代表敏捷和智慧？")</f>
        <v>在五行动物造型中，哪种动物代表敏捷和智慧？</v>
      </c>
      <c r="J44" s="11" t="str">
        <f>IFERROR(__xludf.DUMMYFUNCTION("GOOGLETRANSLATE(C44, ""en"", ""zh"")"),"A) 猴子，B) 豹子，C) 龙，D) 蛇")</f>
        <v>A) 猴子，B) 豹子，C) 龙，D) 蛇</v>
      </c>
      <c r="K44" s="11" t="str">
        <f>IFERROR(__xludf.DUMMYFUNCTION("GOOGLETRANSLATE(D44, ""en"", ""zh"")"),"A) 猴子")</f>
        <v>A) 猴子</v>
      </c>
      <c r="L44" s="11" t="str">
        <f>IFERROR(__xludf.DUMMYFUNCTION("GOOGLETRANSLATE(E44, ""en"", ""zh"")"),"猴式拳法体现了敏捷的身手和巧妙的战术，以此战胜对手。")</f>
        <v>猴式拳法体现了敏捷的身手和巧妙的战术，以此战胜对手。</v>
      </c>
      <c r="M44" s="13"/>
      <c r="N44" s="13"/>
      <c r="O44" s="13"/>
      <c r="P44" s="13"/>
      <c r="Q44" s="12"/>
      <c r="R44" s="12"/>
      <c r="S44" s="12"/>
      <c r="T44" s="12"/>
      <c r="U44" s="12"/>
      <c r="V44" s="12"/>
      <c r="W44" s="12"/>
      <c r="X44" s="12"/>
      <c r="Y44" s="12"/>
      <c r="Z44" s="12"/>
      <c r="AA44" s="12"/>
    </row>
    <row r="45">
      <c r="A45" s="29">
        <v>44.0</v>
      </c>
      <c r="B45" s="11" t="s">
        <v>2010</v>
      </c>
      <c r="C45" s="11" t="s">
        <v>2011</v>
      </c>
      <c r="D45" s="11" t="s">
        <v>2012</v>
      </c>
      <c r="E45" s="11" t="s">
        <v>2013</v>
      </c>
      <c r="F45" s="12"/>
      <c r="G45" s="12"/>
      <c r="H45" s="25"/>
      <c r="I45" s="11" t="str">
        <f>IFERROR(__xludf.DUMMYFUNCTION("GOOGLETRANSLATE(B45, ""en"", ""zh"")"),"功夫中常说的“点穴”是什么？")</f>
        <v>功夫中常说的“点穴”是什么？</v>
      </c>
      <c r="J45" s="11" t="str">
        <f>IFERROR(__xludf.DUMMYFUNCTION("GOOGLETRANSLATE(C45, ""en"", ""zh"")"),"A）手型，B）呼吸技巧，C）穴位击打，D）冥想练习")</f>
        <v>A）手型，B）呼吸技巧，C）穴位击打，D）冥想练习</v>
      </c>
      <c r="K45" s="11" t="str">
        <f>IFERROR(__xludf.DUMMYFUNCTION("GOOGLETRANSLATE(D45, ""en"", ""zh"")"),"C）压力点打击")</f>
        <v>C）压力点打击</v>
      </c>
      <c r="L45" s="11" t="str">
        <f>IFERROR(__xludf.DUMMYFUNCTION("GOOGLETRANSLATE(E45, ""en"", ""zh"")"),"点穴术是指通过精准打击穴位来削弱对手的攻击手段。")</f>
        <v>点穴术是指通过精准打击穴位来削弱对手的攻击手段。</v>
      </c>
      <c r="M45" s="13"/>
      <c r="N45" s="13"/>
      <c r="O45" s="13"/>
      <c r="P45" s="13"/>
      <c r="Q45" s="12"/>
      <c r="R45" s="12"/>
      <c r="S45" s="12"/>
      <c r="T45" s="12"/>
      <c r="U45" s="12"/>
      <c r="V45" s="12"/>
      <c r="W45" s="12"/>
      <c r="X45" s="12"/>
      <c r="Y45" s="12"/>
      <c r="Z45" s="12"/>
      <c r="AA45" s="12"/>
    </row>
    <row r="46">
      <c r="A46" s="29">
        <v>45.0</v>
      </c>
      <c r="B46" s="11" t="s">
        <v>2014</v>
      </c>
      <c r="C46" s="11" t="s">
        <v>2015</v>
      </c>
      <c r="D46" s="11" t="s">
        <v>2016</v>
      </c>
      <c r="E46" s="11" t="s">
        <v>2017</v>
      </c>
      <c r="F46" s="12"/>
      <c r="G46" s="12"/>
      <c r="H46" s="25"/>
      <c r="I46" s="11" t="str">
        <f>IFERROR(__xludf.DUMMYFUNCTION("GOOGLETRANSLATE(B46, ""en"", ""zh"")"),"在功夫中，练习踢腿时通常采用哪种站姿？")</f>
        <v>在功夫中，练习踢腿时通常采用哪种站姿？</v>
      </c>
      <c r="J46" s="11" t="str">
        <f>IFERROR(__xludf.DUMMYFUNCTION("GOOGLETRANSLATE(C46, ""en"", ""zh"")"),"A）马步，B）弓步，C）猫步，D）山步")</f>
        <v>A）马步，B）弓步，C）猫步，D）山步</v>
      </c>
      <c r="K46" s="11" t="str">
        <f>IFERROR(__xludf.DUMMYFUNCTION("GOOGLETRANSLATE(D46, ""en"", ""zh"")"),"C）猫式站姿")</f>
        <v>C）猫式站姿</v>
      </c>
      <c r="L46" s="11" t="str">
        <f>IFERROR(__xludf.DUMMYFUNCTION("GOOGLETRANSLATE(E46, ""en"", ""zh"")"),"猫式站姿既能灵活运用各种踢腿技巧，又能保持身体平衡。")</f>
        <v>猫式站姿既能灵活运用各种踢腿技巧，又能保持身体平衡。</v>
      </c>
      <c r="M46" s="13"/>
      <c r="N46" s="13"/>
      <c r="O46" s="13"/>
      <c r="P46" s="13"/>
      <c r="Q46" s="12"/>
      <c r="R46" s="12"/>
      <c r="S46" s="12"/>
      <c r="T46" s="12"/>
      <c r="U46" s="12"/>
      <c r="V46" s="12"/>
      <c r="W46" s="12"/>
      <c r="X46" s="12"/>
      <c r="Y46" s="12"/>
      <c r="Z46" s="12"/>
      <c r="AA46" s="12"/>
    </row>
    <row r="47">
      <c r="A47" s="29">
        <v>46.0</v>
      </c>
      <c r="B47" s="11" t="s">
        <v>2018</v>
      </c>
      <c r="C47" s="11" t="s">
        <v>2019</v>
      </c>
      <c r="D47" s="11" t="s">
        <v>2020</v>
      </c>
      <c r="E47" s="11" t="s">
        <v>2021</v>
      </c>
      <c r="F47" s="12"/>
      <c r="G47" s="12"/>
      <c r="H47" s="25"/>
      <c r="I47" s="11" t="str">
        <f>IFERROR(__xludf.DUMMYFUNCTION("GOOGLETRANSLATE(B47, ""en"", ""zh"")"),"功夫练习者运用呼吸控制技巧的主要目的是：")</f>
        <v>功夫练习者运用呼吸控制技巧的主要目的是：</v>
      </c>
      <c r="J47" s="11" t="str">
        <f>IFERROR(__xludf.DUMMYFUNCTION("GOOGLETRANSLATE(C47, ""en"", ""zh"")"),"A) 增强肌肉力量，B) 保存能量，C) 提高柔韧性，D) 促进气血运行")</f>
        <v>A) 增强肌肉力量，B) 保存能量，C) 提高柔韧性，D) 促进气血运行</v>
      </c>
      <c r="K47" s="11" t="str">
        <f>IFERROR(__xludf.DUMMYFUNCTION("GOOGLETRANSLATE(D47, ""en"", ""zh"")"),"D) 增强气血流动")</f>
        <v>D) 增强气血流动</v>
      </c>
      <c r="L47" s="11" t="str">
        <f>IFERROR(__xludf.DUMMYFUNCTION("GOOGLETRANSLATE(E47, ""en"", ""zh"")"),"呼吸控制有助于调节气，而气被认为可以增强精力和注意力。")</f>
        <v>呼吸控制有助于调节气，而气被认为可以增强精力和注意力。</v>
      </c>
      <c r="M47" s="13"/>
      <c r="N47" s="13"/>
      <c r="O47" s="13"/>
      <c r="P47" s="13"/>
      <c r="Q47" s="12"/>
      <c r="R47" s="12"/>
      <c r="S47" s="12"/>
      <c r="T47" s="12"/>
      <c r="U47" s="12"/>
      <c r="V47" s="12"/>
      <c r="W47" s="12"/>
      <c r="X47" s="12"/>
      <c r="Y47" s="12"/>
      <c r="Z47" s="12"/>
      <c r="AA47" s="12"/>
    </row>
    <row r="48">
      <c r="A48" s="29">
        <v>47.0</v>
      </c>
      <c r="B48" s="11" t="s">
        <v>2022</v>
      </c>
      <c r="C48" s="11" t="s">
        <v>2023</v>
      </c>
      <c r="D48" s="11" t="s">
        <v>2024</v>
      </c>
      <c r="E48" s="11" t="s">
        <v>2025</v>
      </c>
      <c r="F48" s="12"/>
      <c r="G48" s="12"/>
      <c r="H48" s="25"/>
      <c r="I48" s="11" t="str">
        <f>IFERROR(__xludf.DUMMYFUNCTION("GOOGLETRANSLATE(B48, ""en"", ""zh"")"),"功夫中“豹式”拳法的主要特点是什么？")</f>
        <v>功夫中“豹式”拳法的主要特点是什么？</v>
      </c>
      <c r="J48" s="11" t="str">
        <f>IFERROR(__xludf.DUMMYFUNCTION("GOOGLETRANSLATE(C48, ""en"", ""zh"")"),"A) 力量，B) 速度和侵略性，C) 流畅性，D) 防守")</f>
        <v>A) 力量，B) 速度和侵略性，C) 流畅性，D) 防守</v>
      </c>
      <c r="K48" s="11" t="str">
        <f>IFERROR(__xludf.DUMMYFUNCTION("GOOGLETRANSLATE(D48, ""en"", ""zh"")"),"B) 速度和侵略性")</f>
        <v>B) 速度和侵略性</v>
      </c>
      <c r="L48" s="11" t="str">
        <f>IFERROR(__xludf.DUMMYFUNCTION("GOOGLETRANSLATE(E48, ""en"", ""zh"")"),"豹式风格注重快速、激进的动作和迅猛的攻击。")</f>
        <v>豹式风格注重快速、激进的动作和迅猛的攻击。</v>
      </c>
      <c r="M48" s="13"/>
      <c r="N48" s="12"/>
      <c r="O48" s="13"/>
      <c r="P48" s="13"/>
      <c r="Q48" s="12"/>
      <c r="R48" s="12"/>
      <c r="S48" s="12"/>
      <c r="T48" s="12"/>
      <c r="U48" s="12"/>
      <c r="V48" s="12"/>
      <c r="W48" s="12"/>
      <c r="X48" s="12"/>
      <c r="Y48" s="12"/>
      <c r="Z48" s="12"/>
      <c r="AA48" s="12"/>
    </row>
    <row r="49">
      <c r="A49" s="29">
        <v>48.0</v>
      </c>
      <c r="B49" s="11" t="s">
        <v>2026</v>
      </c>
      <c r="C49" s="11" t="s">
        <v>2027</v>
      </c>
      <c r="D49" s="11" t="s">
        <v>2028</v>
      </c>
      <c r="E49" s="11" t="s">
        <v>2029</v>
      </c>
      <c r="F49" s="12"/>
      <c r="G49" s="12"/>
      <c r="H49" s="25"/>
      <c r="I49" s="11" t="str">
        <f>IFERROR(__xludf.DUMMYFUNCTION("GOOGLETRANSLATE(B49, ""en"", ""zh"")"),"在功夫中，“套路”的最佳描述是：")</f>
        <v>在功夫中，“套路”的最佳描述是：</v>
      </c>
      <c r="J49" s="11" t="str">
        <f>IFERROR(__xludf.DUMMYFUNCTION("GOOGLETRANSLATE(C49, ""en"", ""zh"")"),"A) 单次打击，B) 一种战斗战术，C) 一系列动作，D) 心理训练")</f>
        <v>A) 单次打击，B) 一种战斗战术，C) 一系列动作，D) 心理训练</v>
      </c>
      <c r="K49" s="11" t="str">
        <f>IFERROR(__xludf.DUMMYFUNCTION("GOOGLETRANSLATE(D49, ""en"", ""zh"")"),"C) 一系列动作")</f>
        <v>C) 一系列动作</v>
      </c>
      <c r="L49" s="11" t="str">
        <f>IFERROR(__xludf.DUMMYFUNCTION("GOOGLETRANSLATE(E49, ""en"", ""zh"")"),"演练是模拟战斗情况的结构化序列。")</f>
        <v>演练是模拟战斗情况的结构化序列。</v>
      </c>
      <c r="M49" s="13"/>
      <c r="N49" s="13"/>
      <c r="O49" s="13"/>
      <c r="P49" s="13"/>
      <c r="Q49" s="12"/>
      <c r="R49" s="12"/>
      <c r="S49" s="12"/>
      <c r="T49" s="12"/>
      <c r="U49" s="12"/>
      <c r="V49" s="12"/>
      <c r="W49" s="12"/>
      <c r="X49" s="12"/>
      <c r="Y49" s="12"/>
      <c r="Z49" s="12"/>
      <c r="AA49" s="12"/>
    </row>
    <row r="50">
      <c r="A50" s="29">
        <v>49.0</v>
      </c>
      <c r="B50" s="11" t="s">
        <v>2030</v>
      </c>
      <c r="C50" s="11" t="s">
        <v>2031</v>
      </c>
      <c r="D50" s="11" t="s">
        <v>2032</v>
      </c>
      <c r="E50" s="11" t="s">
        <v>2033</v>
      </c>
      <c r="F50" s="12"/>
      <c r="G50" s="12"/>
      <c r="H50" s="25"/>
      <c r="I50" s="11" t="str">
        <f>IFERROR(__xludf.DUMMYFUNCTION("GOOGLETRANSLATE(B50, ""en"", ""zh"")"),"在功夫语境中，“武术”指的是什么？")</f>
        <v>在功夫语境中，“武术”指的是什么？</v>
      </c>
      <c r="J50" s="11" t="str">
        <f>IFERROR(__xludf.DUMMYFUNCTION("GOOGLETRANSLATE(C50, ""en"", ""zh"")"),"A) 和平艺术，B) 军事或武术，C) 疗愈技巧，D) 舞蹈动作")</f>
        <v>A) 和平艺术，B) 军事或武术，C) 疗愈技巧，D) 舞蹈动作</v>
      </c>
      <c r="K50" s="11" t="str">
        <f>IFERROR(__xludf.DUMMYFUNCTION("GOOGLETRANSLATE(D50, ""en"", ""zh"")"),"B) 军事或武术")</f>
        <v>B) 军事或武术</v>
      </c>
      <c r="L50" s="11" t="str">
        <f>IFERROR(__xludf.DUMMYFUNCTION("GOOGLETRANSLATE(E50, ""en"", ""zh"")"),"武术，顾名思义就是“武术”，涵盖了各种风格和流派。")</f>
        <v>武术，顾名思义就是“武术”，涵盖了各种风格和流派。</v>
      </c>
      <c r="M50" s="13"/>
      <c r="N50" s="12"/>
      <c r="O50" s="13"/>
      <c r="P50" s="13"/>
      <c r="Q50" s="12"/>
      <c r="R50" s="12"/>
      <c r="S50" s="12"/>
      <c r="T50" s="12"/>
      <c r="U50" s="12"/>
      <c r="V50" s="12"/>
      <c r="W50" s="12"/>
      <c r="X50" s="12"/>
      <c r="Y50" s="12"/>
      <c r="Z50" s="12"/>
      <c r="AA50" s="12"/>
    </row>
    <row r="51">
      <c r="A51" s="29">
        <v>50.0</v>
      </c>
      <c r="B51" s="30" t="s">
        <v>2034</v>
      </c>
      <c r="C51" s="30" t="s">
        <v>2035</v>
      </c>
      <c r="D51" s="30" t="s">
        <v>2036</v>
      </c>
      <c r="E51" s="30" t="s">
        <v>2037</v>
      </c>
      <c r="F51" s="31"/>
      <c r="G51" s="31"/>
      <c r="H51" s="32"/>
      <c r="I51" s="11" t="str">
        <f>IFERROR(__xludf.DUMMYFUNCTION("GOOGLETRANSLATE(B51, ""en"", ""zh"")"),"功夫包含以下哪些非战斗性训练方法？")</f>
        <v>功夫包含以下哪些非战斗性训练方法？</v>
      </c>
      <c r="J51" s="11" t="str">
        <f>IFERROR(__xludf.DUMMYFUNCTION("GOOGLETRANSLATE(C51, ""en"", ""zh"")"),"A）可视化训练，B）耐力跑，C）武术呼吸法，D）冥想")</f>
        <v>A）可视化训练，B）耐力跑，C）武术呼吸法，D）冥想</v>
      </c>
      <c r="K51" s="11" t="str">
        <f>IFERROR(__xludf.DUMMYFUNCTION("GOOGLETRANSLATE(D51, ""en"", ""zh"")"),"D)冥想")</f>
        <v>D)冥想</v>
      </c>
      <c r="L51" s="11" t="str">
        <f>IFERROR(__xludf.DUMMYFUNCTION("GOOGLETRANSLATE(E51, ""en"", ""zh"")"),"冥想是功夫中培养精神清晰度和专注力的关键练习。")</f>
        <v>冥想是功夫中培养精神清晰度和专注力的关键练习。</v>
      </c>
      <c r="M51" s="33"/>
      <c r="N51" s="31"/>
      <c r="O51" s="33"/>
      <c r="P51" s="33"/>
      <c r="Q51" s="12"/>
      <c r="R51" s="12"/>
      <c r="S51" s="12"/>
      <c r="T51" s="12"/>
      <c r="U51" s="12"/>
      <c r="V51" s="12"/>
      <c r="W51" s="12"/>
      <c r="X51" s="12"/>
      <c r="Y51" s="12"/>
      <c r="Z51" s="12"/>
      <c r="AA51" s="12"/>
    </row>
    <row r="52">
      <c r="A52" s="29">
        <v>51.0</v>
      </c>
      <c r="B52" s="11" t="s">
        <v>2038</v>
      </c>
      <c r="C52" s="11" t="s">
        <v>2039</v>
      </c>
      <c r="D52" s="11" t="s">
        <v>2040</v>
      </c>
      <c r="E52" s="11" t="s">
        <v>2041</v>
      </c>
      <c r="F52" s="12"/>
      <c r="G52" s="12"/>
      <c r="H52" s="25"/>
      <c r="I52" s="11" t="str">
        <f>IFERROR(__xludf.DUMMYFUNCTION("GOOGLETRANSLATE(B52, ""en"", ""zh"")"),"“小念头”是哪种功夫流派的招式？")</f>
        <v>“小念头”是哪种功夫流派的招式？</v>
      </c>
      <c r="J52" s="11" t="str">
        <f>IFERROR(__xludf.DUMMYFUNCTION("GOOGLETRANSLATE(C52, ""en"", ""zh"")"),"A) 少林，B) 咏春，C) 螳螂，D) 武当")</f>
        <v>A) 少林，B) 咏春，C) 螳螂，D) 武当</v>
      </c>
      <c r="K52" s="11" t="str">
        <f>IFERROR(__xludf.DUMMYFUNCTION("GOOGLETRANSLATE(D52, ""en"", ""zh"")"),"B)咏春拳")</f>
        <v>B)咏春拳</v>
      </c>
      <c r="L52" s="11" t="str">
        <f>IFERROR(__xludf.DUMMYFUNCTION("GOOGLETRANSLATE(E52, ""en"", ""zh"")"),"小念头是咏春拳的基础套路，侧重于基本技术。")</f>
        <v>小念头是咏春拳的基础套路，侧重于基本技术。</v>
      </c>
      <c r="M52" s="13"/>
      <c r="N52" s="12"/>
      <c r="O52" s="13"/>
      <c r="P52" s="13"/>
      <c r="Q52" s="12"/>
      <c r="R52" s="12"/>
      <c r="S52" s="12"/>
      <c r="T52" s="12"/>
      <c r="U52" s="12"/>
      <c r="V52" s="12"/>
      <c r="W52" s="12"/>
      <c r="X52" s="12"/>
      <c r="Y52" s="12"/>
      <c r="Z52" s="12"/>
      <c r="AA52" s="12"/>
    </row>
    <row r="53">
      <c r="A53" s="29">
        <v>52.0</v>
      </c>
      <c r="B53" s="11" t="s">
        <v>2042</v>
      </c>
      <c r="C53" s="11" t="s">
        <v>2043</v>
      </c>
      <c r="D53" s="11" t="s">
        <v>2044</v>
      </c>
      <c r="E53" s="11" t="s">
        <v>2045</v>
      </c>
      <c r="F53" s="12"/>
      <c r="G53" s="12"/>
      <c r="H53" s="25"/>
      <c r="I53" s="11" t="str">
        <f>IFERROR(__xludf.DUMMYFUNCTION("GOOGLETRANSLATE(B53, ""en"", ""zh"")"),"练习功夫套路的主要好处之一是什么？")</f>
        <v>练习功夫套路的主要好处之一是什么？</v>
      </c>
      <c r="J53" s="11" t="str">
        <f>IFERROR(__xludf.DUMMYFUNCTION("GOOGLETRANSLATE(C53, ""en"", ""zh"")"),"A) 冥想技巧提升，B) 气血运行增强，C) 肌肉耐力提升，D) 实用自卫技巧")</f>
        <v>A) 冥想技巧提升，B) 气血运行增强，C) 肌肉耐力提升，D) 实用自卫技巧</v>
      </c>
      <c r="K53" s="11" t="str">
        <f>IFERROR(__xludf.DUMMYFUNCTION("GOOGLETRANSLATE(D53, ""en"", ""zh"")"),"D) 实用自卫技巧")</f>
        <v>D) 实用自卫技巧</v>
      </c>
      <c r="L53" s="11" t="str">
        <f>IFERROR(__xludf.DUMMYFUNCTION("GOOGLETRANSLATE(E53, ""en"", ""zh"")"),"功夫套路模拟了实战中实用的防御和进攻技巧。")</f>
        <v>功夫套路模拟了实战中实用的防御和进攻技巧。</v>
      </c>
      <c r="M53" s="13"/>
      <c r="N53" s="12"/>
      <c r="O53" s="13"/>
      <c r="P53" s="13"/>
      <c r="Q53" s="12"/>
      <c r="R53" s="12"/>
      <c r="S53" s="12"/>
      <c r="T53" s="12"/>
      <c r="U53" s="12"/>
      <c r="V53" s="12"/>
      <c r="W53" s="12"/>
      <c r="X53" s="12"/>
      <c r="Y53" s="12"/>
      <c r="Z53" s="12"/>
      <c r="AA53" s="12"/>
    </row>
    <row r="54">
      <c r="A54" s="29">
        <v>53.0</v>
      </c>
      <c r="B54" s="11" t="s">
        <v>2046</v>
      </c>
      <c r="C54" s="11" t="s">
        <v>2047</v>
      </c>
      <c r="D54" s="11" t="s">
        <v>2048</v>
      </c>
      <c r="E54" s="11" t="s">
        <v>2049</v>
      </c>
      <c r="F54" s="12"/>
      <c r="G54" s="12"/>
      <c r="H54" s="34"/>
      <c r="I54" s="11" t="str">
        <f>IFERROR(__xludf.DUMMYFUNCTION("GOOGLETRANSLATE(B54, ""en"", ""zh"")"),"少林僧人为了自卫而创立的功夫流派是哪种？")</f>
        <v>少林僧人为了自卫而创立的功夫流派是哪种？</v>
      </c>
      <c r="J54" s="11" t="str">
        <f>IFERROR(__xludf.DUMMYFUNCTION("GOOGLETRANSLATE(C54, ""en"", ""zh"")"),"A) 咏春拳、B) 太极拳、C) 少林功夫、D) 武术")</f>
        <v>A) 咏春拳、B) 太极拳、C) 少林功夫、D) 武术</v>
      </c>
      <c r="K54" s="11" t="str">
        <f>IFERROR(__xludf.DUMMYFUNCTION("GOOGLETRANSLATE(D54, ""en"", ""zh"")"),"C) 少林功夫")</f>
        <v>C) 少林功夫</v>
      </c>
      <c r="L54" s="11" t="str">
        <f>IFERROR(__xludf.DUMMYFUNCTION("GOOGLETRANSLATE(E54, ""en"", ""zh"")"),"少林功夫的创立是为了保护少林寺免受外敌入侵。")</f>
        <v>少林功夫的创立是为了保护少林寺免受外敌入侵。</v>
      </c>
      <c r="M54" s="13"/>
      <c r="N54" s="12"/>
      <c r="O54" s="13"/>
      <c r="P54" s="12"/>
      <c r="Q54" s="12"/>
      <c r="R54" s="12"/>
      <c r="S54" s="12"/>
      <c r="T54" s="12"/>
      <c r="U54" s="12"/>
      <c r="V54" s="12"/>
      <c r="W54" s="12"/>
      <c r="X54" s="12"/>
      <c r="Y54" s="12"/>
      <c r="Z54" s="12"/>
      <c r="AA54" s="12"/>
    </row>
    <row r="55">
      <c r="A55" s="35">
        <v>54.0</v>
      </c>
      <c r="B55" s="11" t="s">
        <v>2050</v>
      </c>
      <c r="C55" s="11" t="s">
        <v>2051</v>
      </c>
      <c r="D55" s="11" t="s">
        <v>2052</v>
      </c>
      <c r="E55" s="11" t="s">
        <v>2053</v>
      </c>
      <c r="F55" s="12"/>
      <c r="G55" s="12"/>
      <c r="H55" s="34"/>
      <c r="I55" s="11" t="str">
        <f>IFERROR(__xludf.DUMMYFUNCTION("GOOGLETRANSLATE(B55, ""en"", ""zh"")"),"“功夫”一词在中文里的字面意思是什么？")</f>
        <v>“功夫”一词在中文里的字面意思是什么？</v>
      </c>
      <c r="J55" s="11" t="str">
        <f>IFERROR(__xludf.DUMMYFUNCTION("GOOGLETRANSLATE(C55, ""en"", ""zh"")"),"A) 终极力量，B) 战斗精神，C) 通过努力获得的技能，D) 武术精湛")</f>
        <v>A) 终极力量，B) 战斗精神，C) 通过努力获得的技能，D) 武术精湛</v>
      </c>
      <c r="K55" s="11" t="str">
        <f>IFERROR(__xludf.DUMMYFUNCTION("GOOGLETRANSLATE(D55, ""en"", ""zh"")"),"C) 通过努力获得的技能")</f>
        <v>C) 通过努力获得的技能</v>
      </c>
      <c r="L55" s="11" t="str">
        <f>IFERROR(__xludf.DUMMYFUNCTION("GOOGLETRANSLATE(E55, ""en"", ""zh"")"),"“功夫”指的是通过专注和努力获得的精湛技艺或技能，而不仅仅是武术。")</f>
        <v>“功夫”指的是通过专注和努力获得的精湛技艺或技能，而不仅仅是武术。</v>
      </c>
      <c r="M55" s="13"/>
      <c r="N55" s="13"/>
      <c r="O55" s="13"/>
      <c r="P55" s="12"/>
      <c r="Q55" s="12"/>
      <c r="R55" s="12"/>
      <c r="S55" s="12"/>
      <c r="T55" s="12"/>
      <c r="U55" s="12"/>
      <c r="V55" s="12"/>
      <c r="W55" s="12"/>
      <c r="X55" s="12"/>
      <c r="Y55" s="12"/>
      <c r="Z55" s="12"/>
      <c r="AA55" s="12"/>
    </row>
    <row r="56">
      <c r="A56" s="35">
        <v>55.0</v>
      </c>
      <c r="B56" s="11" t="s">
        <v>2054</v>
      </c>
      <c r="C56" s="11" t="s">
        <v>2055</v>
      </c>
      <c r="D56" s="11" t="s">
        <v>2056</v>
      </c>
      <c r="E56" s="11" t="s">
        <v>2057</v>
      </c>
      <c r="F56" s="12"/>
      <c r="G56" s="12"/>
      <c r="H56" s="34"/>
      <c r="I56" s="11" t="str">
        <f>IFERROR(__xludf.DUMMYFUNCTION("GOOGLETRANSLATE(B56, ""en"", ""zh"")"),"哪种中国武术注重柔和的内功动作？")</f>
        <v>哪种中国武术注重柔和的内功动作？</v>
      </c>
      <c r="J56" s="11" t="str">
        <f>IFERROR(__xludf.DUMMYFUNCTION("GOOGLETRANSLATE(C56, ""en"", ""zh"")"),"A) 太极拳、B) 咏春拳、C) 少林功夫、D) 武术")</f>
        <v>A) 太极拳、B) 咏春拳、C) 少林功夫、D) 武术</v>
      </c>
      <c r="K56" s="11" t="str">
        <f>IFERROR(__xludf.DUMMYFUNCTION("GOOGLETRANSLATE(D56, ""en"", ""zh"")"),"A) 太极拳")</f>
        <v>A) 太极拳</v>
      </c>
      <c r="L56" s="11" t="str">
        <f>IFERROR(__xludf.DUMMYFUNCTION("GOOGLETRANSLATE(E56, ""en"", ""zh"")"),"太极拳是一种柔和风格的武术，强调平衡、放松和缓慢的动作。")</f>
        <v>太极拳是一种柔和风格的武术，强调平衡、放松和缓慢的动作。</v>
      </c>
      <c r="M56" s="13"/>
      <c r="N56" s="13"/>
      <c r="O56" s="13"/>
      <c r="P56" s="13"/>
      <c r="Q56" s="12"/>
      <c r="R56" s="12"/>
      <c r="S56" s="12"/>
      <c r="T56" s="12"/>
      <c r="U56" s="12"/>
      <c r="V56" s="12"/>
      <c r="W56" s="12"/>
      <c r="X56" s="12"/>
      <c r="Y56" s="12"/>
      <c r="Z56" s="12"/>
      <c r="AA56" s="12"/>
    </row>
    <row r="57">
      <c r="A57" s="35">
        <v>56.0</v>
      </c>
      <c r="B57" s="11" t="s">
        <v>2058</v>
      </c>
      <c r="C57" s="11" t="s">
        <v>2059</v>
      </c>
      <c r="D57" s="11" t="s">
        <v>2056</v>
      </c>
      <c r="E57" s="11" t="s">
        <v>2060</v>
      </c>
      <c r="F57" s="12"/>
      <c r="G57" s="12"/>
      <c r="H57" s="34"/>
      <c r="I57" s="11" t="str">
        <f>IFERROR(__xludf.DUMMYFUNCTION("GOOGLETRANSLATE(B57, ""en"", ""zh"")"),"哪种功夫形式是为了促进健康和延年益寿而发展起来的？")</f>
        <v>哪种功夫形式是为了促进健康和延年益寿而发展起来的？</v>
      </c>
      <c r="J57" s="11" t="str">
        <f>IFERROR(__xludf.DUMMYFUNCTION("GOOGLETRANSLATE(C57, ""en"", ""zh"")"),"A) 太极拳、B) 咏春拳、C) 武术、D) 八极拳")</f>
        <v>A) 太极拳、B) 咏春拳、C) 武术、D) 八极拳</v>
      </c>
      <c r="K57" s="11" t="str">
        <f>IFERROR(__xludf.DUMMYFUNCTION("GOOGLETRANSLATE(D57, ""en"", ""zh"")"),"A) 太极拳")</f>
        <v>A) 太极拳</v>
      </c>
      <c r="L57" s="11" t="str">
        <f>IFERROR(__xludf.DUMMYFUNCTION("GOOGLETRANSLATE(E57, ""en"", ""zh"")"),"太极拳最初是为了强身健体、延年益寿和内心平和而练习的。")</f>
        <v>太极拳最初是为了强身健体、延年益寿和内心平和而练习的。</v>
      </c>
      <c r="M57" s="13"/>
      <c r="N57" s="13"/>
      <c r="O57" s="13"/>
      <c r="P57" s="13"/>
      <c r="Q57" s="12"/>
      <c r="R57" s="12"/>
      <c r="S57" s="12"/>
      <c r="T57" s="12"/>
      <c r="U57" s="12"/>
      <c r="V57" s="12"/>
      <c r="W57" s="12"/>
      <c r="X57" s="12"/>
      <c r="Y57" s="12"/>
      <c r="Z57" s="12"/>
      <c r="AA57" s="12"/>
    </row>
    <row r="58">
      <c r="A58" s="35">
        <v>57.0</v>
      </c>
      <c r="B58" s="11" t="s">
        <v>2061</v>
      </c>
      <c r="C58" s="11" t="s">
        <v>2062</v>
      </c>
      <c r="D58" s="11" t="s">
        <v>2063</v>
      </c>
      <c r="E58" s="11" t="s">
        <v>2064</v>
      </c>
      <c r="F58" s="12"/>
      <c r="G58" s="12"/>
      <c r="H58" s="34"/>
      <c r="I58" s="11" t="str">
        <f>IFERROR(__xludf.DUMMYFUNCTION("GOOGLETRANSLATE(B58, ""en"", ""zh"")"),"功夫练习者所学习的动作或套路，其专业术语是什么？")</f>
        <v>功夫练习者所学习的动作或套路，其专业术语是什么？</v>
      </c>
      <c r="J58" s="11" t="str">
        <f>IFERROR(__xludf.DUMMYFUNCTION("GOOGLETRANSLATE(C58, ""en"", ""zh"")"),"A) 型，B) 太刀，C) 泉，D) 拳法")</f>
        <v>A) 型，B) 太刀，C) 泉，D) 拳法</v>
      </c>
      <c r="K58" s="11" t="str">
        <f>IFERROR(__xludf.DUMMYFUNCTION("GOOGLETRANSLATE(D58, ""en"", ""zh"")"),"C) 泉")</f>
        <v>C) 泉</v>
      </c>
      <c r="L58" s="11" t="str">
        <f>IFERROR(__xludf.DUMMYFUNCTION("GOOGLETRANSLATE(E58, ""en"", ""zh"")"),"“拳”指的是功夫训练中必不可少的一系列动作或套路。")</f>
        <v>“拳”指的是功夫训练中必不可少的一系列动作或套路。</v>
      </c>
      <c r="M58" s="13"/>
      <c r="N58" s="12"/>
      <c r="O58" s="13"/>
      <c r="P58" s="13"/>
      <c r="Q58" s="12"/>
      <c r="R58" s="12"/>
      <c r="S58" s="12"/>
      <c r="T58" s="12"/>
      <c r="U58" s="12"/>
      <c r="V58" s="12"/>
      <c r="W58" s="12"/>
      <c r="X58" s="12"/>
      <c r="Y58" s="12"/>
      <c r="Z58" s="12"/>
      <c r="AA58" s="12"/>
    </row>
    <row r="59">
      <c r="A59" s="35">
        <v>58.0</v>
      </c>
      <c r="B59" s="11" t="s">
        <v>2065</v>
      </c>
      <c r="C59" s="11" t="s">
        <v>2066</v>
      </c>
      <c r="D59" s="11" t="s">
        <v>2067</v>
      </c>
      <c r="E59" s="11" t="s">
        <v>2068</v>
      </c>
      <c r="F59" s="12"/>
      <c r="G59" s="12"/>
      <c r="H59" s="34"/>
      <c r="I59" s="11" t="str">
        <f>IFERROR(__xludf.DUMMYFUNCTION("GOOGLETRANSLATE(B59, ""en"", ""zh"")"),"功夫训练中用于防御和攻击的主要武器是什么？")</f>
        <v>功夫训练中用于防御和攻击的主要武器是什么？</v>
      </c>
      <c r="J59" s="11" t="str">
        <f>IFERROR(__xludf.DUMMYFUNCTION("GOOGLETRANSLATE(C59, ""en"", ""zh"")"),"A) 剑，B) 双节棍，C) 棍棒，D) 回旋镖")</f>
        <v>A) 剑，B) 双节棍，C) 棍棒，D) 回旋镖</v>
      </c>
      <c r="K59" s="11" t="str">
        <f>IFERROR(__xludf.DUMMYFUNCTION("GOOGLETRANSLATE(D59, ""en"", ""zh"")"),"C) 工作人员")</f>
        <v>C) 工作人员</v>
      </c>
      <c r="L59" s="11" t="str">
        <f>IFERROR(__xludf.DUMMYFUNCTION("GOOGLETRANSLATE(E59, ""en"", ""zh"")"),"这种被称为“棍”的武器是传统功夫的主要武器之一。")</f>
        <v>这种被称为“棍”的武器是传统功夫的主要武器之一。</v>
      </c>
      <c r="M59" s="13"/>
      <c r="N59" s="13"/>
      <c r="O59" s="13"/>
      <c r="P59" s="13"/>
      <c r="Q59" s="12"/>
      <c r="R59" s="12"/>
      <c r="S59" s="12"/>
      <c r="T59" s="12"/>
      <c r="U59" s="12"/>
      <c r="V59" s="12"/>
      <c r="W59" s="12"/>
      <c r="X59" s="12"/>
      <c r="Y59" s="12"/>
      <c r="Z59" s="12"/>
      <c r="AA59" s="12"/>
    </row>
    <row r="60">
      <c r="A60" s="35">
        <v>59.0</v>
      </c>
      <c r="B60" s="11" t="s">
        <v>2069</v>
      </c>
      <c r="C60" s="11" t="s">
        <v>2070</v>
      </c>
      <c r="D60" s="11" t="s">
        <v>2071</v>
      </c>
      <c r="E60" s="11" t="s">
        <v>2072</v>
      </c>
      <c r="F60" s="12"/>
      <c r="G60" s="12"/>
      <c r="H60" s="34"/>
      <c r="I60" s="11" t="str">
        <f>IFERROR(__xludf.DUMMYFUNCTION("GOOGLETRANSLATE(B60, ""en"", ""zh"")"),"少林寺在功夫训练中扮演着怎样的角色？")</f>
        <v>少林寺在功夫训练中扮演着怎样的角色？</v>
      </c>
      <c r="J60" s="11" t="str">
        <f>IFERROR(__xludf.DUMMYFUNCTION("GOOGLETRANSLATE(C60, ""en"", ""zh"")"),"A) 宗教避难所，B) 军事训练，C) 佛教修行和武术，D) 皇家训练中心")</f>
        <v>A) 宗教避难所，B) 军事训练，C) 佛教修行和武术，D) 皇家训练中心</v>
      </c>
      <c r="K60" s="11" t="str">
        <f>IFERROR(__xludf.DUMMYFUNCTION("GOOGLETRANSLATE(D60, ""en"", ""zh"")"),"C) 佛教修行和武术")</f>
        <v>C) 佛教修行和武术</v>
      </c>
      <c r="L60" s="11" t="str">
        <f>IFERROR(__xludf.DUMMYFUNCTION("GOOGLETRANSLATE(E60, ""en"", ""zh"")"),"少林寺既是佛教僧侣的修行场所，也是武术训练的中心。")</f>
        <v>少林寺既是佛教僧侣的修行场所，也是武术训练的中心。</v>
      </c>
      <c r="M60" s="13"/>
      <c r="N60" s="13"/>
      <c r="O60" s="13"/>
      <c r="P60" s="13"/>
      <c r="Q60" s="12"/>
      <c r="R60" s="12"/>
      <c r="S60" s="12"/>
      <c r="T60" s="12"/>
      <c r="U60" s="12"/>
      <c r="V60" s="12"/>
      <c r="W60" s="12"/>
      <c r="X60" s="12"/>
      <c r="Y60" s="12"/>
      <c r="Z60" s="12"/>
      <c r="AA60" s="12"/>
    </row>
    <row r="61">
      <c r="A61" s="35">
        <v>60.0</v>
      </c>
      <c r="B61" s="11" t="s">
        <v>2073</v>
      </c>
      <c r="C61" s="11" t="s">
        <v>2074</v>
      </c>
      <c r="D61" s="11" t="s">
        <v>2075</v>
      </c>
      <c r="E61" s="11" t="s">
        <v>2076</v>
      </c>
      <c r="F61" s="12"/>
      <c r="G61" s="12"/>
      <c r="H61" s="34"/>
      <c r="I61" s="11" t="str">
        <f>IFERROR(__xludf.DUMMYFUNCTION("GOOGLETRANSLATE(B61, ""en"", ""zh"")"),"将功夫与杂技动作相结合而发展起来的武术体系叫什么名字？")</f>
        <v>将功夫与杂技动作相结合而发展起来的武术体系叫什么名字？</v>
      </c>
      <c r="J61" s="11" t="str">
        <f>IFERROR(__xludf.DUMMYFUNCTION("GOOGLETRANSLATE(C61, ""en"", ""zh"")"),"A) 武术，B) 散打，C) 气功，D) 剑道")</f>
        <v>A) 武术，B) 散打，C) 气功，D) 剑道</v>
      </c>
      <c r="K61" s="11" t="str">
        <f>IFERROR(__xludf.DUMMYFUNCTION("GOOGLETRANSLATE(D61, ""en"", ""zh"")"),"A) 武术")</f>
        <v>A) 武术</v>
      </c>
      <c r="L61" s="11" t="str">
        <f>IFERROR(__xludf.DUMMYFUNCTION("GOOGLETRANSLATE(E61, ""en"", ""zh"")"),"武术是一种以表演为导向的武术，它融合了功夫、杂技和类似体操的动作。")</f>
        <v>武术是一种以表演为导向的武术，它融合了功夫、杂技和类似体操的动作。</v>
      </c>
      <c r="M61" s="13"/>
      <c r="N61" s="12"/>
      <c r="O61" s="13"/>
      <c r="P61" s="13"/>
      <c r="Q61" s="12"/>
      <c r="R61" s="12"/>
      <c r="S61" s="12"/>
      <c r="T61" s="12"/>
      <c r="U61" s="12"/>
      <c r="V61" s="12"/>
      <c r="W61" s="12"/>
      <c r="X61" s="12"/>
      <c r="Y61" s="12"/>
      <c r="Z61" s="12"/>
      <c r="AA61" s="12"/>
    </row>
    <row r="62">
      <c r="A62" s="35">
        <v>61.0</v>
      </c>
      <c r="B62" s="11" t="s">
        <v>2077</v>
      </c>
      <c r="C62" s="11" t="s">
        <v>2078</v>
      </c>
      <c r="D62" s="11" t="s">
        <v>2079</v>
      </c>
      <c r="E62" s="11" t="s">
        <v>2080</v>
      </c>
      <c r="F62" s="12"/>
      <c r="G62" s="12"/>
      <c r="H62" s="34"/>
      <c r="I62" s="11" t="str">
        <f>IFERROR(__xludf.DUMMYFUNCTION("GOOGLETRANSLATE(B62, ""en"", ""zh"")"),"现代竞技体育中最常练习的功夫类型是哪种？")</f>
        <v>现代竞技体育中最常练习的功夫类型是哪种？</v>
      </c>
      <c r="J62" s="11" t="str">
        <f>IFERROR(__xludf.DUMMYFUNCTION("GOOGLETRANSLATE(C62, ""en"", ""zh"")"),"A) 少林功夫，B) 咏春拳，C) 武术，D) 洪拳")</f>
        <v>A) 少林功夫，B) 咏春拳，C) 武术，D) 洪拳</v>
      </c>
      <c r="K62" s="11" t="str">
        <f>IFERROR(__xludf.DUMMYFUNCTION("GOOGLETRANSLATE(D62, ""en"", ""zh"")"),"C) 武术")</f>
        <v>C) 武术</v>
      </c>
      <c r="L62" s="11" t="str">
        <f>IFERROR(__xludf.DUMMYFUNCTION("GOOGLETRANSLATE(E62, ""en"", ""zh"")"),"武术注重杂技和表演，是现代功夫的一种形式，在竞技体育中很受欢迎。")</f>
        <v>武术注重杂技和表演，是现代功夫的一种形式，在竞技体育中很受欢迎。</v>
      </c>
      <c r="M62" s="13"/>
      <c r="N62" s="12"/>
      <c r="O62" s="13"/>
      <c r="P62" s="13"/>
      <c r="Q62" s="12"/>
      <c r="R62" s="12"/>
      <c r="S62" s="12"/>
      <c r="T62" s="12"/>
      <c r="U62" s="12"/>
      <c r="V62" s="12"/>
      <c r="W62" s="12"/>
      <c r="X62" s="12"/>
      <c r="Y62" s="12"/>
      <c r="Z62" s="12"/>
      <c r="AA62" s="12"/>
    </row>
    <row r="63">
      <c r="A63" s="35">
        <v>62.0</v>
      </c>
      <c r="B63" s="11" t="s">
        <v>2081</v>
      </c>
      <c r="C63" s="11" t="s">
        <v>2082</v>
      </c>
      <c r="D63" s="11" t="s">
        <v>2083</v>
      </c>
      <c r="E63" s="11" t="s">
        <v>2084</v>
      </c>
      <c r="F63" s="12"/>
      <c r="G63" s="12"/>
      <c r="H63" s="34"/>
      <c r="I63" s="11" t="str">
        <f>IFERROR(__xludf.DUMMYFUNCTION("GOOGLETRANSLATE(B63, ""en"", ""zh"")"),"哪种功夫流派以灵活性、快速出击和精准性为原则？")</f>
        <v>哪种功夫流派以灵活性、快速出击和精准性为原则？</v>
      </c>
      <c r="J63" s="11" t="str">
        <f>IFERROR(__xludf.DUMMYFUNCTION("GOOGLETRANSLATE(C63, ""en"", ""zh"")"),"A）鹤形拳，B）蛇形拳，C）猴形拳，D）龙形拳")</f>
        <v>A）鹤形拳，B）蛇形拳，C）猴形拳，D）龙形拳</v>
      </c>
      <c r="K63" s="11" t="str">
        <f>IFERROR(__xludf.DUMMYFUNCTION("GOOGLETRANSLATE(D63, ""en"", ""zh"")"),"A）鹤形")</f>
        <v>A）鹤形</v>
      </c>
      <c r="L63" s="11" t="str">
        <f>IFERROR(__xludf.DUMMYFUNCTION("GOOGLETRANSLATE(E63, ""en"", ""zh"")"),"鹤拳风格强调流畅的动作、灵活性和快速的打击，旨在追求精准。")</f>
        <v>鹤拳风格强调流畅的动作、灵活性和快速的打击，旨在追求精准。</v>
      </c>
      <c r="M63" s="13"/>
      <c r="N63" s="13"/>
      <c r="O63" s="13"/>
      <c r="P63" s="13"/>
      <c r="Q63" s="12"/>
      <c r="R63" s="12"/>
      <c r="S63" s="12"/>
      <c r="T63" s="12"/>
      <c r="U63" s="12"/>
      <c r="V63" s="12"/>
      <c r="W63" s="12"/>
      <c r="X63" s="12"/>
      <c r="Y63" s="12"/>
      <c r="Z63" s="12"/>
      <c r="AA63" s="12"/>
    </row>
    <row r="64">
      <c r="A64" s="35">
        <v>63.0</v>
      </c>
      <c r="B64" s="11" t="s">
        <v>2085</v>
      </c>
      <c r="C64" s="11" t="s">
        <v>2086</v>
      </c>
      <c r="D64" s="11" t="s">
        <v>2087</v>
      </c>
      <c r="E64" s="11" t="s">
        <v>2088</v>
      </c>
      <c r="F64" s="12"/>
      <c r="G64" s="12"/>
      <c r="H64" s="34"/>
      <c r="I64" s="11" t="str">
        <f>IFERROR(__xludf.DUMMYFUNCTION("GOOGLETRANSLATE(B64, ""en"", ""zh"")"),"在功夫练习中，“八卦掌”或“八卦掌”最出名的是什么？")</f>
        <v>在功夫练习中，“八卦掌”或“八卦掌”最出名的是什么？</v>
      </c>
      <c r="J64" s="11" t="str">
        <f>IFERROR(__xludf.DUMMYFUNCTION("GOOGLETRANSLATE(C64, ""en"", ""zh"")"),"A) 利用速度压制对手，B) 注重擒拿技巧，C) 圆周运动和闪避，D) 强劲有力的打击")</f>
        <v>A) 利用速度压制对手，B) 注重擒拿技巧，C) 圆周运动和闪避，D) 强劲有力的打击</v>
      </c>
      <c r="K64" s="11" t="str">
        <f>IFERROR(__xludf.DUMMYFUNCTION("GOOGLETRANSLATE(D64, ""en"", ""zh"")"),"C）圆形运动和躲避")</f>
        <v>C）圆形运动和躲避</v>
      </c>
      <c r="L64" s="11" t="str">
        <f>IFERROR(__xludf.DUMMYFUNCTION("GOOGLETRANSLATE(E64, ""en"", ""zh"")"),"八卦掌的特点是特别注重圆形步法和躲避攻击的能力。")</f>
        <v>八卦掌的特点是特别注重圆形步法和躲避攻击的能力。</v>
      </c>
      <c r="M64" s="13"/>
      <c r="N64" s="13"/>
      <c r="O64" s="13"/>
      <c r="P64" s="13"/>
      <c r="Q64" s="12"/>
      <c r="R64" s="12"/>
      <c r="S64" s="12"/>
      <c r="T64" s="12"/>
      <c r="U64" s="12"/>
      <c r="V64" s="12"/>
      <c r="W64" s="12"/>
      <c r="X64" s="12"/>
      <c r="Y64" s="12"/>
      <c r="Z64" s="12"/>
      <c r="AA64" s="12"/>
    </row>
    <row r="65">
      <c r="A65" s="35">
        <v>64.0</v>
      </c>
      <c r="B65" s="11" t="s">
        <v>2089</v>
      </c>
      <c r="C65" s="11" t="s">
        <v>2090</v>
      </c>
      <c r="D65" s="11" t="s">
        <v>2091</v>
      </c>
      <c r="E65" s="11" t="s">
        <v>2092</v>
      </c>
      <c r="F65" s="12"/>
      <c r="G65" s="12"/>
      <c r="H65" s="34"/>
      <c r="I65" s="11" t="str">
        <f>IFERROR(__xludf.DUMMYFUNCTION("GOOGLETRANSLATE(B65, ""en"", ""zh"")"),"哪种动物拳法强调闪避和快速的步法？")</f>
        <v>哪种动物拳法强调闪避和快速的步法？</v>
      </c>
      <c r="J65" s="11" t="str">
        <f>IFERROR(__xludf.DUMMYFUNCTION("GOOGLETRANSLATE(C65, ""en"", ""zh"")"),"A) 龙，B) 猴，C) 蛇，D) 虎")</f>
        <v>A) 龙，B) 猴，C) 蛇，D) 虎</v>
      </c>
      <c r="K65" s="11" t="str">
        <f>IFERROR(__xludf.DUMMYFUNCTION("GOOGLETRANSLATE(D65, ""en"", ""zh"")"),"B) 猴子")</f>
        <v>B) 猴子</v>
      </c>
      <c r="L65" s="11" t="str">
        <f>IFERROR(__xludf.DUMMYFUNCTION("GOOGLETRANSLATE(E65, ""en"", ""zh"")"),"猴拳注重敏捷性、不可预测性和快速躲避技巧。")</f>
        <v>猴拳注重敏捷性、不可预测性和快速躲避技巧。</v>
      </c>
      <c r="M65" s="13"/>
      <c r="N65" s="13"/>
      <c r="O65" s="13"/>
      <c r="P65" s="13"/>
      <c r="Q65" s="12"/>
      <c r="R65" s="12"/>
      <c r="S65" s="12"/>
      <c r="T65" s="12"/>
      <c r="U65" s="12"/>
      <c r="V65" s="12"/>
      <c r="W65" s="12"/>
      <c r="X65" s="12"/>
      <c r="Y65" s="12"/>
      <c r="Z65" s="12"/>
      <c r="AA65" s="12"/>
    </row>
    <row r="66">
      <c r="A66" s="35">
        <v>65.0</v>
      </c>
      <c r="B66" s="11" t="s">
        <v>2093</v>
      </c>
      <c r="C66" s="11" t="s">
        <v>2094</v>
      </c>
      <c r="D66" s="11" t="s">
        <v>2095</v>
      </c>
      <c r="E66" s="11" t="s">
        <v>2096</v>
      </c>
      <c r="F66" s="12"/>
      <c r="G66" s="12"/>
      <c r="H66" s="34"/>
      <c r="I66" s="11" t="str">
        <f>IFERROR(__xludf.DUMMYFUNCTION("GOOGLETRANSLATE(B66, ""en"", ""zh"")"),"下列哪种功夫技巧常用于格挡来袭的拳击？")</f>
        <v>下列哪种功夫技巧常用于格挡来袭的拳击？</v>
      </c>
      <c r="J66" s="11" t="str">
        <f>IFERROR(__xludf.DUMMYFUNCTION("GOOGLETRANSLATE(C66, ""en"", ""zh"")"),"A）铁砂掌，B）推手，C）单鞭，D）格挡")</f>
        <v>A）铁砂掌，B）推手，C）单鞭，D）格挡</v>
      </c>
      <c r="K66" s="11" t="str">
        <f>IFERROR(__xludf.DUMMYFUNCTION("GOOGLETRANSLATE(D66, ""en"", ""zh"")"),"D) 格挡")</f>
        <v>D) 格挡</v>
      </c>
      <c r="L66" s="11" t="str">
        <f>IFERROR(__xludf.DUMMYFUNCTION("GOOGLETRANSLATE(E66, ""en"", ""zh"")"),"格挡是指用手臂或手来偏转对手的攻击，从而控制对手的攻击并为反击创造机会。")</f>
        <v>格挡是指用手臂或手来偏转对手的攻击，从而控制对手的攻击并为反击创造机会。</v>
      </c>
      <c r="M66" s="13"/>
      <c r="N66" s="12"/>
      <c r="O66" s="13"/>
      <c r="P66" s="13"/>
      <c r="Q66" s="12"/>
      <c r="R66" s="12"/>
      <c r="S66" s="12"/>
      <c r="T66" s="12"/>
      <c r="U66" s="12"/>
      <c r="V66" s="12"/>
      <c r="W66" s="12"/>
      <c r="X66" s="12"/>
      <c r="Y66" s="12"/>
      <c r="Z66" s="12"/>
      <c r="AA66" s="12"/>
    </row>
    <row r="67">
      <c r="A67" s="35">
        <v>66.0</v>
      </c>
      <c r="B67" s="11" t="s">
        <v>2097</v>
      </c>
      <c r="C67" s="11" t="s">
        <v>2098</v>
      </c>
      <c r="D67" s="11" t="s">
        <v>2099</v>
      </c>
      <c r="E67" s="11" t="s">
        <v>2100</v>
      </c>
      <c r="F67" s="12"/>
      <c r="G67" s="12"/>
      <c r="H67" s="34"/>
      <c r="I67" s="11" t="str">
        <f>IFERROR(__xludf.DUMMYFUNCTION("GOOGLETRANSLATE(B67, ""en"", ""zh"")"),"在功夫中，“柔克刚”的概念体现在哪条原则中？")</f>
        <v>在功夫中，“柔克刚”的概念体现在哪条原则中？</v>
      </c>
      <c r="J67" s="11" t="str">
        <f>IFERROR(__xludf.DUMMYFUNCTION("GOOGLETRANSLATE(C67, ""en"", ""zh"")"),"A) 使用武力，B) 灵活性和能量转移，C) 力量训练，D) 攻击性进攻")</f>
        <v>A) 使用武力，B) 灵活性和能量转移，C) 力量训练，D) 攻击性进攻</v>
      </c>
      <c r="K67" s="11" t="str">
        <f>IFERROR(__xludf.DUMMYFUNCTION("GOOGLETRANSLATE(D67, ""en"", ""zh"")"),"B) 能量的灵活性和重新定向")</f>
        <v>B) 能量的灵活性和重新定向</v>
      </c>
      <c r="L67" s="11" t="str">
        <f>IFERROR(__xludf.DUMMYFUNCTION("GOOGLETRANSLATE(E67, ""en"", ""zh"")"),"功夫教导我们，柔和灵活的方式可以引导对手的力量，利用他们的能量反制他们，而不是仅仅依靠力量。")</f>
        <v>功夫教导我们，柔和灵活的方式可以引导对手的力量，利用他们的能量反制他们，而不是仅仅依靠力量。</v>
      </c>
      <c r="M67" s="13"/>
      <c r="N67" s="33"/>
      <c r="O67" s="13"/>
      <c r="P67" s="12"/>
      <c r="Q67" s="12"/>
      <c r="R67" s="12"/>
      <c r="S67" s="12"/>
      <c r="T67" s="12"/>
      <c r="U67" s="12"/>
      <c r="V67" s="12"/>
      <c r="W67" s="12"/>
      <c r="X67" s="12"/>
      <c r="Y67" s="12"/>
      <c r="Z67" s="12"/>
      <c r="AA67" s="12"/>
    </row>
    <row r="68">
      <c r="A68" s="35">
        <v>67.0</v>
      </c>
      <c r="B68" s="11" t="s">
        <v>2101</v>
      </c>
      <c r="C68" s="11" t="s">
        <v>2102</v>
      </c>
      <c r="D68" s="11" t="s">
        <v>2103</v>
      </c>
      <c r="E68" s="11" t="s">
        <v>2104</v>
      </c>
      <c r="F68" s="12"/>
      <c r="G68" s="12"/>
      <c r="H68" s="34"/>
      <c r="I68" s="11" t="str">
        <f>IFERROR(__xludf.DUMMYFUNCTION("GOOGLETRANSLATE(B68, ""en"", ""zh"")"),"在功夫中，“虎鹤拳”的主要作用是什么？")</f>
        <v>在功夫中，“虎鹤拳”的主要作用是什么？</v>
      </c>
      <c r="J68" s="11" t="str">
        <f>IFERROR(__xludf.DUMMYFUNCTION("GOOGLETRANSLATE(C68, ""en"", ""zh"")"),"A) 训练高速攻击能力，B) 将蛮力与精准度相结合，C) 培养平衡性和敏捷性，D) 增强腿部力量")</f>
        <v>A) 训练高速攻击能力，B) 将蛮力与精准度相结合，C) 培养平衡性和敏捷性，D) 增强腿部力量</v>
      </c>
      <c r="K68" s="11" t="str">
        <f>IFERROR(__xludf.DUMMYFUNCTION("GOOGLETRANSLATE(D68, ""en"", ""zh"")"),"B) 将蛮力与精准度相结合")</f>
        <v>B) 将蛮力与精准度相结合</v>
      </c>
      <c r="L68" s="11" t="str">
        <f>IFERROR(__xludf.DUMMYFUNCTION("GOOGLETRANSLATE(E68, ""en"", ""zh"")"),"“虎鹤拳”将老虎的强劲有力的动作与鹤的精准优雅相结合，为战斗提供了一种平衡的方法。")</f>
        <v>“虎鹤拳”将老虎的强劲有力的动作与鹤的精准优雅相结合，为战斗提供了一种平衡的方法。</v>
      </c>
      <c r="M68" s="13"/>
      <c r="N68" s="13"/>
      <c r="O68" s="13"/>
      <c r="P68" s="13"/>
      <c r="Q68" s="12"/>
      <c r="R68" s="12"/>
      <c r="S68" s="12"/>
      <c r="T68" s="12"/>
      <c r="U68" s="12"/>
      <c r="V68" s="12"/>
      <c r="W68" s="12"/>
      <c r="X68" s="12"/>
      <c r="Y68" s="12"/>
      <c r="Z68" s="12"/>
      <c r="AA68" s="12"/>
    </row>
    <row r="69">
      <c r="A69" s="35">
        <v>68.0</v>
      </c>
      <c r="B69" s="11" t="s">
        <v>2105</v>
      </c>
      <c r="C69" s="11" t="s">
        <v>2106</v>
      </c>
      <c r="D69" s="11" t="s">
        <v>2107</v>
      </c>
      <c r="E69" s="11" t="s">
        <v>2108</v>
      </c>
      <c r="F69" s="12"/>
      <c r="G69" s="12"/>
      <c r="H69" s="34"/>
      <c r="I69" s="11" t="str">
        <f>IFERROR(__xludf.DUMMYFUNCTION("GOOGLETRANSLATE(B69, ""en"", ""zh"")"),"在功夫哲学中，“阴”和“阳”的概念指的是哪两种元素之间的平衡？")</f>
        <v>在功夫哲学中，“阴”和“阳”的概念指的是哪两种元素之间的平衡？</v>
      </c>
      <c r="J69" s="11" t="str">
        <f>IFERROR(__xludf.DUMMYFUNCTION("GOOGLETRANSLATE(C69, ""en"", ""zh"")"),"A) 光明与黑暗，B) 坚硬与柔软，C) 生与死，D) 速度与力量")</f>
        <v>A) 光明与黑暗，B) 坚硬与柔软，C) 生与死，D) 速度与力量</v>
      </c>
      <c r="K69" s="11" t="str">
        <f>IFERROR(__xludf.DUMMYFUNCTION("GOOGLETRANSLATE(D69, ""en"", ""zh"")"),"B) 硬度和柔软度")</f>
        <v>B) 硬度和柔软度</v>
      </c>
      <c r="L69" s="11" t="str">
        <f>IFERROR(__xludf.DUMMYFUNCTION("GOOGLETRANSLATE(E69, ""en"", ""zh"")"),"阴阳代表了功夫技法和哲学中对立力量（如柔和与刚硬）之间的平衡。")</f>
        <v>阴阳代表了功夫技法和哲学中对立力量（如柔和与刚硬）之间的平衡。</v>
      </c>
      <c r="M69" s="13"/>
      <c r="N69" s="12"/>
      <c r="O69" s="13"/>
      <c r="P69" s="13"/>
      <c r="Q69" s="12"/>
      <c r="R69" s="12"/>
      <c r="S69" s="12"/>
      <c r="T69" s="12"/>
      <c r="U69" s="12"/>
      <c r="V69" s="12"/>
      <c r="W69" s="12"/>
      <c r="X69" s="12"/>
      <c r="Y69" s="12"/>
      <c r="Z69" s="12"/>
      <c r="AA69" s="12"/>
    </row>
    <row r="70">
      <c r="A70" s="35">
        <v>69.0</v>
      </c>
      <c r="B70" s="11" t="s">
        <v>2109</v>
      </c>
      <c r="C70" s="11" t="s">
        <v>2110</v>
      </c>
      <c r="D70" s="11" t="s">
        <v>2111</v>
      </c>
      <c r="E70" s="11" t="s">
        <v>2112</v>
      </c>
      <c r="F70" s="12"/>
      <c r="G70" s="12"/>
      <c r="H70" s="34"/>
      <c r="I70" s="11" t="str">
        <f>IFERROR(__xludf.DUMMYFUNCTION("GOOGLETRANSLATE(B70, ""en"", ""zh"")"),"在功夫中，练习擒拿技巧的目的是什么？")</f>
        <v>在功夫中，练习擒拿技巧的目的是什么？</v>
      </c>
      <c r="J70" s="11" t="str">
        <f>IFERROR(__xludf.DUMMYFUNCTION("GOOGLETRANSLATE(C70, ""en"", ""zh"")"),"A) 提高速度，B) 学习关节锁定和点击技巧，C) 增强力量，D) 改善平衡")</f>
        <v>A) 提高速度，B) 学习关节锁定和点击技巧，C) 增强力量，D) 改善平衡</v>
      </c>
      <c r="K70" s="11" t="str">
        <f>IFERROR(__xludf.DUMMYFUNCTION("GOOGLETRANSLATE(D70, ""en"", ""zh"")"),"B) 学习关节技和穴位打击技巧")</f>
        <v>B) 学习关节技和穴位打击技巧</v>
      </c>
      <c r="L70" s="11" t="str">
        <f>IFERROR(__xludf.DUMMYFUNCTION("GOOGLETRANSLATE(E70, ""en"", ""zh"")"),"擒拿术包括关节技、擒拿和穴位打击，目的是控制或使对手丧失行动能力，常用于近身格斗。")</f>
        <v>擒拿术包括关节技、擒拿和穴位打击，目的是控制或使对手丧失行动能力，常用于近身格斗。</v>
      </c>
      <c r="M70" s="13"/>
      <c r="N70" s="12"/>
      <c r="O70" s="13"/>
      <c r="P70" s="13"/>
      <c r="Q70" s="12"/>
      <c r="R70" s="12"/>
      <c r="S70" s="12"/>
      <c r="T70" s="12"/>
      <c r="U70" s="12"/>
      <c r="V70" s="12"/>
      <c r="W70" s="12"/>
      <c r="X70" s="12"/>
      <c r="Y70" s="12"/>
      <c r="Z70" s="12"/>
      <c r="AA70" s="12"/>
    </row>
    <row r="71">
      <c r="A71" s="35">
        <v>70.0</v>
      </c>
      <c r="B71" s="30" t="s">
        <v>2113</v>
      </c>
      <c r="C71" s="30" t="s">
        <v>2114</v>
      </c>
      <c r="D71" s="30" t="s">
        <v>2115</v>
      </c>
      <c r="E71" s="30" t="s">
        <v>2116</v>
      </c>
      <c r="F71" s="31"/>
      <c r="G71" s="31"/>
      <c r="H71" s="34"/>
      <c r="I71" s="11" t="str">
        <f>IFERROR(__xludf.DUMMYFUNCTION("GOOGLETRANSLATE(B71, ""en"", ""zh"")"),"在功夫中，“气”的意义是什么？它如何影响武者的表现？")</f>
        <v>在功夫中，“气”的意义是什么？它如何影响武者的表现？</v>
      </c>
      <c r="J71" s="11" t="str">
        <f>IFERROR(__xludf.DUMMYFUNCTION("GOOGLETRANSLATE(C71, ""en"", ""zh"")"),"A) 它能增强体能，B) 它有助于提高反应速度，C) 它能提升思维清晰度和专注力，D) 它对运动表现没有影响")</f>
        <v>A) 它能增强体能，B) 它有助于提高反应速度，C) 它能提升思维清晰度和专注力，D) 它对运动表现没有影响</v>
      </c>
      <c r="K71" s="11" t="str">
        <f>IFERROR(__xludf.DUMMYFUNCTION("GOOGLETRANSLATE(D71, ""en"", ""zh"")"),"C) 它能提高思维清晰度和专注力。")</f>
        <v>C) 它能提高思维清晰度和专注力。</v>
      </c>
      <c r="L71" s="11" t="str">
        <f>IFERROR(__xludf.DUMMYFUNCTION("GOOGLETRANSLATE(E71, ""en"", ""zh"")"),"“气”是指流经人体的生命能量，修炼气可以提高专注力、思维清晰度和战斗中的整体表现。")</f>
        <v>“气”是指流经人体的生命能量，修炼气可以提高专注力、思维清晰度和战斗中的整体表现。</v>
      </c>
      <c r="M71" s="33"/>
      <c r="N71" s="33"/>
      <c r="O71" s="33"/>
      <c r="P71" s="33"/>
      <c r="Q71" s="12"/>
      <c r="R71" s="12"/>
      <c r="S71" s="12"/>
      <c r="T71" s="12"/>
      <c r="U71" s="12"/>
      <c r="V71" s="12"/>
      <c r="W71" s="12"/>
      <c r="X71" s="12"/>
      <c r="Y71" s="12"/>
      <c r="Z71" s="12"/>
      <c r="AA71" s="12"/>
    </row>
    <row r="72">
      <c r="A72" s="35">
        <v>71.0</v>
      </c>
      <c r="B72" s="11" t="s">
        <v>2117</v>
      </c>
      <c r="C72" s="11" t="s">
        <v>2118</v>
      </c>
      <c r="D72" s="11" t="s">
        <v>2119</v>
      </c>
      <c r="E72" s="11" t="s">
        <v>2120</v>
      </c>
      <c r="F72" s="12"/>
      <c r="G72" s="12"/>
      <c r="H72" s="34"/>
      <c r="I72" s="11" t="str">
        <f>IFERROR(__xludf.DUMMYFUNCTION("GOOGLETRANSLATE(B72, ""en"", ""zh"")"),"在功夫中，下列哪项描述了“蛇形拳”？")</f>
        <v>在功夫中，下列哪项描述了“蛇形拳”？</v>
      </c>
      <c r="J72" s="11" t="str">
        <f>IFERROR(__xludf.DUMMYFUNCTION("GOOGLETRANSLATE(C72, ""en"", ""zh"")"),"A）进攻型，使用强力打击；B）灵活型，强调快速打击和躲避；C）缓慢而谨慎型，注重防御；D）注重远程武器")</f>
        <v>A）进攻型，使用强力打击；B）灵活型，强调快速打击和躲避；C）缓慢而谨慎型，注重防御；D）注重远程武器</v>
      </c>
      <c r="K72" s="11" t="str">
        <f>IFERROR(__xludf.DUMMYFUNCTION("GOOGLETRANSLATE(D72, ""en"", ""zh"")"),"B）灵活，强调快速攻击和躲避")</f>
        <v>B）灵活，强调快速攻击和躲避</v>
      </c>
      <c r="L72" s="11" t="str">
        <f>IFERROR(__xludf.DUMMYFUNCTION("GOOGLETRANSLATE(E72, ""en"", ""zh"")"),"蛇形拳强调流畅的动作、快速的攻击和躲避攻击的能力，通常专注于攻击身体的弱点。")</f>
        <v>蛇形拳强调流畅的动作、快速的攻击和躲避攻击的能力，通常专注于攻击身体的弱点。</v>
      </c>
      <c r="M72" s="13"/>
      <c r="N72" s="12"/>
      <c r="O72" s="13"/>
      <c r="P72" s="13"/>
      <c r="Q72" s="12"/>
      <c r="R72" s="12"/>
      <c r="S72" s="12"/>
      <c r="T72" s="12"/>
      <c r="U72" s="12"/>
      <c r="V72" s="12"/>
      <c r="W72" s="12"/>
      <c r="X72" s="12"/>
      <c r="Y72" s="12"/>
      <c r="Z72" s="12"/>
      <c r="AA72" s="12"/>
    </row>
    <row r="73">
      <c r="A73" s="35">
        <v>72.0</v>
      </c>
      <c r="B73" s="11" t="s">
        <v>2121</v>
      </c>
      <c r="C73" s="11" t="s">
        <v>2122</v>
      </c>
      <c r="D73" s="11" t="s">
        <v>2123</v>
      </c>
      <c r="E73" s="11" t="s">
        <v>2124</v>
      </c>
      <c r="F73" s="12"/>
      <c r="G73" s="12"/>
      <c r="H73" s="34"/>
      <c r="I73" s="11" t="str">
        <f>IFERROR(__xludf.DUMMYFUNCTION("GOOGLETRANSLATE(B73, ""en"", ""zh"")"),"在功夫中，战斗中“低扫”的主要目的是什么？")</f>
        <v>在功夫中，战斗中“低扫”的主要目的是什么？</v>
      </c>
      <c r="J73" s="11" t="str">
        <f>IFERROR(__xludf.DUMMYFUNCTION("GOOGLETRANSLATE(C73, ""en"", ""zh"")"),"A) 给予对手强力一击，B) 使对手失去平衡，C) 躲避攻击，D) 迷惑对手")</f>
        <v>A) 给予对手强力一击，B) 使对手失去平衡，C) 躲避攻击，D) 迷惑对手</v>
      </c>
      <c r="K73" s="11" t="str">
        <f>IFERROR(__xludf.DUMMYFUNCTION("GOOGLETRANSLATE(D73, ""en"", ""zh"")"),"B）扰乱对手的平衡")</f>
        <v>B）扰乱对手的平衡</v>
      </c>
      <c r="L73" s="11" t="str">
        <f>IFERROR(__xludf.DUMMYFUNCTION("GOOGLETRANSLATE(E73, ""en"", ""zh"")"),"低扫技旨在将对手击倒在地，以便更容易地进行后续的终结技。")</f>
        <v>低扫技旨在将对手击倒在地，以便更容易地进行后续的终结技。</v>
      </c>
      <c r="M73" s="13"/>
      <c r="N73" s="12"/>
      <c r="O73" s="13"/>
      <c r="P73" s="13"/>
      <c r="Q73" s="12"/>
      <c r="R73" s="12"/>
      <c r="S73" s="12"/>
      <c r="T73" s="12"/>
      <c r="U73" s="12"/>
      <c r="V73" s="12"/>
      <c r="W73" s="12"/>
      <c r="X73" s="12"/>
      <c r="Y73" s="12"/>
      <c r="Z73" s="12"/>
      <c r="AA73" s="12"/>
    </row>
    <row r="74">
      <c r="A74" s="19">
        <v>73.0</v>
      </c>
      <c r="B74" s="17" t="s">
        <v>2125</v>
      </c>
      <c r="C74" s="17" t="s">
        <v>2126</v>
      </c>
      <c r="D74" s="17" t="s">
        <v>2127</v>
      </c>
      <c r="E74" s="36"/>
      <c r="F74" s="12"/>
      <c r="G74" s="12"/>
      <c r="H74" s="2"/>
      <c r="I74" s="11" t="str">
        <f>IFERROR(__xludf.DUMMYFUNCTION("GOOGLETRANSLATE(B74, ""en"", ""zh"")"),"功夫的主要原则是什么？")</f>
        <v>功夫的主要原则是什么？</v>
      </c>
      <c r="J74" s="11" t="str">
        <f>IFERROR(__xludf.DUMMYFUNCTION("GOOGLETRANSLATE(C74, ""en"", ""zh"")"),"A) 力量 B) 速度 C) 自律 D) 运气")</f>
        <v>A) 力量 B) 速度 C) 自律 D) 运气</v>
      </c>
      <c r="K74" s="11" t="str">
        <f>IFERROR(__xludf.DUMMYFUNCTION("GOOGLETRANSLATE(D74, ""en"", ""zh"")"),"C）纪律")</f>
        <v>C）纪律</v>
      </c>
      <c r="L74" s="11" t="str">
        <f>IFERROR(__xludf.DUMMYFUNCTION("GOOGLETRANSLATE(E74, ""en"", ""zh"")"),"#VALUE!")</f>
        <v>#VALUE!</v>
      </c>
      <c r="M74" s="12"/>
      <c r="N74" s="12"/>
      <c r="O74" s="12"/>
      <c r="P74" s="12"/>
      <c r="Q74" s="12"/>
      <c r="R74" s="12"/>
      <c r="S74" s="12"/>
      <c r="T74" s="12"/>
      <c r="U74" s="12"/>
      <c r="V74" s="12"/>
      <c r="W74" s="12"/>
      <c r="X74" s="12"/>
      <c r="Y74" s="12"/>
      <c r="Z74" s="12"/>
      <c r="AA74" s="12"/>
    </row>
    <row r="75">
      <c r="A75" s="19">
        <v>74.0</v>
      </c>
      <c r="B75" s="17" t="s">
        <v>2128</v>
      </c>
      <c r="C75" s="17" t="s">
        <v>2129</v>
      </c>
      <c r="D75" s="17" t="s">
        <v>62</v>
      </c>
      <c r="E75" s="36"/>
      <c r="F75" s="12"/>
      <c r="G75" s="12"/>
      <c r="H75" s="2"/>
      <c r="I75" s="11" t="str">
        <f>IFERROR(__xludf.DUMMYFUNCTION("GOOGLETRANSLATE(B75, ""en"", ""zh"")"),"身体的哪个部位通常用于打击？")</f>
        <v>身体的哪个部位通常用于打击？</v>
      </c>
      <c r="J75" s="11" t="str">
        <f>IFERROR(__xludf.DUMMYFUNCTION("GOOGLETRANSLATE(C75, ""en"", ""zh"")"),"A) 手 B) 脚 C) 肘部 D) 以上全部")</f>
        <v>A) 手 B) 脚 C) 肘部 D) 以上全部</v>
      </c>
      <c r="K75" s="11" t="str">
        <f>IFERROR(__xludf.DUMMYFUNCTION("GOOGLETRANSLATE(D75, ""en"", ""zh"")"),"D) 以上所有选项")</f>
        <v>D) 以上所有选项</v>
      </c>
      <c r="L75" s="11" t="str">
        <f>IFERROR(__xludf.DUMMYFUNCTION("GOOGLETRANSLATE(E75, ""en"", ""zh"")"),"#VALUE!")</f>
        <v>#VALUE!</v>
      </c>
      <c r="M75" s="12"/>
      <c r="N75" s="12"/>
      <c r="O75" s="12"/>
      <c r="P75" s="12"/>
      <c r="Q75" s="12"/>
      <c r="R75" s="12"/>
      <c r="S75" s="12"/>
      <c r="T75" s="12"/>
      <c r="U75" s="12"/>
      <c r="V75" s="12"/>
      <c r="W75" s="12"/>
      <c r="X75" s="12"/>
      <c r="Y75" s="12"/>
      <c r="Z75" s="12"/>
      <c r="AA75" s="12"/>
    </row>
    <row r="76">
      <c r="A76" s="21">
        <v>75.0</v>
      </c>
      <c r="B76" s="17" t="s">
        <v>2130</v>
      </c>
      <c r="C76" s="17" t="s">
        <v>2131</v>
      </c>
      <c r="D76" s="17" t="s">
        <v>2132</v>
      </c>
      <c r="E76" s="36"/>
      <c r="F76" s="12"/>
      <c r="G76" s="12"/>
      <c r="H76" s="2"/>
      <c r="I76" s="11" t="str">
        <f>IFERROR(__xludf.DUMMYFUNCTION("GOOGLETRANSLATE(B76, ""en"", ""zh"")"),"功夫中的“气”是什么？")</f>
        <v>功夫中的“气”是什么？</v>
      </c>
      <c r="J76" s="11" t="str">
        <f>IFERROR(__xludf.DUMMYFUNCTION("GOOGLETRANSLATE(C76, ""en"", ""zh"")"),"A) 能量流动 B) 踢击技巧 C) 手部打击 D) 对手动作")</f>
        <v>A) 能量流动 B) 踢击技巧 C) 手部打击 D) 对手动作</v>
      </c>
      <c r="K76" s="11" t="str">
        <f>IFERROR(__xludf.DUMMYFUNCTION("GOOGLETRANSLATE(D76, ""en"", ""zh"")"),"A) 能量流动")</f>
        <v>A) 能量流动</v>
      </c>
      <c r="L76" s="11" t="str">
        <f>IFERROR(__xludf.DUMMYFUNCTION("GOOGLETRANSLATE(E76, ""en"", ""zh"")"),"#VALUE!")</f>
        <v>#VALUE!</v>
      </c>
      <c r="M76" s="12"/>
      <c r="N76" s="12"/>
      <c r="O76" s="12"/>
      <c r="P76" s="12"/>
      <c r="Q76" s="12"/>
      <c r="R76" s="12"/>
      <c r="S76" s="12"/>
      <c r="T76" s="12"/>
      <c r="U76" s="12"/>
      <c r="V76" s="12"/>
      <c r="W76" s="12"/>
      <c r="X76" s="12"/>
      <c r="Y76" s="12"/>
      <c r="Z76" s="12"/>
      <c r="AA76" s="12"/>
    </row>
    <row r="77">
      <c r="A77" s="21">
        <v>76.0</v>
      </c>
      <c r="B77" s="17" t="s">
        <v>2133</v>
      </c>
      <c r="C77" s="17" t="s">
        <v>2134</v>
      </c>
      <c r="D77" s="17" t="s">
        <v>2135</v>
      </c>
      <c r="E77" s="36"/>
      <c r="F77" s="12"/>
      <c r="G77" s="12"/>
      <c r="H77" s="2"/>
      <c r="I77" s="11" t="str">
        <f>IFERROR(__xludf.DUMMYFUNCTION("GOOGLETRANSLATE(B77, ""en"", ""zh"")"),"哪种风格侧重于动物的动作？")</f>
        <v>哪种风格侧重于动物的动作？</v>
      </c>
      <c r="J77" s="11" t="str">
        <f>IFERROR(__xludf.DUMMYFUNCTION("GOOGLETRANSLATE(C77, ""en"", ""zh"")"),"A) 少林 B) 咏春拳 C) 武术 D) 北鹤拳")</f>
        <v>A) 少林 B) 咏春拳 C) 武术 D) 北鹤拳</v>
      </c>
      <c r="K77" s="11" t="str">
        <f>IFERROR(__xludf.DUMMYFUNCTION("GOOGLETRANSLATE(D77, ""en"", ""zh"")"),"D) 北鹤")</f>
        <v>D) 北鹤</v>
      </c>
      <c r="L77" s="11" t="str">
        <f>IFERROR(__xludf.DUMMYFUNCTION("GOOGLETRANSLATE(E77, ""en"", ""zh"")"),"#VALUE!")</f>
        <v>#VALUE!</v>
      </c>
      <c r="M77" s="12"/>
      <c r="N77" s="12"/>
      <c r="O77" s="12"/>
      <c r="P77" s="12"/>
      <c r="Q77" s="12"/>
      <c r="R77" s="12"/>
      <c r="S77" s="12"/>
      <c r="T77" s="12"/>
      <c r="U77" s="12"/>
      <c r="V77" s="12"/>
      <c r="W77" s="12"/>
      <c r="X77" s="12"/>
      <c r="Y77" s="12"/>
      <c r="Z77" s="12"/>
      <c r="AA77" s="12"/>
    </row>
    <row r="78">
      <c r="A78" s="21">
        <v>77.0</v>
      </c>
      <c r="B78" s="17" t="s">
        <v>2136</v>
      </c>
      <c r="C78" s="17" t="s">
        <v>2137</v>
      </c>
      <c r="D78" s="17" t="s">
        <v>2138</v>
      </c>
      <c r="E78" s="36"/>
      <c r="F78" s="12"/>
      <c r="G78" s="12"/>
      <c r="H78" s="2"/>
      <c r="I78" s="11" t="str">
        <f>IFERROR(__xludf.DUMMYFUNCTION("GOOGLETRANSLATE(B78, ""en"", ""zh"")"),"功夫中的“型”是什么？")</f>
        <v>功夫中的“型”是什么？</v>
      </c>
      <c r="J78" s="11" t="str">
        <f>IFERROR(__xludf.DUMMYFUNCTION("GOOGLETRANSLATE(C78, ""en"", ""zh"")"),"A) 套路或动作 B) 踢腿 C) 格挡 D) 擒抱")</f>
        <v>A) 套路或动作 B) 踢腿 C) 格挡 D) 擒抱</v>
      </c>
      <c r="K78" s="11" t="str">
        <f>IFERROR(__xludf.DUMMYFUNCTION("GOOGLETRANSLATE(D78, ""en"", ""zh"")"),"A) 形式或惯例")</f>
        <v>A) 形式或惯例</v>
      </c>
      <c r="L78" s="11" t="str">
        <f>IFERROR(__xludf.DUMMYFUNCTION("GOOGLETRANSLATE(E78, ""en"", ""zh"")"),"#VALUE!")</f>
        <v>#VALUE!</v>
      </c>
      <c r="M78" s="12"/>
      <c r="N78" s="12"/>
      <c r="O78" s="12"/>
      <c r="P78" s="12"/>
      <c r="Q78" s="12"/>
      <c r="R78" s="12"/>
      <c r="S78" s="12"/>
      <c r="T78" s="12"/>
      <c r="U78" s="12"/>
      <c r="V78" s="12"/>
      <c r="W78" s="12"/>
      <c r="X78" s="12"/>
      <c r="Y78" s="12"/>
      <c r="Z78" s="12"/>
      <c r="AA78" s="12"/>
    </row>
    <row r="79">
      <c r="A79" s="21">
        <v>78.0</v>
      </c>
      <c r="B79" s="17" t="s">
        <v>2139</v>
      </c>
      <c r="C79" s="17" t="s">
        <v>2140</v>
      </c>
      <c r="D79" s="17" t="s">
        <v>2141</v>
      </c>
      <c r="E79" s="36"/>
      <c r="F79" s="12"/>
      <c r="G79" s="12"/>
      <c r="H79" s="2"/>
      <c r="I79" s="11" t="str">
        <f>IFERROR(__xludf.DUMMYFUNCTION("GOOGLETRANSLATE(B79, ""en"", ""zh"")"),"比赛中如何给一场打斗打分？")</f>
        <v>比赛中如何给一场打斗打分？</v>
      </c>
      <c r="J79" s="11" t="str">
        <f>IFERROR(__xludf.DUMMYFUNCTION("GOOGLETRANSLATE(C79, ""en"", ""zh"")"),"A) 根据击打和技术得分 B) 仅根据击倒数得分 C) 根据生存时间得分 D) 根据观众掌声得分")</f>
        <v>A) 根据击打和技术得分 B) 仅根据击倒数得分 C) 根据生存时间得分 D) 根据观众掌声得分</v>
      </c>
      <c r="K79" s="11" t="str">
        <f>IFERROR(__xludf.DUMMYFUNCTION("GOOGLETRANSLATE(D79, ""en"", ""zh"")"),"A) 打击和技术的得分")</f>
        <v>A) 打击和技术的得分</v>
      </c>
      <c r="L79" s="11" t="str">
        <f>IFERROR(__xludf.DUMMYFUNCTION("GOOGLETRANSLATE(E79, ""en"", ""zh"")"),"#VALUE!")</f>
        <v>#VALUE!</v>
      </c>
      <c r="M79" s="12"/>
      <c r="N79" s="12"/>
      <c r="O79" s="12"/>
      <c r="P79" s="12"/>
      <c r="Q79" s="12"/>
      <c r="R79" s="12"/>
      <c r="S79" s="12"/>
      <c r="T79" s="12"/>
      <c r="U79" s="12"/>
      <c r="V79" s="12"/>
      <c r="W79" s="12"/>
      <c r="X79" s="12"/>
      <c r="Y79" s="12"/>
      <c r="Z79" s="12"/>
      <c r="AA79" s="12"/>
    </row>
    <row r="80">
      <c r="A80" s="21">
        <v>79.0</v>
      </c>
      <c r="B80" s="17" t="s">
        <v>2142</v>
      </c>
      <c r="C80" s="17" t="s">
        <v>2143</v>
      </c>
      <c r="D80" s="17" t="s">
        <v>1874</v>
      </c>
      <c r="E80" s="36"/>
      <c r="F80" s="12"/>
      <c r="G80" s="12"/>
      <c r="H80" s="2"/>
      <c r="I80" s="11" t="str">
        <f>IFERROR(__xludf.DUMMYFUNCTION("GOOGLETRANSLATE(B80, ""en"", ""zh"")"),"哪种站姿被认为是基本站姿？")</f>
        <v>哪种站姿被认为是基本站姿？</v>
      </c>
      <c r="J80" s="11" t="str">
        <f>IFERROR(__xludf.DUMMYFUNCTION("GOOGLETRANSLATE(C80, ""en"", ""zh"")"),"A）马步 B）鹤步 C）虎步 D）龙步")</f>
        <v>A）马步 B）鹤步 C）虎步 D）龙步</v>
      </c>
      <c r="K80" s="11" t="str">
        <f>IFERROR(__xludf.DUMMYFUNCTION("GOOGLETRANSLATE(D80, ""en"", ""zh"")"),"A) 马步")</f>
        <v>A) 马步</v>
      </c>
      <c r="L80" s="11" t="str">
        <f>IFERROR(__xludf.DUMMYFUNCTION("GOOGLETRANSLATE(E80, ""en"", ""zh"")"),"#VALUE!")</f>
        <v>#VALUE!</v>
      </c>
      <c r="M80" s="12"/>
      <c r="N80" s="12"/>
      <c r="O80" s="12"/>
      <c r="P80" s="12"/>
      <c r="Q80" s="12"/>
      <c r="R80" s="12"/>
      <c r="S80" s="12"/>
      <c r="T80" s="12"/>
      <c r="U80" s="12"/>
      <c r="V80" s="12"/>
      <c r="W80" s="12"/>
      <c r="X80" s="12"/>
      <c r="Y80" s="12"/>
      <c r="Z80" s="12"/>
      <c r="AA80" s="12"/>
    </row>
    <row r="81">
      <c r="A81" s="21">
        <v>80.0</v>
      </c>
      <c r="B81" s="17" t="s">
        <v>2144</v>
      </c>
      <c r="C81" s="17" t="s">
        <v>2145</v>
      </c>
      <c r="D81" s="17" t="s">
        <v>2146</v>
      </c>
      <c r="E81" s="36"/>
      <c r="F81" s="12"/>
      <c r="G81" s="12"/>
      <c r="H81" s="2"/>
      <c r="I81" s="11" t="str">
        <f>IFERROR(__xludf.DUMMYFUNCTION("GOOGLETRANSLATE(B81, ""en"", ""zh"")"),"一轮典型的比赛有多长？")</f>
        <v>一轮典型的比赛有多长？</v>
      </c>
      <c r="J81" s="11" t="str">
        <f>IFERROR(__xludf.DUMMYFUNCTION("GOOGLETRANSLATE(C81, ""en"", ""zh"")"),"A) 2分钟 B) 3分钟 C) 5分钟 D) 10分钟")</f>
        <v>A) 2分钟 B) 3分钟 C) 5分钟 D) 10分钟</v>
      </c>
      <c r="K81" s="11" t="str">
        <f>IFERROR(__xludf.DUMMYFUNCTION("GOOGLETRANSLATE(D81, ""en"", ""zh"")"),"B) 3分钟")</f>
        <v>B) 3分钟</v>
      </c>
      <c r="L81" s="11" t="str">
        <f>IFERROR(__xludf.DUMMYFUNCTION("GOOGLETRANSLATE(E81, ""en"", ""zh"")"),"#VALUE!")</f>
        <v>#VALUE!</v>
      </c>
      <c r="M81" s="12"/>
      <c r="N81" s="12"/>
      <c r="O81" s="12"/>
      <c r="P81" s="12"/>
      <c r="Q81" s="12"/>
      <c r="R81" s="12"/>
      <c r="S81" s="12"/>
      <c r="T81" s="12"/>
      <c r="U81" s="12"/>
      <c r="V81" s="12"/>
      <c r="W81" s="12"/>
      <c r="X81" s="12"/>
      <c r="Y81" s="12"/>
      <c r="Z81" s="12"/>
      <c r="AA81" s="12"/>
    </row>
    <row r="82">
      <c r="A82" s="21">
        <v>81.0</v>
      </c>
      <c r="B82" s="17" t="s">
        <v>2147</v>
      </c>
      <c r="C82" s="17" t="s">
        <v>2148</v>
      </c>
      <c r="D82" s="17" t="s">
        <v>2149</v>
      </c>
      <c r="E82" s="36"/>
      <c r="F82" s="12"/>
      <c r="G82" s="12"/>
      <c r="H82" s="2"/>
      <c r="I82" s="11" t="str">
        <f>IFERROR(__xludf.DUMMYFUNCTION("GOOGLETRANSLATE(B82, ""en"", ""zh"")"),"屏蔽的目的是什么？")</f>
        <v>屏蔽的目的是什么？</v>
      </c>
      <c r="J82" s="11" t="str">
        <f>IFERROR(__xludf.DUMMYFUNCTION("GOOGLETRANSLATE(C82, ""en"", ""zh"")"),"A) 防守 B) 进攻 C) 得分 D) 耐力")</f>
        <v>A) 防守 B) 进攻 C) 得分 D) 耐力</v>
      </c>
      <c r="K82" s="11" t="str">
        <f>IFERROR(__xludf.DUMMYFUNCTION("GOOGLETRANSLATE(D82, ""en"", ""zh"")"),"A) 国防")</f>
        <v>A) 国防</v>
      </c>
      <c r="L82" s="11" t="str">
        <f>IFERROR(__xludf.DUMMYFUNCTION("GOOGLETRANSLATE(E82, ""en"", ""zh"")"),"#VALUE!")</f>
        <v>#VALUE!</v>
      </c>
      <c r="M82" s="12"/>
      <c r="N82" s="12"/>
      <c r="O82" s="12"/>
      <c r="P82" s="12"/>
      <c r="Q82" s="12"/>
      <c r="R82" s="12"/>
      <c r="S82" s="12"/>
      <c r="T82" s="12"/>
      <c r="U82" s="12"/>
      <c r="V82" s="12"/>
      <c r="W82" s="12"/>
      <c r="X82" s="12"/>
      <c r="Y82" s="12"/>
      <c r="Z82" s="12"/>
      <c r="AA82" s="12"/>
    </row>
    <row r="83">
      <c r="A83" s="21">
        <v>82.0</v>
      </c>
      <c r="B83" s="17" t="s">
        <v>2150</v>
      </c>
      <c r="C83" s="17" t="s">
        <v>2151</v>
      </c>
      <c r="D83" s="17" t="s">
        <v>2152</v>
      </c>
      <c r="E83" s="36"/>
      <c r="F83" s="12"/>
      <c r="G83" s="12"/>
      <c r="H83" s="2"/>
      <c r="I83" s="11" t="str">
        <f>IFERROR(__xludf.DUMMYFUNCTION("GOOGLETRANSLATE(B83, ""en"", ""zh"")"),"在比赛中，以下哪个动作属于违规动作？")</f>
        <v>在比赛中，以下哪个动作属于违规动作？</v>
      </c>
      <c r="J83" s="11" t="str">
        <f>IFERROR(__xludf.DUMMYFUNCTION("GOOGLETRANSLATE(C83, ""en"", ""zh"")"),"A) 头部打击 B) 手部打击 C) 踢击 D) 躯干拳击")</f>
        <v>A) 头部打击 B) 手部打击 C) 踢击 D) 躯干拳击</v>
      </c>
      <c r="K83" s="11" t="str">
        <f>IFERROR(__xludf.DUMMYFUNCTION("GOOGLETRANSLATE(D83, ""en"", ""zh"")"),"A) 头部撞击")</f>
        <v>A) 头部撞击</v>
      </c>
      <c r="L83" s="11" t="str">
        <f>IFERROR(__xludf.DUMMYFUNCTION("GOOGLETRANSLATE(E83, ""en"", ""zh"")"),"#VALUE!")</f>
        <v>#VALUE!</v>
      </c>
      <c r="M83" s="12"/>
      <c r="N83" s="12"/>
      <c r="O83" s="12"/>
      <c r="P83" s="12"/>
      <c r="Q83" s="12"/>
      <c r="R83" s="12"/>
      <c r="S83" s="12"/>
      <c r="T83" s="12"/>
      <c r="U83" s="12"/>
      <c r="V83" s="12"/>
      <c r="W83" s="12"/>
      <c r="X83" s="12"/>
      <c r="Y83" s="12"/>
      <c r="Z83" s="12"/>
      <c r="AA83" s="12"/>
    </row>
    <row r="84">
      <c r="A84" s="21">
        <v>83.0</v>
      </c>
      <c r="B84" s="17" t="s">
        <v>2153</v>
      </c>
      <c r="C84" s="17" t="s">
        <v>2154</v>
      </c>
      <c r="D84" s="17" t="s">
        <v>2155</v>
      </c>
      <c r="E84" s="36"/>
      <c r="F84" s="12"/>
      <c r="G84" s="12"/>
      <c r="H84" s="2"/>
      <c r="I84" s="11" t="str">
        <f>IFERROR(__xludf.DUMMYFUNCTION("GOOGLETRANSLATE(B84, ""en"", ""zh"")"),"咏春拳中的“黐手”是什么？")</f>
        <v>咏春拳中的“黐手”是什么？</v>
      </c>
      <c r="J84" s="11" t="str">
        <f>IFERROR(__xludf.DUMMYFUNCTION("GOOGLETRANSLATE(C84, ""en"", ""zh"")"),"A) 粘手练习 B) 高踢 C) 拳击组合 D) 擒拿")</f>
        <v>A) 粘手练习 B) 高踢 C) 拳击组合 D) 擒拿</v>
      </c>
      <c r="K84" s="11" t="str">
        <f>IFERROR(__xludf.DUMMYFUNCTION("GOOGLETRANSLATE(D84, ""en"", ""zh"")"),"A) 粘手钻")</f>
        <v>A) 粘手钻</v>
      </c>
      <c r="L84" s="11" t="str">
        <f>IFERROR(__xludf.DUMMYFUNCTION("GOOGLETRANSLATE(E84, ""en"", ""zh"")"),"#VALUE!")</f>
        <v>#VALUE!</v>
      </c>
      <c r="M84" s="12"/>
      <c r="N84" s="12"/>
      <c r="O84" s="12"/>
      <c r="P84" s="12"/>
      <c r="Q84" s="12"/>
      <c r="R84" s="12"/>
      <c r="S84" s="12"/>
      <c r="T84" s="12"/>
      <c r="U84" s="12"/>
      <c r="V84" s="12"/>
      <c r="W84" s="12"/>
      <c r="X84" s="12"/>
      <c r="Y84" s="12"/>
      <c r="Z84" s="12"/>
      <c r="AA84" s="12"/>
    </row>
    <row r="85">
      <c r="A85" s="21">
        <v>84.0</v>
      </c>
      <c r="B85" s="17" t="s">
        <v>2156</v>
      </c>
      <c r="C85" s="17" t="s">
        <v>2157</v>
      </c>
      <c r="D85" s="17" t="s">
        <v>2158</v>
      </c>
      <c r="E85" s="36"/>
      <c r="F85" s="12"/>
      <c r="G85" s="12"/>
      <c r="H85" s="2"/>
      <c r="I85" s="11" t="str">
        <f>IFERROR(__xludf.DUMMYFUNCTION("GOOGLETRANSLATE(B85, ""en"", ""zh"")"),"表单的起始位置是什么？")</f>
        <v>表单的起始位置是什么？</v>
      </c>
      <c r="J85" s="11" t="str">
        <f>IFERROR(__xludf.DUMMYFUNCTION("GOOGLETRANSLATE(C85, ""en"", ""zh"")"),"A) 预备姿势 B) 马步 C) 弓步 D) 侧步")</f>
        <v>A) 预备姿势 B) 马步 C) 弓步 D) 侧步</v>
      </c>
      <c r="K85" s="11" t="str">
        <f>IFERROR(__xludf.DUMMYFUNCTION("GOOGLETRANSLATE(D85, ""en"", ""zh"")"),"A) 预备姿势")</f>
        <v>A) 预备姿势</v>
      </c>
      <c r="L85" s="11" t="str">
        <f>IFERROR(__xludf.DUMMYFUNCTION("GOOGLETRANSLATE(E85, ""en"", ""zh"")"),"#VALUE!")</f>
        <v>#VALUE!</v>
      </c>
      <c r="M85" s="12"/>
      <c r="N85" s="12"/>
      <c r="O85" s="12"/>
      <c r="P85" s="12"/>
      <c r="Q85" s="12"/>
      <c r="R85" s="12"/>
      <c r="S85" s="12"/>
      <c r="T85" s="12"/>
      <c r="U85" s="12"/>
      <c r="V85" s="12"/>
      <c r="W85" s="12"/>
      <c r="X85" s="12"/>
      <c r="Y85" s="12"/>
      <c r="Z85" s="12"/>
      <c r="AA85" s="12"/>
    </row>
    <row r="86">
      <c r="A86" s="21">
        <v>85.0</v>
      </c>
      <c r="B86" s="17" t="s">
        <v>2159</v>
      </c>
      <c r="C86" s="17" t="s">
        <v>2160</v>
      </c>
      <c r="D86" s="17" t="s">
        <v>2161</v>
      </c>
      <c r="E86" s="36"/>
      <c r="F86" s="12"/>
      <c r="G86" s="12"/>
      <c r="H86" s="2"/>
      <c r="I86" s="11" t="str">
        <f>IFERROR(__xludf.DUMMYFUNCTION("GOOGLETRANSLATE(B86, ""en"", ""zh"")"),"练习者应该如何呼吸？")</f>
        <v>练习者应该如何呼吸？</v>
      </c>
      <c r="J86" s="11" t="str">
        <f>IFERROR(__xludf.DUMMYFUNCTION("GOOGLETRANSLATE(C86, ""en"", ""zh"")"),"A) 深而受控的呼吸 B) 浅的呼吸 C) 随机的呼吸 D) 屏住呼吸")</f>
        <v>A) 深而受控的呼吸 B) 浅的呼吸 C) 随机的呼吸 D) 屏住呼吸</v>
      </c>
      <c r="K86" s="11" t="str">
        <f>IFERROR(__xludf.DUMMYFUNCTION("GOOGLETRANSLATE(D86, ""en"", ""zh"")"),"A) 深层且受控")</f>
        <v>A) 深层且受控</v>
      </c>
      <c r="L86" s="11" t="str">
        <f>IFERROR(__xludf.DUMMYFUNCTION("GOOGLETRANSLATE(E86, ""en"", ""zh"")"),"#VALUE!")</f>
        <v>#VALUE!</v>
      </c>
      <c r="M86" s="12"/>
      <c r="N86" s="12"/>
      <c r="O86" s="12"/>
      <c r="P86" s="12"/>
      <c r="Q86" s="12"/>
      <c r="R86" s="12"/>
      <c r="S86" s="12"/>
      <c r="T86" s="12"/>
      <c r="U86" s="12"/>
      <c r="V86" s="12"/>
      <c r="W86" s="12"/>
      <c r="X86" s="12"/>
      <c r="Y86" s="12"/>
      <c r="Z86" s="12"/>
      <c r="AA86" s="12"/>
    </row>
    <row r="87">
      <c r="A87" s="21">
        <v>86.0</v>
      </c>
      <c r="B87" s="17" t="s">
        <v>2162</v>
      </c>
      <c r="C87" s="17" t="s">
        <v>2163</v>
      </c>
      <c r="D87" s="17" t="s">
        <v>2164</v>
      </c>
      <c r="E87" s="36"/>
      <c r="F87" s="12"/>
      <c r="G87" s="12"/>
      <c r="H87" s="2"/>
      <c r="I87" s="11" t="str">
        <f>IFERROR(__xludf.DUMMYFUNCTION("GOOGLETRANSLATE(B87, ""en"", ""zh"")"),"用哪种技巧来破坏对手的平衡？")</f>
        <v>用哪种技巧来破坏对手的平衡？</v>
      </c>
      <c r="J87" s="11" t="str">
        <f>IFERROR(__xludf.DUMMYFUNCTION("GOOGLETRANSLATE(C87, ""en"", ""zh"")"),"A) 扫腿 B) 拳击 C) 踢腿 D) 打击")</f>
        <v>A) 扫腿 B) 拳击 C) 踢腿 D) 打击</v>
      </c>
      <c r="K87" s="11" t="str">
        <f>IFERROR(__xludf.DUMMYFUNCTION("GOOGLETRANSLATE(D87, ""en"", ""zh"")"),"A) 扫")</f>
        <v>A) 扫</v>
      </c>
      <c r="L87" s="11" t="str">
        <f>IFERROR(__xludf.DUMMYFUNCTION("GOOGLETRANSLATE(E87, ""en"", ""zh"")"),"#VALUE!")</f>
        <v>#VALUE!</v>
      </c>
      <c r="M87" s="12"/>
      <c r="N87" s="12"/>
      <c r="O87" s="12"/>
      <c r="P87" s="12"/>
      <c r="Q87" s="12"/>
      <c r="R87" s="12"/>
      <c r="S87" s="12"/>
      <c r="T87" s="12"/>
      <c r="U87" s="12"/>
      <c r="V87" s="12"/>
      <c r="W87" s="12"/>
      <c r="X87" s="12"/>
      <c r="Y87" s="12"/>
      <c r="Z87" s="12"/>
      <c r="AA87" s="12"/>
    </row>
    <row r="88">
      <c r="A88" s="21">
        <v>87.0</v>
      </c>
      <c r="B88" s="17" t="s">
        <v>2165</v>
      </c>
      <c r="C88" s="17" t="s">
        <v>2166</v>
      </c>
      <c r="D88" s="17" t="s">
        <v>2167</v>
      </c>
      <c r="E88" s="36"/>
      <c r="F88" s="12"/>
      <c r="G88" s="12"/>
      <c r="H88" s="2"/>
      <c r="I88" s="11" t="str">
        <f>IFERROR(__xludf.DUMMYFUNCTION("GOOGLETRANSLATE(B88, ""en"", ""zh"")"),"什么是“阻击与反击”策略？")</f>
        <v>什么是“阻击与反击”策略？</v>
      </c>
      <c r="J88" s="11" t="str">
        <f>IFERROR(__xludf.DUMMYFUNCTION("GOOGLETRANSLATE(C88, ""en"", ""zh"")"),"A) 先防守后立即进攻 B) 只防守 C) 只进攻 D) 跳开")</f>
        <v>A) 先防守后立即进攻 B) 只防守 C) 只进攻 D) 跳开</v>
      </c>
      <c r="K88" s="11" t="str">
        <f>IFERROR(__xludf.DUMMYFUNCTION("GOOGLETRANSLATE(D88, ""en"", ""zh"")"),"A）先防守，然后立即进攻")</f>
        <v>A）先防守，然后立即进攻</v>
      </c>
      <c r="L88" s="11" t="str">
        <f>IFERROR(__xludf.DUMMYFUNCTION("GOOGLETRANSLATE(E88, ""en"", ""zh"")"),"#VALUE!")</f>
        <v>#VALUE!</v>
      </c>
      <c r="M88" s="12"/>
      <c r="N88" s="12"/>
      <c r="O88" s="12"/>
      <c r="P88" s="12"/>
      <c r="Q88" s="12"/>
      <c r="R88" s="12"/>
      <c r="S88" s="12"/>
      <c r="T88" s="12"/>
      <c r="U88" s="12"/>
      <c r="V88" s="12"/>
      <c r="W88" s="12"/>
      <c r="X88" s="12"/>
      <c r="Y88" s="12"/>
      <c r="Z88" s="12"/>
      <c r="AA88" s="12"/>
    </row>
    <row r="89">
      <c r="A89" s="21">
        <v>88.0</v>
      </c>
      <c r="B89" s="17" t="s">
        <v>2168</v>
      </c>
      <c r="C89" s="17" t="s">
        <v>2169</v>
      </c>
      <c r="D89" s="17" t="s">
        <v>2170</v>
      </c>
      <c r="E89" s="36"/>
      <c r="F89" s="12"/>
      <c r="G89" s="12"/>
      <c r="H89" s="2"/>
      <c r="I89" s="11" t="str">
        <f>IFERROR(__xludf.DUMMYFUNCTION("GOOGLETRANSLATE(B89, ""en"", ""zh"")"),"哪个动作对速度至关重要？")</f>
        <v>哪个动作对速度至关重要？</v>
      </c>
      <c r="J89" s="11" t="str">
        <f>IFERROR(__xludf.DUMMYFUNCTION("GOOGLETRANSLATE(C89, ""en"", ""zh"")"),"A) 步法 B) 站姿 C) 拳击 D) 呼吸")</f>
        <v>A) 步法 B) 站姿 C) 拳击 D) 呼吸</v>
      </c>
      <c r="K89" s="11" t="str">
        <f>IFERROR(__xludf.DUMMYFUNCTION("GOOGLETRANSLATE(D89, ""en"", ""zh"")"),"A) 步法")</f>
        <v>A) 步法</v>
      </c>
      <c r="L89" s="11" t="str">
        <f>IFERROR(__xludf.DUMMYFUNCTION("GOOGLETRANSLATE(E89, ""en"", ""zh"")"),"#VALUE!")</f>
        <v>#VALUE!</v>
      </c>
      <c r="M89" s="12"/>
      <c r="N89" s="12"/>
      <c r="O89" s="12"/>
      <c r="P89" s="12"/>
      <c r="Q89" s="12"/>
      <c r="R89" s="12"/>
      <c r="S89" s="12"/>
      <c r="T89" s="12"/>
      <c r="U89" s="12"/>
      <c r="V89" s="12"/>
      <c r="W89" s="12"/>
      <c r="X89" s="12"/>
      <c r="Y89" s="12"/>
      <c r="Z89" s="12"/>
      <c r="AA89" s="12"/>
    </row>
    <row r="90">
      <c r="A90" s="21">
        <v>89.0</v>
      </c>
      <c r="B90" s="17" t="s">
        <v>2171</v>
      </c>
      <c r="C90" s="17" t="s">
        <v>2172</v>
      </c>
      <c r="D90" s="17" t="s">
        <v>2173</v>
      </c>
      <c r="E90" s="36"/>
      <c r="F90" s="12"/>
      <c r="G90" s="12"/>
      <c r="H90" s="2"/>
      <c r="I90" s="11" t="str">
        <f>IFERROR(__xludf.DUMMYFUNCTION("GOOGLETRANSLATE(B90, ""en"", ""zh"")"),"如何安全地进行实战练习？")</f>
        <v>如何安全地进行实战练习？</v>
      </c>
      <c r="J90" s="11" t="str">
        <f>IFERROR(__xludf.DUMMYFUNCTION("GOOGLETRANSLATE(C90, ""en"", ""zh"")"),"A) 防护装备 B) 赤手空拳 C) 全力攻击 D) 随机攻击")</f>
        <v>A) 防护装备 B) 赤手空拳 C) 全力攻击 D) 随机攻击</v>
      </c>
      <c r="K90" s="11" t="str">
        <f>IFERROR(__xludf.DUMMYFUNCTION("GOOGLETRANSLATE(D90, ""en"", ""zh"")"),"A) 防护装备")</f>
        <v>A) 防护装备</v>
      </c>
      <c r="L90" s="11" t="str">
        <f>IFERROR(__xludf.DUMMYFUNCTION("GOOGLETRANSLATE(E90, ""en"", ""zh"")"),"#VALUE!")</f>
        <v>#VALUE!</v>
      </c>
      <c r="M90" s="12"/>
      <c r="N90" s="12"/>
      <c r="O90" s="12"/>
      <c r="P90" s="12"/>
      <c r="Q90" s="12"/>
      <c r="R90" s="12"/>
      <c r="S90" s="12"/>
      <c r="T90" s="12"/>
      <c r="U90" s="12"/>
      <c r="V90" s="12"/>
      <c r="W90" s="12"/>
      <c r="X90" s="12"/>
      <c r="Y90" s="12"/>
      <c r="Z90" s="12"/>
      <c r="AA90" s="12"/>
    </row>
    <row r="91">
      <c r="A91" s="21">
        <v>90.0</v>
      </c>
      <c r="B91" s="17" t="s">
        <v>2174</v>
      </c>
      <c r="C91" s="17" t="s">
        <v>2175</v>
      </c>
      <c r="D91" s="17" t="s">
        <v>2176</v>
      </c>
      <c r="E91" s="36"/>
      <c r="F91" s="12"/>
      <c r="G91" s="12"/>
      <c r="H91" s="2"/>
      <c r="I91" s="11" t="str">
        <f>IFERROR(__xludf.DUMMYFUNCTION("GOOGLETRANSLATE(B91, ""en"", ""zh"")"),"哪种武术是现代功夫的前身？")</f>
        <v>哪种武术是现代功夫的前身？</v>
      </c>
      <c r="J91" s="11" t="str">
        <f>IFERROR(__xludf.DUMMYFUNCTION("GOOGLETRANSLATE(C91, ""en"", ""zh"")"),"A) 少林寺训练 B) 空手道 C) 跆拳道 D) 柔道")</f>
        <v>A) 少林寺训练 B) 空手道 C) 跆拳道 D) 柔道</v>
      </c>
      <c r="K91" s="11" t="str">
        <f>IFERROR(__xludf.DUMMYFUNCTION("GOOGLETRANSLATE(D91, ""en"", ""zh"")"),"A) 少林寺训练")</f>
        <v>A) 少林寺训练</v>
      </c>
      <c r="L91" s="11" t="str">
        <f>IFERROR(__xludf.DUMMYFUNCTION("GOOGLETRANSLATE(E91, ""en"", ""zh"")"),"#VALUE!")</f>
        <v>#VALUE!</v>
      </c>
      <c r="M91" s="12"/>
      <c r="N91" s="12"/>
      <c r="O91" s="12"/>
      <c r="P91" s="12"/>
      <c r="Q91" s="12"/>
      <c r="R91" s="12"/>
      <c r="S91" s="12"/>
      <c r="T91" s="12"/>
      <c r="U91" s="12"/>
      <c r="V91" s="12"/>
      <c r="W91" s="12"/>
      <c r="X91" s="12"/>
      <c r="Y91" s="12"/>
      <c r="Z91" s="12"/>
      <c r="AA91" s="12"/>
    </row>
    <row r="92">
      <c r="A92" s="21">
        <v>91.0</v>
      </c>
      <c r="B92" s="17" t="s">
        <v>2177</v>
      </c>
      <c r="C92" s="17" t="s">
        <v>2178</v>
      </c>
      <c r="D92" s="17" t="s">
        <v>2179</v>
      </c>
      <c r="E92" s="36"/>
      <c r="F92" s="12"/>
      <c r="G92" s="12"/>
      <c r="H92" s="2"/>
      <c r="I92" s="11" t="str">
        <f>IFERROR(__xludf.DUMMYFUNCTION("GOOGLETRANSLATE(B92, ""en"", ""zh"")"),"罢工中是如何产生能量的？")</f>
        <v>罢工中是如何产生能量的？</v>
      </c>
      <c r="J92" s="11" t="str">
        <f>IFERROR(__xludf.DUMMYFUNCTION("GOOGLETRANSLATE(C92, ""en"", ""zh"")"),"A) 髋部旋转 B) 仅手臂力量 C) 抬腿 D) 肩部扭转")</f>
        <v>A) 髋部旋转 B) 仅手臂力量 C) 抬腿 D) 肩部扭转</v>
      </c>
      <c r="K92" s="11" t="str">
        <f>IFERROR(__xludf.DUMMYFUNCTION("GOOGLETRANSLATE(D92, ""en"", ""zh"")"),"A) 髋关节旋转")</f>
        <v>A) 髋关节旋转</v>
      </c>
      <c r="L92" s="11" t="str">
        <f>IFERROR(__xludf.DUMMYFUNCTION("GOOGLETRANSLATE(E92, ""en"", ""zh"")"),"#VALUE!")</f>
        <v>#VALUE!</v>
      </c>
      <c r="M92" s="12"/>
      <c r="N92" s="12"/>
      <c r="O92" s="12"/>
      <c r="P92" s="12"/>
      <c r="Q92" s="12"/>
      <c r="R92" s="12"/>
      <c r="S92" s="12"/>
      <c r="T92" s="12"/>
      <c r="U92" s="12"/>
      <c r="V92" s="12"/>
      <c r="W92" s="12"/>
      <c r="X92" s="12"/>
      <c r="Y92" s="12"/>
      <c r="Z92" s="12"/>
      <c r="AA92" s="12"/>
    </row>
    <row r="93">
      <c r="A93" s="21">
        <v>92.0</v>
      </c>
      <c r="B93" s="17" t="s">
        <v>2180</v>
      </c>
      <c r="C93" s="17" t="s">
        <v>2181</v>
      </c>
      <c r="D93" s="17" t="s">
        <v>2182</v>
      </c>
      <c r="E93" s="36"/>
      <c r="F93" s="12"/>
      <c r="G93" s="12"/>
      <c r="H93" s="2"/>
      <c r="I93" s="11" t="str">
        <f>IFERROR(__xludf.DUMMYFUNCTION("GOOGLETRANSLATE(B93, ""en"", ""zh"")"),"哪种踢法针对的是腹部中段？")</f>
        <v>哪种踢法针对的是腹部中段？</v>
      </c>
      <c r="J93" s="11" t="str">
        <f>IFERROR(__xludf.DUMMYFUNCTION("GOOGLETRANSLATE(C93, ""en"", ""zh"")"),"A) 前踢 B) 回旋踢 C) 侧踢 D) 转身后踢")</f>
        <v>A) 前踢 B) 回旋踢 C) 侧踢 D) 转身后踢</v>
      </c>
      <c r="K93" s="11" t="str">
        <f>IFERROR(__xludf.DUMMYFUNCTION("GOOGLETRANSLATE(D93, ""en"", ""zh"")"),"A) 前踢")</f>
        <v>A) 前踢</v>
      </c>
      <c r="L93" s="11" t="str">
        <f>IFERROR(__xludf.DUMMYFUNCTION("GOOGLETRANSLATE(E93, ""en"", ""zh"")"),"#VALUE!")</f>
        <v>#VALUE!</v>
      </c>
      <c r="M93" s="12"/>
      <c r="N93" s="12"/>
      <c r="O93" s="12"/>
      <c r="P93" s="12"/>
      <c r="Q93" s="12"/>
      <c r="R93" s="12"/>
      <c r="S93" s="12"/>
      <c r="T93" s="12"/>
      <c r="U93" s="12"/>
      <c r="V93" s="12"/>
      <c r="W93" s="12"/>
      <c r="X93" s="12"/>
      <c r="Y93" s="12"/>
      <c r="Z93" s="12"/>
      <c r="AA93" s="12"/>
    </row>
    <row r="94">
      <c r="A94" s="21">
        <v>93.0</v>
      </c>
      <c r="B94" s="17" t="s">
        <v>2183</v>
      </c>
      <c r="C94" s="17" t="s">
        <v>2184</v>
      </c>
      <c r="D94" s="17" t="s">
        <v>2185</v>
      </c>
      <c r="E94" s="36"/>
      <c r="F94" s="12"/>
      <c r="G94" s="12"/>
      <c r="H94" s="2"/>
      <c r="I94" s="11" t="str">
        <f>IFERROR(__xludf.DUMMYFUNCTION("GOOGLETRANSLATE(B94, ""en"", ""zh"")"),"什么是“铁布衫”训练？")</f>
        <v>什么是“铁布衫”训练？</v>
      </c>
      <c r="J94" s="11" t="str">
        <f>IFERROR(__xludf.DUMMYFUNCTION("GOOGLETRANSLATE(C94, ""en"", ""zh"")"),"A) 体能训练 B) 武器使用 C) 冥想 D) 套路练习")</f>
        <v>A) 体能训练 B) 武器使用 C) 冥想 D) 套路练习</v>
      </c>
      <c r="K94" s="11" t="str">
        <f>IFERROR(__xludf.DUMMYFUNCTION("GOOGLETRANSLATE(D94, ""en"", ""zh"")"),"A) 身体调理")</f>
        <v>A) 身体调理</v>
      </c>
      <c r="L94" s="11" t="str">
        <f>IFERROR(__xludf.DUMMYFUNCTION("GOOGLETRANSLATE(E94, ""en"", ""zh"")"),"#VALUE!")</f>
        <v>#VALUE!</v>
      </c>
      <c r="M94" s="12"/>
      <c r="N94" s="12"/>
      <c r="O94" s="12"/>
      <c r="P94" s="12"/>
      <c r="Q94" s="12"/>
      <c r="R94" s="12"/>
      <c r="S94" s="12"/>
      <c r="T94" s="12"/>
      <c r="U94" s="12"/>
      <c r="V94" s="12"/>
      <c r="W94" s="12"/>
      <c r="X94" s="12"/>
      <c r="Y94" s="12"/>
      <c r="Z94" s="12"/>
      <c r="AA94" s="12"/>
    </row>
    <row r="95">
      <c r="A95" s="21">
        <v>94.0</v>
      </c>
      <c r="B95" s="17" t="s">
        <v>2186</v>
      </c>
      <c r="C95" s="17" t="s">
        <v>2187</v>
      </c>
      <c r="D95" s="17" t="s">
        <v>2188</v>
      </c>
      <c r="E95" s="36"/>
      <c r="F95" s="12"/>
      <c r="G95" s="12"/>
      <c r="H95" s="2"/>
      <c r="I95" s="11" t="str">
        <f>IFERROR(__xludf.DUMMYFUNCTION("GOOGLETRANSLATE(B95, ""en"", ""zh"")"),"如何评判高水平的比赛形式？")</f>
        <v>如何评判高水平的比赛形式？</v>
      </c>
      <c r="J95" s="11" t="str">
        <f>IFERROR(__xludf.DUMMYFUNCTION("GOOGLETRANSLATE(C95, ""en"", ""zh"")"),"A) 准确性、流畅性、力量 B) 观众反应 C) 跳跃次数 D) 仅速度")</f>
        <v>A) 准确性、流畅性、力量 B) 观众反应 C) 跳跃次数 D) 仅速度</v>
      </c>
      <c r="K95" s="11" t="str">
        <f>IFERROR(__xludf.DUMMYFUNCTION("GOOGLETRANSLATE(D95, ""en"", ""zh"")"),"A) 准确性、流畅性、强度")</f>
        <v>A) 准确性、流畅性、强度</v>
      </c>
      <c r="L95" s="11" t="str">
        <f>IFERROR(__xludf.DUMMYFUNCTION("GOOGLETRANSLATE(E95, ""en"", ""zh"")"),"#VALUE!")</f>
        <v>#VALUE!</v>
      </c>
      <c r="M95" s="12"/>
      <c r="N95" s="12"/>
      <c r="O95" s="12"/>
      <c r="P95" s="12"/>
      <c r="Q95" s="12"/>
      <c r="R95" s="12"/>
      <c r="S95" s="12"/>
      <c r="T95" s="12"/>
      <c r="U95" s="12"/>
      <c r="V95" s="12"/>
      <c r="W95" s="12"/>
      <c r="X95" s="12"/>
      <c r="Y95" s="12"/>
      <c r="Z95" s="12"/>
      <c r="AA95" s="12"/>
    </row>
    <row r="96">
      <c r="A96" s="21">
        <v>95.0</v>
      </c>
      <c r="B96" s="17" t="s">
        <v>2189</v>
      </c>
      <c r="C96" s="17" t="s">
        <v>2190</v>
      </c>
      <c r="D96" s="17" t="s">
        <v>2191</v>
      </c>
      <c r="E96" s="36"/>
      <c r="F96" s="12"/>
      <c r="G96" s="12"/>
      <c r="H96" s="2"/>
      <c r="I96" s="11" t="str">
        <f>IFERROR(__xludf.DUMMYFUNCTION("GOOGLETRANSLATE(B96, ""en"", ""zh"")"),"功夫中的冥想有什么目的？")</f>
        <v>功夫中的冥想有什么目的？</v>
      </c>
      <c r="J96" s="11" t="str">
        <f>IFERROR(__xludf.DUMMYFUNCTION("GOOGLETRANSLATE(C96, ""en"", ""zh"")"),"A) 专注力和能量控制 B) 力量训练 C) 踢腿技巧 D) 耐力训练")</f>
        <v>A) 专注力和能量控制 B) 力量训练 C) 踢腿技巧 D) 耐力训练</v>
      </c>
      <c r="K96" s="11" t="str">
        <f>IFERROR(__xludf.DUMMYFUNCTION("GOOGLETRANSLATE(D96, ""en"", ""zh"")"),"A) 专注力和精力控制")</f>
        <v>A) 专注力和精力控制</v>
      </c>
      <c r="L96" s="11" t="str">
        <f>IFERROR(__xludf.DUMMYFUNCTION("GOOGLETRANSLATE(E96, ""en"", ""zh"")"),"#VALUE!")</f>
        <v>#VALUE!</v>
      </c>
      <c r="M96" s="12"/>
      <c r="N96" s="12"/>
      <c r="O96" s="12"/>
      <c r="P96" s="12"/>
      <c r="Q96" s="12"/>
      <c r="R96" s="12"/>
      <c r="S96" s="12"/>
      <c r="T96" s="12"/>
      <c r="U96" s="12"/>
      <c r="V96" s="12"/>
      <c r="W96" s="12"/>
      <c r="X96" s="12"/>
      <c r="Y96" s="12"/>
      <c r="Z96" s="12"/>
      <c r="AA96" s="12"/>
    </row>
    <row r="97">
      <c r="A97" s="21">
        <v>96.0</v>
      </c>
      <c r="B97" s="17" t="s">
        <v>2192</v>
      </c>
      <c r="C97" s="17" t="s">
        <v>2193</v>
      </c>
      <c r="D97" s="17" t="s">
        <v>2194</v>
      </c>
      <c r="E97" s="36"/>
      <c r="F97" s="12"/>
      <c r="G97" s="12"/>
      <c r="H97" s="2"/>
      <c r="I97" s="11" t="str">
        <f>IFERROR(__xludf.DUMMYFUNCTION("GOOGLETRANSLATE(B97, ""en"", ""zh"")"),"如何使出回旋踢？")</f>
        <v>如何使出回旋踢？</v>
      </c>
      <c r="J97" s="11" t="str">
        <f>IFERROR(__xludf.DUMMYFUNCTION("GOOGLETRANSLATE(C97, ""en"", ""zh"")"),"A) 腿部圆周运动 B) 前冲 C) 侧踢 D) 后踢")</f>
        <v>A) 腿部圆周运动 B) 前冲 C) 侧踢 D) 后踢</v>
      </c>
      <c r="K97" s="11" t="str">
        <f>IFERROR(__xludf.DUMMYFUNCTION("GOOGLETRANSLATE(D97, ""en"", ""zh"")"),"A) 腿部做圆周运动")</f>
        <v>A) 腿部做圆周运动</v>
      </c>
      <c r="L97" s="11" t="str">
        <f>IFERROR(__xludf.DUMMYFUNCTION("GOOGLETRANSLATE(E97, ""en"", ""zh"")"),"#VALUE!")</f>
        <v>#VALUE!</v>
      </c>
      <c r="M97" s="12"/>
      <c r="N97" s="12"/>
      <c r="O97" s="12"/>
      <c r="P97" s="12"/>
      <c r="Q97" s="12"/>
      <c r="R97" s="12"/>
      <c r="S97" s="12"/>
      <c r="T97" s="12"/>
      <c r="U97" s="12"/>
      <c r="V97" s="12"/>
      <c r="W97" s="12"/>
      <c r="X97" s="12"/>
      <c r="Y97" s="12"/>
      <c r="Z97" s="12"/>
      <c r="AA97" s="12"/>
    </row>
    <row r="98">
      <c r="A98" s="21">
        <v>97.0</v>
      </c>
      <c r="B98" s="17" t="s">
        <v>2195</v>
      </c>
      <c r="C98" s="17" t="s">
        <v>2196</v>
      </c>
      <c r="D98" s="17" t="s">
        <v>1909</v>
      </c>
      <c r="E98" s="36"/>
      <c r="F98" s="12"/>
      <c r="G98" s="12"/>
      <c r="H98" s="2"/>
      <c r="I98" s="11" t="str">
        <f>IFERROR(__xludf.DUMMYFUNCTION("GOOGLETRANSLATE(B98, ""en"", ""zh"")"),"哪种风格更注重手部技巧？")</f>
        <v>哪种风格更注重手部技巧？</v>
      </c>
      <c r="J98" s="11" t="str">
        <f>IFERROR(__xludf.DUMMYFUNCTION("GOOGLETRANSLATE(C98, ""en"", ""zh"")"),"A)咏春拳 B)少林拳 C)北鹤拳 D)太极拳")</f>
        <v>A)咏春拳 B)少林拳 C)北鹤拳 D)太极拳</v>
      </c>
      <c r="K98" s="11" t="str">
        <f>IFERROR(__xludf.DUMMYFUNCTION("GOOGLETRANSLATE(D98, ""en"", ""zh"")"),"A)咏春拳")</f>
        <v>A)咏春拳</v>
      </c>
      <c r="L98" s="11" t="str">
        <f>IFERROR(__xludf.DUMMYFUNCTION("GOOGLETRANSLATE(E98, ""en"", ""zh"")"),"#VALUE!")</f>
        <v>#VALUE!</v>
      </c>
      <c r="M98" s="12"/>
      <c r="N98" s="12"/>
      <c r="O98" s="12"/>
      <c r="P98" s="12"/>
      <c r="Q98" s="12"/>
      <c r="R98" s="12"/>
      <c r="S98" s="12"/>
      <c r="T98" s="12"/>
      <c r="U98" s="12"/>
      <c r="V98" s="12"/>
      <c r="W98" s="12"/>
      <c r="X98" s="12"/>
      <c r="Y98" s="12"/>
      <c r="Z98" s="12"/>
      <c r="AA98" s="12"/>
    </row>
    <row r="99">
      <c r="A99" s="21">
        <v>98.0</v>
      </c>
      <c r="B99" s="17" t="s">
        <v>2197</v>
      </c>
      <c r="C99" s="17" t="s">
        <v>2198</v>
      </c>
      <c r="D99" s="17" t="s">
        <v>2199</v>
      </c>
      <c r="E99" s="36"/>
      <c r="F99" s="12"/>
      <c r="G99" s="12"/>
      <c r="H99" s="2"/>
      <c r="I99" s="11" t="str">
        <f>IFERROR(__xludf.DUMMYFUNCTION("GOOGLETRANSLATE(B99, ""en"", ""zh"")"),"比赛中通常会表演多少种套路？")</f>
        <v>比赛中通常会表演多少种套路？</v>
      </c>
      <c r="J99" s="11" t="str">
        <f>IFERROR(__xludf.DUMMYFUNCTION("GOOGLETRANSLATE(C99, ""en"", ""zh"")"),"A) 1-3 B) 5-7 C) 10 D) 8-12")</f>
        <v>A) 1-3 B) 5-7 C) 10 D) 8-12</v>
      </c>
      <c r="K99" s="11" t="str">
        <f>IFERROR(__xludf.DUMMYFUNCTION("GOOGLETRANSLATE(D99, ""en"", ""zh"")"),"A) 1–3")</f>
        <v>A) 1–3</v>
      </c>
      <c r="L99" s="11" t="str">
        <f>IFERROR(__xludf.DUMMYFUNCTION("GOOGLETRANSLATE(E99, ""en"", ""zh"")"),"#VALUE!")</f>
        <v>#VALUE!</v>
      </c>
      <c r="M99" s="12"/>
      <c r="N99" s="12"/>
      <c r="O99" s="12"/>
      <c r="P99" s="12"/>
      <c r="Q99" s="12"/>
      <c r="R99" s="12"/>
      <c r="S99" s="12"/>
      <c r="T99" s="12"/>
      <c r="U99" s="12"/>
      <c r="V99" s="12"/>
      <c r="W99" s="12"/>
      <c r="X99" s="12"/>
      <c r="Y99" s="12"/>
      <c r="Z99" s="12"/>
      <c r="AA99" s="12"/>
    </row>
    <row r="100">
      <c r="A100" s="21">
        <v>99.0</v>
      </c>
      <c r="B100" s="17" t="s">
        <v>2200</v>
      </c>
      <c r="C100" s="17" t="s">
        <v>2201</v>
      </c>
      <c r="D100" s="17" t="s">
        <v>2202</v>
      </c>
      <c r="E100" s="36"/>
      <c r="F100" s="12"/>
      <c r="G100" s="12"/>
      <c r="H100" s="2"/>
      <c r="I100" s="11" t="str">
        <f>IFERROR(__xludf.DUMMYFUNCTION("GOOGLETRANSLATE(B100, ""en"", ""zh"")"),"功夫中的“刺拳”是什么？")</f>
        <v>功夫中的“刺拳”是什么？</v>
      </c>
      <c r="J100" s="11" t="str">
        <f>IFERROR(__xludf.DUMMYFUNCTION("GOOGLETRANSLATE(C100, ""en"", ""zh"")"),"A) 快速直拳 B) 回旋踢 C) 扫腿 D) 抓取")</f>
        <v>A) 快速直拳 B) 回旋踢 C) 扫腿 D) 抓取</v>
      </c>
      <c r="K100" s="11" t="str">
        <f>IFERROR(__xludf.DUMMYFUNCTION("GOOGLETRANSLATE(D100, ""en"", ""zh"")"),"A) 快速直拳")</f>
        <v>A) 快速直拳</v>
      </c>
      <c r="L100" s="11" t="str">
        <f>IFERROR(__xludf.DUMMYFUNCTION("GOOGLETRANSLATE(E100, ""en"", ""zh"")"),"#VALUE!")</f>
        <v>#VALUE!</v>
      </c>
      <c r="M100" s="12"/>
      <c r="N100" s="12"/>
      <c r="O100" s="12"/>
      <c r="P100" s="12"/>
      <c r="Q100" s="12"/>
      <c r="R100" s="12"/>
      <c r="S100" s="12"/>
      <c r="T100" s="12"/>
      <c r="U100" s="12"/>
      <c r="V100" s="12"/>
      <c r="W100" s="12"/>
      <c r="X100" s="12"/>
      <c r="Y100" s="12"/>
      <c r="Z100" s="12"/>
      <c r="AA100" s="12"/>
    </row>
    <row r="101">
      <c r="A101" s="21">
        <v>100.0</v>
      </c>
      <c r="B101" s="17" t="s">
        <v>2203</v>
      </c>
      <c r="C101" s="17" t="s">
        <v>2204</v>
      </c>
      <c r="D101" s="17" t="s">
        <v>2205</v>
      </c>
      <c r="E101" s="36"/>
      <c r="F101" s="12"/>
      <c r="G101" s="12"/>
      <c r="H101" s="2"/>
      <c r="I101" s="11" t="str">
        <f>IFERROR(__xludf.DUMMYFUNCTION("GOOGLETRANSLATE(B101, ""en"", ""zh"")"),"如何进行柔韧性训练？")</f>
        <v>如何进行柔韧性训练？</v>
      </c>
      <c r="J101" s="11" t="str">
        <f>IFERROR(__xludf.DUMMYFUNCTION("GOOGLETRANSLATE(C101, ""en"", ""zh"")"),"A) 拉伸 B) 出拳 C) 对练 D) 格挡")</f>
        <v>A) 拉伸 B) 出拳 C) 对练 D) 格挡</v>
      </c>
      <c r="K101" s="11" t="str">
        <f>IFERROR(__xludf.DUMMYFUNCTION("GOOGLETRANSLATE(D101, ""en"", ""zh"")"),"A) 拉伸")</f>
        <v>A) 拉伸</v>
      </c>
      <c r="L101" s="11" t="str">
        <f>IFERROR(__xludf.DUMMYFUNCTION("GOOGLETRANSLATE(E101, ""en"", ""zh"")"),"#VALUE!")</f>
        <v>#VALUE!</v>
      </c>
      <c r="M101" s="12"/>
      <c r="N101" s="12"/>
      <c r="O101" s="12"/>
      <c r="P101" s="12"/>
      <c r="Q101" s="12"/>
      <c r="R101" s="12"/>
      <c r="S101" s="12"/>
      <c r="T101" s="12"/>
      <c r="U101" s="12"/>
      <c r="V101" s="12"/>
      <c r="W101" s="12"/>
      <c r="X101" s="12"/>
      <c r="Y101" s="12"/>
      <c r="Z101" s="12"/>
      <c r="AA101" s="12"/>
    </row>
    <row r="102">
      <c r="A102" s="21">
        <v>101.0</v>
      </c>
      <c r="B102" s="17" t="s">
        <v>2206</v>
      </c>
      <c r="C102" s="17" t="s">
        <v>2207</v>
      </c>
      <c r="D102" s="17" t="s">
        <v>62</v>
      </c>
      <c r="E102" s="36"/>
      <c r="F102" s="12"/>
      <c r="G102" s="12"/>
      <c r="H102" s="2"/>
      <c r="I102" s="11" t="str">
        <f>IFERROR(__xludf.DUMMYFUNCTION("GOOGLETRANSLATE(B102, ""en"", ""zh"")"),"功夫中传统的武器是什么？")</f>
        <v>功夫中传统的武器是什么？</v>
      </c>
      <c r="J102" s="11" t="str">
        <f>IFERROR(__xludf.DUMMYFUNCTION("GOOGLETRANSLATE(C102, ""en"", ""zh"")"),"A) 法杖 B) 剑 C) 长矛 D) 以上全部")</f>
        <v>A) 法杖 B) 剑 C) 长矛 D) 以上全部</v>
      </c>
      <c r="K102" s="11" t="str">
        <f>IFERROR(__xludf.DUMMYFUNCTION("GOOGLETRANSLATE(D102, ""en"", ""zh"")"),"D) 以上所有选项")</f>
        <v>D) 以上所有选项</v>
      </c>
      <c r="L102" s="11" t="str">
        <f>IFERROR(__xludf.DUMMYFUNCTION("GOOGLETRANSLATE(E102, ""en"", ""zh"")"),"#VALUE!")</f>
        <v>#VALUE!</v>
      </c>
      <c r="M102" s="12"/>
      <c r="N102" s="12"/>
      <c r="O102" s="12"/>
      <c r="P102" s="12"/>
      <c r="Q102" s="12"/>
      <c r="R102" s="12"/>
      <c r="S102" s="12"/>
      <c r="T102" s="12"/>
      <c r="U102" s="12"/>
      <c r="V102" s="12"/>
      <c r="W102" s="12"/>
      <c r="X102" s="12"/>
      <c r="Y102" s="12"/>
      <c r="Z102" s="12"/>
      <c r="AA102" s="12"/>
    </row>
    <row r="103">
      <c r="A103" s="21">
        <v>102.0</v>
      </c>
      <c r="B103" s="17" t="s">
        <v>2208</v>
      </c>
      <c r="C103" s="17" t="s">
        <v>2209</v>
      </c>
      <c r="D103" s="17" t="s">
        <v>2210</v>
      </c>
      <c r="E103" s="36"/>
      <c r="F103" s="12"/>
      <c r="G103" s="12"/>
      <c r="H103" s="2"/>
      <c r="I103" s="11" t="str">
        <f>IFERROR(__xludf.DUMMYFUNCTION("GOOGLETRANSLATE(B103, ""en"", ""zh"")"),"太极拳的重点是什么？")</f>
        <v>太极拳的重点是什么？</v>
      </c>
      <c r="J103" s="11" t="str">
        <f>IFERROR(__xludf.DUMMYFUNCTION("GOOGLETRANSLATE(C103, ""en"", ""zh"")"),"A) 流畅与平衡 B) 力量 C) 速度 D) 仅限战斗")</f>
        <v>A) 流畅与平衡 B) 力量 C) 速度 D) 仅限战斗</v>
      </c>
      <c r="K103" s="11" t="str">
        <f>IFERROR(__xludf.DUMMYFUNCTION("GOOGLETRANSLATE(D103, ""en"", ""zh"")"),"A) 流量与平衡")</f>
        <v>A) 流量与平衡</v>
      </c>
      <c r="L103" s="11" t="str">
        <f>IFERROR(__xludf.DUMMYFUNCTION("GOOGLETRANSLATE(E103, ""en"", ""zh"")"),"#VALUE!")</f>
        <v>#VALUE!</v>
      </c>
      <c r="M103" s="12"/>
      <c r="N103" s="12"/>
      <c r="O103" s="12"/>
      <c r="P103" s="12"/>
      <c r="Q103" s="12"/>
      <c r="R103" s="12"/>
      <c r="S103" s="12"/>
      <c r="T103" s="12"/>
      <c r="U103" s="12"/>
      <c r="V103" s="12"/>
      <c r="W103" s="12"/>
      <c r="X103" s="12"/>
      <c r="Y103" s="12"/>
      <c r="Z103" s="12"/>
      <c r="AA103" s="12"/>
    </row>
    <row r="104">
      <c r="A104" s="21">
        <v>103.0</v>
      </c>
      <c r="B104" s="17" t="s">
        <v>2211</v>
      </c>
      <c r="C104" s="17" t="s">
        <v>2212</v>
      </c>
      <c r="D104" s="17" t="s">
        <v>2213</v>
      </c>
      <c r="E104" s="36"/>
      <c r="F104" s="12"/>
      <c r="G104" s="12"/>
      <c r="H104" s="2"/>
      <c r="I104" s="11" t="str">
        <f>IFERROR(__xludf.DUMMYFUNCTION("GOOGLETRANSLATE(B104, ""en"", ""zh"")"),"如何保持马匹的站姿？")</f>
        <v>如何保持马匹的站姿？</v>
      </c>
      <c r="J104" s="11" t="str">
        <f>IFERROR(__xludf.DUMMYFUNCTION("GOOGLETRANSLATE(C104, ""en"", ""zh"")"),"A) 膝盖弯曲，背部挺直 B) 膝盖锁定 C) 背部弯曲 D) 双臂抬起")</f>
        <v>A) 膝盖弯曲，背部挺直 B) 膝盖锁定 C) 背部弯曲 D) 双臂抬起</v>
      </c>
      <c r="K104" s="11" t="str">
        <f>IFERROR(__xludf.DUMMYFUNCTION("GOOGLETRANSLATE(D104, ""en"", ""zh"")"),"A) 双膝弯曲，背部挺直")</f>
        <v>A) 双膝弯曲，背部挺直</v>
      </c>
      <c r="L104" s="11" t="str">
        <f>IFERROR(__xludf.DUMMYFUNCTION("GOOGLETRANSLATE(E104, ""en"", ""zh"")"),"#VALUE!")</f>
        <v>#VALUE!</v>
      </c>
      <c r="M104" s="12"/>
      <c r="N104" s="12"/>
      <c r="O104" s="12"/>
      <c r="P104" s="12"/>
      <c r="Q104" s="12"/>
      <c r="R104" s="12"/>
      <c r="S104" s="12"/>
      <c r="T104" s="12"/>
      <c r="U104" s="12"/>
      <c r="V104" s="12"/>
      <c r="W104" s="12"/>
      <c r="X104" s="12"/>
      <c r="Y104" s="12"/>
      <c r="Z104" s="12"/>
      <c r="AA104" s="12"/>
    </row>
    <row r="105">
      <c r="A105" s="21">
        <v>104.0</v>
      </c>
      <c r="B105" s="17" t="s">
        <v>2214</v>
      </c>
      <c r="C105" s="17" t="s">
        <v>2215</v>
      </c>
      <c r="D105" s="17" t="s">
        <v>2216</v>
      </c>
      <c r="E105" s="36"/>
      <c r="F105" s="12"/>
      <c r="G105" s="12"/>
      <c r="H105" s="2"/>
      <c r="I105" s="11" t="str">
        <f>IFERROR(__xludf.DUMMYFUNCTION("GOOGLETRANSLATE(B105, ""en"", ""zh"")"),"功夫常见的热身运动有哪些？")</f>
        <v>功夫常见的热身运动有哪些？</v>
      </c>
      <c r="J105" s="11" t="str">
        <f>IFERROR(__xludf.DUMMYFUNCTION("GOOGLETRANSLATE(C105, ""en"", ""zh"")"),"A) 拉伸和轻踢 B) 跑步 C) 击打沙袋 D) 对练")</f>
        <v>A) 拉伸和轻踢 B) 跑步 C) 击打沙袋 D) 对练</v>
      </c>
      <c r="K105" s="11" t="str">
        <f>IFERROR(__xludf.DUMMYFUNCTION("GOOGLETRANSLATE(D105, ""en"", ""zh"")"),"A）伸展和轻踢")</f>
        <v>A）伸展和轻踢</v>
      </c>
      <c r="L105" s="11" t="str">
        <f>IFERROR(__xludf.DUMMYFUNCTION("GOOGLETRANSLATE(E105, ""en"", ""zh"")"),"#VALUE!")</f>
        <v>#VALUE!</v>
      </c>
      <c r="M105" s="12"/>
      <c r="N105" s="12"/>
      <c r="O105" s="12"/>
      <c r="P105" s="12"/>
      <c r="Q105" s="12"/>
      <c r="R105" s="12"/>
      <c r="S105" s="12"/>
      <c r="T105" s="12"/>
      <c r="U105" s="12"/>
      <c r="V105" s="12"/>
      <c r="W105" s="12"/>
      <c r="X105" s="12"/>
      <c r="Y105" s="12"/>
      <c r="Z105" s="12"/>
      <c r="AA105" s="12"/>
    </row>
    <row r="106">
      <c r="A106" s="21">
        <v>105.0</v>
      </c>
      <c r="B106" s="17" t="s">
        <v>2217</v>
      </c>
      <c r="C106" s="17" t="s">
        <v>2218</v>
      </c>
      <c r="D106" s="17" t="s">
        <v>2219</v>
      </c>
      <c r="E106" s="36"/>
      <c r="F106" s="12"/>
      <c r="G106" s="12"/>
      <c r="H106" s="2"/>
      <c r="I106" s="11" t="str">
        <f>IFERROR(__xludf.DUMMYFUNCTION("GOOGLETRANSLATE(B106, ""en"", ""zh"")"),"拳击中的力量是如何传递的？")</f>
        <v>拳击中的力量是如何传递的？</v>
      </c>
      <c r="J106" s="11" t="str">
        <f>IFERROR(__xludf.DUMMYFUNCTION("GOOGLETRANSLATE(C106, ""en"", ""zh"")"),"A) 从腿部经臀部到拳头 B) 仅手臂 C) 仅肩膀 D) 仅背部")</f>
        <v>A) 从腿部经臀部到拳头 B) 仅手臂 C) 仅肩膀 D) 仅背部</v>
      </c>
      <c r="K106" s="11" t="str">
        <f>IFERROR(__xludf.DUMMYFUNCTION("GOOGLETRANSLATE(D106, ""en"", ""zh"")"),"A) 从腿到臀部到拳头")</f>
        <v>A) 从腿到臀部到拳头</v>
      </c>
      <c r="L106" s="11" t="str">
        <f>IFERROR(__xludf.DUMMYFUNCTION("GOOGLETRANSLATE(E106, ""en"", ""zh"")"),"#VALUE!")</f>
        <v>#VALUE!</v>
      </c>
      <c r="M106" s="12"/>
      <c r="N106" s="12"/>
      <c r="O106" s="12"/>
      <c r="P106" s="12"/>
      <c r="Q106" s="12"/>
      <c r="R106" s="12"/>
      <c r="S106" s="12"/>
      <c r="T106" s="12"/>
      <c r="U106" s="12"/>
      <c r="V106" s="12"/>
      <c r="W106" s="12"/>
      <c r="X106" s="12"/>
      <c r="Y106" s="12"/>
      <c r="Z106" s="12"/>
      <c r="AA106" s="12"/>
    </row>
    <row r="107">
      <c r="A107" s="21">
        <v>106.0</v>
      </c>
      <c r="B107" s="17" t="s">
        <v>2220</v>
      </c>
      <c r="C107" s="17" t="s">
        <v>2221</v>
      </c>
      <c r="D107" s="17" t="s">
        <v>2222</v>
      </c>
      <c r="E107" s="36"/>
      <c r="F107" s="12"/>
      <c r="G107" s="12"/>
      <c r="H107" s="2"/>
      <c r="I107" s="11" t="str">
        <f>IFERROR(__xludf.DUMMYFUNCTION("GOOGLETRANSLATE(B107, ""en"", ""zh"")"),"什么是“双掌击”？")</f>
        <v>什么是“双掌击”？</v>
      </c>
      <c r="J107" s="11" t="str">
        <f>IFERROR(__xludf.DUMMYFUNCTION("GOOGLETRANSLATE(C107, ""en"", ""zh"")"),"A) 双掌向前推 B) 拳击 C) 踢腿 D) 扫腿")</f>
        <v>A) 双掌向前推 B) 拳击 C) 踢腿 D) 扫腿</v>
      </c>
      <c r="K107" s="11" t="str">
        <f>IFERROR(__xludf.DUMMYFUNCTION("GOOGLETRANSLATE(D107, ""en"", ""zh"")"),"A) 两只手掌向前推")</f>
        <v>A) 两只手掌向前推</v>
      </c>
      <c r="L107" s="11" t="str">
        <f>IFERROR(__xludf.DUMMYFUNCTION("GOOGLETRANSLATE(E107, ""en"", ""zh"")"),"#VALUE!")</f>
        <v>#VALUE!</v>
      </c>
      <c r="M107" s="12"/>
      <c r="N107" s="12"/>
      <c r="O107" s="12"/>
      <c r="P107" s="12"/>
      <c r="Q107" s="12"/>
      <c r="R107" s="12"/>
      <c r="S107" s="12"/>
      <c r="T107" s="12"/>
      <c r="U107" s="12"/>
      <c r="V107" s="12"/>
      <c r="W107" s="12"/>
      <c r="X107" s="12"/>
      <c r="Y107" s="12"/>
      <c r="Z107" s="12"/>
      <c r="AA107" s="12"/>
    </row>
    <row r="108">
      <c r="A108" s="21">
        <v>107.0</v>
      </c>
      <c r="B108" s="17" t="s">
        <v>2223</v>
      </c>
      <c r="C108" s="17" t="s">
        <v>2224</v>
      </c>
      <c r="D108" s="17" t="s">
        <v>2225</v>
      </c>
      <c r="E108" s="36"/>
      <c r="F108" s="12"/>
      <c r="G108" s="12"/>
      <c r="H108" s="2"/>
      <c r="I108" s="11" t="str">
        <f>IFERROR(__xludf.DUMMYFUNCTION("GOOGLETRANSLATE(B108, ""en"", ""zh"")"),"实战对抗如何计分？")</f>
        <v>实战对抗如何计分？</v>
      </c>
      <c r="J108" s="11" t="str">
        <f>IFERROR(__xludf.DUMMYFUNCTION("GOOGLETRANSLATE(C108, ""en"", ""zh"")"),"A) 干净利落的击打次数 B) 观众掌声 C) 翻转次数 D) 武器使用情况")</f>
        <v>A) 干净利落的击打次数 B) 观众掌声 C) 翻转次数 D) 武器使用情况</v>
      </c>
      <c r="K108" s="11" t="str">
        <f>IFERROR(__xludf.DUMMYFUNCTION("GOOGLETRANSLATE(D108, ""en"", ""zh"")"),"A) 干净利落的击球")</f>
        <v>A) 干净利落的击球</v>
      </c>
      <c r="L108" s="11" t="str">
        <f>IFERROR(__xludf.DUMMYFUNCTION("GOOGLETRANSLATE(E108, ""en"", ""zh"")"),"#VALUE!")</f>
        <v>#VALUE!</v>
      </c>
      <c r="M108" s="12"/>
      <c r="N108" s="12"/>
      <c r="O108" s="12"/>
      <c r="P108" s="12"/>
      <c r="Q108" s="12"/>
      <c r="R108" s="12"/>
      <c r="S108" s="12"/>
      <c r="T108" s="12"/>
      <c r="U108" s="12"/>
      <c r="V108" s="12"/>
      <c r="W108" s="12"/>
      <c r="X108" s="12"/>
      <c r="Y108" s="12"/>
      <c r="Z108" s="12"/>
      <c r="AA108" s="12"/>
    </row>
    <row r="109">
      <c r="A109" s="21">
        <v>108.0</v>
      </c>
      <c r="B109" s="17" t="s">
        <v>2226</v>
      </c>
      <c r="C109" s="17" t="s">
        <v>2227</v>
      </c>
      <c r="D109" s="17" t="s">
        <v>2228</v>
      </c>
      <c r="E109" s="36"/>
      <c r="F109" s="12"/>
      <c r="G109" s="12"/>
      <c r="H109" s="2"/>
      <c r="I109" s="11" t="str">
        <f>IFERROR(__xludf.DUMMYFUNCTION("GOOGLETRANSLATE(B109, ""en"", ""zh"")"),"哪种动作可以增强腿部力量？")</f>
        <v>哪种动作可以增强腿部力量？</v>
      </c>
      <c r="J109" s="11" t="str">
        <f>IFERROR(__xludf.DUMMYFUNCTION("GOOGLETRANSLATE(C109, ""en"", ""zh"")"),"A) 站姿 B) 拳击 C) 对练 D) 套路")</f>
        <v>A) 站姿 B) 拳击 C) 对练 D) 套路</v>
      </c>
      <c r="K109" s="11" t="str">
        <f>IFERROR(__xludf.DUMMYFUNCTION("GOOGLETRANSLATE(D109, ""en"", ""zh"")"),"A) 姿势")</f>
        <v>A) 姿势</v>
      </c>
      <c r="L109" s="11" t="str">
        <f>IFERROR(__xludf.DUMMYFUNCTION("GOOGLETRANSLATE(E109, ""en"", ""zh"")"),"#VALUE!")</f>
        <v>#VALUE!</v>
      </c>
      <c r="M109" s="12"/>
      <c r="N109" s="12"/>
      <c r="O109" s="12"/>
      <c r="P109" s="12"/>
      <c r="Q109" s="12"/>
      <c r="R109" s="12"/>
      <c r="S109" s="12"/>
      <c r="T109" s="12"/>
      <c r="U109" s="12"/>
      <c r="V109" s="12"/>
      <c r="W109" s="12"/>
      <c r="X109" s="12"/>
      <c r="Y109" s="12"/>
      <c r="Z109" s="12"/>
      <c r="AA109" s="12"/>
    </row>
    <row r="110">
      <c r="A110" s="21">
        <v>109.0</v>
      </c>
      <c r="B110" s="17" t="s">
        <v>2229</v>
      </c>
      <c r="C110" s="17" t="s">
        <v>2230</v>
      </c>
      <c r="D110" s="17" t="s">
        <v>2231</v>
      </c>
      <c r="E110" s="36"/>
      <c r="F110" s="12"/>
      <c r="G110" s="12"/>
      <c r="H110" s="2"/>
      <c r="I110" s="11" t="str">
        <f>IFERROR(__xludf.DUMMYFUNCTION("GOOGLETRANSLATE(B110, ""en"", ""zh"")"),"什么是“气功”练习？")</f>
        <v>什么是“气功”练习？</v>
      </c>
      <c r="J110" s="11" t="str">
        <f>IFERROR(__xludf.DUMMYFUNCTION("GOOGLETRANSLATE(C110, ""en"", ""zh"")"),"A) 能量修炼 B) 高踢 C) 拳击组合 D) 武器训练")</f>
        <v>A) 能量修炼 B) 高踢 C) 拳击组合 D) 武器训练</v>
      </c>
      <c r="K110" s="11" t="str">
        <f>IFERROR(__xludf.DUMMYFUNCTION("GOOGLETRANSLATE(D110, ""en"", ""zh"")"),"A) 能量培养")</f>
        <v>A) 能量培养</v>
      </c>
      <c r="L110" s="11" t="str">
        <f>IFERROR(__xludf.DUMMYFUNCTION("GOOGLETRANSLATE(E110, ""en"", ""zh"")"),"#VALUE!")</f>
        <v>#VALUE!</v>
      </c>
      <c r="M110" s="12"/>
      <c r="N110" s="12"/>
      <c r="O110" s="12"/>
      <c r="P110" s="12"/>
      <c r="Q110" s="12"/>
      <c r="R110" s="12"/>
      <c r="S110" s="12"/>
      <c r="T110" s="12"/>
      <c r="U110" s="12"/>
      <c r="V110" s="12"/>
      <c r="W110" s="12"/>
      <c r="X110" s="12"/>
      <c r="Y110" s="12"/>
      <c r="Z110" s="12"/>
      <c r="AA110" s="12"/>
    </row>
    <row r="111">
      <c r="A111" s="21">
        <v>110.0</v>
      </c>
      <c r="B111" s="17" t="s">
        <v>2232</v>
      </c>
      <c r="C111" s="17" t="s">
        <v>2233</v>
      </c>
      <c r="D111" s="17" t="s">
        <v>2234</v>
      </c>
      <c r="E111" s="36"/>
      <c r="F111" s="12"/>
      <c r="G111" s="12"/>
      <c r="H111" s="2"/>
      <c r="I111" s="11" t="str">
        <f>IFERROR(__xludf.DUMMYFUNCTION("GOOGLETRANSLATE(B111, ""en"", ""zh"")"),"什么是“飞踢”？")</f>
        <v>什么是“飞踢”？</v>
      </c>
      <c r="J111" s="11" t="str">
        <f>IFERROR(__xludf.DUMMYFUNCTION("GOOGLETRANSLATE(C111, ""en"", ""zh"")"),"A) 跳跃前踢 B) 侧步 C) 拳击 D) 擒抱")</f>
        <v>A) 跳跃前踢 B) 侧步 C) 拳击 D) 擒抱</v>
      </c>
      <c r="K111" s="11" t="str">
        <f>IFERROR(__xludf.DUMMYFUNCTION("GOOGLETRANSLATE(D111, ""en"", ""zh"")"),"A) 跳跃前踢")</f>
        <v>A) 跳跃前踢</v>
      </c>
      <c r="L111" s="11" t="str">
        <f>IFERROR(__xludf.DUMMYFUNCTION("GOOGLETRANSLATE(E111, ""en"", ""zh"")"),"#VALUE!")</f>
        <v>#VALUE!</v>
      </c>
      <c r="M111" s="12"/>
      <c r="N111" s="12"/>
      <c r="O111" s="12"/>
      <c r="P111" s="12"/>
      <c r="Q111" s="12"/>
      <c r="R111" s="12"/>
      <c r="S111" s="12"/>
      <c r="T111" s="12"/>
      <c r="U111" s="12"/>
      <c r="V111" s="12"/>
      <c r="W111" s="12"/>
      <c r="X111" s="12"/>
      <c r="Y111" s="12"/>
      <c r="Z111" s="12"/>
      <c r="AA111" s="12"/>
    </row>
    <row r="112">
      <c r="A112" s="21">
        <v>111.0</v>
      </c>
      <c r="B112" s="17" t="s">
        <v>2235</v>
      </c>
      <c r="C112" s="17" t="s">
        <v>2236</v>
      </c>
      <c r="D112" s="17" t="s">
        <v>2237</v>
      </c>
      <c r="E112" s="36"/>
      <c r="F112" s="12"/>
      <c r="G112" s="12"/>
      <c r="H112" s="2"/>
      <c r="I112" s="11" t="str">
        <f>IFERROR(__xludf.DUMMYFUNCTION("GOOGLETRANSLATE(B112, ""en"", ""zh"")"),"积分赛中，一轮比赛如何计分？")</f>
        <v>积分赛中，一轮比赛如何计分？</v>
      </c>
      <c r="J112" s="11" t="str">
        <f>IFERROR(__xludf.DUMMYFUNCTION("GOOGLETRANSLATE(C112, ""en"", ""zh"")"),"A) 基于技术执行情况 B) 仅限淘汰赛 C) 观众反应 D) 翻转次数")</f>
        <v>A) 基于技术执行情况 B) 仅限淘汰赛 C) 观众反应 D) 翻转次数</v>
      </c>
      <c r="K112" s="11" t="str">
        <f>IFERROR(__xludf.DUMMYFUNCTION("GOOGLETRANSLATE(D112, ""en"", ""zh"")"),"A) 基于技术执行")</f>
        <v>A) 基于技术执行</v>
      </c>
      <c r="L112" s="11" t="str">
        <f>IFERROR(__xludf.DUMMYFUNCTION("GOOGLETRANSLATE(E112, ""en"", ""zh"")"),"#VALUE!")</f>
        <v>#VALUE!</v>
      </c>
      <c r="M112" s="12"/>
      <c r="N112" s="12"/>
      <c r="O112" s="12"/>
      <c r="P112" s="12"/>
      <c r="Q112" s="12"/>
      <c r="R112" s="12"/>
      <c r="S112" s="12"/>
      <c r="T112" s="12"/>
      <c r="U112" s="12"/>
      <c r="V112" s="12"/>
      <c r="W112" s="12"/>
      <c r="X112" s="12"/>
      <c r="Y112" s="12"/>
      <c r="Z112" s="12"/>
      <c r="AA112" s="12"/>
    </row>
    <row r="113">
      <c r="A113" s="21">
        <v>112.0</v>
      </c>
      <c r="B113" s="17" t="s">
        <v>2238</v>
      </c>
      <c r="C113" s="17" t="s">
        <v>2239</v>
      </c>
      <c r="D113" s="17" t="s">
        <v>2240</v>
      </c>
      <c r="E113" s="36"/>
      <c r="F113" s="12"/>
      <c r="G113" s="12"/>
      <c r="H113" s="2"/>
      <c r="I113" s="11" t="str">
        <f>IFERROR(__xludf.DUMMYFUNCTION("GOOGLETRANSLATE(B113, ""en"", ""zh"")"),"低位踢击主要攻击身体的哪个部位？")</f>
        <v>低位踢击主要攻击身体的哪个部位？</v>
      </c>
      <c r="J113" s="11" t="str">
        <f>IFERROR(__xludf.DUMMYFUNCTION("GOOGLETRANSLATE(C113, ""en"", ""zh"")"),"A) 腿 B) 头部 C) 躯干 D) 手臂")</f>
        <v>A) 腿 B) 头部 C) 躯干 D) 手臂</v>
      </c>
      <c r="K113" s="11" t="str">
        <f>IFERROR(__xludf.DUMMYFUNCTION("GOOGLETRANSLATE(D113, ""en"", ""zh"")"),"A) 腿")</f>
        <v>A) 腿</v>
      </c>
      <c r="L113" s="11" t="str">
        <f>IFERROR(__xludf.DUMMYFUNCTION("GOOGLETRANSLATE(E113, ""en"", ""zh"")"),"#VALUE!")</f>
        <v>#VALUE!</v>
      </c>
      <c r="M113" s="12"/>
      <c r="N113" s="12"/>
      <c r="O113" s="12"/>
      <c r="P113" s="12"/>
      <c r="Q113" s="12"/>
      <c r="R113" s="12"/>
      <c r="S113" s="12"/>
      <c r="T113" s="12"/>
      <c r="U113" s="12"/>
      <c r="V113" s="12"/>
      <c r="W113" s="12"/>
      <c r="X113" s="12"/>
      <c r="Y113" s="12"/>
      <c r="Z113" s="12"/>
      <c r="AA113" s="12"/>
    </row>
    <row r="114">
      <c r="A114" s="21">
        <v>113.0</v>
      </c>
      <c r="B114" s="17" t="s">
        <v>2241</v>
      </c>
      <c r="C114" s="17" t="s">
        <v>2242</v>
      </c>
      <c r="D114" s="17" t="s">
        <v>2243</v>
      </c>
      <c r="E114" s="36"/>
      <c r="F114" s="12"/>
      <c r="G114" s="12"/>
      <c r="H114" s="2"/>
      <c r="I114" s="11" t="str">
        <f>IFERROR(__xludf.DUMMYFUNCTION("GOOGLETRANSLATE(B114, ""en"", ""zh"")"),"什么是“勾拳”？")</f>
        <v>什么是“勾拳”？</v>
      </c>
      <c r="J114" s="11" t="str">
        <f>IFERROR(__xludf.DUMMYFUNCTION("GOOGLETRANSLATE(C114, ""en"", ""zh"")"),"A) 弧形拳 B) 直拳 C) 掌击 D) 肘击")</f>
        <v>A) 弧形拳 B) 直拳 C) 掌击 D) 肘击</v>
      </c>
      <c r="K114" s="11" t="str">
        <f>IFERROR(__xludf.DUMMYFUNCTION("GOOGLETRANSLATE(D114, ""en"", ""zh"")"),"A) 弯臂拳击")</f>
        <v>A) 弯臂拳击</v>
      </c>
      <c r="L114" s="11" t="str">
        <f>IFERROR(__xludf.DUMMYFUNCTION("GOOGLETRANSLATE(E114, ""en"", ""zh"")"),"#VALUE!")</f>
        <v>#VALUE!</v>
      </c>
      <c r="M114" s="12"/>
      <c r="N114" s="12"/>
      <c r="O114" s="12"/>
      <c r="P114" s="12"/>
      <c r="Q114" s="12"/>
      <c r="R114" s="12"/>
      <c r="S114" s="12"/>
      <c r="T114" s="12"/>
      <c r="U114" s="12"/>
      <c r="V114" s="12"/>
      <c r="W114" s="12"/>
      <c r="X114" s="12"/>
      <c r="Y114" s="12"/>
      <c r="Z114" s="12"/>
      <c r="AA114" s="12"/>
    </row>
    <row r="115">
      <c r="A115" s="21">
        <v>114.0</v>
      </c>
      <c r="B115" s="17" t="s">
        <v>2244</v>
      </c>
      <c r="C115" s="17" t="s">
        <v>2245</v>
      </c>
      <c r="D115" s="17" t="s">
        <v>2246</v>
      </c>
      <c r="E115" s="36"/>
      <c r="F115" s="12"/>
      <c r="G115" s="12"/>
      <c r="H115" s="2"/>
      <c r="I115" s="11" t="str">
        <f>IFERROR(__xludf.DUMMYFUNCTION("GOOGLETRANSLATE(B115, ""en"", ""zh"")"),"比赛中禁止使用哪种技术？")</f>
        <v>比赛中禁止使用哪种技术？</v>
      </c>
      <c r="J115" s="11" t="str">
        <f>IFERROR(__xludf.DUMMYFUNCTION("GOOGLETRANSLATE(C115, ""en"", ""zh"")"),"A) 击眼 B) 侧踢 C) 直拳 D) 掌击")</f>
        <v>A) 击眼 B) 侧踢 C) 直拳 D) 掌击</v>
      </c>
      <c r="K115" s="11" t="str">
        <f>IFERROR(__xludf.DUMMYFUNCTION("GOOGLETRANSLATE(D115, ""en"", ""zh"")"),"A) 眼部撞击")</f>
        <v>A) 眼部撞击</v>
      </c>
      <c r="L115" s="11" t="str">
        <f>IFERROR(__xludf.DUMMYFUNCTION("GOOGLETRANSLATE(E115, ""en"", ""zh"")"),"#VALUE!")</f>
        <v>#VALUE!</v>
      </c>
      <c r="M115" s="12"/>
      <c r="N115" s="12"/>
      <c r="O115" s="12"/>
      <c r="P115" s="12"/>
      <c r="Q115" s="12"/>
      <c r="R115" s="12"/>
      <c r="S115" s="12"/>
      <c r="T115" s="12"/>
      <c r="U115" s="12"/>
      <c r="V115" s="12"/>
      <c r="W115" s="12"/>
      <c r="X115" s="12"/>
      <c r="Y115" s="12"/>
      <c r="Z115" s="12"/>
      <c r="AA115" s="12"/>
    </row>
    <row r="116">
      <c r="A116" s="21">
        <v>115.0</v>
      </c>
      <c r="B116" s="17" t="s">
        <v>2247</v>
      </c>
      <c r="C116" s="17" t="s">
        <v>2248</v>
      </c>
      <c r="D116" s="17" t="s">
        <v>2249</v>
      </c>
      <c r="E116" s="36"/>
      <c r="F116" s="12"/>
      <c r="G116" s="12"/>
      <c r="H116" s="2"/>
      <c r="I116" s="11" t="str">
        <f>IFERROR(__xludf.DUMMYFUNCTION("GOOGLETRANSLATE(B116, ""en"", ""zh"")"),"如何训练耐力？")</f>
        <v>如何训练耐力？</v>
      </c>
      <c r="J116" s="11" t="str">
        <f>IFERROR(__xludf.DUMMYFUNCTION("GOOGLETRANSLATE(C116, ""en"", ""zh"")"),"A) 套路练习和对练 B) 仅冥想 C) 仅站姿练习 D) 武器练习")</f>
        <v>A) 套路练习和对练 B) 仅冥想 C) 仅站姿练习 D) 武器练习</v>
      </c>
      <c r="K116" s="11" t="str">
        <f>IFERROR(__xludf.DUMMYFUNCTION("GOOGLETRANSLATE(D116, ""en"", ""zh"")"),"A) 连续套路和对练")</f>
        <v>A) 连续套路和对练</v>
      </c>
      <c r="L116" s="11" t="str">
        <f>IFERROR(__xludf.DUMMYFUNCTION("GOOGLETRANSLATE(E116, ""en"", ""zh"")"),"#VALUE!")</f>
        <v>#VALUE!</v>
      </c>
      <c r="M116" s="12"/>
      <c r="N116" s="12"/>
      <c r="O116" s="12"/>
      <c r="P116" s="12"/>
      <c r="Q116" s="12"/>
      <c r="R116" s="12"/>
      <c r="S116" s="12"/>
      <c r="T116" s="12"/>
      <c r="U116" s="12"/>
      <c r="V116" s="12"/>
      <c r="W116" s="12"/>
      <c r="X116" s="12"/>
      <c r="Y116" s="12"/>
      <c r="Z116" s="12"/>
      <c r="AA116" s="12"/>
    </row>
    <row r="117">
      <c r="A117" s="21">
        <v>116.0</v>
      </c>
      <c r="B117" s="17" t="s">
        <v>2250</v>
      </c>
      <c r="C117" s="17" t="s">
        <v>2251</v>
      </c>
      <c r="D117" s="17" t="s">
        <v>2252</v>
      </c>
      <c r="E117" s="36"/>
      <c r="F117" s="12"/>
      <c r="G117" s="12"/>
      <c r="H117" s="2"/>
      <c r="I117" s="11" t="str">
        <f>IFERROR(__xludf.DUMMYFUNCTION("GOOGLETRANSLATE(B117, ""en"", ""zh"")"),"哪个用于防御踢击？")</f>
        <v>哪个用于防御踢击？</v>
      </c>
      <c r="J117" s="11" t="str">
        <f>IFERROR(__xludf.DUMMYFUNCTION("GOOGLETRANSLATE(C117, ""en"", ""zh"")"),"A) 腿部格挡 B) 拳击 C) 肘击 D) 掌击")</f>
        <v>A) 腿部格挡 B) 拳击 C) 肘击 D) 掌击</v>
      </c>
      <c r="K117" s="11" t="str">
        <f>IFERROR(__xludf.DUMMYFUNCTION("GOOGLETRANSLATE(D117, ""en"", ""zh"")"),"A) 腿部模块")</f>
        <v>A) 腿部模块</v>
      </c>
      <c r="L117" s="11" t="str">
        <f>IFERROR(__xludf.DUMMYFUNCTION("GOOGLETRANSLATE(E117, ""en"", ""zh"")"),"#VALUE!")</f>
        <v>#VALUE!</v>
      </c>
      <c r="M117" s="12"/>
      <c r="N117" s="12"/>
      <c r="O117" s="12"/>
      <c r="P117" s="12"/>
      <c r="Q117" s="12"/>
      <c r="R117" s="12"/>
      <c r="S117" s="12"/>
      <c r="T117" s="12"/>
      <c r="U117" s="12"/>
      <c r="V117" s="12"/>
      <c r="W117" s="12"/>
      <c r="X117" s="12"/>
      <c r="Y117" s="12"/>
      <c r="Z117" s="12"/>
      <c r="AA117" s="12"/>
    </row>
    <row r="118">
      <c r="A118" s="21">
        <v>117.0</v>
      </c>
      <c r="B118" s="17" t="s">
        <v>2253</v>
      </c>
      <c r="C118" s="17" t="s">
        <v>2254</v>
      </c>
      <c r="D118" s="17" t="s">
        <v>2255</v>
      </c>
      <c r="E118" s="36"/>
      <c r="F118" s="12"/>
      <c r="G118" s="12"/>
      <c r="H118" s="2"/>
      <c r="I118" s="11" t="str">
        <f>IFERROR(__xludf.DUMMYFUNCTION("GOOGLETRANSLATE(B118, ""en"", ""zh"")"),"学校如何存放武器？")</f>
        <v>学校如何存放武器？</v>
      </c>
      <c r="J118" s="11" t="str">
        <f>IFERROR(__xludf.DUMMYFUNCTION("GOOGLETRANSLATE(C118, ""en"", ""zh"")"),"A) 安全货架 B) 地面 C) 随机 D) 手持式")</f>
        <v>A) 安全货架 B) 地面 C) 随机 D) 手持式</v>
      </c>
      <c r="K118" s="11" t="str">
        <f>IFERROR(__xludf.DUMMYFUNCTION("GOOGLETRANSLATE(D118, ""en"", ""zh"")"),"A) 安全架")</f>
        <v>A) 安全架</v>
      </c>
      <c r="L118" s="11" t="str">
        <f>IFERROR(__xludf.DUMMYFUNCTION("GOOGLETRANSLATE(E118, ""en"", ""zh"")"),"#VALUE!")</f>
        <v>#VALUE!</v>
      </c>
      <c r="M118" s="12"/>
      <c r="N118" s="12"/>
      <c r="O118" s="12"/>
      <c r="P118" s="12"/>
      <c r="Q118" s="12"/>
      <c r="R118" s="12"/>
      <c r="S118" s="12"/>
      <c r="T118" s="12"/>
      <c r="U118" s="12"/>
      <c r="V118" s="12"/>
      <c r="W118" s="12"/>
      <c r="X118" s="12"/>
      <c r="Y118" s="12"/>
      <c r="Z118" s="12"/>
      <c r="AA118" s="12"/>
    </row>
    <row r="119">
      <c r="A119" s="21">
        <v>118.0</v>
      </c>
      <c r="B119" s="17" t="s">
        <v>2256</v>
      </c>
      <c r="C119" s="17" t="s">
        <v>2257</v>
      </c>
      <c r="D119" s="17" t="s">
        <v>2258</v>
      </c>
      <c r="E119" s="36"/>
      <c r="F119" s="12"/>
      <c r="G119" s="12"/>
      <c r="H119" s="2"/>
      <c r="I119" s="11" t="str">
        <f>IFERROR(__xludf.DUMMYFUNCTION("GOOGLETRANSLATE(B119, ""en"", ""zh"")"),"练习套路的主要目标是什么？")</f>
        <v>练习套路的主要目标是什么？</v>
      </c>
      <c r="J119" s="11" t="str">
        <f>IFERROR(__xludf.DUMMYFUNCTION("GOOGLETRANSLATE(C119, ""en"", ""zh"")"),"A) 完美的技巧和流畅性 B) 观众互动 C) 耐力 D) 仅速度")</f>
        <v>A) 完美的技巧和流畅性 B) 观众互动 C) 耐力 D) 仅速度</v>
      </c>
      <c r="K119" s="11" t="str">
        <f>IFERROR(__xludf.DUMMYFUNCTION("GOOGLETRANSLATE(D119, ""en"", ""zh"")"),"A) 完美的技巧和流畅性")</f>
        <v>A) 完美的技巧和流畅性</v>
      </c>
      <c r="L119" s="11" t="str">
        <f>IFERROR(__xludf.DUMMYFUNCTION("GOOGLETRANSLATE(E119, ""en"", ""zh"")"),"#VALUE!")</f>
        <v>#VALUE!</v>
      </c>
      <c r="M119" s="12"/>
      <c r="N119" s="12"/>
      <c r="O119" s="12"/>
      <c r="P119" s="12"/>
      <c r="Q119" s="12"/>
      <c r="R119" s="12"/>
      <c r="S119" s="12"/>
      <c r="T119" s="12"/>
      <c r="U119" s="12"/>
      <c r="V119" s="12"/>
      <c r="W119" s="12"/>
      <c r="X119" s="12"/>
      <c r="Y119" s="12"/>
      <c r="Z119" s="12"/>
      <c r="AA119" s="12"/>
    </row>
    <row r="120">
      <c r="A120" s="21">
        <v>119.0</v>
      </c>
      <c r="B120" s="17" t="s">
        <v>2259</v>
      </c>
      <c r="C120" s="17" t="s">
        <v>2260</v>
      </c>
      <c r="D120" s="17" t="s">
        <v>2261</v>
      </c>
      <c r="E120" s="36"/>
      <c r="F120" s="12"/>
      <c r="G120" s="12"/>
      <c r="H120" s="2"/>
      <c r="I120" s="11" t="str">
        <f>IFERROR(__xludf.DUMMYFUNCTION("GOOGLETRANSLATE(B120, ""en"", ""zh"")"),"腰带等级通常分为几个级别？")</f>
        <v>腰带等级通常分为几个级别？</v>
      </c>
      <c r="J120" s="11" t="str">
        <f>IFERROR(__xludf.DUMMYFUNCTION("GOOGLETRANSLATE(C120, ""en"", ""zh"")"),"A) 10 B) 5 C) 8 D) 12")</f>
        <v>A) 10 B) 5 C) 8 D) 12</v>
      </c>
      <c r="K120" s="11" t="str">
        <f>IFERROR(__xludf.DUMMYFUNCTION("GOOGLETRANSLATE(D120, ""en"", ""zh"")"),"C) 8")</f>
        <v>C) 8</v>
      </c>
      <c r="L120" s="11" t="str">
        <f>IFERROR(__xludf.DUMMYFUNCTION("GOOGLETRANSLATE(E120, ""en"", ""zh"")"),"#VALUE!")</f>
        <v>#VALUE!</v>
      </c>
      <c r="M120" s="12"/>
      <c r="N120" s="12"/>
      <c r="O120" s="12"/>
      <c r="P120" s="12"/>
      <c r="Q120" s="12"/>
      <c r="R120" s="12"/>
      <c r="S120" s="12"/>
      <c r="T120" s="12"/>
      <c r="U120" s="12"/>
      <c r="V120" s="12"/>
      <c r="W120" s="12"/>
      <c r="X120" s="12"/>
      <c r="Y120" s="12"/>
      <c r="Z120" s="12"/>
      <c r="AA120" s="12"/>
    </row>
    <row r="121">
      <c r="A121" s="21">
        <v>120.0</v>
      </c>
      <c r="B121" s="17" t="s">
        <v>2262</v>
      </c>
      <c r="C121" s="17" t="s">
        <v>2263</v>
      </c>
      <c r="D121" s="17" t="s">
        <v>2264</v>
      </c>
      <c r="E121" s="36"/>
      <c r="F121" s="12"/>
      <c r="G121" s="12"/>
      <c r="H121" s="2"/>
      <c r="I121" s="11" t="str">
        <f>IFERROR(__xludf.DUMMYFUNCTION("GOOGLETRANSLATE(B121, ""en"", ""zh"")"),"哪种踢法可以用来出其不意地攻击对手？")</f>
        <v>哪种踢法可以用来出其不意地攻击对手？</v>
      </c>
      <c r="J121" s="11" t="str">
        <f>IFERROR(__xludf.DUMMYFUNCTION("GOOGLETRANSLATE(C121, ""en"", ""zh"")"),"A) 侧踢 B) 前踢 C) 回旋踢 D) 低踢")</f>
        <v>A) 侧踢 B) 前踢 C) 回旋踢 D) 低踢</v>
      </c>
      <c r="K121" s="11" t="str">
        <f>IFERROR(__xludf.DUMMYFUNCTION("GOOGLETRANSLATE(D121, ""en"", ""zh"")"),"C) 回旋踢")</f>
        <v>C) 回旋踢</v>
      </c>
      <c r="L121" s="11" t="str">
        <f>IFERROR(__xludf.DUMMYFUNCTION("GOOGLETRANSLATE(E121, ""en"", ""zh"")"),"#VALUE!")</f>
        <v>#VALUE!</v>
      </c>
      <c r="M121" s="12"/>
      <c r="N121" s="12"/>
      <c r="O121" s="12"/>
      <c r="P121" s="12"/>
      <c r="Q121" s="12"/>
      <c r="R121" s="12"/>
      <c r="S121" s="12"/>
      <c r="T121" s="12"/>
      <c r="U121" s="12"/>
      <c r="V121" s="12"/>
      <c r="W121" s="12"/>
      <c r="X121" s="12"/>
      <c r="Y121" s="12"/>
      <c r="Z121" s="12"/>
      <c r="AA121" s="12"/>
    </row>
    <row r="122">
      <c r="A122" s="21">
        <v>121.0</v>
      </c>
      <c r="B122" s="17" t="s">
        <v>2265</v>
      </c>
      <c r="C122" s="17" t="s">
        <v>2266</v>
      </c>
      <c r="D122" s="17" t="s">
        <v>2267</v>
      </c>
      <c r="E122" s="36"/>
      <c r="F122" s="12"/>
      <c r="G122" s="12"/>
      <c r="H122" s="2"/>
      <c r="I122" s="11" t="str">
        <f>IFERROR(__xludf.DUMMYFUNCTION("GOOGLETRANSLATE(B122, ""en"", ""zh"")"),"如何安全地进行擒拿动作？")</f>
        <v>如何安全地进行擒拿动作？</v>
      </c>
      <c r="J122" s="11" t="str">
        <f>IFERROR(__xludf.DUMMYFUNCTION("GOOGLETRANSLATE(C122, ""en"", ""zh"")"),"A) 控制力 B) 全力 C) 随机 D) 跳踢")</f>
        <v>A) 控制力 B) 全力 C) 随机 D) 跳踢</v>
      </c>
      <c r="K122" s="11" t="str">
        <f>IFERROR(__xludf.DUMMYFUNCTION("GOOGLETRANSLATE(D122, ""en"", ""zh"")"),"A) 受控力")</f>
        <v>A) 受控力</v>
      </c>
      <c r="L122" s="11" t="str">
        <f>IFERROR(__xludf.DUMMYFUNCTION("GOOGLETRANSLATE(E122, ""en"", ""zh"")"),"#VALUE!")</f>
        <v>#VALUE!</v>
      </c>
      <c r="M122" s="12"/>
      <c r="N122" s="12"/>
      <c r="O122" s="12"/>
      <c r="P122" s="12"/>
      <c r="Q122" s="12"/>
      <c r="R122" s="12"/>
      <c r="S122" s="12"/>
      <c r="T122" s="12"/>
      <c r="U122" s="12"/>
      <c r="V122" s="12"/>
      <c r="W122" s="12"/>
      <c r="X122" s="12"/>
      <c r="Y122" s="12"/>
      <c r="Z122" s="12"/>
      <c r="AA122" s="12"/>
    </row>
    <row r="123">
      <c r="A123" s="21">
        <v>122.0</v>
      </c>
      <c r="B123" s="17" t="s">
        <v>2268</v>
      </c>
      <c r="C123" s="17" t="s">
        <v>2269</v>
      </c>
      <c r="D123" s="17" t="s">
        <v>2270</v>
      </c>
      <c r="E123" s="36"/>
      <c r="F123" s="12"/>
      <c r="G123" s="12"/>
      <c r="H123" s="2"/>
      <c r="I123" s="11" t="str">
        <f>IFERROR(__xludf.DUMMYFUNCTION("GOOGLETRANSLATE(B123, ""en"", ""zh"")"),"少林拳法中的哪项技术？")</f>
        <v>少林拳法中的哪项技术？</v>
      </c>
      <c r="J123" s="11" t="str">
        <f>IFERROR(__xludf.DUMMYFUNCTION("GOOGLETRANSLATE(C123, ""en"", ""zh"")"),"A) 虎爪 B) 掌击 C) 仅站姿 D) 回旋踢")</f>
        <v>A) 虎爪 B) 掌击 C) 仅站姿 D) 回旋踢</v>
      </c>
      <c r="K123" s="11" t="str">
        <f>IFERROR(__xludf.DUMMYFUNCTION("GOOGLETRANSLATE(D123, ""en"", ""zh"")"),"A) 虎爪")</f>
        <v>A) 虎爪</v>
      </c>
      <c r="L123" s="11" t="str">
        <f>IFERROR(__xludf.DUMMYFUNCTION("GOOGLETRANSLATE(E123, ""en"", ""zh"")"),"#VALUE!")</f>
        <v>#VALUE!</v>
      </c>
      <c r="M123" s="12"/>
      <c r="N123" s="12"/>
      <c r="O123" s="12"/>
      <c r="P123" s="12"/>
      <c r="Q123" s="12"/>
      <c r="R123" s="12"/>
      <c r="S123" s="12"/>
      <c r="T123" s="12"/>
      <c r="U123" s="12"/>
      <c r="V123" s="12"/>
      <c r="W123" s="12"/>
      <c r="X123" s="12"/>
      <c r="Y123" s="12"/>
      <c r="Z123" s="12"/>
      <c r="AA123" s="12"/>
    </row>
    <row r="124">
      <c r="A124" s="21">
        <v>123.0</v>
      </c>
      <c r="B124" s="17" t="s">
        <v>2271</v>
      </c>
      <c r="C124" s="17" t="s">
        <v>2272</v>
      </c>
      <c r="D124" s="17" t="s">
        <v>2273</v>
      </c>
      <c r="E124" s="36"/>
      <c r="F124" s="12"/>
      <c r="G124" s="12"/>
      <c r="H124" s="2"/>
      <c r="I124" s="11" t="str">
        <f>IFERROR(__xludf.DUMMYFUNCTION("GOOGLETRANSLATE(B124, ""en"", ""zh"")"),"呼吸练习的目的是什么？")</f>
        <v>呼吸练习的目的是什么？</v>
      </c>
      <c r="J124" s="11" t="str">
        <f>IFERROR(__xludf.DUMMYFUNCTION("GOOGLETRANSLATE(C124, ""en"", ""zh"")"),"A) 专注力和力量控制 B) 跳跃高度 C) 速度 D) 仅限实战")</f>
        <v>A) 专注力和力量控制 B) 跳跃高度 C) 速度 D) 仅限实战</v>
      </c>
      <c r="K124" s="11" t="str">
        <f>IFERROR(__xludf.DUMMYFUNCTION("GOOGLETRANSLATE(D124, ""en"", ""zh"")"),"A) 对焦和功率控制")</f>
        <v>A) 对焦和功率控制</v>
      </c>
      <c r="L124" s="11" t="str">
        <f>IFERROR(__xludf.DUMMYFUNCTION("GOOGLETRANSLATE(E124, ""en"", ""zh"")"),"#VALUE!")</f>
        <v>#VALUE!</v>
      </c>
      <c r="M124" s="12"/>
      <c r="N124" s="12"/>
      <c r="O124" s="12"/>
      <c r="P124" s="12"/>
      <c r="Q124" s="12"/>
      <c r="R124" s="12"/>
      <c r="S124" s="12"/>
      <c r="T124" s="12"/>
      <c r="U124" s="12"/>
      <c r="V124" s="12"/>
      <c r="W124" s="12"/>
      <c r="X124" s="12"/>
      <c r="Y124" s="12"/>
      <c r="Z124" s="12"/>
      <c r="AA124" s="12"/>
    </row>
    <row r="125">
      <c r="A125" s="21">
        <v>124.0</v>
      </c>
      <c r="B125" s="17" t="s">
        <v>2274</v>
      </c>
      <c r="C125" s="17" t="s">
        <v>2275</v>
      </c>
      <c r="D125" s="17" t="s">
        <v>2276</v>
      </c>
      <c r="E125" s="36"/>
      <c r="F125" s="12"/>
      <c r="G125" s="12"/>
      <c r="H125" s="2"/>
      <c r="I125" s="11" t="str">
        <f>IFERROR(__xludf.DUMMYFUNCTION("GOOGLETRANSLATE(B125, ""en"", ""zh"")"),"高踢腿时如何保持平衡？")</f>
        <v>高踢腿时如何保持平衡？</v>
      </c>
      <c r="J125" s="11" t="str">
        <f>IFERROR(__xludf.DUMMYFUNCTION("GOOGLETRANSLATE(C125, ""en"", ""zh"")"),"A) 核心参与 B) 手部支撑 C) 对手触碰 D) 随机")</f>
        <v>A) 核心参与 B) 手部支撑 C) 对手触碰 D) 随机</v>
      </c>
      <c r="K125" s="11" t="str">
        <f>IFERROR(__xludf.DUMMYFUNCTION("GOOGLETRANSLATE(D125, ""en"", ""zh"")"),"A) 核心参与")</f>
        <v>A) 核心参与</v>
      </c>
      <c r="L125" s="11" t="str">
        <f>IFERROR(__xludf.DUMMYFUNCTION("GOOGLETRANSLATE(E125, ""en"", ""zh"")"),"#VALUE!")</f>
        <v>#VALUE!</v>
      </c>
      <c r="M125" s="12"/>
      <c r="N125" s="12"/>
      <c r="O125" s="12"/>
      <c r="P125" s="12"/>
      <c r="Q125" s="12"/>
      <c r="R125" s="12"/>
      <c r="S125" s="12"/>
      <c r="T125" s="12"/>
      <c r="U125" s="12"/>
      <c r="V125" s="12"/>
      <c r="W125" s="12"/>
      <c r="X125" s="12"/>
      <c r="Y125" s="12"/>
      <c r="Z125" s="12"/>
      <c r="AA125" s="12"/>
    </row>
    <row r="126">
      <c r="A126" s="21">
        <v>125.0</v>
      </c>
      <c r="B126" s="17" t="s">
        <v>2277</v>
      </c>
      <c r="C126" s="17" t="s">
        <v>2278</v>
      </c>
      <c r="D126" s="17" t="s">
        <v>2279</v>
      </c>
      <c r="E126" s="36"/>
      <c r="F126" s="12"/>
      <c r="G126" s="12"/>
      <c r="H126" s="2"/>
      <c r="I126" s="11" t="str">
        <f>IFERROR(__xludf.DUMMYFUNCTION("GOOGLETRANSLATE(B126, ""en"", ""zh"")"),"功夫中的“双踢”是什么？")</f>
        <v>功夫中的“双踢”是什么？</v>
      </c>
      <c r="J126" s="11" t="str">
        <f>IFERROR(__xludf.DUMMYFUNCTION("GOOGLETRANSLATE(C126, ""en"", ""zh"")"),"A) 连续两次踢击 B) 拳击 C) 肘击 D) 掌击")</f>
        <v>A) 连续两次踢击 B) 拳击 C) 肘击 D) 掌击</v>
      </c>
      <c r="K126" s="11" t="str">
        <f>IFERROR(__xludf.DUMMYFUNCTION("GOOGLETRANSLATE(D126, ""en"", ""zh"")"),"A) 连续两次踢球")</f>
        <v>A) 连续两次踢球</v>
      </c>
      <c r="L126" s="11" t="str">
        <f>IFERROR(__xludf.DUMMYFUNCTION("GOOGLETRANSLATE(E126, ""en"", ""zh"")"),"#VALUE!")</f>
        <v>#VALUE!</v>
      </c>
      <c r="M126" s="12"/>
      <c r="N126" s="12"/>
      <c r="O126" s="12"/>
      <c r="P126" s="12"/>
      <c r="Q126" s="12"/>
      <c r="R126" s="12"/>
      <c r="S126" s="12"/>
      <c r="T126" s="12"/>
      <c r="U126" s="12"/>
      <c r="V126" s="12"/>
      <c r="W126" s="12"/>
      <c r="X126" s="12"/>
      <c r="Y126" s="12"/>
      <c r="Z126" s="12"/>
      <c r="AA126" s="12"/>
    </row>
    <row r="127">
      <c r="A127" s="21">
        <v>126.0</v>
      </c>
      <c r="B127" s="17" t="s">
        <v>2280</v>
      </c>
      <c r="C127" s="17" t="s">
        <v>2281</v>
      </c>
      <c r="D127" s="17" t="s">
        <v>2282</v>
      </c>
      <c r="E127" s="36"/>
      <c r="F127" s="12"/>
      <c r="G127" s="12"/>
      <c r="H127" s="2"/>
      <c r="I127" s="11" t="str">
        <f>IFERROR(__xludf.DUMMYFUNCTION("GOOGLETRANSLATE(B127, ""en"", ""zh"")"),"哪种技术可以提高反应速度？")</f>
        <v>哪种技术可以提高反应速度？</v>
      </c>
      <c r="J127" s="11" t="str">
        <f>IFERROR(__xludf.DUMMYFUNCTION("GOOGLETRANSLATE(C127, ""en"", ""zh"")"),"A) 对练练习 B) 冥想 C) 套路练习 D) 拉伸")</f>
        <v>A) 对练练习 B) 冥想 C) 套路练习 D) 拉伸</v>
      </c>
      <c r="K127" s="11" t="str">
        <f>IFERROR(__xludf.DUMMYFUNCTION("GOOGLETRANSLATE(D127, ""en"", ""zh"")"),"A) 对练练习")</f>
        <v>A) 对练练习</v>
      </c>
      <c r="L127" s="11" t="str">
        <f>IFERROR(__xludf.DUMMYFUNCTION("GOOGLETRANSLATE(E127, ""en"", ""zh"")"),"#VALUE!")</f>
        <v>#VALUE!</v>
      </c>
      <c r="M127" s="12"/>
      <c r="N127" s="12"/>
      <c r="O127" s="12"/>
      <c r="P127" s="12"/>
      <c r="Q127" s="12"/>
      <c r="R127" s="12"/>
      <c r="S127" s="12"/>
      <c r="T127" s="12"/>
      <c r="U127" s="12"/>
      <c r="V127" s="12"/>
      <c r="W127" s="12"/>
      <c r="X127" s="12"/>
      <c r="Y127" s="12"/>
      <c r="Z127" s="12"/>
      <c r="AA127" s="12"/>
    </row>
    <row r="128">
      <c r="A128" s="21">
        <v>127.0</v>
      </c>
      <c r="B128" s="17" t="s">
        <v>2283</v>
      </c>
      <c r="C128" s="17" t="s">
        <v>2284</v>
      </c>
      <c r="D128" s="17" t="s">
        <v>2285</v>
      </c>
      <c r="E128" s="36"/>
      <c r="F128" s="12"/>
      <c r="G128" s="12"/>
      <c r="H128" s="2"/>
      <c r="I128" s="11" t="str">
        <f>IFERROR(__xludf.DUMMYFUNCTION("GOOGLETRANSLATE(B128, ""en"", ""zh"")"),"功夫学校如何维护礼仪？")</f>
        <v>功夫学校如何维护礼仪？</v>
      </c>
      <c r="J128" s="11" t="str">
        <f>IFERROR(__xludf.DUMMYFUNCTION("GOOGLETRANSLATE(C128, ""en"", ""zh"")"),"A) 课前课后鞠躬 B) 大声喊叫 C) 跳跃 D) 奔跑")</f>
        <v>A) 课前课后鞠躬 B) 大声喊叫 C) 跳跃 D) 奔跑</v>
      </c>
      <c r="K128" s="11" t="str">
        <f>IFERROR(__xludf.DUMMYFUNCTION("GOOGLETRANSLATE(D128, ""en"", ""zh"")"),"A) 课前课后鞠躬")</f>
        <v>A) 课前课后鞠躬</v>
      </c>
      <c r="L128" s="11" t="str">
        <f>IFERROR(__xludf.DUMMYFUNCTION("GOOGLETRANSLATE(E128, ""en"", ""zh"")"),"#VALUE!")</f>
        <v>#VALUE!</v>
      </c>
      <c r="M128" s="12"/>
      <c r="N128" s="12"/>
      <c r="O128" s="12"/>
      <c r="P128" s="12"/>
      <c r="Q128" s="12"/>
      <c r="R128" s="12"/>
      <c r="S128" s="12"/>
      <c r="T128" s="12"/>
      <c r="U128" s="12"/>
      <c r="V128" s="12"/>
      <c r="W128" s="12"/>
      <c r="X128" s="12"/>
      <c r="Y128" s="12"/>
      <c r="Z128" s="12"/>
      <c r="AA128" s="12"/>
    </row>
    <row r="129">
      <c r="A129" s="21">
        <v>128.0</v>
      </c>
      <c r="B129" s="17" t="s">
        <v>2286</v>
      </c>
      <c r="C129" s="17" t="s">
        <v>2287</v>
      </c>
      <c r="D129" s="17" t="s">
        <v>2288</v>
      </c>
      <c r="E129" s="36"/>
      <c r="F129" s="12"/>
      <c r="G129" s="12"/>
      <c r="H129" s="2"/>
      <c r="I129" s="11" t="str">
        <f>IFERROR(__xludf.DUMMYFUNCTION("GOOGLETRANSLATE(B129, ""en"", ""zh"")"),"功夫中的高级武器是什么？")</f>
        <v>功夫中的高级武器是什么？</v>
      </c>
      <c r="J129" s="11" t="str">
        <f>IFERROR(__xludf.DUMMYFUNCTION("GOOGLETRANSLATE(C129, ""en"", ""zh"")"),"A) 阔剑 B) 棍棒 C) 扇子 D) 绳镖")</f>
        <v>A) 阔剑 B) 棍棒 C) 扇子 D) 绳镖</v>
      </c>
      <c r="K129" s="11" t="str">
        <f>IFERROR(__xludf.DUMMYFUNCTION("GOOGLETRANSLATE(D129, ""en"", ""zh"")"),"D）绳镖")</f>
        <v>D）绳镖</v>
      </c>
      <c r="L129" s="11" t="str">
        <f>IFERROR(__xludf.DUMMYFUNCTION("GOOGLETRANSLATE(E129, ""en"", ""zh"")"),"#VALUE!")</f>
        <v>#VALUE!</v>
      </c>
      <c r="M129" s="12"/>
      <c r="N129" s="12"/>
      <c r="O129" s="12"/>
      <c r="P129" s="12"/>
      <c r="Q129" s="12"/>
      <c r="R129" s="12"/>
      <c r="S129" s="12"/>
      <c r="T129" s="12"/>
      <c r="U129" s="12"/>
      <c r="V129" s="12"/>
      <c r="W129" s="12"/>
      <c r="X129" s="12"/>
      <c r="Y129" s="12"/>
      <c r="Z129" s="12"/>
      <c r="AA129" s="12"/>
    </row>
    <row r="130">
      <c r="A130" s="21">
        <v>129.0</v>
      </c>
      <c r="B130" s="17" t="s">
        <v>2289</v>
      </c>
      <c r="C130" s="17" t="s">
        <v>2290</v>
      </c>
      <c r="D130" s="17" t="s">
        <v>2291</v>
      </c>
      <c r="E130" s="36"/>
      <c r="F130" s="12"/>
      <c r="G130" s="12"/>
      <c r="H130" s="2"/>
      <c r="I130" s="11" t="str">
        <f>IFERROR(__xludf.DUMMYFUNCTION("GOOGLETRANSLATE(B130, ""en"", ""zh"")"),"如何增强“气血运行”？")</f>
        <v>如何增强“气血运行”？</v>
      </c>
      <c r="J130" s="11" t="str">
        <f>IFERROR(__xludf.DUMMYFUNCTION("GOOGLETRANSLATE(C130, ""en"", ""zh"")"),"A) 套路、冥想、呼吸 B) 仅对练 C) 仅踢腿 D) 仅拳击")</f>
        <v>A) 套路、冥想、呼吸 B) 仅对练 C) 仅踢腿 D) 仅拳击</v>
      </c>
      <c r="K130" s="11" t="str">
        <f>IFERROR(__xludf.DUMMYFUNCTION("GOOGLETRANSLATE(D130, ""en"", ""zh"")"),"A) 形式、冥想、呼吸")</f>
        <v>A) 形式、冥想、呼吸</v>
      </c>
      <c r="L130" s="11" t="str">
        <f>IFERROR(__xludf.DUMMYFUNCTION("GOOGLETRANSLATE(E130, ""en"", ""zh"")"),"#VALUE!")</f>
        <v>#VALUE!</v>
      </c>
      <c r="M130" s="12"/>
      <c r="N130" s="12"/>
      <c r="O130" s="12"/>
      <c r="P130" s="12"/>
      <c r="Q130" s="12"/>
      <c r="R130" s="12"/>
      <c r="S130" s="12"/>
      <c r="T130" s="12"/>
      <c r="U130" s="12"/>
      <c r="V130" s="12"/>
      <c r="W130" s="12"/>
      <c r="X130" s="12"/>
      <c r="Y130" s="12"/>
      <c r="Z130" s="12"/>
      <c r="AA130" s="12"/>
    </row>
    <row r="131">
      <c r="A131" s="21">
        <v>130.0</v>
      </c>
      <c r="B131" s="17" t="s">
        <v>2292</v>
      </c>
      <c r="C131" s="17" t="s">
        <v>2293</v>
      </c>
      <c r="D131" s="17" t="s">
        <v>2294</v>
      </c>
      <c r="E131" s="36"/>
      <c r="F131" s="12"/>
      <c r="G131" s="12"/>
      <c r="H131" s="2"/>
      <c r="I131" s="11" t="str">
        <f>IFERROR(__xludf.DUMMYFUNCTION("GOOGLETRANSLATE(B131, ""en"", ""zh"")"),"“掌击”有什么用途？")</f>
        <v>“掌击”有什么用途？</v>
      </c>
      <c r="J131" s="11" t="str">
        <f>IFERROR(__xludf.DUMMYFUNCTION("GOOGLETRANSLATE(C131, ""en"", ""zh"")"),"A) 控制或攻击 B) 格挡 C) 踢击 D) 擒抱")</f>
        <v>A) 控制或攻击 B) 格挡 C) 踢击 D) 擒抱</v>
      </c>
      <c r="K131" s="11" t="str">
        <f>IFERROR(__xludf.DUMMYFUNCTION("GOOGLETRANSLATE(D131, ""en"", ""zh"")"),"A) 控制或攻击")</f>
        <v>A) 控制或攻击</v>
      </c>
      <c r="L131" s="11" t="str">
        <f>IFERROR(__xludf.DUMMYFUNCTION("GOOGLETRANSLATE(E131, ""en"", ""zh"")"),"#VALUE!")</f>
        <v>#VALUE!</v>
      </c>
      <c r="M131" s="12"/>
      <c r="N131" s="12"/>
      <c r="O131" s="12"/>
      <c r="P131" s="12"/>
      <c r="Q131" s="12"/>
      <c r="R131" s="12"/>
      <c r="S131" s="12"/>
      <c r="T131" s="12"/>
      <c r="U131" s="12"/>
      <c r="V131" s="12"/>
      <c r="W131" s="12"/>
      <c r="X131" s="12"/>
      <c r="Y131" s="12"/>
      <c r="Z131" s="12"/>
      <c r="AA131" s="12"/>
    </row>
    <row r="132">
      <c r="A132" s="21">
        <v>131.0</v>
      </c>
      <c r="B132" s="17" t="s">
        <v>2295</v>
      </c>
      <c r="C132" s="17" t="s">
        <v>2296</v>
      </c>
      <c r="D132" s="17" t="s">
        <v>2297</v>
      </c>
      <c r="E132" s="36"/>
      <c r="F132" s="12"/>
      <c r="G132" s="12"/>
      <c r="H132" s="2"/>
      <c r="I132" s="11" t="str">
        <f>IFERROR(__xludf.DUMMYFUNCTION("GOOGLETRANSLATE(B132, ""en"", ""zh"")"),"如何训练计时能力？")</f>
        <v>如何训练计时能力？</v>
      </c>
      <c r="J132" s="11" t="str">
        <f>IFERROR(__xludf.DUMMYFUNCTION("GOOGLETRANSLATE(C132, ""en"", ""zh"")"),"A) 与伙伴进行练习 B) 单独拉伸 C) 武器练习 D) 单独冥想")</f>
        <v>A) 与伙伴进行练习 B) 单独拉伸 C) 武器练习 D) 单独冥想</v>
      </c>
      <c r="K132" s="11" t="str">
        <f>IFERROR(__xludf.DUMMYFUNCTION("GOOGLETRANSLATE(D132, ""en"", ""zh"")"),"A) 与伙伴一起练习")</f>
        <v>A) 与伙伴一起练习</v>
      </c>
      <c r="L132" s="11" t="str">
        <f>IFERROR(__xludf.DUMMYFUNCTION("GOOGLETRANSLATE(E132, ""en"", ""zh"")"),"#VALUE!")</f>
        <v>#VALUE!</v>
      </c>
      <c r="M132" s="12"/>
      <c r="N132" s="12"/>
      <c r="O132" s="12"/>
      <c r="P132" s="12"/>
      <c r="Q132" s="12"/>
      <c r="R132" s="12"/>
      <c r="S132" s="12"/>
      <c r="T132" s="12"/>
      <c r="U132" s="12"/>
      <c r="V132" s="12"/>
      <c r="W132" s="12"/>
      <c r="X132" s="12"/>
      <c r="Y132" s="12"/>
      <c r="Z132" s="12"/>
      <c r="AA132" s="12"/>
    </row>
    <row r="133">
      <c r="A133" s="21">
        <v>132.0</v>
      </c>
      <c r="B133" s="17" t="s">
        <v>2298</v>
      </c>
      <c r="C133" s="17" t="s">
        <v>2299</v>
      </c>
      <c r="D133" s="17" t="s">
        <v>62</v>
      </c>
      <c r="E133" s="36"/>
      <c r="F133" s="12"/>
      <c r="G133" s="12"/>
      <c r="H133" s="2"/>
      <c r="I133" s="11" t="str">
        <f>IFERROR(__xludf.DUMMYFUNCTION("GOOGLETRANSLATE(B133, ""en"", ""zh"")"),"比赛中使用哪种踢球方式得分？")</f>
        <v>比赛中使用哪种踢球方式得分？</v>
      </c>
      <c r="J133" s="11" t="str">
        <f>IFERROR(__xludf.DUMMYFUNCTION("GOOGLETRANSLATE(C133, ""en"", ""zh"")"),"A) 前踢 B) 飞踢 C) 侧踢 D) 以上全部")</f>
        <v>A) 前踢 B) 飞踢 C) 侧踢 D) 以上全部</v>
      </c>
      <c r="K133" s="11" t="str">
        <f>IFERROR(__xludf.DUMMYFUNCTION("GOOGLETRANSLATE(D133, ""en"", ""zh"")"),"D) 以上所有选项")</f>
        <v>D) 以上所有选项</v>
      </c>
      <c r="L133" s="11" t="str">
        <f>IFERROR(__xludf.DUMMYFUNCTION("GOOGLETRANSLATE(E133, ""en"", ""zh"")"),"#VALUE!")</f>
        <v>#VALUE!</v>
      </c>
      <c r="M133" s="12"/>
      <c r="N133" s="12"/>
      <c r="O133" s="12"/>
      <c r="P133" s="12"/>
      <c r="Q133" s="12"/>
      <c r="R133" s="12"/>
      <c r="S133" s="12"/>
      <c r="T133" s="12"/>
      <c r="U133" s="12"/>
      <c r="V133" s="12"/>
      <c r="W133" s="12"/>
      <c r="X133" s="12"/>
      <c r="Y133" s="12"/>
      <c r="Z133" s="12"/>
      <c r="AA133" s="12"/>
    </row>
    <row r="134">
      <c r="A134" s="21">
        <v>133.0</v>
      </c>
      <c r="B134" s="17" t="s">
        <v>2300</v>
      </c>
      <c r="C134" s="17" t="s">
        <v>2301</v>
      </c>
      <c r="D134" s="17" t="s">
        <v>2302</v>
      </c>
      <c r="E134" s="36"/>
      <c r="F134" s="12"/>
      <c r="G134" s="12"/>
      <c r="H134" s="2"/>
      <c r="I134" s="11" t="str">
        <f>IFERROR(__xludf.DUMMYFUNCTION("GOOGLETRANSLATE(B134, ""en"", ""zh"")"),"弓箭在训练中是如何使用的？")</f>
        <v>弓箭在训练中是如何使用的？</v>
      </c>
      <c r="J134" s="11" t="str">
        <f>IFERROR(__xludf.DUMMYFUNCTION("GOOGLETRANSLATE(C134, ""en"", ""zh"")"),"A) 尊重与纪律 B) 打击 C) 跳跃 D) 踢")</f>
        <v>A) 尊重与纪律 B) 打击 C) 跳跃 D) 踢</v>
      </c>
      <c r="K134" s="11" t="str">
        <f>IFERROR(__xludf.DUMMYFUNCTION("GOOGLETRANSLATE(D134, ""en"", ""zh"")"),"A) 尊重与纪律")</f>
        <v>A) 尊重与纪律</v>
      </c>
      <c r="L134" s="11" t="str">
        <f>IFERROR(__xludf.DUMMYFUNCTION("GOOGLETRANSLATE(E134, ""en"", ""zh"")"),"#VALUE!")</f>
        <v>#VALUE!</v>
      </c>
      <c r="M134" s="12"/>
      <c r="N134" s="12"/>
      <c r="O134" s="12"/>
      <c r="P134" s="12"/>
      <c r="Q134" s="12"/>
      <c r="R134" s="12"/>
      <c r="S134" s="12"/>
      <c r="T134" s="12"/>
      <c r="U134" s="12"/>
      <c r="V134" s="12"/>
      <c r="W134" s="12"/>
      <c r="X134" s="12"/>
      <c r="Y134" s="12"/>
      <c r="Z134" s="12"/>
      <c r="AA134" s="12"/>
    </row>
    <row r="135">
      <c r="A135" s="21">
        <v>134.0</v>
      </c>
      <c r="B135" s="17" t="s">
        <v>2303</v>
      </c>
      <c r="C135" s="17" t="s">
        <v>1806</v>
      </c>
      <c r="D135" s="17" t="s">
        <v>1807</v>
      </c>
      <c r="E135" s="36"/>
      <c r="F135" s="12"/>
      <c r="G135" s="12"/>
      <c r="H135" s="2"/>
      <c r="I135" s="11" t="str">
        <f>IFERROR(__xludf.DUMMYFUNCTION("GOOGLETRANSLATE(B135, ""en"", ""zh"")"),"每项比赛最多可以提交多少份表格？")</f>
        <v>每项比赛最多可以提交多少份表格？</v>
      </c>
      <c r="J135" s="11" t="str">
        <f>IFERROR(__xludf.DUMMYFUNCTION("GOOGLETRANSLATE(C135, ""en"", ""zh"")"),"A) 3–5 B) 1 C) 2 D) 6–8")</f>
        <v>A) 3–5 B) 1 C) 2 D) 6–8</v>
      </c>
      <c r="K135" s="11" t="str">
        <f>IFERROR(__xludf.DUMMYFUNCTION("GOOGLETRANSLATE(D135, ""en"", ""zh"")"),"A) 3–5")</f>
        <v>A) 3–5</v>
      </c>
      <c r="L135" s="11" t="str">
        <f>IFERROR(__xludf.DUMMYFUNCTION("GOOGLETRANSLATE(E135, ""en"", ""zh"")"),"#VALUE!")</f>
        <v>#VALUE!</v>
      </c>
      <c r="M135" s="12"/>
      <c r="N135" s="12"/>
      <c r="O135" s="12"/>
      <c r="P135" s="12"/>
      <c r="Q135" s="12"/>
      <c r="R135" s="12"/>
      <c r="S135" s="12"/>
      <c r="T135" s="12"/>
      <c r="U135" s="12"/>
      <c r="V135" s="12"/>
      <c r="W135" s="12"/>
      <c r="X135" s="12"/>
      <c r="Y135" s="12"/>
      <c r="Z135" s="12"/>
      <c r="AA135" s="12"/>
    </row>
    <row r="136">
      <c r="A136" s="21">
        <v>135.0</v>
      </c>
      <c r="B136" s="17" t="s">
        <v>2304</v>
      </c>
      <c r="C136" s="17" t="s">
        <v>2305</v>
      </c>
      <c r="D136" s="17" t="s">
        <v>2306</v>
      </c>
      <c r="E136" s="36"/>
      <c r="F136" s="12"/>
      <c r="G136" s="12"/>
      <c r="H136" s="2"/>
      <c r="I136" s="11" t="str">
        <f>IFERROR(__xludf.DUMMYFUNCTION("GOOGLETRANSLATE(B136, ""en"", ""zh"")"),"如何施展“虎爪”？")</f>
        <v>如何施展“虎爪”？</v>
      </c>
      <c r="J136" s="11" t="str">
        <f>IFERROR(__xludf.DUMMYFUNCTION("GOOGLETRANSLATE(C136, ""en"", ""zh"")"),"A) 掌击 B) 拳击 C) 踢击 D) 肘击")</f>
        <v>A) 掌击 B) 拳击 C) 踢击 D) 肘击</v>
      </c>
      <c r="K136" s="11" t="str">
        <f>IFERROR(__xludf.DUMMYFUNCTION("GOOGLETRANSLATE(D136, ""en"", ""zh"")"),"A) 张开手爪攻击")</f>
        <v>A) 张开手爪攻击</v>
      </c>
      <c r="L136" s="11" t="str">
        <f>IFERROR(__xludf.DUMMYFUNCTION("GOOGLETRANSLATE(E136, ""en"", ""zh"")"),"#VALUE!")</f>
        <v>#VALUE!</v>
      </c>
      <c r="M136" s="12"/>
      <c r="N136" s="12"/>
      <c r="O136" s="12"/>
      <c r="P136" s="12"/>
      <c r="Q136" s="12"/>
      <c r="R136" s="12"/>
      <c r="S136" s="12"/>
      <c r="T136" s="12"/>
      <c r="U136" s="12"/>
      <c r="V136" s="12"/>
      <c r="W136" s="12"/>
      <c r="X136" s="12"/>
      <c r="Y136" s="12"/>
      <c r="Z136" s="12"/>
      <c r="AA136" s="12"/>
    </row>
    <row r="137">
      <c r="A137" s="22">
        <v>136.0</v>
      </c>
      <c r="B137" s="17" t="s">
        <v>2307</v>
      </c>
      <c r="C137" s="17" t="s">
        <v>2308</v>
      </c>
      <c r="D137" s="17" t="s">
        <v>2309</v>
      </c>
      <c r="E137" s="36"/>
      <c r="F137" s="12"/>
      <c r="G137" s="12"/>
      <c r="H137" s="2"/>
      <c r="I137" s="11" t="str">
        <f>IFERROR(__xludf.DUMMYFUNCTION("GOOGLETRANSLATE(B137, ""en"", ""zh"")"),"在功夫中，哪一种做法是不安全的？")</f>
        <v>在功夫中，哪一种做法是不安全的？</v>
      </c>
      <c r="J137" s="11" t="str">
        <f>IFERROR(__xludf.DUMMYFUNCTION("GOOGLETRANSLATE(C137, ""en"", ""zh"")"),"A) 戳眼练习 B) 站姿练习 C) 套路练习 D) 控制性对练")</f>
        <v>A) 戳眼练习 B) 站姿练习 C) 套路练习 D) 控制性对练</v>
      </c>
      <c r="K137" s="11" t="str">
        <f>IFERROR(__xludf.DUMMYFUNCTION("GOOGLETRANSLATE(D137, ""en"", ""zh"")"),"A) 挖眼")</f>
        <v>A) 挖眼</v>
      </c>
      <c r="L137" s="11" t="str">
        <f>IFERROR(__xludf.DUMMYFUNCTION("GOOGLETRANSLATE(E137, ""en"", ""zh"")"),"#VALUE!")</f>
        <v>#VALUE!</v>
      </c>
      <c r="M137" s="12"/>
      <c r="N137" s="12"/>
      <c r="O137" s="12"/>
      <c r="P137" s="12"/>
      <c r="Q137" s="12"/>
      <c r="R137" s="12"/>
      <c r="S137" s="12"/>
      <c r="T137" s="12"/>
      <c r="U137" s="12"/>
      <c r="V137" s="12"/>
      <c r="W137" s="12"/>
      <c r="X137" s="12"/>
      <c r="Y137" s="12"/>
      <c r="Z137" s="12"/>
      <c r="AA137" s="12"/>
    </row>
    <row r="138">
      <c r="A138" s="11">
        <v>138.0</v>
      </c>
      <c r="B138" s="17" t="s">
        <v>2310</v>
      </c>
      <c r="C138" s="17" t="s">
        <v>2311</v>
      </c>
      <c r="D138" s="17" t="s">
        <v>2312</v>
      </c>
      <c r="E138" s="36"/>
      <c r="F138" s="12"/>
      <c r="G138" s="12"/>
      <c r="H138" s="2"/>
      <c r="I138" s="11" t="str">
        <f>IFERROR(__xludf.DUMMYFUNCTION("GOOGLETRANSLATE(B138, ""en"", ""zh"")"),"如何训练“内力”？")</f>
        <v>如何训练“内力”？</v>
      </c>
      <c r="J138" s="11" t="str">
        <f>IFERROR(__xludf.DUMMYFUNCTION("GOOGLETRANSLATE(C138, ""en"", ""zh"")"),"A) 呼吸和控制动作 B) 拳击 C) 仅踢击 D) 武器使用")</f>
        <v>A) 呼吸和控制动作 B) 拳击 C) 仅踢击 D) 武器使用</v>
      </c>
      <c r="K138" s="11" t="str">
        <f>IFERROR(__xludf.DUMMYFUNCTION("GOOGLETRANSLATE(D138, ""en"", ""zh"")"),"A) 呼吸和控制运动")</f>
        <v>A) 呼吸和控制运动</v>
      </c>
      <c r="L138" s="11" t="str">
        <f>IFERROR(__xludf.DUMMYFUNCTION("GOOGLETRANSLATE(E138, ""en"", ""zh"")"),"#VALUE!")</f>
        <v>#VALUE!</v>
      </c>
      <c r="M138" s="12"/>
      <c r="N138" s="12"/>
      <c r="O138" s="12"/>
      <c r="P138" s="12"/>
      <c r="Q138" s="12"/>
      <c r="R138" s="12"/>
      <c r="S138" s="12"/>
      <c r="T138" s="12"/>
      <c r="U138" s="12"/>
      <c r="V138" s="12"/>
      <c r="W138" s="12"/>
      <c r="X138" s="12"/>
      <c r="Y138" s="12"/>
      <c r="Z138" s="12"/>
      <c r="AA138" s="12"/>
    </row>
    <row r="139">
      <c r="A139" s="11">
        <v>139.0</v>
      </c>
      <c r="B139" s="17" t="s">
        <v>2313</v>
      </c>
      <c r="C139" s="17" t="s">
        <v>2314</v>
      </c>
      <c r="D139" s="17" t="s">
        <v>2315</v>
      </c>
      <c r="E139" s="36"/>
      <c r="F139" s="12"/>
      <c r="G139" s="12"/>
      <c r="H139" s="2"/>
      <c r="I139" s="11" t="str">
        <f>IFERROR(__xludf.DUMMYFUNCTION("GOOGLETRANSLATE(B139, ""en"", ""zh"")"),"这是武术比赛的一部分吗？")</f>
        <v>这是武术比赛的一部分吗？</v>
      </c>
      <c r="J139" s="11" t="str">
        <f>IFERROR(__xludf.DUMMYFUNCTION("GOOGLETRANSLATE(C139, ""en"", ""zh"")"),"A) 套路和实战 B) 仅实战 C) 仅套路 D) 冥想")</f>
        <v>A) 套路和实战 B) 仅实战 C) 仅套路 D) 冥想</v>
      </c>
      <c r="K139" s="11" t="str">
        <f>IFERROR(__xludf.DUMMYFUNCTION("GOOGLETRANSLATE(D139, ""en"", ""zh"")"),"A) 套路和对练")</f>
        <v>A) 套路和对练</v>
      </c>
      <c r="L139" s="11" t="str">
        <f>IFERROR(__xludf.DUMMYFUNCTION("GOOGLETRANSLATE(E139, ""en"", ""zh"")"),"#VALUE!")</f>
        <v>#VALUE!</v>
      </c>
      <c r="M139" s="12"/>
      <c r="N139" s="12"/>
      <c r="O139" s="12"/>
      <c r="P139" s="12"/>
      <c r="Q139" s="12"/>
      <c r="R139" s="12"/>
      <c r="S139" s="12"/>
      <c r="T139" s="12"/>
      <c r="U139" s="12"/>
      <c r="V139" s="12"/>
      <c r="W139" s="12"/>
      <c r="X139" s="12"/>
      <c r="Y139" s="12"/>
      <c r="Z139" s="12"/>
      <c r="AA139" s="12"/>
    </row>
    <row r="140">
      <c r="A140" s="11">
        <v>140.0</v>
      </c>
      <c r="B140" s="17" t="s">
        <v>2316</v>
      </c>
      <c r="C140" s="17" t="s">
        <v>2317</v>
      </c>
      <c r="D140" s="17" t="s">
        <v>2318</v>
      </c>
      <c r="E140" s="36"/>
      <c r="F140" s="12"/>
      <c r="G140" s="12"/>
      <c r="H140" s="2"/>
      <c r="I140" s="11" t="str">
        <f>IFERROR(__xludf.DUMMYFUNCTION("GOOGLETRANSLATE(B140, ""en"", ""zh"")"),"如何提高敏捷性？")</f>
        <v>如何提高敏捷性？</v>
      </c>
      <c r="J140" s="11" t="str">
        <f>IFERROR(__xludf.DUMMYFUNCTION("GOOGLETRANSLATE(C140, ""en"", ""zh"")"),"A) 步法练习 B) 仅套路练习 C) 仅冥想练习 D) 仅跳跃练习")</f>
        <v>A) 步法练习 B) 仅套路练习 C) 仅冥想练习 D) 仅跳跃练习</v>
      </c>
      <c r="K140" s="11" t="str">
        <f>IFERROR(__xludf.DUMMYFUNCTION("GOOGLETRANSLATE(D140, ""en"", ""zh"")"),"A) 步法练习")</f>
        <v>A) 步法练习</v>
      </c>
      <c r="L140" s="11" t="str">
        <f>IFERROR(__xludf.DUMMYFUNCTION("GOOGLETRANSLATE(E140, ""en"", ""zh"")"),"#VALUE!")</f>
        <v>#VALUE!</v>
      </c>
      <c r="M140" s="12"/>
      <c r="N140" s="12"/>
      <c r="O140" s="12"/>
      <c r="P140" s="12"/>
      <c r="Q140" s="12"/>
      <c r="R140" s="12"/>
      <c r="S140" s="12"/>
      <c r="T140" s="12"/>
      <c r="U140" s="12"/>
      <c r="V140" s="12"/>
      <c r="W140" s="12"/>
      <c r="X140" s="12"/>
      <c r="Y140" s="12"/>
      <c r="Z140" s="12"/>
      <c r="AA140" s="12"/>
    </row>
    <row r="141">
      <c r="A141" s="11">
        <v>141.0</v>
      </c>
      <c r="B141" s="17" t="s">
        <v>2319</v>
      </c>
      <c r="C141" s="17" t="s">
        <v>2320</v>
      </c>
      <c r="D141" s="17" t="s">
        <v>2321</v>
      </c>
      <c r="E141" s="36"/>
      <c r="F141" s="12"/>
      <c r="G141" s="12"/>
      <c r="H141" s="2"/>
      <c r="I141" s="11" t="str">
        <f>IFERROR(__xludf.DUMMYFUNCTION("GOOGLETRANSLATE(B141, ""en"", ""zh"")"),"哪种动作可以避免被击中？")</f>
        <v>哪种动作可以避免被击中？</v>
      </c>
      <c r="J141" s="11" t="str">
        <f>IFERROR(__xludf.DUMMYFUNCTION("GOOGLETRANSLATE(C141, ""en"", ""zh"")"),"A) 闪避 B) 格挡 C) 擒抱 D) 掌击")</f>
        <v>A) 闪避 B) 格挡 C) 擒抱 D) 掌击</v>
      </c>
      <c r="K141" s="11" t="str">
        <f>IFERROR(__xludf.DUMMYFUNCTION("GOOGLETRANSLATE(D141, ""en"", ""zh"")"),"A) 逃避")</f>
        <v>A) 逃避</v>
      </c>
      <c r="L141" s="11" t="str">
        <f>IFERROR(__xludf.DUMMYFUNCTION("GOOGLETRANSLATE(E141, ""en"", ""zh"")"),"#VALUE!")</f>
        <v>#VALUE!</v>
      </c>
      <c r="M141" s="12"/>
      <c r="N141" s="12"/>
      <c r="O141" s="12"/>
      <c r="P141" s="12"/>
      <c r="Q141" s="12"/>
      <c r="R141" s="12"/>
      <c r="S141" s="12"/>
      <c r="T141" s="12"/>
      <c r="U141" s="12"/>
      <c r="V141" s="12"/>
      <c r="W141" s="12"/>
      <c r="X141" s="12"/>
      <c r="Y141" s="12"/>
      <c r="Z141" s="12"/>
      <c r="AA141" s="12"/>
    </row>
    <row r="142">
      <c r="A142" s="12"/>
      <c r="B142" s="12"/>
      <c r="C142" s="12"/>
      <c r="D142" s="12"/>
      <c r="E142" s="12"/>
      <c r="F142" s="12"/>
      <c r="G142" s="12"/>
      <c r="H142" s="2"/>
      <c r="I142" s="12"/>
      <c r="J142" s="12"/>
      <c r="K142" s="12"/>
      <c r="L142" s="12"/>
      <c r="M142" s="12"/>
      <c r="N142" s="12"/>
      <c r="O142" s="12"/>
      <c r="P142" s="12"/>
      <c r="Q142" s="12"/>
      <c r="R142" s="12"/>
      <c r="S142" s="12"/>
      <c r="T142" s="12"/>
      <c r="U142" s="12"/>
      <c r="V142" s="12"/>
      <c r="W142" s="12"/>
      <c r="X142" s="12"/>
      <c r="Y142" s="12"/>
      <c r="Z142" s="12"/>
      <c r="AA142" s="12"/>
    </row>
    <row r="143">
      <c r="A143" s="12"/>
      <c r="B143" s="12"/>
      <c r="C143" s="12"/>
      <c r="D143" s="12"/>
      <c r="E143" s="12"/>
      <c r="F143" s="12"/>
      <c r="G143" s="12"/>
      <c r="H143" s="2"/>
      <c r="I143" s="12"/>
      <c r="J143" s="12"/>
      <c r="K143" s="12"/>
      <c r="L143" s="12"/>
      <c r="M143" s="12"/>
      <c r="N143" s="12"/>
      <c r="O143" s="12"/>
      <c r="P143" s="12"/>
      <c r="Q143" s="12"/>
      <c r="R143" s="12"/>
      <c r="S143" s="12"/>
      <c r="T143" s="12"/>
      <c r="U143" s="12"/>
      <c r="V143" s="12"/>
      <c r="W143" s="12"/>
      <c r="X143" s="12"/>
      <c r="Y143" s="12"/>
      <c r="Z143" s="12"/>
      <c r="AA143" s="12"/>
    </row>
    <row r="144">
      <c r="A144" s="12"/>
      <c r="B144" s="12"/>
      <c r="C144" s="12"/>
      <c r="D144" s="12"/>
      <c r="E144" s="12"/>
      <c r="F144" s="12"/>
      <c r="G144" s="12"/>
      <c r="H144" s="2"/>
      <c r="I144" s="12"/>
      <c r="J144" s="12"/>
      <c r="K144" s="12"/>
      <c r="L144" s="12"/>
      <c r="M144" s="12"/>
      <c r="N144" s="12"/>
      <c r="O144" s="12"/>
      <c r="P144" s="12"/>
      <c r="Q144" s="12"/>
      <c r="R144" s="12"/>
      <c r="S144" s="12"/>
      <c r="T144" s="12"/>
      <c r="U144" s="12"/>
      <c r="V144" s="12"/>
      <c r="W144" s="12"/>
      <c r="X144" s="12"/>
      <c r="Y144" s="12"/>
      <c r="Z144" s="12"/>
      <c r="AA144" s="12"/>
    </row>
    <row r="145">
      <c r="A145" s="12"/>
      <c r="B145" s="12"/>
      <c r="C145" s="12"/>
      <c r="D145" s="12"/>
      <c r="E145" s="12"/>
      <c r="F145" s="12"/>
      <c r="G145" s="12"/>
      <c r="H145" s="2"/>
      <c r="I145" s="12"/>
      <c r="J145" s="12"/>
      <c r="K145" s="12"/>
      <c r="L145" s="12"/>
      <c r="M145" s="12"/>
      <c r="N145" s="12"/>
      <c r="O145" s="12"/>
      <c r="P145" s="12"/>
      <c r="Q145" s="12"/>
      <c r="R145" s="12"/>
      <c r="S145" s="12"/>
      <c r="T145" s="12"/>
      <c r="U145" s="12"/>
      <c r="V145" s="12"/>
      <c r="W145" s="12"/>
      <c r="X145" s="12"/>
      <c r="Y145" s="12"/>
      <c r="Z145" s="12"/>
      <c r="AA145" s="12"/>
    </row>
    <row r="146">
      <c r="A146" s="12"/>
      <c r="B146" s="12"/>
      <c r="C146" s="12"/>
      <c r="D146" s="12"/>
      <c r="E146" s="12"/>
      <c r="F146" s="12"/>
      <c r="G146" s="12"/>
      <c r="H146" s="2"/>
      <c r="I146" s="12"/>
      <c r="J146" s="12"/>
      <c r="K146" s="12"/>
      <c r="L146" s="12"/>
      <c r="M146" s="12"/>
      <c r="N146" s="12"/>
      <c r="O146" s="12"/>
      <c r="P146" s="12"/>
      <c r="Q146" s="12"/>
      <c r="R146" s="12"/>
      <c r="S146" s="12"/>
      <c r="T146" s="12"/>
      <c r="U146" s="12"/>
      <c r="V146" s="12"/>
      <c r="W146" s="12"/>
      <c r="X146" s="12"/>
      <c r="Y146" s="12"/>
      <c r="Z146" s="12"/>
      <c r="AA146" s="12"/>
    </row>
    <row r="147">
      <c r="A147" s="12"/>
      <c r="B147" s="12"/>
      <c r="C147" s="12"/>
      <c r="D147" s="12"/>
      <c r="E147" s="12"/>
      <c r="F147" s="12"/>
      <c r="G147" s="12"/>
      <c r="H147" s="2"/>
      <c r="I147" s="12"/>
      <c r="J147" s="12"/>
      <c r="K147" s="12"/>
      <c r="L147" s="12"/>
      <c r="M147" s="12"/>
      <c r="N147" s="12"/>
      <c r="O147" s="12"/>
      <c r="P147" s="12"/>
      <c r="Q147" s="12"/>
      <c r="R147" s="12"/>
      <c r="S147" s="12"/>
      <c r="T147" s="12"/>
      <c r="U147" s="12"/>
      <c r="V147" s="12"/>
      <c r="W147" s="12"/>
      <c r="X147" s="12"/>
      <c r="Y147" s="12"/>
      <c r="Z147" s="12"/>
      <c r="AA147" s="12"/>
    </row>
    <row r="148">
      <c r="A148" s="12"/>
      <c r="B148" s="12"/>
      <c r="C148" s="12"/>
      <c r="D148" s="12"/>
      <c r="E148" s="12"/>
      <c r="F148" s="12"/>
      <c r="G148" s="12"/>
      <c r="H148" s="2"/>
      <c r="I148" s="12"/>
      <c r="J148" s="12"/>
      <c r="K148" s="12"/>
      <c r="L148" s="12"/>
      <c r="M148" s="12"/>
      <c r="N148" s="12"/>
      <c r="O148" s="12"/>
      <c r="P148" s="12"/>
      <c r="Q148" s="12"/>
      <c r="R148" s="12"/>
      <c r="S148" s="12"/>
      <c r="T148" s="12"/>
      <c r="U148" s="12"/>
      <c r="V148" s="12"/>
      <c r="W148" s="12"/>
      <c r="X148" s="12"/>
      <c r="Y148" s="12"/>
      <c r="Z148" s="12"/>
      <c r="AA148" s="12"/>
    </row>
    <row r="149">
      <c r="A149" s="12"/>
      <c r="B149" s="12"/>
      <c r="C149" s="12"/>
      <c r="D149" s="12"/>
      <c r="E149" s="12"/>
      <c r="F149" s="12"/>
      <c r="G149" s="12"/>
      <c r="H149" s="2"/>
      <c r="I149" s="12"/>
      <c r="J149" s="12"/>
      <c r="K149" s="12"/>
      <c r="L149" s="12"/>
      <c r="M149" s="12"/>
      <c r="N149" s="12"/>
      <c r="O149" s="12"/>
      <c r="P149" s="12"/>
      <c r="Q149" s="12"/>
      <c r="R149" s="12"/>
      <c r="S149" s="12"/>
      <c r="T149" s="12"/>
      <c r="U149" s="12"/>
      <c r="V149" s="12"/>
      <c r="W149" s="12"/>
      <c r="X149" s="12"/>
      <c r="Y149" s="12"/>
      <c r="Z149" s="12"/>
      <c r="AA149" s="12"/>
    </row>
    <row r="150">
      <c r="A150" s="12"/>
      <c r="B150" s="12"/>
      <c r="C150" s="12"/>
      <c r="D150" s="12"/>
      <c r="E150" s="12"/>
      <c r="F150" s="12"/>
      <c r="G150" s="12"/>
      <c r="H150" s="2"/>
      <c r="I150" s="12"/>
      <c r="J150" s="12"/>
      <c r="K150" s="12"/>
      <c r="L150" s="12"/>
      <c r="M150" s="12"/>
      <c r="N150" s="12"/>
      <c r="O150" s="12"/>
      <c r="P150" s="12"/>
      <c r="Q150" s="12"/>
      <c r="R150" s="12"/>
      <c r="S150" s="12"/>
      <c r="T150" s="12"/>
      <c r="U150" s="12"/>
      <c r="V150" s="12"/>
      <c r="W150" s="12"/>
      <c r="X150" s="12"/>
      <c r="Y150" s="12"/>
      <c r="Z150" s="12"/>
      <c r="AA150" s="12"/>
    </row>
    <row r="151">
      <c r="A151" s="12"/>
      <c r="B151" s="12"/>
      <c r="C151" s="12"/>
      <c r="D151" s="12"/>
      <c r="E151" s="12"/>
      <c r="F151" s="12"/>
      <c r="G151" s="12"/>
      <c r="H151" s="2"/>
      <c r="I151" s="12"/>
      <c r="J151" s="12"/>
      <c r="K151" s="12"/>
      <c r="L151" s="12"/>
      <c r="M151" s="12"/>
      <c r="N151" s="12"/>
      <c r="O151" s="12"/>
      <c r="P151" s="12"/>
      <c r="Q151" s="12"/>
      <c r="R151" s="12"/>
      <c r="S151" s="12"/>
      <c r="T151" s="12"/>
      <c r="U151" s="12"/>
      <c r="V151" s="12"/>
      <c r="W151" s="12"/>
      <c r="X151" s="12"/>
      <c r="Y151" s="12"/>
      <c r="Z151" s="12"/>
      <c r="AA151" s="12"/>
    </row>
    <row r="152">
      <c r="A152" s="12"/>
      <c r="B152" s="12"/>
      <c r="C152" s="12"/>
      <c r="D152" s="12"/>
      <c r="E152" s="12"/>
      <c r="F152" s="12"/>
      <c r="G152" s="12"/>
      <c r="H152" s="2"/>
      <c r="I152" s="12"/>
      <c r="J152" s="12"/>
      <c r="K152" s="12"/>
      <c r="L152" s="12"/>
      <c r="M152" s="12"/>
      <c r="N152" s="12"/>
      <c r="O152" s="12"/>
      <c r="P152" s="12"/>
      <c r="Q152" s="12"/>
      <c r="R152" s="12"/>
      <c r="S152" s="12"/>
      <c r="T152" s="12"/>
      <c r="U152" s="12"/>
      <c r="V152" s="12"/>
      <c r="W152" s="12"/>
      <c r="X152" s="12"/>
      <c r="Y152" s="12"/>
      <c r="Z152" s="12"/>
      <c r="AA152" s="12"/>
    </row>
    <row r="153">
      <c r="A153" s="12"/>
      <c r="B153" s="12"/>
      <c r="C153" s="12"/>
      <c r="D153" s="12"/>
      <c r="E153" s="12"/>
      <c r="F153" s="12"/>
      <c r="G153" s="12"/>
      <c r="H153" s="2"/>
      <c r="I153" s="12"/>
      <c r="J153" s="12"/>
      <c r="K153" s="12"/>
      <c r="L153" s="12"/>
      <c r="M153" s="12"/>
      <c r="N153" s="12"/>
      <c r="O153" s="12"/>
      <c r="P153" s="12"/>
      <c r="Q153" s="12"/>
      <c r="R153" s="12"/>
      <c r="S153" s="12"/>
      <c r="T153" s="12"/>
      <c r="U153" s="12"/>
      <c r="V153" s="12"/>
      <c r="W153" s="12"/>
      <c r="X153" s="12"/>
      <c r="Y153" s="12"/>
      <c r="Z153" s="12"/>
      <c r="AA153" s="12"/>
    </row>
    <row r="154">
      <c r="A154" s="12"/>
      <c r="B154" s="12"/>
      <c r="C154" s="12"/>
      <c r="D154" s="12"/>
      <c r="E154" s="12"/>
      <c r="F154" s="12"/>
      <c r="G154" s="12"/>
      <c r="H154" s="2"/>
      <c r="I154" s="12"/>
      <c r="J154" s="12"/>
      <c r="K154" s="12"/>
      <c r="L154" s="12"/>
      <c r="M154" s="12"/>
      <c r="N154" s="12"/>
      <c r="O154" s="12"/>
      <c r="P154" s="12"/>
      <c r="Q154" s="12"/>
      <c r="R154" s="12"/>
      <c r="S154" s="12"/>
      <c r="T154" s="12"/>
      <c r="U154" s="12"/>
      <c r="V154" s="12"/>
      <c r="W154" s="12"/>
      <c r="X154" s="12"/>
      <c r="Y154" s="12"/>
      <c r="Z154" s="12"/>
      <c r="AA154" s="12"/>
    </row>
    <row r="155">
      <c r="A155" s="12"/>
      <c r="B155" s="12"/>
      <c r="C155" s="12"/>
      <c r="D155" s="12"/>
      <c r="E155" s="12"/>
      <c r="F155" s="12"/>
      <c r="G155" s="12"/>
      <c r="H155" s="2"/>
      <c r="I155" s="12"/>
      <c r="J155" s="12"/>
      <c r="K155" s="12"/>
      <c r="L155" s="12"/>
      <c r="M155" s="12"/>
      <c r="N155" s="12"/>
      <c r="O155" s="12"/>
      <c r="P155" s="12"/>
      <c r="Q155" s="12"/>
      <c r="R155" s="12"/>
      <c r="S155" s="12"/>
      <c r="T155" s="12"/>
      <c r="U155" s="12"/>
      <c r="V155" s="12"/>
      <c r="W155" s="12"/>
      <c r="X155" s="12"/>
      <c r="Y155" s="12"/>
      <c r="Z155" s="12"/>
      <c r="AA155" s="12"/>
    </row>
    <row r="156">
      <c r="A156" s="12"/>
      <c r="B156" s="12"/>
      <c r="C156" s="12"/>
      <c r="D156" s="12"/>
      <c r="E156" s="12"/>
      <c r="F156" s="12"/>
      <c r="G156" s="12"/>
      <c r="H156" s="2"/>
      <c r="I156" s="12"/>
      <c r="J156" s="12"/>
      <c r="K156" s="12"/>
      <c r="L156" s="12"/>
      <c r="M156" s="12"/>
      <c r="N156" s="12"/>
      <c r="O156" s="12"/>
      <c r="P156" s="12"/>
      <c r="Q156" s="12"/>
      <c r="R156" s="12"/>
      <c r="S156" s="12"/>
      <c r="T156" s="12"/>
      <c r="U156" s="12"/>
      <c r="V156" s="12"/>
      <c r="W156" s="12"/>
      <c r="X156" s="12"/>
      <c r="Y156" s="12"/>
      <c r="Z156" s="12"/>
      <c r="AA156" s="12"/>
    </row>
    <row r="157">
      <c r="A157" s="12"/>
      <c r="B157" s="12"/>
      <c r="C157" s="12"/>
      <c r="D157" s="12"/>
      <c r="E157" s="12"/>
      <c r="F157" s="12"/>
      <c r="G157" s="12"/>
      <c r="H157" s="2"/>
      <c r="I157" s="12"/>
      <c r="J157" s="12"/>
      <c r="K157" s="12"/>
      <c r="L157" s="12"/>
      <c r="M157" s="12"/>
      <c r="N157" s="12"/>
      <c r="O157" s="12"/>
      <c r="P157" s="12"/>
      <c r="Q157" s="12"/>
      <c r="R157" s="12"/>
      <c r="S157" s="12"/>
      <c r="T157" s="12"/>
      <c r="U157" s="12"/>
      <c r="V157" s="12"/>
      <c r="W157" s="12"/>
      <c r="X157" s="12"/>
      <c r="Y157" s="12"/>
      <c r="Z157" s="12"/>
      <c r="AA157" s="12"/>
    </row>
    <row r="158">
      <c r="A158" s="12"/>
      <c r="B158" s="12"/>
      <c r="C158" s="12"/>
      <c r="D158" s="12"/>
      <c r="E158" s="12"/>
      <c r="F158" s="12"/>
      <c r="G158" s="12"/>
      <c r="H158" s="2"/>
      <c r="I158" s="12"/>
      <c r="J158" s="12"/>
      <c r="K158" s="12"/>
      <c r="L158" s="12"/>
      <c r="M158" s="12"/>
      <c r="N158" s="12"/>
      <c r="O158" s="12"/>
      <c r="P158" s="12"/>
      <c r="Q158" s="12"/>
      <c r="R158" s="12"/>
      <c r="S158" s="12"/>
      <c r="T158" s="12"/>
      <c r="U158" s="12"/>
      <c r="V158" s="12"/>
      <c r="W158" s="12"/>
      <c r="X158" s="12"/>
      <c r="Y158" s="12"/>
      <c r="Z158" s="12"/>
      <c r="AA158" s="12"/>
    </row>
    <row r="159">
      <c r="A159" s="12"/>
      <c r="B159" s="12"/>
      <c r="C159" s="12"/>
      <c r="D159" s="12"/>
      <c r="E159" s="12"/>
      <c r="F159" s="12"/>
      <c r="G159" s="12"/>
      <c r="H159" s="2"/>
      <c r="I159" s="12"/>
      <c r="J159" s="12"/>
      <c r="K159" s="12"/>
      <c r="L159" s="12"/>
      <c r="M159" s="12"/>
      <c r="N159" s="12"/>
      <c r="O159" s="12"/>
      <c r="P159" s="12"/>
      <c r="Q159" s="12"/>
      <c r="R159" s="12"/>
      <c r="S159" s="12"/>
      <c r="T159" s="12"/>
      <c r="U159" s="12"/>
      <c r="V159" s="12"/>
      <c r="W159" s="12"/>
      <c r="X159" s="12"/>
      <c r="Y159" s="12"/>
      <c r="Z159" s="12"/>
      <c r="AA159" s="12"/>
    </row>
    <row r="160">
      <c r="A160" s="12"/>
      <c r="B160" s="12"/>
      <c r="C160" s="12"/>
      <c r="D160" s="12"/>
      <c r="E160" s="12"/>
      <c r="F160" s="12"/>
      <c r="G160" s="12"/>
      <c r="H160" s="2"/>
      <c r="I160" s="12"/>
      <c r="J160" s="12"/>
      <c r="K160" s="12"/>
      <c r="L160" s="12"/>
      <c r="M160" s="12"/>
      <c r="N160" s="12"/>
      <c r="O160" s="12"/>
      <c r="P160" s="12"/>
      <c r="Q160" s="12"/>
      <c r="R160" s="12"/>
      <c r="S160" s="12"/>
      <c r="T160" s="12"/>
      <c r="U160" s="12"/>
      <c r="V160" s="12"/>
      <c r="W160" s="12"/>
      <c r="X160" s="12"/>
      <c r="Y160" s="12"/>
      <c r="Z160" s="12"/>
      <c r="AA160" s="12"/>
    </row>
    <row r="161">
      <c r="A161" s="12"/>
      <c r="B161" s="12"/>
      <c r="C161" s="12"/>
      <c r="D161" s="12"/>
      <c r="E161" s="12"/>
      <c r="F161" s="12"/>
      <c r="G161" s="12"/>
      <c r="H161" s="2"/>
      <c r="I161" s="12"/>
      <c r="J161" s="12"/>
      <c r="K161" s="12"/>
      <c r="L161" s="12"/>
      <c r="M161" s="12"/>
      <c r="N161" s="12"/>
      <c r="O161" s="12"/>
      <c r="P161" s="12"/>
      <c r="Q161" s="12"/>
      <c r="R161" s="12"/>
      <c r="S161" s="12"/>
      <c r="T161" s="12"/>
      <c r="U161" s="12"/>
      <c r="V161" s="12"/>
      <c r="W161" s="12"/>
      <c r="X161" s="12"/>
      <c r="Y161" s="12"/>
      <c r="Z161" s="12"/>
      <c r="AA161" s="12"/>
    </row>
    <row r="162">
      <c r="A162" s="12"/>
      <c r="B162" s="12"/>
      <c r="C162" s="12"/>
      <c r="D162" s="12"/>
      <c r="E162" s="12"/>
      <c r="F162" s="12"/>
      <c r="G162" s="12"/>
      <c r="H162" s="2"/>
      <c r="I162" s="12"/>
      <c r="J162" s="12"/>
      <c r="K162" s="12"/>
      <c r="L162" s="12"/>
      <c r="M162" s="12"/>
      <c r="N162" s="12"/>
      <c r="O162" s="12"/>
      <c r="P162" s="12"/>
      <c r="Q162" s="12"/>
      <c r="R162" s="12"/>
      <c r="S162" s="12"/>
      <c r="T162" s="12"/>
      <c r="U162" s="12"/>
      <c r="V162" s="12"/>
      <c r="W162" s="12"/>
      <c r="X162" s="12"/>
      <c r="Y162" s="12"/>
      <c r="Z162" s="12"/>
      <c r="AA162" s="12"/>
    </row>
    <row r="163">
      <c r="A163" s="12"/>
      <c r="B163" s="12"/>
      <c r="C163" s="12"/>
      <c r="D163" s="12"/>
      <c r="E163" s="12"/>
      <c r="F163" s="12"/>
      <c r="G163" s="12"/>
      <c r="H163" s="2"/>
      <c r="I163" s="12"/>
      <c r="J163" s="12"/>
      <c r="K163" s="12"/>
      <c r="L163" s="12"/>
      <c r="M163" s="12"/>
      <c r="N163" s="12"/>
      <c r="O163" s="12"/>
      <c r="P163" s="12"/>
      <c r="Q163" s="12"/>
      <c r="R163" s="12"/>
      <c r="S163" s="12"/>
      <c r="T163" s="12"/>
      <c r="U163" s="12"/>
      <c r="V163" s="12"/>
      <c r="W163" s="12"/>
      <c r="X163" s="12"/>
      <c r="Y163" s="12"/>
      <c r="Z163" s="12"/>
      <c r="AA163" s="12"/>
    </row>
    <row r="164">
      <c r="A164" s="12"/>
      <c r="B164" s="12"/>
      <c r="C164" s="12"/>
      <c r="D164" s="12"/>
      <c r="E164" s="12"/>
      <c r="F164" s="12"/>
      <c r="G164" s="12"/>
      <c r="H164" s="2"/>
      <c r="I164" s="12"/>
      <c r="J164" s="12"/>
      <c r="K164" s="12"/>
      <c r="L164" s="12"/>
      <c r="M164" s="12"/>
      <c r="N164" s="12"/>
      <c r="O164" s="12"/>
      <c r="P164" s="12"/>
      <c r="Q164" s="12"/>
      <c r="R164" s="12"/>
      <c r="S164" s="12"/>
      <c r="T164" s="12"/>
      <c r="U164" s="12"/>
      <c r="V164" s="12"/>
      <c r="W164" s="12"/>
      <c r="X164" s="12"/>
      <c r="Y164" s="12"/>
      <c r="Z164" s="12"/>
      <c r="AA164" s="12"/>
    </row>
    <row r="165">
      <c r="A165" s="12"/>
      <c r="B165" s="12"/>
      <c r="C165" s="12"/>
      <c r="D165" s="12"/>
      <c r="E165" s="12"/>
      <c r="F165" s="12"/>
      <c r="G165" s="12"/>
      <c r="H165" s="2"/>
      <c r="I165" s="12"/>
      <c r="J165" s="12"/>
      <c r="K165" s="12"/>
      <c r="L165" s="12"/>
      <c r="M165" s="12"/>
      <c r="N165" s="12"/>
      <c r="O165" s="12"/>
      <c r="P165" s="12"/>
      <c r="Q165" s="12"/>
      <c r="R165" s="12"/>
      <c r="S165" s="12"/>
      <c r="T165" s="12"/>
      <c r="U165" s="12"/>
      <c r="V165" s="12"/>
      <c r="W165" s="12"/>
      <c r="X165" s="12"/>
      <c r="Y165" s="12"/>
      <c r="Z165" s="12"/>
      <c r="AA165" s="12"/>
    </row>
    <row r="166">
      <c r="A166" s="12"/>
      <c r="B166" s="12"/>
      <c r="C166" s="12"/>
      <c r="D166" s="12"/>
      <c r="E166" s="12"/>
      <c r="F166" s="12"/>
      <c r="G166" s="12"/>
      <c r="H166" s="2"/>
      <c r="I166" s="12"/>
      <c r="J166" s="12"/>
      <c r="K166" s="12"/>
      <c r="L166" s="12"/>
      <c r="M166" s="12"/>
      <c r="N166" s="12"/>
      <c r="O166" s="12"/>
      <c r="P166" s="12"/>
      <c r="Q166" s="12"/>
      <c r="R166" s="12"/>
      <c r="S166" s="12"/>
      <c r="T166" s="12"/>
      <c r="U166" s="12"/>
      <c r="V166" s="12"/>
      <c r="W166" s="12"/>
      <c r="X166" s="12"/>
      <c r="Y166" s="12"/>
      <c r="Z166" s="12"/>
      <c r="AA166" s="12"/>
    </row>
    <row r="167">
      <c r="A167" s="12"/>
      <c r="B167" s="12"/>
      <c r="C167" s="12"/>
      <c r="D167" s="12"/>
      <c r="E167" s="12"/>
      <c r="F167" s="12"/>
      <c r="G167" s="12"/>
      <c r="H167" s="2"/>
      <c r="I167" s="12"/>
      <c r="J167" s="12"/>
      <c r="K167" s="12"/>
      <c r="L167" s="12"/>
      <c r="M167" s="12"/>
      <c r="N167" s="12"/>
      <c r="O167" s="12"/>
      <c r="P167" s="12"/>
      <c r="Q167" s="12"/>
      <c r="R167" s="12"/>
      <c r="S167" s="12"/>
      <c r="T167" s="12"/>
      <c r="U167" s="12"/>
      <c r="V167" s="12"/>
      <c r="W167" s="12"/>
      <c r="X167" s="12"/>
      <c r="Y167" s="12"/>
      <c r="Z167" s="12"/>
      <c r="AA167" s="12"/>
    </row>
    <row r="168">
      <c r="A168" s="12"/>
      <c r="B168" s="12"/>
      <c r="C168" s="12"/>
      <c r="D168" s="12"/>
      <c r="E168" s="12"/>
      <c r="F168" s="12"/>
      <c r="G168" s="12"/>
      <c r="H168" s="2"/>
      <c r="I168" s="12"/>
      <c r="J168" s="12"/>
      <c r="K168" s="12"/>
      <c r="L168" s="12"/>
      <c r="M168" s="12"/>
      <c r="N168" s="12"/>
      <c r="O168" s="12"/>
      <c r="P168" s="12"/>
      <c r="Q168" s="12"/>
      <c r="R168" s="12"/>
      <c r="S168" s="12"/>
      <c r="T168" s="12"/>
      <c r="U168" s="12"/>
      <c r="V168" s="12"/>
      <c r="W168" s="12"/>
      <c r="X168" s="12"/>
      <c r="Y168" s="12"/>
      <c r="Z168" s="12"/>
      <c r="AA168" s="12"/>
    </row>
    <row r="169">
      <c r="A169" s="12"/>
      <c r="B169" s="12"/>
      <c r="C169" s="12"/>
      <c r="D169" s="12"/>
      <c r="E169" s="12"/>
      <c r="F169" s="12"/>
      <c r="G169" s="12"/>
      <c r="H169" s="2"/>
      <c r="I169" s="12"/>
      <c r="J169" s="12"/>
      <c r="K169" s="12"/>
      <c r="L169" s="12"/>
      <c r="M169" s="12"/>
      <c r="N169" s="12"/>
      <c r="O169" s="12"/>
      <c r="P169" s="12"/>
      <c r="Q169" s="12"/>
      <c r="R169" s="12"/>
      <c r="S169" s="12"/>
      <c r="T169" s="12"/>
      <c r="U169" s="12"/>
      <c r="V169" s="12"/>
      <c r="W169" s="12"/>
      <c r="X169" s="12"/>
      <c r="Y169" s="12"/>
      <c r="Z169" s="12"/>
      <c r="AA169" s="12"/>
    </row>
    <row r="170">
      <c r="A170" s="12"/>
      <c r="B170" s="12"/>
      <c r="C170" s="12"/>
      <c r="D170" s="12"/>
      <c r="E170" s="12"/>
      <c r="F170" s="12"/>
      <c r="G170" s="12"/>
      <c r="H170" s="2"/>
      <c r="I170" s="12"/>
      <c r="J170" s="12"/>
      <c r="K170" s="12"/>
      <c r="L170" s="12"/>
      <c r="M170" s="12"/>
      <c r="N170" s="12"/>
      <c r="O170" s="12"/>
      <c r="P170" s="12"/>
      <c r="Q170" s="12"/>
      <c r="R170" s="12"/>
      <c r="S170" s="12"/>
      <c r="T170" s="12"/>
      <c r="U170" s="12"/>
      <c r="V170" s="12"/>
      <c r="W170" s="12"/>
      <c r="X170" s="12"/>
      <c r="Y170" s="12"/>
      <c r="Z170" s="12"/>
      <c r="AA170" s="12"/>
    </row>
    <row r="171">
      <c r="A171" s="12"/>
      <c r="B171" s="12"/>
      <c r="C171" s="12"/>
      <c r="D171" s="12"/>
      <c r="E171" s="12"/>
      <c r="F171" s="12"/>
      <c r="G171" s="12"/>
      <c r="H171" s="2"/>
      <c r="I171" s="12"/>
      <c r="J171" s="12"/>
      <c r="K171" s="12"/>
      <c r="L171" s="12"/>
      <c r="M171" s="12"/>
      <c r="N171" s="12"/>
      <c r="O171" s="12"/>
      <c r="P171" s="12"/>
      <c r="Q171" s="12"/>
      <c r="R171" s="12"/>
      <c r="S171" s="12"/>
      <c r="T171" s="12"/>
      <c r="U171" s="12"/>
      <c r="V171" s="12"/>
      <c r="W171" s="12"/>
      <c r="X171" s="12"/>
      <c r="Y171" s="12"/>
      <c r="Z171" s="12"/>
      <c r="AA171" s="12"/>
    </row>
    <row r="172">
      <c r="A172" s="12"/>
      <c r="B172" s="12"/>
      <c r="C172" s="12"/>
      <c r="D172" s="12"/>
      <c r="E172" s="12"/>
      <c r="F172" s="12"/>
      <c r="G172" s="12"/>
      <c r="H172" s="2"/>
      <c r="I172" s="12"/>
      <c r="J172" s="12"/>
      <c r="K172" s="12"/>
      <c r="L172" s="12"/>
      <c r="M172" s="12"/>
      <c r="N172" s="12"/>
      <c r="O172" s="12"/>
      <c r="P172" s="12"/>
      <c r="Q172" s="12"/>
      <c r="R172" s="12"/>
      <c r="S172" s="12"/>
      <c r="T172" s="12"/>
      <c r="U172" s="12"/>
      <c r="V172" s="12"/>
      <c r="W172" s="12"/>
      <c r="X172" s="12"/>
      <c r="Y172" s="12"/>
      <c r="Z172" s="12"/>
      <c r="AA172" s="12"/>
    </row>
    <row r="173">
      <c r="A173" s="12"/>
      <c r="B173" s="12"/>
      <c r="C173" s="12"/>
      <c r="D173" s="12"/>
      <c r="E173" s="12"/>
      <c r="F173" s="12"/>
      <c r="G173" s="12"/>
      <c r="H173" s="2"/>
      <c r="I173" s="12"/>
      <c r="J173" s="12"/>
      <c r="K173" s="12"/>
      <c r="L173" s="12"/>
      <c r="M173" s="12"/>
      <c r="N173" s="12"/>
      <c r="O173" s="12"/>
      <c r="P173" s="12"/>
      <c r="Q173" s="12"/>
      <c r="R173" s="12"/>
      <c r="S173" s="12"/>
      <c r="T173" s="12"/>
      <c r="U173" s="12"/>
      <c r="V173" s="12"/>
      <c r="W173" s="12"/>
      <c r="X173" s="12"/>
      <c r="Y173" s="12"/>
      <c r="Z173" s="12"/>
      <c r="AA173" s="12"/>
    </row>
    <row r="174">
      <c r="A174" s="12"/>
      <c r="B174" s="12"/>
      <c r="C174" s="12"/>
      <c r="D174" s="12"/>
      <c r="E174" s="12"/>
      <c r="F174" s="12"/>
      <c r="G174" s="12"/>
      <c r="H174" s="2"/>
      <c r="I174" s="12"/>
      <c r="J174" s="12"/>
      <c r="K174" s="12"/>
      <c r="L174" s="12"/>
      <c r="M174" s="12"/>
      <c r="N174" s="12"/>
      <c r="O174" s="12"/>
      <c r="P174" s="12"/>
      <c r="Q174" s="12"/>
      <c r="R174" s="12"/>
      <c r="S174" s="12"/>
      <c r="T174" s="12"/>
      <c r="U174" s="12"/>
      <c r="V174" s="12"/>
      <c r="W174" s="12"/>
      <c r="X174" s="12"/>
      <c r="Y174" s="12"/>
      <c r="Z174" s="12"/>
      <c r="AA174" s="12"/>
    </row>
    <row r="175">
      <c r="A175" s="12"/>
      <c r="B175" s="12"/>
      <c r="C175" s="12"/>
      <c r="D175" s="12"/>
      <c r="E175" s="12"/>
      <c r="F175" s="12"/>
      <c r="G175" s="12"/>
      <c r="H175" s="2"/>
      <c r="I175" s="12"/>
      <c r="J175" s="12"/>
      <c r="K175" s="12"/>
      <c r="L175" s="12"/>
      <c r="M175" s="12"/>
      <c r="N175" s="12"/>
      <c r="O175" s="12"/>
      <c r="P175" s="12"/>
      <c r="Q175" s="12"/>
      <c r="R175" s="12"/>
      <c r="S175" s="12"/>
      <c r="T175" s="12"/>
      <c r="U175" s="12"/>
      <c r="V175" s="12"/>
      <c r="W175" s="12"/>
      <c r="X175" s="12"/>
      <c r="Y175" s="12"/>
      <c r="Z175" s="12"/>
      <c r="AA175" s="12"/>
    </row>
    <row r="176">
      <c r="A176" s="12"/>
      <c r="B176" s="12"/>
      <c r="C176" s="12"/>
      <c r="D176" s="12"/>
      <c r="E176" s="12"/>
      <c r="F176" s="12"/>
      <c r="G176" s="12"/>
      <c r="H176" s="2"/>
      <c r="I176" s="12"/>
      <c r="J176" s="12"/>
      <c r="K176" s="12"/>
      <c r="L176" s="12"/>
      <c r="M176" s="12"/>
      <c r="N176" s="12"/>
      <c r="O176" s="12"/>
      <c r="P176" s="12"/>
      <c r="Q176" s="12"/>
      <c r="R176" s="12"/>
      <c r="S176" s="12"/>
      <c r="T176" s="12"/>
      <c r="U176" s="12"/>
      <c r="V176" s="12"/>
      <c r="W176" s="12"/>
      <c r="X176" s="12"/>
      <c r="Y176" s="12"/>
      <c r="Z176" s="12"/>
      <c r="AA176" s="12"/>
    </row>
    <row r="177">
      <c r="A177" s="12"/>
      <c r="B177" s="12"/>
      <c r="C177" s="12"/>
      <c r="D177" s="12"/>
      <c r="E177" s="12"/>
      <c r="F177" s="12"/>
      <c r="G177" s="12"/>
      <c r="H177" s="2"/>
      <c r="I177" s="12"/>
      <c r="J177" s="12"/>
      <c r="K177" s="12"/>
      <c r="L177" s="12"/>
      <c r="M177" s="12"/>
      <c r="N177" s="12"/>
      <c r="O177" s="12"/>
      <c r="P177" s="12"/>
      <c r="Q177" s="12"/>
      <c r="R177" s="12"/>
      <c r="S177" s="12"/>
      <c r="T177" s="12"/>
      <c r="U177" s="12"/>
      <c r="V177" s="12"/>
      <c r="W177" s="12"/>
      <c r="X177" s="12"/>
      <c r="Y177" s="12"/>
      <c r="Z177" s="12"/>
      <c r="AA177" s="12"/>
    </row>
    <row r="178">
      <c r="A178" s="12"/>
      <c r="B178" s="12"/>
      <c r="C178" s="12"/>
      <c r="D178" s="12"/>
      <c r="E178" s="12"/>
      <c r="F178" s="12"/>
      <c r="G178" s="12"/>
      <c r="H178" s="2"/>
      <c r="I178" s="12"/>
      <c r="J178" s="12"/>
      <c r="K178" s="12"/>
      <c r="L178" s="12"/>
      <c r="M178" s="12"/>
      <c r="N178" s="12"/>
      <c r="O178" s="12"/>
      <c r="P178" s="12"/>
      <c r="Q178" s="12"/>
      <c r="R178" s="12"/>
      <c r="S178" s="12"/>
      <c r="T178" s="12"/>
      <c r="U178" s="12"/>
      <c r="V178" s="12"/>
      <c r="W178" s="12"/>
      <c r="X178" s="12"/>
      <c r="Y178" s="12"/>
      <c r="Z178" s="12"/>
      <c r="AA178" s="12"/>
    </row>
    <row r="179">
      <c r="A179" s="12"/>
      <c r="B179" s="12"/>
      <c r="C179" s="12"/>
      <c r="D179" s="12"/>
      <c r="E179" s="12"/>
      <c r="F179" s="12"/>
      <c r="G179" s="12"/>
      <c r="H179" s="2"/>
      <c r="I179" s="12"/>
      <c r="J179" s="12"/>
      <c r="K179" s="12"/>
      <c r="L179" s="12"/>
      <c r="M179" s="12"/>
      <c r="N179" s="12"/>
      <c r="O179" s="12"/>
      <c r="P179" s="12"/>
      <c r="Q179" s="12"/>
      <c r="R179" s="12"/>
      <c r="S179" s="12"/>
      <c r="T179" s="12"/>
      <c r="U179" s="12"/>
      <c r="V179" s="12"/>
      <c r="W179" s="12"/>
      <c r="X179" s="12"/>
      <c r="Y179" s="12"/>
      <c r="Z179" s="12"/>
      <c r="AA179" s="12"/>
    </row>
    <row r="180">
      <c r="A180" s="12"/>
      <c r="B180" s="12"/>
      <c r="C180" s="12"/>
      <c r="D180" s="12"/>
      <c r="E180" s="12"/>
      <c r="F180" s="12"/>
      <c r="G180" s="12"/>
      <c r="H180" s="2"/>
      <c r="I180" s="12"/>
      <c r="J180" s="12"/>
      <c r="K180" s="12"/>
      <c r="L180" s="12"/>
      <c r="M180" s="12"/>
      <c r="N180" s="12"/>
      <c r="O180" s="12"/>
      <c r="P180" s="12"/>
      <c r="Q180" s="12"/>
      <c r="R180" s="12"/>
      <c r="S180" s="12"/>
      <c r="T180" s="12"/>
      <c r="U180" s="12"/>
      <c r="V180" s="12"/>
      <c r="W180" s="12"/>
      <c r="X180" s="12"/>
      <c r="Y180" s="12"/>
      <c r="Z180" s="12"/>
      <c r="AA180" s="12"/>
    </row>
    <row r="181">
      <c r="A181" s="12"/>
      <c r="B181" s="12"/>
      <c r="C181" s="12"/>
      <c r="D181" s="12"/>
      <c r="E181" s="12"/>
      <c r="F181" s="12"/>
      <c r="G181" s="12"/>
      <c r="H181" s="2"/>
      <c r="I181" s="12"/>
      <c r="J181" s="12"/>
      <c r="K181" s="12"/>
      <c r="L181" s="12"/>
      <c r="M181" s="12"/>
      <c r="N181" s="12"/>
      <c r="O181" s="12"/>
      <c r="P181" s="12"/>
      <c r="Q181" s="12"/>
      <c r="R181" s="12"/>
      <c r="S181" s="12"/>
      <c r="T181" s="12"/>
      <c r="U181" s="12"/>
      <c r="V181" s="12"/>
      <c r="W181" s="12"/>
      <c r="X181" s="12"/>
      <c r="Y181" s="12"/>
      <c r="Z181" s="12"/>
      <c r="AA181" s="12"/>
    </row>
    <row r="182">
      <c r="A182" s="12"/>
      <c r="B182" s="12"/>
      <c r="C182" s="12"/>
      <c r="D182" s="12"/>
      <c r="E182" s="12"/>
      <c r="F182" s="12"/>
      <c r="G182" s="12"/>
      <c r="H182" s="2"/>
      <c r="I182" s="12"/>
      <c r="J182" s="12"/>
      <c r="K182" s="12"/>
      <c r="L182" s="12"/>
      <c r="M182" s="12"/>
      <c r="N182" s="12"/>
      <c r="O182" s="12"/>
      <c r="P182" s="12"/>
      <c r="Q182" s="12"/>
      <c r="R182" s="12"/>
      <c r="S182" s="12"/>
      <c r="T182" s="12"/>
      <c r="U182" s="12"/>
      <c r="V182" s="12"/>
      <c r="W182" s="12"/>
      <c r="X182" s="12"/>
      <c r="Y182" s="12"/>
      <c r="Z182" s="12"/>
      <c r="AA182" s="12"/>
    </row>
    <row r="183">
      <c r="A183" s="12"/>
      <c r="B183" s="12"/>
      <c r="C183" s="12"/>
      <c r="D183" s="12"/>
      <c r="E183" s="12"/>
      <c r="F183" s="12"/>
      <c r="G183" s="12"/>
      <c r="H183" s="2"/>
      <c r="I183" s="12"/>
      <c r="J183" s="12"/>
      <c r="K183" s="12"/>
      <c r="L183" s="12"/>
      <c r="M183" s="12"/>
      <c r="N183" s="12"/>
      <c r="O183" s="12"/>
      <c r="P183" s="12"/>
      <c r="Q183" s="12"/>
      <c r="R183" s="12"/>
      <c r="S183" s="12"/>
      <c r="T183" s="12"/>
      <c r="U183" s="12"/>
      <c r="V183" s="12"/>
      <c r="W183" s="12"/>
      <c r="X183" s="12"/>
      <c r="Y183" s="12"/>
      <c r="Z183" s="12"/>
      <c r="AA183" s="12"/>
    </row>
    <row r="184">
      <c r="A184" s="12"/>
      <c r="B184" s="12"/>
      <c r="C184" s="12"/>
      <c r="D184" s="12"/>
      <c r="E184" s="12"/>
      <c r="F184" s="12"/>
      <c r="G184" s="12"/>
      <c r="H184" s="2"/>
      <c r="I184" s="12"/>
      <c r="J184" s="12"/>
      <c r="K184" s="12"/>
      <c r="L184" s="12"/>
      <c r="M184" s="12"/>
      <c r="N184" s="12"/>
      <c r="O184" s="12"/>
      <c r="P184" s="12"/>
      <c r="Q184" s="12"/>
      <c r="R184" s="12"/>
      <c r="S184" s="12"/>
      <c r="T184" s="12"/>
      <c r="U184" s="12"/>
      <c r="V184" s="12"/>
      <c r="W184" s="12"/>
      <c r="X184" s="12"/>
      <c r="Y184" s="12"/>
      <c r="Z184" s="12"/>
      <c r="AA184" s="12"/>
    </row>
    <row r="185">
      <c r="A185" s="12"/>
      <c r="B185" s="12"/>
      <c r="C185" s="12"/>
      <c r="D185" s="12"/>
      <c r="E185" s="12"/>
      <c r="F185" s="12"/>
      <c r="G185" s="12"/>
      <c r="H185" s="2"/>
      <c r="I185" s="12"/>
      <c r="J185" s="12"/>
      <c r="K185" s="12"/>
      <c r="L185" s="12"/>
      <c r="M185" s="12"/>
      <c r="N185" s="12"/>
      <c r="O185" s="12"/>
      <c r="P185" s="12"/>
      <c r="Q185" s="12"/>
      <c r="R185" s="12"/>
      <c r="S185" s="12"/>
      <c r="T185" s="12"/>
      <c r="U185" s="12"/>
      <c r="V185" s="12"/>
      <c r="W185" s="12"/>
      <c r="X185" s="12"/>
      <c r="Y185" s="12"/>
      <c r="Z185" s="12"/>
      <c r="AA185" s="12"/>
    </row>
    <row r="186">
      <c r="A186" s="12"/>
      <c r="B186" s="12"/>
      <c r="C186" s="12"/>
      <c r="D186" s="12"/>
      <c r="E186" s="12"/>
      <c r="F186" s="12"/>
      <c r="G186" s="12"/>
      <c r="H186" s="2"/>
      <c r="I186" s="12"/>
      <c r="J186" s="12"/>
      <c r="K186" s="12"/>
      <c r="L186" s="12"/>
      <c r="M186" s="12"/>
      <c r="N186" s="12"/>
      <c r="O186" s="12"/>
      <c r="P186" s="12"/>
      <c r="Q186" s="12"/>
      <c r="R186" s="12"/>
      <c r="S186" s="12"/>
      <c r="T186" s="12"/>
      <c r="U186" s="12"/>
      <c r="V186" s="12"/>
      <c r="W186" s="12"/>
      <c r="X186" s="12"/>
      <c r="Y186" s="12"/>
      <c r="Z186" s="12"/>
      <c r="AA186" s="12"/>
    </row>
    <row r="187">
      <c r="A187" s="12"/>
      <c r="B187" s="12"/>
      <c r="C187" s="12"/>
      <c r="D187" s="12"/>
      <c r="E187" s="12"/>
      <c r="F187" s="12"/>
      <c r="G187" s="12"/>
      <c r="H187" s="2"/>
      <c r="I187" s="12"/>
      <c r="J187" s="12"/>
      <c r="K187" s="12"/>
      <c r="L187" s="12"/>
      <c r="M187" s="12"/>
      <c r="N187" s="12"/>
      <c r="O187" s="12"/>
      <c r="P187" s="12"/>
      <c r="Q187" s="12"/>
      <c r="R187" s="12"/>
      <c r="S187" s="12"/>
      <c r="T187" s="12"/>
      <c r="U187" s="12"/>
      <c r="V187" s="12"/>
      <c r="W187" s="12"/>
      <c r="X187" s="12"/>
      <c r="Y187" s="12"/>
      <c r="Z187" s="12"/>
      <c r="AA187" s="12"/>
    </row>
    <row r="188">
      <c r="A188" s="12"/>
      <c r="B188" s="12"/>
      <c r="C188" s="12"/>
      <c r="D188" s="12"/>
      <c r="E188" s="12"/>
      <c r="F188" s="12"/>
      <c r="G188" s="12"/>
      <c r="H188" s="2"/>
      <c r="I188" s="12"/>
      <c r="J188" s="12"/>
      <c r="K188" s="12"/>
      <c r="L188" s="12"/>
      <c r="M188" s="12"/>
      <c r="N188" s="12"/>
      <c r="O188" s="12"/>
      <c r="P188" s="12"/>
      <c r="Q188" s="12"/>
      <c r="R188" s="12"/>
      <c r="S188" s="12"/>
      <c r="T188" s="12"/>
      <c r="U188" s="12"/>
      <c r="V188" s="12"/>
      <c r="W188" s="12"/>
      <c r="X188" s="12"/>
      <c r="Y188" s="12"/>
      <c r="Z188" s="12"/>
      <c r="AA188" s="12"/>
    </row>
    <row r="189">
      <c r="A189" s="12"/>
      <c r="B189" s="12"/>
      <c r="C189" s="12"/>
      <c r="D189" s="12"/>
      <c r="E189" s="12"/>
      <c r="F189" s="12"/>
      <c r="G189" s="12"/>
      <c r="H189" s="2"/>
      <c r="I189" s="12"/>
      <c r="J189" s="12"/>
      <c r="K189" s="12"/>
      <c r="L189" s="12"/>
      <c r="M189" s="12"/>
      <c r="N189" s="12"/>
      <c r="O189" s="12"/>
      <c r="P189" s="12"/>
      <c r="Q189" s="12"/>
      <c r="R189" s="12"/>
      <c r="S189" s="12"/>
      <c r="T189" s="12"/>
      <c r="U189" s="12"/>
      <c r="V189" s="12"/>
      <c r="W189" s="12"/>
      <c r="X189" s="12"/>
      <c r="Y189" s="12"/>
      <c r="Z189" s="12"/>
      <c r="AA189" s="12"/>
    </row>
    <row r="190">
      <c r="A190" s="12"/>
      <c r="B190" s="12"/>
      <c r="C190" s="12"/>
      <c r="D190" s="12"/>
      <c r="E190" s="12"/>
      <c r="F190" s="12"/>
      <c r="G190" s="12"/>
      <c r="H190" s="2"/>
      <c r="I190" s="12"/>
      <c r="J190" s="12"/>
      <c r="K190" s="12"/>
      <c r="L190" s="12"/>
      <c r="M190" s="12"/>
      <c r="N190" s="12"/>
      <c r="O190" s="12"/>
      <c r="P190" s="12"/>
      <c r="Q190" s="12"/>
      <c r="R190" s="12"/>
      <c r="S190" s="12"/>
      <c r="T190" s="12"/>
      <c r="U190" s="12"/>
      <c r="V190" s="12"/>
      <c r="W190" s="12"/>
      <c r="X190" s="12"/>
      <c r="Y190" s="12"/>
      <c r="Z190" s="12"/>
      <c r="AA190" s="12"/>
    </row>
    <row r="191">
      <c r="A191" s="12"/>
      <c r="B191" s="12"/>
      <c r="C191" s="12"/>
      <c r="D191" s="12"/>
      <c r="E191" s="12"/>
      <c r="F191" s="12"/>
      <c r="G191" s="12"/>
      <c r="H191" s="2"/>
      <c r="I191" s="12"/>
      <c r="J191" s="12"/>
      <c r="K191" s="12"/>
      <c r="L191" s="12"/>
      <c r="M191" s="12"/>
      <c r="N191" s="12"/>
      <c r="O191" s="12"/>
      <c r="P191" s="12"/>
      <c r="Q191" s="12"/>
      <c r="R191" s="12"/>
      <c r="S191" s="12"/>
      <c r="T191" s="12"/>
      <c r="U191" s="12"/>
      <c r="V191" s="12"/>
      <c r="W191" s="12"/>
      <c r="X191" s="12"/>
      <c r="Y191" s="12"/>
      <c r="Z191" s="12"/>
      <c r="AA191" s="12"/>
    </row>
    <row r="192">
      <c r="A192" s="12"/>
      <c r="B192" s="12"/>
      <c r="C192" s="12"/>
      <c r="D192" s="12"/>
      <c r="E192" s="12"/>
      <c r="F192" s="12"/>
      <c r="G192" s="12"/>
      <c r="H192" s="2"/>
      <c r="I192" s="12"/>
      <c r="J192" s="12"/>
      <c r="K192" s="12"/>
      <c r="L192" s="12"/>
      <c r="M192" s="12"/>
      <c r="N192" s="12"/>
      <c r="O192" s="12"/>
      <c r="P192" s="12"/>
      <c r="Q192" s="12"/>
      <c r="R192" s="12"/>
      <c r="S192" s="12"/>
      <c r="T192" s="12"/>
      <c r="U192" s="12"/>
      <c r="V192" s="12"/>
      <c r="W192" s="12"/>
      <c r="X192" s="12"/>
      <c r="Y192" s="12"/>
      <c r="Z192" s="12"/>
      <c r="AA192" s="12"/>
    </row>
    <row r="193">
      <c r="A193" s="12"/>
      <c r="B193" s="12"/>
      <c r="C193" s="12"/>
      <c r="D193" s="12"/>
      <c r="E193" s="12"/>
      <c r="F193" s="12"/>
      <c r="G193" s="12"/>
      <c r="H193" s="2"/>
      <c r="I193" s="12"/>
      <c r="J193" s="12"/>
      <c r="K193" s="12"/>
      <c r="L193" s="12"/>
      <c r="M193" s="12"/>
      <c r="N193" s="12"/>
      <c r="O193" s="12"/>
      <c r="P193" s="12"/>
      <c r="Q193" s="12"/>
      <c r="R193" s="12"/>
      <c r="S193" s="12"/>
      <c r="T193" s="12"/>
      <c r="U193" s="12"/>
      <c r="V193" s="12"/>
      <c r="W193" s="12"/>
      <c r="X193" s="12"/>
      <c r="Y193" s="12"/>
      <c r="Z193" s="12"/>
      <c r="AA193" s="12"/>
    </row>
    <row r="194">
      <c r="A194" s="12"/>
      <c r="B194" s="12"/>
      <c r="C194" s="12"/>
      <c r="D194" s="12"/>
      <c r="E194" s="12"/>
      <c r="F194" s="12"/>
      <c r="G194" s="12"/>
      <c r="H194" s="2"/>
      <c r="I194" s="12"/>
      <c r="J194" s="12"/>
      <c r="K194" s="12"/>
      <c r="L194" s="12"/>
      <c r="M194" s="12"/>
      <c r="N194" s="12"/>
      <c r="O194" s="12"/>
      <c r="P194" s="12"/>
      <c r="Q194" s="12"/>
      <c r="R194" s="12"/>
      <c r="S194" s="12"/>
      <c r="T194" s="12"/>
      <c r="U194" s="12"/>
      <c r="V194" s="12"/>
      <c r="W194" s="12"/>
      <c r="X194" s="12"/>
      <c r="Y194" s="12"/>
      <c r="Z194" s="12"/>
      <c r="AA194" s="12"/>
    </row>
    <row r="195">
      <c r="A195" s="12"/>
      <c r="B195" s="12"/>
      <c r="C195" s="12"/>
      <c r="D195" s="12"/>
      <c r="E195" s="12"/>
      <c r="F195" s="12"/>
      <c r="G195" s="12"/>
      <c r="H195" s="2"/>
      <c r="I195" s="12"/>
      <c r="J195" s="12"/>
      <c r="K195" s="12"/>
      <c r="L195" s="12"/>
      <c r="M195" s="12"/>
      <c r="N195" s="12"/>
      <c r="O195" s="12"/>
      <c r="P195" s="12"/>
      <c r="Q195" s="12"/>
      <c r="R195" s="12"/>
      <c r="S195" s="12"/>
      <c r="T195" s="12"/>
      <c r="U195" s="12"/>
      <c r="V195" s="12"/>
      <c r="W195" s="12"/>
      <c r="X195" s="12"/>
      <c r="Y195" s="12"/>
      <c r="Z195" s="12"/>
      <c r="AA195" s="12"/>
    </row>
    <row r="196">
      <c r="A196" s="12"/>
      <c r="B196" s="12"/>
      <c r="C196" s="12"/>
      <c r="D196" s="12"/>
      <c r="E196" s="12"/>
      <c r="F196" s="12"/>
      <c r="G196" s="12"/>
      <c r="H196" s="2"/>
      <c r="I196" s="12"/>
      <c r="J196" s="12"/>
      <c r="K196" s="12"/>
      <c r="L196" s="12"/>
      <c r="M196" s="12"/>
      <c r="N196" s="12"/>
      <c r="O196" s="12"/>
      <c r="P196" s="12"/>
      <c r="Q196" s="12"/>
      <c r="R196" s="12"/>
      <c r="S196" s="12"/>
      <c r="T196" s="12"/>
      <c r="U196" s="12"/>
      <c r="V196" s="12"/>
      <c r="W196" s="12"/>
      <c r="X196" s="12"/>
      <c r="Y196" s="12"/>
      <c r="Z196" s="12"/>
      <c r="AA196" s="12"/>
    </row>
    <row r="197">
      <c r="A197" s="12"/>
      <c r="B197" s="12"/>
      <c r="C197" s="12"/>
      <c r="D197" s="12"/>
      <c r="E197" s="12"/>
      <c r="F197" s="12"/>
      <c r="G197" s="12"/>
      <c r="H197" s="2"/>
      <c r="I197" s="12"/>
      <c r="J197" s="12"/>
      <c r="K197" s="12"/>
      <c r="L197" s="12"/>
      <c r="M197" s="12"/>
      <c r="N197" s="12"/>
      <c r="O197" s="12"/>
      <c r="P197" s="12"/>
      <c r="Q197" s="12"/>
      <c r="R197" s="12"/>
      <c r="S197" s="12"/>
      <c r="T197" s="12"/>
      <c r="U197" s="12"/>
      <c r="V197" s="12"/>
      <c r="W197" s="12"/>
      <c r="X197" s="12"/>
      <c r="Y197" s="12"/>
      <c r="Z197" s="12"/>
      <c r="AA197" s="12"/>
    </row>
    <row r="198">
      <c r="A198" s="12"/>
      <c r="B198" s="12"/>
      <c r="C198" s="12"/>
      <c r="D198" s="12"/>
      <c r="E198" s="12"/>
      <c r="F198" s="12"/>
      <c r="G198" s="12"/>
      <c r="H198" s="2"/>
      <c r="I198" s="12"/>
      <c r="J198" s="12"/>
      <c r="K198" s="12"/>
      <c r="L198" s="12"/>
      <c r="M198" s="12"/>
      <c r="N198" s="12"/>
      <c r="O198" s="12"/>
      <c r="P198" s="12"/>
      <c r="Q198" s="12"/>
      <c r="R198" s="12"/>
      <c r="S198" s="12"/>
      <c r="T198" s="12"/>
      <c r="U198" s="12"/>
      <c r="V198" s="12"/>
      <c r="W198" s="12"/>
      <c r="X198" s="12"/>
      <c r="Y198" s="12"/>
      <c r="Z198" s="12"/>
      <c r="AA198" s="12"/>
    </row>
    <row r="199">
      <c r="A199" s="12"/>
      <c r="B199" s="12"/>
      <c r="C199" s="12"/>
      <c r="D199" s="12"/>
      <c r="E199" s="12"/>
      <c r="F199" s="12"/>
      <c r="G199" s="12"/>
      <c r="H199" s="2"/>
      <c r="I199" s="12"/>
      <c r="J199" s="12"/>
      <c r="K199" s="12"/>
      <c r="L199" s="12"/>
      <c r="M199" s="12"/>
      <c r="N199" s="12"/>
      <c r="O199" s="12"/>
      <c r="P199" s="12"/>
      <c r="Q199" s="12"/>
      <c r="R199" s="12"/>
      <c r="S199" s="12"/>
      <c r="T199" s="12"/>
      <c r="U199" s="12"/>
      <c r="V199" s="12"/>
      <c r="W199" s="12"/>
      <c r="X199" s="12"/>
      <c r="Y199" s="12"/>
      <c r="Z199" s="12"/>
      <c r="AA199" s="12"/>
    </row>
    <row r="200">
      <c r="A200" s="12"/>
      <c r="B200" s="12"/>
      <c r="C200" s="12"/>
      <c r="D200" s="12"/>
      <c r="E200" s="12"/>
      <c r="F200" s="12"/>
      <c r="G200" s="12"/>
      <c r="H200" s="2"/>
      <c r="I200" s="12"/>
      <c r="J200" s="12"/>
      <c r="K200" s="12"/>
      <c r="L200" s="12"/>
      <c r="M200" s="12"/>
      <c r="N200" s="12"/>
      <c r="O200" s="12"/>
      <c r="P200" s="12"/>
      <c r="Q200" s="12"/>
      <c r="R200" s="12"/>
      <c r="S200" s="12"/>
      <c r="T200" s="12"/>
      <c r="U200" s="12"/>
      <c r="V200" s="12"/>
      <c r="W200" s="12"/>
      <c r="X200" s="12"/>
      <c r="Y200" s="12"/>
      <c r="Z200" s="12"/>
      <c r="AA200" s="12"/>
    </row>
    <row r="201">
      <c r="A201" s="12"/>
      <c r="B201" s="12"/>
      <c r="C201" s="12"/>
      <c r="D201" s="12"/>
      <c r="E201" s="12"/>
      <c r="F201" s="12"/>
      <c r="G201" s="12"/>
      <c r="H201" s="2"/>
      <c r="I201" s="12"/>
      <c r="J201" s="12"/>
      <c r="K201" s="12"/>
      <c r="L201" s="12"/>
      <c r="M201" s="12"/>
      <c r="N201" s="12"/>
      <c r="O201" s="12"/>
      <c r="P201" s="12"/>
      <c r="Q201" s="12"/>
      <c r="R201" s="12"/>
      <c r="S201" s="12"/>
      <c r="T201" s="12"/>
      <c r="U201" s="12"/>
      <c r="V201" s="12"/>
      <c r="W201" s="12"/>
      <c r="X201" s="12"/>
      <c r="Y201" s="12"/>
      <c r="Z201" s="12"/>
      <c r="AA201" s="12"/>
    </row>
    <row r="202">
      <c r="A202" s="12"/>
      <c r="B202" s="12"/>
      <c r="C202" s="12"/>
      <c r="D202" s="12"/>
      <c r="E202" s="12"/>
      <c r="F202" s="12"/>
      <c r="G202" s="12"/>
      <c r="H202" s="2"/>
      <c r="I202" s="12"/>
      <c r="J202" s="12"/>
      <c r="K202" s="12"/>
      <c r="L202" s="12"/>
      <c r="M202" s="12"/>
      <c r="N202" s="12"/>
      <c r="O202" s="12"/>
      <c r="P202" s="12"/>
      <c r="Q202" s="12"/>
      <c r="R202" s="12"/>
      <c r="S202" s="12"/>
      <c r="T202" s="12"/>
      <c r="U202" s="12"/>
      <c r="V202" s="12"/>
      <c r="W202" s="12"/>
      <c r="X202" s="12"/>
      <c r="Y202" s="12"/>
      <c r="Z202" s="12"/>
      <c r="AA202" s="12"/>
    </row>
    <row r="203">
      <c r="A203" s="12"/>
      <c r="B203" s="12"/>
      <c r="C203" s="12"/>
      <c r="D203" s="12"/>
      <c r="E203" s="12"/>
      <c r="F203" s="12"/>
      <c r="G203" s="12"/>
      <c r="H203" s="2"/>
      <c r="I203" s="12"/>
      <c r="J203" s="12"/>
      <c r="K203" s="12"/>
      <c r="L203" s="12"/>
      <c r="M203" s="12"/>
      <c r="N203" s="12"/>
      <c r="O203" s="12"/>
      <c r="P203" s="12"/>
      <c r="Q203" s="12"/>
      <c r="R203" s="12"/>
      <c r="S203" s="12"/>
      <c r="T203" s="12"/>
      <c r="U203" s="12"/>
      <c r="V203" s="12"/>
      <c r="W203" s="12"/>
      <c r="X203" s="12"/>
      <c r="Y203" s="12"/>
      <c r="Z203" s="12"/>
      <c r="AA203" s="12"/>
    </row>
    <row r="204">
      <c r="A204" s="12"/>
      <c r="B204" s="12"/>
      <c r="C204" s="12"/>
      <c r="D204" s="12"/>
      <c r="E204" s="12"/>
      <c r="F204" s="12"/>
      <c r="G204" s="12"/>
      <c r="H204" s="2"/>
      <c r="I204" s="12"/>
      <c r="J204" s="12"/>
      <c r="K204" s="12"/>
      <c r="L204" s="12"/>
      <c r="M204" s="12"/>
      <c r="N204" s="12"/>
      <c r="O204" s="12"/>
      <c r="P204" s="12"/>
      <c r="Q204" s="12"/>
      <c r="R204" s="12"/>
      <c r="S204" s="12"/>
      <c r="T204" s="12"/>
      <c r="U204" s="12"/>
      <c r="V204" s="12"/>
      <c r="W204" s="12"/>
      <c r="X204" s="12"/>
      <c r="Y204" s="12"/>
      <c r="Z204" s="12"/>
      <c r="AA204" s="12"/>
    </row>
    <row r="205">
      <c r="A205" s="12"/>
      <c r="B205" s="12"/>
      <c r="C205" s="12"/>
      <c r="D205" s="12"/>
      <c r="E205" s="12"/>
      <c r="F205" s="12"/>
      <c r="G205" s="12"/>
      <c r="H205" s="2"/>
      <c r="I205" s="12"/>
      <c r="J205" s="12"/>
      <c r="K205" s="12"/>
      <c r="L205" s="12"/>
      <c r="M205" s="12"/>
      <c r="N205" s="12"/>
      <c r="O205" s="12"/>
      <c r="P205" s="12"/>
      <c r="Q205" s="12"/>
      <c r="R205" s="12"/>
      <c r="S205" s="12"/>
      <c r="T205" s="12"/>
      <c r="U205" s="12"/>
      <c r="V205" s="12"/>
      <c r="W205" s="12"/>
      <c r="X205" s="12"/>
      <c r="Y205" s="12"/>
      <c r="Z205" s="12"/>
      <c r="AA205" s="12"/>
    </row>
    <row r="206">
      <c r="A206" s="12"/>
      <c r="B206" s="12"/>
      <c r="C206" s="12"/>
      <c r="D206" s="12"/>
      <c r="E206" s="12"/>
      <c r="F206" s="12"/>
      <c r="G206" s="12"/>
      <c r="H206" s="2"/>
      <c r="I206" s="12"/>
      <c r="J206" s="12"/>
      <c r="K206" s="12"/>
      <c r="L206" s="12"/>
      <c r="M206" s="12"/>
      <c r="N206" s="12"/>
      <c r="O206" s="12"/>
      <c r="P206" s="12"/>
      <c r="Q206" s="12"/>
      <c r="R206" s="12"/>
      <c r="S206" s="12"/>
      <c r="T206" s="12"/>
      <c r="U206" s="12"/>
      <c r="V206" s="12"/>
      <c r="W206" s="12"/>
      <c r="X206" s="12"/>
      <c r="Y206" s="12"/>
      <c r="Z206" s="12"/>
      <c r="AA206" s="12"/>
    </row>
    <row r="207">
      <c r="A207" s="12"/>
      <c r="B207" s="12"/>
      <c r="C207" s="12"/>
      <c r="D207" s="12"/>
      <c r="E207" s="12"/>
      <c r="F207" s="12"/>
      <c r="G207" s="12"/>
      <c r="H207" s="2"/>
      <c r="I207" s="12"/>
      <c r="J207" s="12"/>
      <c r="K207" s="12"/>
      <c r="L207" s="12"/>
      <c r="M207" s="12"/>
      <c r="N207" s="12"/>
      <c r="O207" s="12"/>
      <c r="P207" s="12"/>
      <c r="Q207" s="12"/>
      <c r="R207" s="12"/>
      <c r="S207" s="12"/>
      <c r="T207" s="12"/>
      <c r="U207" s="12"/>
      <c r="V207" s="12"/>
      <c r="W207" s="12"/>
      <c r="X207" s="12"/>
      <c r="Y207" s="12"/>
      <c r="Z207" s="12"/>
      <c r="AA207" s="12"/>
    </row>
    <row r="208">
      <c r="A208" s="12"/>
      <c r="B208" s="12"/>
      <c r="C208" s="12"/>
      <c r="D208" s="12"/>
      <c r="E208" s="12"/>
      <c r="F208" s="12"/>
      <c r="G208" s="12"/>
      <c r="H208" s="2"/>
      <c r="I208" s="12"/>
      <c r="J208" s="12"/>
      <c r="K208" s="12"/>
      <c r="L208" s="12"/>
      <c r="M208" s="12"/>
      <c r="N208" s="12"/>
      <c r="O208" s="12"/>
      <c r="P208" s="12"/>
      <c r="Q208" s="12"/>
      <c r="R208" s="12"/>
      <c r="S208" s="12"/>
      <c r="T208" s="12"/>
      <c r="U208" s="12"/>
      <c r="V208" s="12"/>
      <c r="W208" s="12"/>
      <c r="X208" s="12"/>
      <c r="Y208" s="12"/>
      <c r="Z208" s="12"/>
      <c r="AA208" s="12"/>
    </row>
    <row r="209">
      <c r="A209" s="12"/>
      <c r="B209" s="12"/>
      <c r="C209" s="12"/>
      <c r="D209" s="12"/>
      <c r="E209" s="12"/>
      <c r="F209" s="12"/>
      <c r="G209" s="12"/>
      <c r="H209" s="2"/>
      <c r="I209" s="12"/>
      <c r="J209" s="12"/>
      <c r="K209" s="12"/>
      <c r="L209" s="12"/>
      <c r="M209" s="12"/>
      <c r="N209" s="12"/>
      <c r="O209" s="12"/>
      <c r="P209" s="12"/>
      <c r="Q209" s="12"/>
      <c r="R209" s="12"/>
      <c r="S209" s="12"/>
      <c r="T209" s="12"/>
      <c r="U209" s="12"/>
      <c r="V209" s="12"/>
      <c r="W209" s="12"/>
      <c r="X209" s="12"/>
      <c r="Y209" s="12"/>
      <c r="Z209" s="12"/>
      <c r="AA209" s="12"/>
    </row>
    <row r="210">
      <c r="A210" s="12"/>
      <c r="B210" s="12"/>
      <c r="C210" s="12"/>
      <c r="D210" s="12"/>
      <c r="E210" s="12"/>
      <c r="F210" s="12"/>
      <c r="G210" s="12"/>
      <c r="H210" s="2"/>
      <c r="I210" s="12"/>
      <c r="J210" s="12"/>
      <c r="K210" s="12"/>
      <c r="L210" s="12"/>
      <c r="M210" s="12"/>
      <c r="N210" s="12"/>
      <c r="O210" s="12"/>
      <c r="P210" s="12"/>
      <c r="Q210" s="12"/>
      <c r="R210" s="12"/>
      <c r="S210" s="12"/>
      <c r="T210" s="12"/>
      <c r="U210" s="12"/>
      <c r="V210" s="12"/>
      <c r="W210" s="12"/>
      <c r="X210" s="12"/>
      <c r="Y210" s="12"/>
      <c r="Z210" s="12"/>
      <c r="AA210" s="12"/>
    </row>
    <row r="211">
      <c r="A211" s="12"/>
      <c r="B211" s="12"/>
      <c r="C211" s="12"/>
      <c r="D211" s="12"/>
      <c r="E211" s="12"/>
      <c r="F211" s="12"/>
      <c r="G211" s="12"/>
      <c r="H211" s="2"/>
      <c r="I211" s="12"/>
      <c r="J211" s="12"/>
      <c r="K211" s="12"/>
      <c r="L211" s="12"/>
      <c r="M211" s="12"/>
      <c r="N211" s="12"/>
      <c r="O211" s="12"/>
      <c r="P211" s="12"/>
      <c r="Q211" s="12"/>
      <c r="R211" s="12"/>
      <c r="S211" s="12"/>
      <c r="T211" s="12"/>
      <c r="U211" s="12"/>
      <c r="V211" s="12"/>
      <c r="W211" s="12"/>
      <c r="X211" s="12"/>
      <c r="Y211" s="12"/>
      <c r="Z211" s="12"/>
      <c r="AA211" s="12"/>
    </row>
    <row r="212">
      <c r="A212" s="12"/>
      <c r="B212" s="12"/>
      <c r="C212" s="12"/>
      <c r="D212" s="12"/>
      <c r="E212" s="12"/>
      <c r="F212" s="12"/>
      <c r="G212" s="12"/>
      <c r="H212" s="2"/>
      <c r="I212" s="12"/>
      <c r="J212" s="12"/>
      <c r="K212" s="12"/>
      <c r="L212" s="12"/>
      <c r="M212" s="12"/>
      <c r="N212" s="12"/>
      <c r="O212" s="12"/>
      <c r="P212" s="12"/>
      <c r="Q212" s="12"/>
      <c r="R212" s="12"/>
      <c r="S212" s="12"/>
      <c r="T212" s="12"/>
      <c r="U212" s="12"/>
      <c r="V212" s="12"/>
      <c r="W212" s="12"/>
      <c r="X212" s="12"/>
      <c r="Y212" s="12"/>
      <c r="Z212" s="12"/>
      <c r="AA212" s="12"/>
    </row>
    <row r="213">
      <c r="A213" s="12"/>
      <c r="B213" s="12"/>
      <c r="C213" s="12"/>
      <c r="D213" s="12"/>
      <c r="E213" s="12"/>
      <c r="F213" s="12"/>
      <c r="G213" s="12"/>
      <c r="H213" s="2"/>
      <c r="I213" s="12"/>
      <c r="J213" s="12"/>
      <c r="K213" s="12"/>
      <c r="L213" s="12"/>
      <c r="M213" s="12"/>
      <c r="N213" s="12"/>
      <c r="O213" s="12"/>
      <c r="P213" s="12"/>
      <c r="Q213" s="12"/>
      <c r="R213" s="12"/>
      <c r="S213" s="12"/>
      <c r="T213" s="12"/>
      <c r="U213" s="12"/>
      <c r="V213" s="12"/>
      <c r="W213" s="12"/>
      <c r="X213" s="12"/>
      <c r="Y213" s="12"/>
      <c r="Z213" s="12"/>
      <c r="AA213" s="12"/>
    </row>
    <row r="214">
      <c r="A214" s="12"/>
      <c r="B214" s="12"/>
      <c r="C214" s="12"/>
      <c r="D214" s="12"/>
      <c r="E214" s="12"/>
      <c r="F214" s="12"/>
      <c r="G214" s="12"/>
      <c r="H214" s="2"/>
      <c r="I214" s="12"/>
      <c r="J214" s="12"/>
      <c r="K214" s="12"/>
      <c r="L214" s="12"/>
      <c r="M214" s="12"/>
      <c r="N214" s="12"/>
      <c r="O214" s="12"/>
      <c r="P214" s="12"/>
      <c r="Q214" s="12"/>
      <c r="R214" s="12"/>
      <c r="S214" s="12"/>
      <c r="T214" s="12"/>
      <c r="U214" s="12"/>
      <c r="V214" s="12"/>
      <c r="W214" s="12"/>
      <c r="X214" s="12"/>
      <c r="Y214" s="12"/>
      <c r="Z214" s="12"/>
      <c r="AA214" s="12"/>
    </row>
    <row r="215">
      <c r="A215" s="12"/>
      <c r="B215" s="12"/>
      <c r="C215" s="12"/>
      <c r="D215" s="12"/>
      <c r="E215" s="12"/>
      <c r="F215" s="12"/>
      <c r="G215" s="12"/>
      <c r="H215" s="2"/>
      <c r="I215" s="12"/>
      <c r="J215" s="12"/>
      <c r="K215" s="12"/>
      <c r="L215" s="12"/>
      <c r="M215" s="12"/>
      <c r="N215" s="12"/>
      <c r="O215" s="12"/>
      <c r="P215" s="12"/>
      <c r="Q215" s="12"/>
      <c r="R215" s="12"/>
      <c r="S215" s="12"/>
      <c r="T215" s="12"/>
      <c r="U215" s="12"/>
      <c r="V215" s="12"/>
      <c r="W215" s="12"/>
      <c r="X215" s="12"/>
      <c r="Y215" s="12"/>
      <c r="Z215" s="12"/>
      <c r="AA215" s="12"/>
    </row>
    <row r="216">
      <c r="A216" s="12"/>
      <c r="B216" s="12"/>
      <c r="C216" s="12"/>
      <c r="D216" s="12"/>
      <c r="E216" s="12"/>
      <c r="F216" s="12"/>
      <c r="G216" s="12"/>
      <c r="H216" s="2"/>
      <c r="I216" s="12"/>
      <c r="J216" s="12"/>
      <c r="K216" s="12"/>
      <c r="L216" s="12"/>
      <c r="M216" s="12"/>
      <c r="N216" s="12"/>
      <c r="O216" s="12"/>
      <c r="P216" s="12"/>
      <c r="Q216" s="12"/>
      <c r="R216" s="12"/>
      <c r="S216" s="12"/>
      <c r="T216" s="12"/>
      <c r="U216" s="12"/>
      <c r="V216" s="12"/>
      <c r="W216" s="12"/>
      <c r="X216" s="12"/>
      <c r="Y216" s="12"/>
      <c r="Z216" s="12"/>
      <c r="AA216" s="12"/>
    </row>
    <row r="217">
      <c r="A217" s="12"/>
      <c r="B217" s="12"/>
      <c r="C217" s="12"/>
      <c r="D217" s="12"/>
      <c r="E217" s="12"/>
      <c r="F217" s="12"/>
      <c r="G217" s="12"/>
      <c r="H217" s="2"/>
      <c r="I217" s="12"/>
      <c r="J217" s="12"/>
      <c r="K217" s="12"/>
      <c r="L217" s="12"/>
      <c r="M217" s="12"/>
      <c r="N217" s="12"/>
      <c r="O217" s="12"/>
      <c r="P217" s="12"/>
      <c r="Q217" s="12"/>
      <c r="R217" s="12"/>
      <c r="S217" s="12"/>
      <c r="T217" s="12"/>
      <c r="U217" s="12"/>
      <c r="V217" s="12"/>
      <c r="W217" s="12"/>
      <c r="X217" s="12"/>
      <c r="Y217" s="12"/>
      <c r="Z217" s="12"/>
      <c r="AA217" s="12"/>
    </row>
    <row r="218">
      <c r="A218" s="12"/>
      <c r="B218" s="12"/>
      <c r="C218" s="12"/>
      <c r="D218" s="12"/>
      <c r="E218" s="12"/>
      <c r="F218" s="12"/>
      <c r="G218" s="12"/>
      <c r="H218" s="2"/>
      <c r="I218" s="12"/>
      <c r="J218" s="12"/>
      <c r="K218" s="12"/>
      <c r="L218" s="12"/>
      <c r="M218" s="12"/>
      <c r="N218" s="12"/>
      <c r="O218" s="12"/>
      <c r="P218" s="12"/>
      <c r="Q218" s="12"/>
      <c r="R218" s="12"/>
      <c r="S218" s="12"/>
      <c r="T218" s="12"/>
      <c r="U218" s="12"/>
      <c r="V218" s="12"/>
      <c r="W218" s="12"/>
      <c r="X218" s="12"/>
      <c r="Y218" s="12"/>
      <c r="Z218" s="12"/>
      <c r="AA218" s="12"/>
    </row>
    <row r="219">
      <c r="A219" s="12"/>
      <c r="B219" s="12"/>
      <c r="C219" s="12"/>
      <c r="D219" s="12"/>
      <c r="E219" s="12"/>
      <c r="F219" s="12"/>
      <c r="G219" s="12"/>
      <c r="H219" s="2"/>
      <c r="I219" s="12"/>
      <c r="J219" s="12"/>
      <c r="K219" s="12"/>
      <c r="L219" s="12"/>
      <c r="M219" s="12"/>
      <c r="N219" s="12"/>
      <c r="O219" s="12"/>
      <c r="P219" s="12"/>
      <c r="Q219" s="12"/>
      <c r="R219" s="12"/>
      <c r="S219" s="12"/>
      <c r="T219" s="12"/>
      <c r="U219" s="12"/>
      <c r="V219" s="12"/>
      <c r="W219" s="12"/>
      <c r="X219" s="12"/>
      <c r="Y219" s="12"/>
      <c r="Z219" s="12"/>
      <c r="AA219" s="12"/>
    </row>
    <row r="220">
      <c r="A220" s="12"/>
      <c r="B220" s="12"/>
      <c r="C220" s="12"/>
      <c r="D220" s="12"/>
      <c r="E220" s="12"/>
      <c r="F220" s="12"/>
      <c r="G220" s="12"/>
      <c r="H220" s="2"/>
      <c r="I220" s="12"/>
      <c r="J220" s="12"/>
      <c r="K220" s="12"/>
      <c r="L220" s="12"/>
      <c r="M220" s="12"/>
      <c r="N220" s="12"/>
      <c r="O220" s="12"/>
      <c r="P220" s="12"/>
      <c r="Q220" s="12"/>
      <c r="R220" s="12"/>
      <c r="S220" s="12"/>
      <c r="T220" s="12"/>
      <c r="U220" s="12"/>
      <c r="V220" s="12"/>
      <c r="W220" s="12"/>
      <c r="X220" s="12"/>
      <c r="Y220" s="12"/>
      <c r="Z220" s="12"/>
      <c r="AA220" s="12"/>
    </row>
    <row r="221">
      <c r="A221" s="12"/>
      <c r="B221" s="12"/>
      <c r="C221" s="12"/>
      <c r="D221" s="12"/>
      <c r="E221" s="12"/>
      <c r="F221" s="12"/>
      <c r="G221" s="12"/>
      <c r="H221" s="2"/>
      <c r="I221" s="12"/>
      <c r="J221" s="12"/>
      <c r="K221" s="12"/>
      <c r="L221" s="12"/>
      <c r="M221" s="12"/>
      <c r="N221" s="12"/>
      <c r="O221" s="12"/>
      <c r="P221" s="12"/>
      <c r="Q221" s="12"/>
      <c r="R221" s="12"/>
      <c r="S221" s="12"/>
      <c r="T221" s="12"/>
      <c r="U221" s="12"/>
      <c r="V221" s="12"/>
      <c r="W221" s="12"/>
      <c r="X221" s="12"/>
      <c r="Y221" s="12"/>
      <c r="Z221" s="12"/>
      <c r="AA221" s="12"/>
    </row>
    <row r="222">
      <c r="A222" s="12"/>
      <c r="B222" s="12"/>
      <c r="C222" s="12"/>
      <c r="D222" s="12"/>
      <c r="E222" s="12"/>
      <c r="F222" s="12"/>
      <c r="G222" s="12"/>
      <c r="H222" s="2"/>
      <c r="I222" s="12"/>
      <c r="J222" s="12"/>
      <c r="K222" s="12"/>
      <c r="L222" s="12"/>
      <c r="M222" s="12"/>
      <c r="N222" s="12"/>
      <c r="O222" s="12"/>
      <c r="P222" s="12"/>
      <c r="Q222" s="12"/>
      <c r="R222" s="12"/>
      <c r="S222" s="12"/>
      <c r="T222" s="12"/>
      <c r="U222" s="12"/>
      <c r="V222" s="12"/>
      <c r="W222" s="12"/>
      <c r="X222" s="12"/>
      <c r="Y222" s="12"/>
      <c r="Z222" s="12"/>
      <c r="AA222" s="12"/>
    </row>
    <row r="223">
      <c r="A223" s="12"/>
      <c r="B223" s="12"/>
      <c r="C223" s="12"/>
      <c r="D223" s="12"/>
      <c r="E223" s="12"/>
      <c r="F223" s="12"/>
      <c r="G223" s="12"/>
      <c r="H223" s="2"/>
      <c r="I223" s="12"/>
      <c r="J223" s="12"/>
      <c r="K223" s="12"/>
      <c r="L223" s="12"/>
      <c r="M223" s="12"/>
      <c r="N223" s="12"/>
      <c r="O223" s="12"/>
      <c r="P223" s="12"/>
      <c r="Q223" s="12"/>
      <c r="R223" s="12"/>
      <c r="S223" s="12"/>
      <c r="T223" s="12"/>
      <c r="U223" s="12"/>
      <c r="V223" s="12"/>
      <c r="W223" s="12"/>
      <c r="X223" s="12"/>
      <c r="Y223" s="12"/>
      <c r="Z223" s="12"/>
      <c r="AA223" s="12"/>
    </row>
    <row r="224">
      <c r="A224" s="12"/>
      <c r="B224" s="12"/>
      <c r="C224" s="12"/>
      <c r="D224" s="12"/>
      <c r="E224" s="12"/>
      <c r="F224" s="12"/>
      <c r="G224" s="12"/>
      <c r="H224" s="2"/>
      <c r="I224" s="12"/>
      <c r="J224" s="12"/>
      <c r="K224" s="12"/>
      <c r="L224" s="12"/>
      <c r="M224" s="12"/>
      <c r="N224" s="12"/>
      <c r="O224" s="12"/>
      <c r="P224" s="12"/>
      <c r="Q224" s="12"/>
      <c r="R224" s="12"/>
      <c r="S224" s="12"/>
      <c r="T224" s="12"/>
      <c r="U224" s="12"/>
      <c r="V224" s="12"/>
      <c r="W224" s="12"/>
      <c r="X224" s="12"/>
      <c r="Y224" s="12"/>
      <c r="Z224" s="12"/>
      <c r="AA224" s="12"/>
    </row>
    <row r="225">
      <c r="A225" s="12"/>
      <c r="B225" s="12"/>
      <c r="C225" s="12"/>
      <c r="D225" s="12"/>
      <c r="E225" s="12"/>
      <c r="F225" s="12"/>
      <c r="G225" s="12"/>
      <c r="H225" s="2"/>
      <c r="I225" s="12"/>
      <c r="J225" s="12"/>
      <c r="K225" s="12"/>
      <c r="L225" s="12"/>
      <c r="M225" s="12"/>
      <c r="N225" s="12"/>
      <c r="O225" s="12"/>
      <c r="P225" s="12"/>
      <c r="Q225" s="12"/>
      <c r="R225" s="12"/>
      <c r="S225" s="12"/>
      <c r="T225" s="12"/>
      <c r="U225" s="12"/>
      <c r="V225" s="12"/>
      <c r="W225" s="12"/>
      <c r="X225" s="12"/>
      <c r="Y225" s="12"/>
      <c r="Z225" s="12"/>
      <c r="AA225" s="12"/>
    </row>
    <row r="226">
      <c r="A226" s="12"/>
      <c r="B226" s="12"/>
      <c r="C226" s="12"/>
      <c r="D226" s="12"/>
      <c r="E226" s="12"/>
      <c r="F226" s="12"/>
      <c r="G226" s="12"/>
      <c r="H226" s="2"/>
      <c r="I226" s="12"/>
      <c r="J226" s="12"/>
      <c r="K226" s="12"/>
      <c r="L226" s="12"/>
      <c r="M226" s="12"/>
      <c r="N226" s="12"/>
      <c r="O226" s="12"/>
      <c r="P226" s="12"/>
      <c r="Q226" s="12"/>
      <c r="R226" s="12"/>
      <c r="S226" s="12"/>
      <c r="T226" s="12"/>
      <c r="U226" s="12"/>
      <c r="V226" s="12"/>
      <c r="W226" s="12"/>
      <c r="X226" s="12"/>
      <c r="Y226" s="12"/>
      <c r="Z226" s="12"/>
      <c r="AA226" s="12"/>
    </row>
    <row r="227">
      <c r="A227" s="12"/>
      <c r="B227" s="12"/>
      <c r="C227" s="12"/>
      <c r="D227" s="12"/>
      <c r="E227" s="12"/>
      <c r="F227" s="12"/>
      <c r="G227" s="12"/>
      <c r="H227" s="2"/>
      <c r="I227" s="12"/>
      <c r="J227" s="12"/>
      <c r="K227" s="12"/>
      <c r="L227" s="12"/>
      <c r="M227" s="12"/>
      <c r="N227" s="12"/>
      <c r="O227" s="12"/>
      <c r="P227" s="12"/>
      <c r="Q227" s="12"/>
      <c r="R227" s="12"/>
      <c r="S227" s="12"/>
      <c r="T227" s="12"/>
      <c r="U227" s="12"/>
      <c r="V227" s="12"/>
      <c r="W227" s="12"/>
      <c r="X227" s="12"/>
      <c r="Y227" s="12"/>
      <c r="Z227" s="12"/>
      <c r="AA227" s="12"/>
    </row>
    <row r="228">
      <c r="A228" s="12"/>
      <c r="B228" s="12"/>
      <c r="C228" s="12"/>
      <c r="D228" s="12"/>
      <c r="E228" s="12"/>
      <c r="F228" s="12"/>
      <c r="G228" s="12"/>
      <c r="H228" s="2"/>
      <c r="I228" s="12"/>
      <c r="J228" s="12"/>
      <c r="K228" s="12"/>
      <c r="L228" s="12"/>
      <c r="M228" s="12"/>
      <c r="N228" s="12"/>
      <c r="O228" s="12"/>
      <c r="P228" s="12"/>
      <c r="Q228" s="12"/>
      <c r="R228" s="12"/>
      <c r="S228" s="12"/>
      <c r="T228" s="12"/>
      <c r="U228" s="12"/>
      <c r="V228" s="12"/>
      <c r="W228" s="12"/>
      <c r="X228" s="12"/>
      <c r="Y228" s="12"/>
      <c r="Z228" s="12"/>
      <c r="AA228" s="12"/>
    </row>
    <row r="229">
      <c r="A229" s="12"/>
      <c r="B229" s="12"/>
      <c r="C229" s="12"/>
      <c r="D229" s="12"/>
      <c r="E229" s="12"/>
      <c r="F229" s="12"/>
      <c r="G229" s="12"/>
      <c r="H229" s="2"/>
      <c r="I229" s="12"/>
      <c r="J229" s="12"/>
      <c r="K229" s="12"/>
      <c r="L229" s="12"/>
      <c r="M229" s="12"/>
      <c r="N229" s="12"/>
      <c r="O229" s="12"/>
      <c r="P229" s="12"/>
      <c r="Q229" s="12"/>
      <c r="R229" s="12"/>
      <c r="S229" s="12"/>
      <c r="T229" s="12"/>
      <c r="U229" s="12"/>
      <c r="V229" s="12"/>
      <c r="W229" s="12"/>
      <c r="X229" s="12"/>
      <c r="Y229" s="12"/>
      <c r="Z229" s="12"/>
      <c r="AA229" s="12"/>
    </row>
    <row r="230">
      <c r="A230" s="12"/>
      <c r="B230" s="12"/>
      <c r="C230" s="12"/>
      <c r="D230" s="12"/>
      <c r="E230" s="12"/>
      <c r="F230" s="12"/>
      <c r="G230" s="12"/>
      <c r="H230" s="2"/>
      <c r="I230" s="12"/>
      <c r="J230" s="12"/>
      <c r="K230" s="12"/>
      <c r="L230" s="12"/>
      <c r="M230" s="12"/>
      <c r="N230" s="12"/>
      <c r="O230" s="12"/>
      <c r="P230" s="12"/>
      <c r="Q230" s="12"/>
      <c r="R230" s="12"/>
      <c r="S230" s="12"/>
      <c r="T230" s="12"/>
      <c r="U230" s="12"/>
      <c r="V230" s="12"/>
      <c r="W230" s="12"/>
      <c r="X230" s="12"/>
      <c r="Y230" s="12"/>
      <c r="Z230" s="12"/>
      <c r="AA230" s="12"/>
    </row>
    <row r="231">
      <c r="A231" s="12"/>
      <c r="B231" s="12"/>
      <c r="C231" s="12"/>
      <c r="D231" s="12"/>
      <c r="E231" s="12"/>
      <c r="F231" s="12"/>
      <c r="G231" s="12"/>
      <c r="H231" s="2"/>
      <c r="I231" s="12"/>
      <c r="J231" s="12"/>
      <c r="K231" s="12"/>
      <c r="L231" s="12"/>
      <c r="M231" s="12"/>
      <c r="N231" s="12"/>
      <c r="O231" s="12"/>
      <c r="P231" s="12"/>
      <c r="Q231" s="12"/>
      <c r="R231" s="12"/>
      <c r="S231" s="12"/>
      <c r="T231" s="12"/>
      <c r="U231" s="12"/>
      <c r="V231" s="12"/>
      <c r="W231" s="12"/>
      <c r="X231" s="12"/>
      <c r="Y231" s="12"/>
      <c r="Z231" s="12"/>
      <c r="AA231" s="12"/>
    </row>
    <row r="232">
      <c r="A232" s="12"/>
      <c r="B232" s="12"/>
      <c r="C232" s="12"/>
      <c r="D232" s="12"/>
      <c r="E232" s="12"/>
      <c r="F232" s="12"/>
      <c r="G232" s="12"/>
      <c r="H232" s="2"/>
      <c r="I232" s="12"/>
      <c r="J232" s="12"/>
      <c r="K232" s="12"/>
      <c r="L232" s="12"/>
      <c r="M232" s="12"/>
      <c r="N232" s="12"/>
      <c r="O232" s="12"/>
      <c r="P232" s="12"/>
      <c r="Q232" s="12"/>
      <c r="R232" s="12"/>
      <c r="S232" s="12"/>
      <c r="T232" s="12"/>
      <c r="U232" s="12"/>
      <c r="V232" s="12"/>
      <c r="W232" s="12"/>
      <c r="X232" s="12"/>
      <c r="Y232" s="12"/>
      <c r="Z232" s="12"/>
      <c r="AA232" s="12"/>
    </row>
    <row r="233">
      <c r="A233" s="12"/>
      <c r="B233" s="12"/>
      <c r="C233" s="12"/>
      <c r="D233" s="12"/>
      <c r="E233" s="12"/>
      <c r="F233" s="12"/>
      <c r="G233" s="12"/>
      <c r="H233" s="2"/>
      <c r="I233" s="12"/>
      <c r="J233" s="12"/>
      <c r="K233" s="12"/>
      <c r="L233" s="12"/>
      <c r="M233" s="12"/>
      <c r="N233" s="12"/>
      <c r="O233" s="12"/>
      <c r="P233" s="12"/>
      <c r="Q233" s="12"/>
      <c r="R233" s="12"/>
      <c r="S233" s="12"/>
      <c r="T233" s="12"/>
      <c r="U233" s="12"/>
      <c r="V233" s="12"/>
      <c r="W233" s="12"/>
      <c r="X233" s="12"/>
      <c r="Y233" s="12"/>
      <c r="Z233" s="12"/>
      <c r="AA233" s="12"/>
    </row>
    <row r="234">
      <c r="A234" s="12"/>
      <c r="B234" s="12"/>
      <c r="C234" s="12"/>
      <c r="D234" s="12"/>
      <c r="E234" s="12"/>
      <c r="F234" s="12"/>
      <c r="G234" s="12"/>
      <c r="H234" s="2"/>
      <c r="I234" s="12"/>
      <c r="J234" s="12"/>
      <c r="K234" s="12"/>
      <c r="L234" s="12"/>
      <c r="M234" s="12"/>
      <c r="N234" s="12"/>
      <c r="O234" s="12"/>
      <c r="P234" s="12"/>
      <c r="Q234" s="12"/>
      <c r="R234" s="12"/>
      <c r="S234" s="12"/>
      <c r="T234" s="12"/>
      <c r="U234" s="12"/>
      <c r="V234" s="12"/>
      <c r="W234" s="12"/>
      <c r="X234" s="12"/>
      <c r="Y234" s="12"/>
      <c r="Z234" s="12"/>
      <c r="AA234" s="12"/>
    </row>
    <row r="235">
      <c r="A235" s="12"/>
      <c r="B235" s="12"/>
      <c r="C235" s="12"/>
      <c r="D235" s="12"/>
      <c r="E235" s="12"/>
      <c r="F235" s="12"/>
      <c r="G235" s="12"/>
      <c r="H235" s="2"/>
      <c r="I235" s="12"/>
      <c r="J235" s="12"/>
      <c r="K235" s="12"/>
      <c r="L235" s="12"/>
      <c r="M235" s="12"/>
      <c r="N235" s="12"/>
      <c r="O235" s="12"/>
      <c r="P235" s="12"/>
      <c r="Q235" s="12"/>
      <c r="R235" s="12"/>
      <c r="S235" s="12"/>
      <c r="T235" s="12"/>
      <c r="U235" s="12"/>
      <c r="V235" s="12"/>
      <c r="W235" s="12"/>
      <c r="X235" s="12"/>
      <c r="Y235" s="12"/>
      <c r="Z235" s="12"/>
      <c r="AA235" s="12"/>
    </row>
    <row r="236">
      <c r="A236" s="12"/>
      <c r="B236" s="12"/>
      <c r="C236" s="12"/>
      <c r="D236" s="12"/>
      <c r="E236" s="12"/>
      <c r="F236" s="12"/>
      <c r="G236" s="12"/>
      <c r="H236" s="2"/>
      <c r="I236" s="12"/>
      <c r="J236" s="12"/>
      <c r="K236" s="12"/>
      <c r="L236" s="12"/>
      <c r="M236" s="12"/>
      <c r="N236" s="12"/>
      <c r="O236" s="12"/>
      <c r="P236" s="12"/>
      <c r="Q236" s="12"/>
      <c r="R236" s="12"/>
      <c r="S236" s="12"/>
      <c r="T236" s="12"/>
      <c r="U236" s="12"/>
      <c r="V236" s="12"/>
      <c r="W236" s="12"/>
      <c r="X236" s="12"/>
      <c r="Y236" s="12"/>
      <c r="Z236" s="12"/>
      <c r="AA236" s="12"/>
    </row>
    <row r="237">
      <c r="A237" s="12"/>
      <c r="B237" s="12"/>
      <c r="C237" s="12"/>
      <c r="D237" s="12"/>
      <c r="E237" s="12"/>
      <c r="F237" s="12"/>
      <c r="G237" s="12"/>
      <c r="H237" s="2"/>
      <c r="I237" s="12"/>
      <c r="J237" s="12"/>
      <c r="K237" s="12"/>
      <c r="L237" s="12"/>
      <c r="M237" s="12"/>
      <c r="N237" s="12"/>
      <c r="O237" s="12"/>
      <c r="P237" s="12"/>
      <c r="Q237" s="12"/>
      <c r="R237" s="12"/>
      <c r="S237" s="12"/>
      <c r="T237" s="12"/>
      <c r="U237" s="12"/>
      <c r="V237" s="12"/>
      <c r="W237" s="12"/>
      <c r="X237" s="12"/>
      <c r="Y237" s="12"/>
      <c r="Z237" s="12"/>
      <c r="AA237" s="12"/>
    </row>
    <row r="238">
      <c r="A238" s="12"/>
      <c r="B238" s="12"/>
      <c r="C238" s="12"/>
      <c r="D238" s="12"/>
      <c r="E238" s="12"/>
      <c r="F238" s="12"/>
      <c r="G238" s="12"/>
      <c r="H238" s="2"/>
      <c r="I238" s="12"/>
      <c r="J238" s="12"/>
      <c r="K238" s="12"/>
      <c r="L238" s="12"/>
      <c r="M238" s="12"/>
      <c r="N238" s="12"/>
      <c r="O238" s="12"/>
      <c r="P238" s="12"/>
      <c r="Q238" s="12"/>
      <c r="R238" s="12"/>
      <c r="S238" s="12"/>
      <c r="T238" s="12"/>
      <c r="U238" s="12"/>
      <c r="V238" s="12"/>
      <c r="W238" s="12"/>
      <c r="X238" s="12"/>
      <c r="Y238" s="12"/>
      <c r="Z238" s="12"/>
      <c r="AA238" s="12"/>
    </row>
    <row r="239">
      <c r="A239" s="12"/>
      <c r="B239" s="12"/>
      <c r="C239" s="12"/>
      <c r="D239" s="12"/>
      <c r="E239" s="12"/>
      <c r="F239" s="12"/>
      <c r="G239" s="12"/>
      <c r="H239" s="2"/>
      <c r="I239" s="12"/>
      <c r="J239" s="12"/>
      <c r="K239" s="12"/>
      <c r="L239" s="12"/>
      <c r="M239" s="12"/>
      <c r="N239" s="12"/>
      <c r="O239" s="12"/>
      <c r="P239" s="12"/>
      <c r="Q239" s="12"/>
      <c r="R239" s="12"/>
      <c r="S239" s="12"/>
      <c r="T239" s="12"/>
      <c r="U239" s="12"/>
      <c r="V239" s="12"/>
      <c r="W239" s="12"/>
      <c r="X239" s="12"/>
      <c r="Y239" s="12"/>
      <c r="Z239" s="12"/>
      <c r="AA239" s="12"/>
    </row>
    <row r="240">
      <c r="A240" s="12"/>
      <c r="B240" s="12"/>
      <c r="C240" s="12"/>
      <c r="D240" s="12"/>
      <c r="E240" s="12"/>
      <c r="F240" s="12"/>
      <c r="G240" s="12"/>
      <c r="H240" s="2"/>
      <c r="I240" s="12"/>
      <c r="J240" s="12"/>
      <c r="K240" s="12"/>
      <c r="L240" s="12"/>
      <c r="M240" s="12"/>
      <c r="N240" s="12"/>
      <c r="O240" s="12"/>
      <c r="P240" s="12"/>
      <c r="Q240" s="12"/>
      <c r="R240" s="12"/>
      <c r="S240" s="12"/>
      <c r="T240" s="12"/>
      <c r="U240" s="12"/>
      <c r="V240" s="12"/>
      <c r="W240" s="12"/>
      <c r="X240" s="12"/>
      <c r="Y240" s="12"/>
      <c r="Z240" s="12"/>
      <c r="AA240" s="12"/>
    </row>
    <row r="241">
      <c r="A241" s="12"/>
      <c r="B241" s="12"/>
      <c r="C241" s="12"/>
      <c r="D241" s="12"/>
      <c r="E241" s="12"/>
      <c r="F241" s="12"/>
      <c r="G241" s="12"/>
      <c r="H241" s="2"/>
      <c r="I241" s="12"/>
      <c r="J241" s="12"/>
      <c r="K241" s="12"/>
      <c r="L241" s="12"/>
      <c r="M241" s="12"/>
      <c r="N241" s="12"/>
      <c r="O241" s="12"/>
      <c r="P241" s="12"/>
      <c r="Q241" s="12"/>
      <c r="R241" s="12"/>
      <c r="S241" s="12"/>
      <c r="T241" s="12"/>
      <c r="U241" s="12"/>
      <c r="V241" s="12"/>
      <c r="W241" s="12"/>
      <c r="X241" s="12"/>
      <c r="Y241" s="12"/>
      <c r="Z241" s="12"/>
      <c r="AA241" s="12"/>
    </row>
    <row r="242">
      <c r="A242" s="12"/>
      <c r="B242" s="12"/>
      <c r="C242" s="12"/>
      <c r="D242" s="12"/>
      <c r="E242" s="12"/>
      <c r="F242" s="12"/>
      <c r="G242" s="12"/>
      <c r="H242" s="2"/>
      <c r="I242" s="12"/>
      <c r="J242" s="12"/>
      <c r="K242" s="12"/>
      <c r="L242" s="12"/>
      <c r="M242" s="12"/>
      <c r="N242" s="12"/>
      <c r="O242" s="12"/>
      <c r="P242" s="12"/>
      <c r="Q242" s="12"/>
      <c r="R242" s="12"/>
      <c r="S242" s="12"/>
      <c r="T242" s="12"/>
      <c r="U242" s="12"/>
      <c r="V242" s="12"/>
      <c r="W242" s="12"/>
      <c r="X242" s="12"/>
      <c r="Y242" s="12"/>
      <c r="Z242" s="12"/>
      <c r="AA242" s="12"/>
    </row>
    <row r="243">
      <c r="A243" s="12"/>
      <c r="B243" s="12"/>
      <c r="C243" s="12"/>
      <c r="D243" s="12"/>
      <c r="E243" s="12"/>
      <c r="F243" s="12"/>
      <c r="G243" s="12"/>
      <c r="H243" s="2"/>
      <c r="I243" s="12"/>
      <c r="J243" s="12"/>
      <c r="K243" s="12"/>
      <c r="L243" s="12"/>
      <c r="M243" s="12"/>
      <c r="N243" s="12"/>
      <c r="O243" s="12"/>
      <c r="P243" s="12"/>
      <c r="Q243" s="12"/>
      <c r="R243" s="12"/>
      <c r="S243" s="12"/>
      <c r="T243" s="12"/>
      <c r="U243" s="12"/>
      <c r="V243" s="12"/>
      <c r="W243" s="12"/>
      <c r="X243" s="12"/>
      <c r="Y243" s="12"/>
      <c r="Z243" s="12"/>
      <c r="AA243" s="12"/>
    </row>
    <row r="244">
      <c r="A244" s="12"/>
      <c r="B244" s="12"/>
      <c r="C244" s="12"/>
      <c r="D244" s="12"/>
      <c r="E244" s="12"/>
      <c r="F244" s="12"/>
      <c r="G244" s="12"/>
      <c r="H244" s="2"/>
      <c r="I244" s="12"/>
      <c r="J244" s="12"/>
      <c r="K244" s="12"/>
      <c r="L244" s="12"/>
      <c r="M244" s="12"/>
      <c r="N244" s="12"/>
      <c r="O244" s="12"/>
      <c r="P244" s="12"/>
      <c r="Q244" s="12"/>
      <c r="R244" s="12"/>
      <c r="S244" s="12"/>
      <c r="T244" s="12"/>
      <c r="U244" s="12"/>
      <c r="V244" s="12"/>
      <c r="W244" s="12"/>
      <c r="X244" s="12"/>
      <c r="Y244" s="12"/>
      <c r="Z244" s="12"/>
      <c r="AA244" s="12"/>
    </row>
    <row r="245">
      <c r="A245" s="12"/>
      <c r="B245" s="12"/>
      <c r="C245" s="12"/>
      <c r="D245" s="12"/>
      <c r="E245" s="12"/>
      <c r="F245" s="12"/>
      <c r="G245" s="12"/>
      <c r="H245" s="2"/>
      <c r="I245" s="12"/>
      <c r="J245" s="12"/>
      <c r="K245" s="12"/>
      <c r="L245" s="12"/>
      <c r="M245" s="12"/>
      <c r="N245" s="12"/>
      <c r="O245" s="12"/>
      <c r="P245" s="12"/>
      <c r="Q245" s="12"/>
      <c r="R245" s="12"/>
      <c r="S245" s="12"/>
      <c r="T245" s="12"/>
      <c r="U245" s="12"/>
      <c r="V245" s="12"/>
      <c r="W245" s="12"/>
      <c r="X245" s="12"/>
      <c r="Y245" s="12"/>
      <c r="Z245" s="12"/>
      <c r="AA245" s="12"/>
    </row>
    <row r="246">
      <c r="A246" s="12"/>
      <c r="B246" s="12"/>
      <c r="C246" s="12"/>
      <c r="D246" s="12"/>
      <c r="E246" s="12"/>
      <c r="F246" s="12"/>
      <c r="G246" s="12"/>
      <c r="H246" s="2"/>
      <c r="I246" s="12"/>
      <c r="J246" s="12"/>
      <c r="K246" s="12"/>
      <c r="L246" s="12"/>
      <c r="M246" s="12"/>
      <c r="N246" s="12"/>
      <c r="O246" s="12"/>
      <c r="P246" s="12"/>
      <c r="Q246" s="12"/>
      <c r="R246" s="12"/>
      <c r="S246" s="12"/>
      <c r="T246" s="12"/>
      <c r="U246" s="12"/>
      <c r="V246" s="12"/>
      <c r="W246" s="12"/>
      <c r="X246" s="12"/>
      <c r="Y246" s="12"/>
      <c r="Z246" s="12"/>
      <c r="AA246" s="12"/>
    </row>
    <row r="247">
      <c r="A247" s="12"/>
      <c r="B247" s="12"/>
      <c r="C247" s="12"/>
      <c r="D247" s="12"/>
      <c r="E247" s="12"/>
      <c r="F247" s="12"/>
      <c r="G247" s="12"/>
      <c r="H247" s="2"/>
      <c r="I247" s="12"/>
      <c r="J247" s="12"/>
      <c r="K247" s="12"/>
      <c r="L247" s="12"/>
      <c r="M247" s="12"/>
      <c r="N247" s="12"/>
      <c r="O247" s="12"/>
      <c r="P247" s="12"/>
      <c r="Q247" s="12"/>
      <c r="R247" s="12"/>
      <c r="S247" s="12"/>
      <c r="T247" s="12"/>
      <c r="U247" s="12"/>
      <c r="V247" s="12"/>
      <c r="W247" s="12"/>
      <c r="X247" s="12"/>
      <c r="Y247" s="12"/>
      <c r="Z247" s="12"/>
      <c r="AA247" s="12"/>
    </row>
    <row r="248">
      <c r="A248" s="12"/>
      <c r="B248" s="12"/>
      <c r="C248" s="12"/>
      <c r="D248" s="12"/>
      <c r="E248" s="12"/>
      <c r="F248" s="12"/>
      <c r="G248" s="12"/>
      <c r="H248" s="2"/>
      <c r="I248" s="12"/>
      <c r="J248" s="12"/>
      <c r="K248" s="12"/>
      <c r="L248" s="12"/>
      <c r="M248" s="12"/>
      <c r="N248" s="12"/>
      <c r="O248" s="12"/>
      <c r="P248" s="12"/>
      <c r="Q248" s="12"/>
      <c r="R248" s="12"/>
      <c r="S248" s="12"/>
      <c r="T248" s="12"/>
      <c r="U248" s="12"/>
      <c r="V248" s="12"/>
      <c r="W248" s="12"/>
      <c r="X248" s="12"/>
      <c r="Y248" s="12"/>
      <c r="Z248" s="12"/>
      <c r="AA248" s="12"/>
    </row>
    <row r="249">
      <c r="A249" s="12"/>
      <c r="B249" s="12"/>
      <c r="C249" s="12"/>
      <c r="D249" s="12"/>
      <c r="E249" s="12"/>
      <c r="F249" s="12"/>
      <c r="G249" s="12"/>
      <c r="H249" s="2"/>
      <c r="I249" s="12"/>
      <c r="J249" s="12"/>
      <c r="K249" s="12"/>
      <c r="L249" s="12"/>
      <c r="M249" s="12"/>
      <c r="N249" s="12"/>
      <c r="O249" s="12"/>
      <c r="P249" s="12"/>
      <c r="Q249" s="12"/>
      <c r="R249" s="12"/>
      <c r="S249" s="12"/>
      <c r="T249" s="12"/>
      <c r="U249" s="12"/>
      <c r="V249" s="12"/>
      <c r="W249" s="12"/>
      <c r="X249" s="12"/>
      <c r="Y249" s="12"/>
      <c r="Z249" s="12"/>
      <c r="AA249" s="12"/>
    </row>
    <row r="250">
      <c r="A250" s="12"/>
      <c r="B250" s="12"/>
      <c r="C250" s="12"/>
      <c r="D250" s="12"/>
      <c r="E250" s="12"/>
      <c r="F250" s="12"/>
      <c r="G250" s="12"/>
      <c r="H250" s="2"/>
      <c r="I250" s="12"/>
      <c r="J250" s="12"/>
      <c r="K250" s="12"/>
      <c r="L250" s="12"/>
      <c r="M250" s="12"/>
      <c r="N250" s="12"/>
      <c r="O250" s="12"/>
      <c r="P250" s="12"/>
      <c r="Q250" s="12"/>
      <c r="R250" s="12"/>
      <c r="S250" s="12"/>
      <c r="T250" s="12"/>
      <c r="U250" s="12"/>
      <c r="V250" s="12"/>
      <c r="W250" s="12"/>
      <c r="X250" s="12"/>
      <c r="Y250" s="12"/>
      <c r="Z250" s="12"/>
      <c r="AA250" s="12"/>
    </row>
    <row r="251">
      <c r="A251" s="12"/>
      <c r="B251" s="12"/>
      <c r="C251" s="12"/>
      <c r="D251" s="12"/>
      <c r="E251" s="12"/>
      <c r="F251" s="12"/>
      <c r="G251" s="12"/>
      <c r="H251" s="2"/>
      <c r="I251" s="12"/>
      <c r="J251" s="12"/>
      <c r="K251" s="12"/>
      <c r="L251" s="12"/>
      <c r="M251" s="12"/>
      <c r="N251" s="12"/>
      <c r="O251" s="12"/>
      <c r="P251" s="12"/>
      <c r="Q251" s="12"/>
      <c r="R251" s="12"/>
      <c r="S251" s="12"/>
      <c r="T251" s="12"/>
      <c r="U251" s="12"/>
      <c r="V251" s="12"/>
      <c r="W251" s="12"/>
      <c r="X251" s="12"/>
      <c r="Y251" s="12"/>
      <c r="Z251" s="12"/>
      <c r="AA251" s="12"/>
    </row>
    <row r="252">
      <c r="A252" s="12"/>
      <c r="B252" s="12"/>
      <c r="C252" s="12"/>
      <c r="D252" s="12"/>
      <c r="E252" s="12"/>
      <c r="F252" s="12"/>
      <c r="G252" s="12"/>
      <c r="H252" s="2"/>
      <c r="I252" s="12"/>
      <c r="J252" s="12"/>
      <c r="K252" s="12"/>
      <c r="L252" s="12"/>
      <c r="M252" s="12"/>
      <c r="N252" s="12"/>
      <c r="O252" s="12"/>
      <c r="P252" s="12"/>
      <c r="Q252" s="12"/>
      <c r="R252" s="12"/>
      <c r="S252" s="12"/>
      <c r="T252" s="12"/>
      <c r="U252" s="12"/>
      <c r="V252" s="12"/>
      <c r="W252" s="12"/>
      <c r="X252" s="12"/>
      <c r="Y252" s="12"/>
      <c r="Z252" s="12"/>
      <c r="AA252" s="12"/>
    </row>
    <row r="253">
      <c r="A253" s="12"/>
      <c r="B253" s="12"/>
      <c r="C253" s="12"/>
      <c r="D253" s="12"/>
      <c r="E253" s="12"/>
      <c r="F253" s="12"/>
      <c r="G253" s="12"/>
      <c r="H253" s="2"/>
      <c r="I253" s="12"/>
      <c r="J253" s="12"/>
      <c r="K253" s="12"/>
      <c r="L253" s="12"/>
      <c r="M253" s="12"/>
      <c r="N253" s="12"/>
      <c r="O253" s="12"/>
      <c r="P253" s="12"/>
      <c r="Q253" s="12"/>
      <c r="R253" s="12"/>
      <c r="S253" s="12"/>
      <c r="T253" s="12"/>
      <c r="U253" s="12"/>
      <c r="V253" s="12"/>
      <c r="W253" s="12"/>
      <c r="X253" s="12"/>
      <c r="Y253" s="12"/>
      <c r="Z253" s="12"/>
      <c r="AA253" s="12"/>
    </row>
    <row r="254">
      <c r="A254" s="12"/>
      <c r="B254" s="12"/>
      <c r="C254" s="12"/>
      <c r="D254" s="12"/>
      <c r="E254" s="12"/>
      <c r="F254" s="12"/>
      <c r="G254" s="12"/>
      <c r="H254" s="2"/>
      <c r="I254" s="12"/>
      <c r="J254" s="12"/>
      <c r="K254" s="12"/>
      <c r="L254" s="12"/>
      <c r="M254" s="12"/>
      <c r="N254" s="12"/>
      <c r="O254" s="12"/>
      <c r="P254" s="12"/>
      <c r="Q254" s="12"/>
      <c r="R254" s="12"/>
      <c r="S254" s="12"/>
      <c r="T254" s="12"/>
      <c r="U254" s="12"/>
      <c r="V254" s="12"/>
      <c r="W254" s="12"/>
      <c r="X254" s="12"/>
      <c r="Y254" s="12"/>
      <c r="Z254" s="12"/>
      <c r="AA254" s="12"/>
    </row>
    <row r="255">
      <c r="A255" s="12"/>
      <c r="B255" s="12"/>
      <c r="C255" s="12"/>
      <c r="D255" s="12"/>
      <c r="E255" s="12"/>
      <c r="F255" s="12"/>
      <c r="G255" s="12"/>
      <c r="H255" s="2"/>
      <c r="I255" s="12"/>
      <c r="J255" s="12"/>
      <c r="K255" s="12"/>
      <c r="L255" s="12"/>
      <c r="M255" s="12"/>
      <c r="N255" s="12"/>
      <c r="O255" s="12"/>
      <c r="P255" s="12"/>
      <c r="Q255" s="12"/>
      <c r="R255" s="12"/>
      <c r="S255" s="12"/>
      <c r="T255" s="12"/>
      <c r="U255" s="12"/>
      <c r="V255" s="12"/>
      <c r="W255" s="12"/>
      <c r="X255" s="12"/>
      <c r="Y255" s="12"/>
      <c r="Z255" s="12"/>
      <c r="AA255" s="12"/>
    </row>
    <row r="256">
      <c r="A256" s="12"/>
      <c r="B256" s="12"/>
      <c r="C256" s="12"/>
      <c r="D256" s="12"/>
      <c r="E256" s="12"/>
      <c r="F256" s="12"/>
      <c r="G256" s="12"/>
      <c r="H256" s="2"/>
      <c r="I256" s="12"/>
      <c r="J256" s="12"/>
      <c r="K256" s="12"/>
      <c r="L256" s="12"/>
      <c r="M256" s="12"/>
      <c r="N256" s="12"/>
      <c r="O256" s="12"/>
      <c r="P256" s="12"/>
      <c r="Q256" s="12"/>
      <c r="R256" s="12"/>
      <c r="S256" s="12"/>
      <c r="T256" s="12"/>
      <c r="U256" s="12"/>
      <c r="V256" s="12"/>
      <c r="W256" s="12"/>
      <c r="X256" s="12"/>
      <c r="Y256" s="12"/>
      <c r="Z256" s="12"/>
      <c r="AA256" s="12"/>
    </row>
    <row r="257">
      <c r="A257" s="12"/>
      <c r="B257" s="12"/>
      <c r="C257" s="12"/>
      <c r="D257" s="12"/>
      <c r="E257" s="12"/>
      <c r="F257" s="12"/>
      <c r="G257" s="12"/>
      <c r="H257" s="2"/>
      <c r="I257" s="12"/>
      <c r="J257" s="12"/>
      <c r="K257" s="12"/>
      <c r="L257" s="12"/>
      <c r="M257" s="12"/>
      <c r="N257" s="12"/>
      <c r="O257" s="12"/>
      <c r="P257" s="12"/>
      <c r="Q257" s="12"/>
      <c r="R257" s="12"/>
      <c r="S257" s="12"/>
      <c r="T257" s="12"/>
      <c r="U257" s="12"/>
      <c r="V257" s="12"/>
      <c r="W257" s="12"/>
      <c r="X257" s="12"/>
      <c r="Y257" s="12"/>
      <c r="Z257" s="12"/>
      <c r="AA257" s="12"/>
    </row>
    <row r="258">
      <c r="A258" s="12"/>
      <c r="B258" s="12"/>
      <c r="C258" s="12"/>
      <c r="D258" s="12"/>
      <c r="E258" s="12"/>
      <c r="F258" s="12"/>
      <c r="G258" s="12"/>
      <c r="H258" s="2"/>
      <c r="I258" s="12"/>
      <c r="J258" s="12"/>
      <c r="K258" s="12"/>
      <c r="L258" s="12"/>
      <c r="M258" s="12"/>
      <c r="N258" s="12"/>
      <c r="O258" s="12"/>
      <c r="P258" s="12"/>
      <c r="Q258" s="12"/>
      <c r="R258" s="12"/>
      <c r="S258" s="12"/>
      <c r="T258" s="12"/>
      <c r="U258" s="12"/>
      <c r="V258" s="12"/>
      <c r="W258" s="12"/>
      <c r="X258" s="12"/>
      <c r="Y258" s="12"/>
      <c r="Z258" s="12"/>
      <c r="AA258" s="12"/>
    </row>
    <row r="259">
      <c r="A259" s="12"/>
      <c r="B259" s="12"/>
      <c r="C259" s="12"/>
      <c r="D259" s="12"/>
      <c r="E259" s="12"/>
      <c r="F259" s="12"/>
      <c r="G259" s="12"/>
      <c r="H259" s="2"/>
      <c r="I259" s="12"/>
      <c r="J259" s="12"/>
      <c r="K259" s="12"/>
      <c r="L259" s="12"/>
      <c r="M259" s="12"/>
      <c r="N259" s="12"/>
      <c r="O259" s="12"/>
      <c r="P259" s="12"/>
      <c r="Q259" s="12"/>
      <c r="R259" s="12"/>
      <c r="S259" s="12"/>
      <c r="T259" s="12"/>
      <c r="U259" s="12"/>
      <c r="V259" s="12"/>
      <c r="W259" s="12"/>
      <c r="X259" s="12"/>
      <c r="Y259" s="12"/>
      <c r="Z259" s="12"/>
      <c r="AA259" s="12"/>
    </row>
    <row r="260">
      <c r="A260" s="12"/>
      <c r="B260" s="12"/>
      <c r="C260" s="12"/>
      <c r="D260" s="12"/>
      <c r="E260" s="12"/>
      <c r="F260" s="12"/>
      <c r="G260" s="12"/>
      <c r="H260" s="2"/>
      <c r="I260" s="12"/>
      <c r="J260" s="12"/>
      <c r="K260" s="12"/>
      <c r="L260" s="12"/>
      <c r="M260" s="12"/>
      <c r="N260" s="12"/>
      <c r="O260" s="12"/>
      <c r="P260" s="12"/>
      <c r="Q260" s="12"/>
      <c r="R260" s="12"/>
      <c r="S260" s="12"/>
      <c r="T260" s="12"/>
      <c r="U260" s="12"/>
      <c r="V260" s="12"/>
      <c r="W260" s="12"/>
      <c r="X260" s="12"/>
      <c r="Y260" s="12"/>
      <c r="Z260" s="12"/>
      <c r="AA260" s="12"/>
    </row>
    <row r="261">
      <c r="A261" s="12"/>
      <c r="B261" s="12"/>
      <c r="C261" s="12"/>
      <c r="D261" s="12"/>
      <c r="E261" s="12"/>
      <c r="F261" s="12"/>
      <c r="G261" s="12"/>
      <c r="H261" s="2"/>
      <c r="I261" s="12"/>
      <c r="J261" s="12"/>
      <c r="K261" s="12"/>
      <c r="L261" s="12"/>
      <c r="M261" s="12"/>
      <c r="N261" s="12"/>
      <c r="O261" s="12"/>
      <c r="P261" s="12"/>
      <c r="Q261" s="12"/>
      <c r="R261" s="12"/>
      <c r="S261" s="12"/>
      <c r="T261" s="12"/>
      <c r="U261" s="12"/>
      <c r="V261" s="12"/>
      <c r="W261" s="12"/>
      <c r="X261" s="12"/>
      <c r="Y261" s="12"/>
      <c r="Z261" s="12"/>
      <c r="AA261" s="12"/>
    </row>
    <row r="262">
      <c r="A262" s="12"/>
      <c r="B262" s="12"/>
      <c r="C262" s="12"/>
      <c r="D262" s="12"/>
      <c r="E262" s="12"/>
      <c r="F262" s="12"/>
      <c r="G262" s="12"/>
      <c r="H262" s="2"/>
      <c r="I262" s="12"/>
      <c r="J262" s="12"/>
      <c r="K262" s="12"/>
      <c r="L262" s="12"/>
      <c r="M262" s="12"/>
      <c r="N262" s="12"/>
      <c r="O262" s="12"/>
      <c r="P262" s="12"/>
      <c r="Q262" s="12"/>
      <c r="R262" s="12"/>
      <c r="S262" s="12"/>
      <c r="T262" s="12"/>
      <c r="U262" s="12"/>
      <c r="V262" s="12"/>
      <c r="W262" s="12"/>
      <c r="X262" s="12"/>
      <c r="Y262" s="12"/>
      <c r="Z262" s="12"/>
      <c r="AA262" s="12"/>
    </row>
    <row r="263">
      <c r="A263" s="12"/>
      <c r="B263" s="12"/>
      <c r="C263" s="12"/>
      <c r="D263" s="12"/>
      <c r="E263" s="12"/>
      <c r="F263" s="12"/>
      <c r="G263" s="12"/>
      <c r="H263" s="2"/>
      <c r="I263" s="12"/>
      <c r="J263" s="12"/>
      <c r="K263" s="12"/>
      <c r="L263" s="12"/>
      <c r="M263" s="12"/>
      <c r="N263" s="12"/>
      <c r="O263" s="12"/>
      <c r="P263" s="12"/>
      <c r="Q263" s="12"/>
      <c r="R263" s="12"/>
      <c r="S263" s="12"/>
      <c r="T263" s="12"/>
      <c r="U263" s="12"/>
      <c r="V263" s="12"/>
      <c r="W263" s="12"/>
      <c r="X263" s="12"/>
      <c r="Y263" s="12"/>
      <c r="Z263" s="12"/>
      <c r="AA263" s="12"/>
    </row>
    <row r="264">
      <c r="A264" s="12"/>
      <c r="B264" s="12"/>
      <c r="C264" s="12"/>
      <c r="D264" s="12"/>
      <c r="E264" s="12"/>
      <c r="F264" s="12"/>
      <c r="G264" s="12"/>
      <c r="H264" s="2"/>
      <c r="I264" s="12"/>
      <c r="J264" s="12"/>
      <c r="K264" s="12"/>
      <c r="L264" s="12"/>
      <c r="M264" s="12"/>
      <c r="N264" s="12"/>
      <c r="O264" s="12"/>
      <c r="P264" s="12"/>
      <c r="Q264" s="12"/>
      <c r="R264" s="12"/>
      <c r="S264" s="12"/>
      <c r="T264" s="12"/>
      <c r="U264" s="12"/>
      <c r="V264" s="12"/>
      <c r="W264" s="12"/>
      <c r="X264" s="12"/>
      <c r="Y264" s="12"/>
      <c r="Z264" s="12"/>
      <c r="AA264" s="12"/>
    </row>
    <row r="265">
      <c r="A265" s="12"/>
      <c r="B265" s="12"/>
      <c r="C265" s="12"/>
      <c r="D265" s="12"/>
      <c r="E265" s="12"/>
      <c r="F265" s="12"/>
      <c r="G265" s="12"/>
      <c r="H265" s="2"/>
      <c r="I265" s="12"/>
      <c r="J265" s="12"/>
      <c r="K265" s="12"/>
      <c r="L265" s="12"/>
      <c r="M265" s="12"/>
      <c r="N265" s="12"/>
      <c r="O265" s="12"/>
      <c r="P265" s="12"/>
      <c r="Q265" s="12"/>
      <c r="R265" s="12"/>
      <c r="S265" s="12"/>
      <c r="T265" s="12"/>
      <c r="U265" s="12"/>
      <c r="V265" s="12"/>
      <c r="W265" s="12"/>
      <c r="X265" s="12"/>
      <c r="Y265" s="12"/>
      <c r="Z265" s="12"/>
      <c r="AA265" s="12"/>
    </row>
    <row r="266">
      <c r="A266" s="12"/>
      <c r="B266" s="12"/>
      <c r="C266" s="12"/>
      <c r="D266" s="12"/>
      <c r="E266" s="12"/>
      <c r="F266" s="12"/>
      <c r="G266" s="12"/>
      <c r="H266" s="2"/>
      <c r="I266" s="12"/>
      <c r="J266" s="12"/>
      <c r="K266" s="12"/>
      <c r="L266" s="12"/>
      <c r="M266" s="12"/>
      <c r="N266" s="12"/>
      <c r="O266" s="12"/>
      <c r="P266" s="12"/>
      <c r="Q266" s="12"/>
      <c r="R266" s="12"/>
      <c r="S266" s="12"/>
      <c r="T266" s="12"/>
      <c r="U266" s="12"/>
      <c r="V266" s="12"/>
      <c r="W266" s="12"/>
      <c r="X266" s="12"/>
      <c r="Y266" s="12"/>
      <c r="Z266" s="12"/>
      <c r="AA266" s="12"/>
    </row>
    <row r="267">
      <c r="A267" s="12"/>
      <c r="B267" s="12"/>
      <c r="C267" s="12"/>
      <c r="D267" s="12"/>
      <c r="E267" s="12"/>
      <c r="F267" s="12"/>
      <c r="G267" s="12"/>
      <c r="H267" s="2"/>
      <c r="I267" s="12"/>
      <c r="J267" s="12"/>
      <c r="K267" s="12"/>
      <c r="L267" s="12"/>
      <c r="M267" s="12"/>
      <c r="N267" s="12"/>
      <c r="O267" s="12"/>
      <c r="P267" s="12"/>
      <c r="Q267" s="12"/>
      <c r="R267" s="12"/>
      <c r="S267" s="12"/>
      <c r="T267" s="12"/>
      <c r="U267" s="12"/>
      <c r="V267" s="12"/>
      <c r="W267" s="12"/>
      <c r="X267" s="12"/>
      <c r="Y267" s="12"/>
      <c r="Z267" s="12"/>
      <c r="AA267" s="12"/>
    </row>
    <row r="268">
      <c r="A268" s="12"/>
      <c r="B268" s="12"/>
      <c r="C268" s="12"/>
      <c r="D268" s="12"/>
      <c r="E268" s="12"/>
      <c r="F268" s="12"/>
      <c r="G268" s="12"/>
      <c r="H268" s="2"/>
      <c r="I268" s="12"/>
      <c r="J268" s="12"/>
      <c r="K268" s="12"/>
      <c r="L268" s="12"/>
      <c r="M268" s="12"/>
      <c r="N268" s="12"/>
      <c r="O268" s="12"/>
      <c r="P268" s="12"/>
      <c r="Q268" s="12"/>
      <c r="R268" s="12"/>
      <c r="S268" s="12"/>
      <c r="T268" s="12"/>
      <c r="U268" s="12"/>
      <c r="V268" s="12"/>
      <c r="W268" s="12"/>
      <c r="X268" s="12"/>
      <c r="Y268" s="12"/>
      <c r="Z268" s="12"/>
      <c r="AA268" s="12"/>
    </row>
    <row r="269">
      <c r="A269" s="12"/>
      <c r="B269" s="12"/>
      <c r="C269" s="12"/>
      <c r="D269" s="12"/>
      <c r="E269" s="12"/>
      <c r="F269" s="12"/>
      <c r="G269" s="12"/>
      <c r="H269" s="2"/>
      <c r="I269" s="12"/>
      <c r="J269" s="12"/>
      <c r="K269" s="12"/>
      <c r="L269" s="12"/>
      <c r="M269" s="12"/>
      <c r="N269" s="12"/>
      <c r="O269" s="12"/>
      <c r="P269" s="12"/>
      <c r="Q269" s="12"/>
      <c r="R269" s="12"/>
      <c r="S269" s="12"/>
      <c r="T269" s="12"/>
      <c r="U269" s="12"/>
      <c r="V269" s="12"/>
      <c r="W269" s="12"/>
      <c r="X269" s="12"/>
      <c r="Y269" s="12"/>
      <c r="Z269" s="12"/>
      <c r="AA269" s="12"/>
    </row>
    <row r="270">
      <c r="A270" s="12"/>
      <c r="B270" s="12"/>
      <c r="C270" s="12"/>
      <c r="D270" s="12"/>
      <c r="E270" s="12"/>
      <c r="F270" s="12"/>
      <c r="G270" s="12"/>
      <c r="H270" s="2"/>
      <c r="I270" s="12"/>
      <c r="J270" s="12"/>
      <c r="K270" s="12"/>
      <c r="L270" s="12"/>
      <c r="M270" s="12"/>
      <c r="N270" s="12"/>
      <c r="O270" s="12"/>
      <c r="P270" s="12"/>
      <c r="Q270" s="12"/>
      <c r="R270" s="12"/>
      <c r="S270" s="12"/>
      <c r="T270" s="12"/>
      <c r="U270" s="12"/>
      <c r="V270" s="12"/>
      <c r="W270" s="12"/>
      <c r="X270" s="12"/>
      <c r="Y270" s="12"/>
      <c r="Z270" s="12"/>
      <c r="AA270" s="12"/>
    </row>
    <row r="271">
      <c r="A271" s="12"/>
      <c r="B271" s="12"/>
      <c r="C271" s="12"/>
      <c r="D271" s="12"/>
      <c r="E271" s="12"/>
      <c r="F271" s="12"/>
      <c r="G271" s="12"/>
      <c r="H271" s="2"/>
      <c r="I271" s="12"/>
      <c r="J271" s="12"/>
      <c r="K271" s="12"/>
      <c r="L271" s="12"/>
      <c r="M271" s="12"/>
      <c r="N271" s="12"/>
      <c r="O271" s="12"/>
      <c r="P271" s="12"/>
      <c r="Q271" s="12"/>
      <c r="R271" s="12"/>
      <c r="S271" s="12"/>
      <c r="T271" s="12"/>
      <c r="U271" s="12"/>
      <c r="V271" s="12"/>
      <c r="W271" s="12"/>
      <c r="X271" s="12"/>
      <c r="Y271" s="12"/>
      <c r="Z271" s="12"/>
      <c r="AA271" s="12"/>
    </row>
    <row r="272">
      <c r="A272" s="12"/>
      <c r="B272" s="12"/>
      <c r="C272" s="12"/>
      <c r="D272" s="12"/>
      <c r="E272" s="12"/>
      <c r="F272" s="12"/>
      <c r="G272" s="12"/>
      <c r="H272" s="2"/>
      <c r="I272" s="12"/>
      <c r="J272" s="12"/>
      <c r="K272" s="12"/>
      <c r="L272" s="12"/>
      <c r="M272" s="12"/>
      <c r="N272" s="12"/>
      <c r="O272" s="12"/>
      <c r="P272" s="12"/>
      <c r="Q272" s="12"/>
      <c r="R272" s="12"/>
      <c r="S272" s="12"/>
      <c r="T272" s="12"/>
      <c r="U272" s="12"/>
      <c r="V272" s="12"/>
      <c r="W272" s="12"/>
      <c r="X272" s="12"/>
      <c r="Y272" s="12"/>
      <c r="Z272" s="12"/>
      <c r="AA272" s="12"/>
    </row>
    <row r="273">
      <c r="A273" s="12"/>
      <c r="B273" s="12"/>
      <c r="C273" s="12"/>
      <c r="D273" s="12"/>
      <c r="E273" s="12"/>
      <c r="F273" s="12"/>
      <c r="G273" s="12"/>
      <c r="H273" s="2"/>
      <c r="I273" s="12"/>
      <c r="J273" s="12"/>
      <c r="K273" s="12"/>
      <c r="L273" s="12"/>
      <c r="M273" s="12"/>
      <c r="N273" s="12"/>
      <c r="O273" s="12"/>
      <c r="P273" s="12"/>
      <c r="Q273" s="12"/>
      <c r="R273" s="12"/>
      <c r="S273" s="12"/>
      <c r="T273" s="12"/>
      <c r="U273" s="12"/>
      <c r="V273" s="12"/>
      <c r="W273" s="12"/>
      <c r="X273" s="12"/>
      <c r="Y273" s="12"/>
      <c r="Z273" s="12"/>
      <c r="AA273" s="12"/>
    </row>
    <row r="274">
      <c r="A274" s="12"/>
      <c r="B274" s="12"/>
      <c r="C274" s="12"/>
      <c r="D274" s="12"/>
      <c r="E274" s="12"/>
      <c r="F274" s="12"/>
      <c r="G274" s="12"/>
      <c r="H274" s="2"/>
      <c r="I274" s="12"/>
      <c r="J274" s="12"/>
      <c r="K274" s="12"/>
      <c r="L274" s="12"/>
      <c r="M274" s="12"/>
      <c r="N274" s="12"/>
      <c r="O274" s="12"/>
      <c r="P274" s="12"/>
      <c r="Q274" s="12"/>
      <c r="R274" s="12"/>
      <c r="S274" s="12"/>
      <c r="T274" s="12"/>
      <c r="U274" s="12"/>
      <c r="V274" s="12"/>
      <c r="W274" s="12"/>
      <c r="X274" s="12"/>
      <c r="Y274" s="12"/>
      <c r="Z274" s="12"/>
      <c r="AA274" s="12"/>
    </row>
    <row r="275">
      <c r="A275" s="12"/>
      <c r="B275" s="12"/>
      <c r="C275" s="12"/>
      <c r="D275" s="12"/>
      <c r="E275" s="12"/>
      <c r="F275" s="12"/>
      <c r="G275" s="12"/>
      <c r="H275" s="2"/>
      <c r="I275" s="12"/>
      <c r="J275" s="12"/>
      <c r="K275" s="12"/>
      <c r="L275" s="12"/>
      <c r="M275" s="12"/>
      <c r="N275" s="12"/>
      <c r="O275" s="12"/>
      <c r="P275" s="12"/>
      <c r="Q275" s="12"/>
      <c r="R275" s="12"/>
      <c r="S275" s="12"/>
      <c r="T275" s="12"/>
      <c r="U275" s="12"/>
      <c r="V275" s="12"/>
      <c r="W275" s="12"/>
      <c r="X275" s="12"/>
      <c r="Y275" s="12"/>
      <c r="Z275" s="12"/>
      <c r="AA275" s="12"/>
    </row>
    <row r="276">
      <c r="A276" s="12"/>
      <c r="B276" s="12"/>
      <c r="C276" s="12"/>
      <c r="D276" s="12"/>
      <c r="E276" s="12"/>
      <c r="F276" s="12"/>
      <c r="G276" s="12"/>
      <c r="H276" s="2"/>
      <c r="I276" s="12"/>
      <c r="J276" s="12"/>
      <c r="K276" s="12"/>
      <c r="L276" s="12"/>
      <c r="M276" s="12"/>
      <c r="N276" s="12"/>
      <c r="O276" s="12"/>
      <c r="P276" s="12"/>
      <c r="Q276" s="12"/>
      <c r="R276" s="12"/>
      <c r="S276" s="12"/>
      <c r="T276" s="12"/>
      <c r="U276" s="12"/>
      <c r="V276" s="12"/>
      <c r="W276" s="12"/>
      <c r="X276" s="12"/>
      <c r="Y276" s="12"/>
      <c r="Z276" s="12"/>
      <c r="AA276" s="12"/>
    </row>
    <row r="277">
      <c r="A277" s="12"/>
      <c r="B277" s="12"/>
      <c r="C277" s="12"/>
      <c r="D277" s="12"/>
      <c r="E277" s="12"/>
      <c r="F277" s="12"/>
      <c r="G277" s="12"/>
      <c r="H277" s="2"/>
      <c r="I277" s="12"/>
      <c r="J277" s="12"/>
      <c r="K277" s="12"/>
      <c r="L277" s="12"/>
      <c r="M277" s="12"/>
      <c r="N277" s="12"/>
      <c r="O277" s="12"/>
      <c r="P277" s="12"/>
      <c r="Q277" s="12"/>
      <c r="R277" s="12"/>
      <c r="S277" s="12"/>
      <c r="T277" s="12"/>
      <c r="U277" s="12"/>
      <c r="V277" s="12"/>
      <c r="W277" s="12"/>
      <c r="X277" s="12"/>
      <c r="Y277" s="12"/>
      <c r="Z277" s="12"/>
      <c r="AA277" s="12"/>
    </row>
    <row r="278">
      <c r="A278" s="12"/>
      <c r="B278" s="12"/>
      <c r="C278" s="12"/>
      <c r="D278" s="12"/>
      <c r="E278" s="12"/>
      <c r="F278" s="12"/>
      <c r="G278" s="12"/>
      <c r="H278" s="2"/>
      <c r="I278" s="12"/>
      <c r="J278" s="12"/>
      <c r="K278" s="12"/>
      <c r="L278" s="12"/>
      <c r="M278" s="12"/>
      <c r="N278" s="12"/>
      <c r="O278" s="12"/>
      <c r="P278" s="12"/>
      <c r="Q278" s="12"/>
      <c r="R278" s="12"/>
      <c r="S278" s="12"/>
      <c r="T278" s="12"/>
      <c r="U278" s="12"/>
      <c r="V278" s="12"/>
      <c r="W278" s="12"/>
      <c r="X278" s="12"/>
      <c r="Y278" s="12"/>
      <c r="Z278" s="12"/>
      <c r="AA278" s="12"/>
    </row>
    <row r="279">
      <c r="A279" s="12"/>
      <c r="B279" s="12"/>
      <c r="C279" s="12"/>
      <c r="D279" s="12"/>
      <c r="E279" s="12"/>
      <c r="F279" s="12"/>
      <c r="G279" s="12"/>
      <c r="H279" s="2"/>
      <c r="I279" s="12"/>
      <c r="J279" s="12"/>
      <c r="K279" s="12"/>
      <c r="L279" s="12"/>
      <c r="M279" s="12"/>
      <c r="N279" s="12"/>
      <c r="O279" s="12"/>
      <c r="P279" s="12"/>
      <c r="Q279" s="12"/>
      <c r="R279" s="12"/>
      <c r="S279" s="12"/>
      <c r="T279" s="12"/>
      <c r="U279" s="12"/>
      <c r="V279" s="12"/>
      <c r="W279" s="12"/>
      <c r="X279" s="12"/>
      <c r="Y279" s="12"/>
      <c r="Z279" s="12"/>
      <c r="AA279" s="12"/>
    </row>
    <row r="280">
      <c r="A280" s="12"/>
      <c r="B280" s="12"/>
      <c r="C280" s="12"/>
      <c r="D280" s="12"/>
      <c r="E280" s="12"/>
      <c r="F280" s="12"/>
      <c r="G280" s="12"/>
      <c r="H280" s="2"/>
      <c r="I280" s="12"/>
      <c r="J280" s="12"/>
      <c r="K280" s="12"/>
      <c r="L280" s="12"/>
      <c r="M280" s="12"/>
      <c r="N280" s="12"/>
      <c r="O280" s="12"/>
      <c r="P280" s="12"/>
      <c r="Q280" s="12"/>
      <c r="R280" s="12"/>
      <c r="S280" s="12"/>
      <c r="T280" s="12"/>
      <c r="U280" s="12"/>
      <c r="V280" s="12"/>
      <c r="W280" s="12"/>
      <c r="X280" s="12"/>
      <c r="Y280" s="12"/>
      <c r="Z280" s="12"/>
      <c r="AA280" s="12"/>
    </row>
    <row r="281">
      <c r="A281" s="12"/>
      <c r="B281" s="12"/>
      <c r="C281" s="12"/>
      <c r="D281" s="12"/>
      <c r="E281" s="12"/>
      <c r="F281" s="12"/>
      <c r="G281" s="12"/>
      <c r="H281" s="2"/>
      <c r="I281" s="12"/>
      <c r="J281" s="12"/>
      <c r="K281" s="12"/>
      <c r="L281" s="12"/>
      <c r="M281" s="12"/>
      <c r="N281" s="12"/>
      <c r="O281" s="12"/>
      <c r="P281" s="12"/>
      <c r="Q281" s="12"/>
      <c r="R281" s="12"/>
      <c r="S281" s="12"/>
      <c r="T281" s="12"/>
      <c r="U281" s="12"/>
      <c r="V281" s="12"/>
      <c r="W281" s="12"/>
      <c r="X281" s="12"/>
      <c r="Y281" s="12"/>
      <c r="Z281" s="12"/>
      <c r="AA281" s="12"/>
    </row>
    <row r="282">
      <c r="A282" s="12"/>
      <c r="B282" s="12"/>
      <c r="C282" s="12"/>
      <c r="D282" s="12"/>
      <c r="E282" s="12"/>
      <c r="F282" s="12"/>
      <c r="G282" s="12"/>
      <c r="H282" s="2"/>
      <c r="I282" s="12"/>
      <c r="J282" s="12"/>
      <c r="K282" s="12"/>
      <c r="L282" s="12"/>
      <c r="M282" s="12"/>
      <c r="N282" s="12"/>
      <c r="O282" s="12"/>
      <c r="P282" s="12"/>
      <c r="Q282" s="12"/>
      <c r="R282" s="12"/>
      <c r="S282" s="12"/>
      <c r="T282" s="12"/>
      <c r="U282" s="12"/>
      <c r="V282" s="12"/>
      <c r="W282" s="12"/>
      <c r="X282" s="12"/>
      <c r="Y282" s="12"/>
      <c r="Z282" s="12"/>
      <c r="AA282" s="12"/>
    </row>
    <row r="283">
      <c r="A283" s="12"/>
      <c r="B283" s="12"/>
      <c r="C283" s="12"/>
      <c r="D283" s="12"/>
      <c r="E283" s="12"/>
      <c r="F283" s="12"/>
      <c r="G283" s="12"/>
      <c r="H283" s="2"/>
      <c r="I283" s="12"/>
      <c r="J283" s="12"/>
      <c r="K283" s="12"/>
      <c r="L283" s="12"/>
      <c r="M283" s="12"/>
      <c r="N283" s="12"/>
      <c r="O283" s="12"/>
      <c r="P283" s="12"/>
      <c r="Q283" s="12"/>
      <c r="R283" s="12"/>
      <c r="S283" s="12"/>
      <c r="T283" s="12"/>
      <c r="U283" s="12"/>
      <c r="V283" s="12"/>
      <c r="W283" s="12"/>
      <c r="X283" s="12"/>
      <c r="Y283" s="12"/>
      <c r="Z283" s="12"/>
      <c r="AA283" s="12"/>
    </row>
    <row r="284">
      <c r="A284" s="12"/>
      <c r="B284" s="12"/>
      <c r="C284" s="12"/>
      <c r="D284" s="12"/>
      <c r="E284" s="12"/>
      <c r="F284" s="12"/>
      <c r="G284" s="12"/>
      <c r="H284" s="2"/>
      <c r="I284" s="12"/>
      <c r="J284" s="12"/>
      <c r="K284" s="12"/>
      <c r="L284" s="12"/>
      <c r="M284" s="12"/>
      <c r="N284" s="12"/>
      <c r="O284" s="12"/>
      <c r="P284" s="12"/>
      <c r="Q284" s="12"/>
      <c r="R284" s="12"/>
      <c r="S284" s="12"/>
      <c r="T284" s="12"/>
      <c r="U284" s="12"/>
      <c r="V284" s="12"/>
      <c r="W284" s="12"/>
      <c r="X284" s="12"/>
      <c r="Y284" s="12"/>
      <c r="Z284" s="12"/>
      <c r="AA284" s="12"/>
    </row>
    <row r="285">
      <c r="A285" s="12"/>
      <c r="B285" s="12"/>
      <c r="C285" s="12"/>
      <c r="D285" s="12"/>
      <c r="E285" s="12"/>
      <c r="F285" s="12"/>
      <c r="G285" s="12"/>
      <c r="H285" s="2"/>
      <c r="I285" s="12"/>
      <c r="J285" s="12"/>
      <c r="K285" s="12"/>
      <c r="L285" s="12"/>
      <c r="M285" s="12"/>
      <c r="N285" s="12"/>
      <c r="O285" s="12"/>
      <c r="P285" s="12"/>
      <c r="Q285" s="12"/>
      <c r="R285" s="12"/>
      <c r="S285" s="12"/>
      <c r="T285" s="12"/>
      <c r="U285" s="12"/>
      <c r="V285" s="12"/>
      <c r="W285" s="12"/>
      <c r="X285" s="12"/>
      <c r="Y285" s="12"/>
      <c r="Z285" s="12"/>
      <c r="AA285" s="12"/>
    </row>
    <row r="286">
      <c r="A286" s="12"/>
      <c r="B286" s="12"/>
      <c r="C286" s="12"/>
      <c r="D286" s="12"/>
      <c r="E286" s="12"/>
      <c r="F286" s="12"/>
      <c r="G286" s="12"/>
      <c r="H286" s="2"/>
      <c r="I286" s="12"/>
      <c r="J286" s="12"/>
      <c r="K286" s="12"/>
      <c r="L286" s="12"/>
      <c r="M286" s="12"/>
      <c r="N286" s="12"/>
      <c r="O286" s="12"/>
      <c r="P286" s="12"/>
      <c r="Q286" s="12"/>
      <c r="R286" s="12"/>
      <c r="S286" s="12"/>
      <c r="T286" s="12"/>
      <c r="U286" s="12"/>
      <c r="V286" s="12"/>
      <c r="W286" s="12"/>
      <c r="X286" s="12"/>
      <c r="Y286" s="12"/>
      <c r="Z286" s="12"/>
      <c r="AA286" s="12"/>
    </row>
    <row r="287">
      <c r="A287" s="12"/>
      <c r="B287" s="12"/>
      <c r="C287" s="12"/>
      <c r="D287" s="12"/>
      <c r="E287" s="12"/>
      <c r="F287" s="12"/>
      <c r="G287" s="12"/>
      <c r="H287" s="2"/>
      <c r="I287" s="12"/>
      <c r="J287" s="12"/>
      <c r="K287" s="12"/>
      <c r="L287" s="12"/>
      <c r="M287" s="12"/>
      <c r="N287" s="12"/>
      <c r="O287" s="12"/>
      <c r="P287" s="12"/>
      <c r="Q287" s="12"/>
      <c r="R287" s="12"/>
      <c r="S287" s="12"/>
      <c r="T287" s="12"/>
      <c r="U287" s="12"/>
      <c r="V287" s="12"/>
      <c r="W287" s="12"/>
      <c r="X287" s="12"/>
      <c r="Y287" s="12"/>
      <c r="Z287" s="12"/>
      <c r="AA287" s="12"/>
    </row>
    <row r="288">
      <c r="A288" s="12"/>
      <c r="B288" s="12"/>
      <c r="C288" s="12"/>
      <c r="D288" s="12"/>
      <c r="E288" s="12"/>
      <c r="F288" s="12"/>
      <c r="G288" s="12"/>
      <c r="H288" s="2"/>
      <c r="I288" s="12"/>
      <c r="J288" s="12"/>
      <c r="K288" s="12"/>
      <c r="L288" s="12"/>
      <c r="M288" s="12"/>
      <c r="N288" s="12"/>
      <c r="O288" s="12"/>
      <c r="P288" s="12"/>
      <c r="Q288" s="12"/>
      <c r="R288" s="12"/>
      <c r="S288" s="12"/>
      <c r="T288" s="12"/>
      <c r="U288" s="12"/>
      <c r="V288" s="12"/>
      <c r="W288" s="12"/>
      <c r="X288" s="12"/>
      <c r="Y288" s="12"/>
      <c r="Z288" s="12"/>
      <c r="AA288" s="12"/>
    </row>
    <row r="289">
      <c r="A289" s="12"/>
      <c r="B289" s="12"/>
      <c r="C289" s="12"/>
      <c r="D289" s="12"/>
      <c r="E289" s="12"/>
      <c r="F289" s="12"/>
      <c r="G289" s="12"/>
      <c r="H289" s="2"/>
      <c r="I289" s="12"/>
      <c r="J289" s="12"/>
      <c r="K289" s="12"/>
      <c r="L289" s="12"/>
      <c r="M289" s="12"/>
      <c r="N289" s="12"/>
      <c r="O289" s="12"/>
      <c r="P289" s="12"/>
      <c r="Q289" s="12"/>
      <c r="R289" s="12"/>
      <c r="S289" s="12"/>
      <c r="T289" s="12"/>
      <c r="U289" s="12"/>
      <c r="V289" s="12"/>
      <c r="W289" s="12"/>
      <c r="X289" s="12"/>
      <c r="Y289" s="12"/>
      <c r="Z289" s="12"/>
      <c r="AA289" s="12"/>
    </row>
    <row r="290">
      <c r="A290" s="12"/>
      <c r="B290" s="12"/>
      <c r="C290" s="12"/>
      <c r="D290" s="12"/>
      <c r="E290" s="12"/>
      <c r="F290" s="12"/>
      <c r="G290" s="12"/>
      <c r="H290" s="2"/>
      <c r="I290" s="12"/>
      <c r="J290" s="12"/>
      <c r="K290" s="12"/>
      <c r="L290" s="12"/>
      <c r="M290" s="12"/>
      <c r="N290" s="12"/>
      <c r="O290" s="12"/>
      <c r="P290" s="12"/>
      <c r="Q290" s="12"/>
      <c r="R290" s="12"/>
      <c r="S290" s="12"/>
      <c r="T290" s="12"/>
      <c r="U290" s="12"/>
      <c r="V290" s="12"/>
      <c r="W290" s="12"/>
      <c r="X290" s="12"/>
      <c r="Y290" s="12"/>
      <c r="Z290" s="12"/>
      <c r="AA290" s="12"/>
    </row>
    <row r="291">
      <c r="A291" s="12"/>
      <c r="B291" s="12"/>
      <c r="C291" s="12"/>
      <c r="D291" s="12"/>
      <c r="E291" s="12"/>
      <c r="F291" s="12"/>
      <c r="G291" s="12"/>
      <c r="H291" s="2"/>
      <c r="I291" s="12"/>
      <c r="J291" s="12"/>
      <c r="K291" s="12"/>
      <c r="L291" s="12"/>
      <c r="M291" s="12"/>
      <c r="N291" s="12"/>
      <c r="O291" s="12"/>
      <c r="P291" s="12"/>
      <c r="Q291" s="12"/>
      <c r="R291" s="12"/>
      <c r="S291" s="12"/>
      <c r="T291" s="12"/>
      <c r="U291" s="12"/>
      <c r="V291" s="12"/>
      <c r="W291" s="12"/>
      <c r="X291" s="12"/>
      <c r="Y291" s="12"/>
      <c r="Z291" s="12"/>
      <c r="AA291" s="12"/>
    </row>
    <row r="292">
      <c r="A292" s="12"/>
      <c r="B292" s="12"/>
      <c r="C292" s="12"/>
      <c r="D292" s="12"/>
      <c r="E292" s="12"/>
      <c r="F292" s="12"/>
      <c r="G292" s="12"/>
      <c r="H292" s="2"/>
      <c r="I292" s="12"/>
      <c r="J292" s="12"/>
      <c r="K292" s="12"/>
      <c r="L292" s="12"/>
      <c r="M292" s="12"/>
      <c r="N292" s="12"/>
      <c r="O292" s="12"/>
      <c r="P292" s="12"/>
      <c r="Q292" s="12"/>
      <c r="R292" s="12"/>
      <c r="S292" s="12"/>
      <c r="T292" s="12"/>
      <c r="U292" s="12"/>
      <c r="V292" s="12"/>
      <c r="W292" s="12"/>
      <c r="X292" s="12"/>
      <c r="Y292" s="12"/>
      <c r="Z292" s="12"/>
      <c r="AA292" s="12"/>
    </row>
    <row r="293">
      <c r="A293" s="12"/>
      <c r="B293" s="12"/>
      <c r="C293" s="12"/>
      <c r="D293" s="12"/>
      <c r="E293" s="12"/>
      <c r="F293" s="12"/>
      <c r="G293" s="12"/>
      <c r="H293" s="2"/>
      <c r="I293" s="12"/>
      <c r="J293" s="12"/>
      <c r="K293" s="12"/>
      <c r="L293" s="12"/>
      <c r="M293" s="12"/>
      <c r="N293" s="12"/>
      <c r="O293" s="12"/>
      <c r="P293" s="12"/>
      <c r="Q293" s="12"/>
      <c r="R293" s="12"/>
      <c r="S293" s="12"/>
      <c r="T293" s="12"/>
      <c r="U293" s="12"/>
      <c r="V293" s="12"/>
      <c r="W293" s="12"/>
      <c r="X293" s="12"/>
      <c r="Y293" s="12"/>
      <c r="Z293" s="12"/>
      <c r="AA293" s="12"/>
    </row>
    <row r="294">
      <c r="A294" s="12"/>
      <c r="B294" s="12"/>
      <c r="C294" s="12"/>
      <c r="D294" s="12"/>
      <c r="E294" s="12"/>
      <c r="F294" s="12"/>
      <c r="G294" s="12"/>
      <c r="H294" s="2"/>
      <c r="I294" s="12"/>
      <c r="J294" s="12"/>
      <c r="K294" s="12"/>
      <c r="L294" s="12"/>
      <c r="M294" s="12"/>
      <c r="N294" s="12"/>
      <c r="O294" s="12"/>
      <c r="P294" s="12"/>
      <c r="Q294" s="12"/>
      <c r="R294" s="12"/>
      <c r="S294" s="12"/>
      <c r="T294" s="12"/>
      <c r="U294" s="12"/>
      <c r="V294" s="12"/>
      <c r="W294" s="12"/>
      <c r="X294" s="12"/>
      <c r="Y294" s="12"/>
      <c r="Z294" s="12"/>
      <c r="AA294" s="12"/>
    </row>
    <row r="295">
      <c r="A295" s="12"/>
      <c r="B295" s="12"/>
      <c r="C295" s="12"/>
      <c r="D295" s="12"/>
      <c r="E295" s="12"/>
      <c r="F295" s="12"/>
      <c r="G295" s="12"/>
      <c r="H295" s="2"/>
      <c r="I295" s="12"/>
      <c r="J295" s="12"/>
      <c r="K295" s="12"/>
      <c r="L295" s="12"/>
      <c r="M295" s="12"/>
      <c r="N295" s="12"/>
      <c r="O295" s="12"/>
      <c r="P295" s="12"/>
      <c r="Q295" s="12"/>
      <c r="R295" s="12"/>
      <c r="S295" s="12"/>
      <c r="T295" s="12"/>
      <c r="U295" s="12"/>
      <c r="V295" s="12"/>
      <c r="W295" s="12"/>
      <c r="X295" s="12"/>
      <c r="Y295" s="12"/>
      <c r="Z295" s="12"/>
      <c r="AA295" s="12"/>
    </row>
    <row r="296">
      <c r="A296" s="12"/>
      <c r="B296" s="12"/>
      <c r="C296" s="12"/>
      <c r="D296" s="12"/>
      <c r="E296" s="12"/>
      <c r="F296" s="12"/>
      <c r="G296" s="12"/>
      <c r="H296" s="2"/>
      <c r="I296" s="12"/>
      <c r="J296" s="12"/>
      <c r="K296" s="12"/>
      <c r="L296" s="12"/>
      <c r="M296" s="12"/>
      <c r="N296" s="12"/>
      <c r="O296" s="12"/>
      <c r="P296" s="12"/>
      <c r="Q296" s="12"/>
      <c r="R296" s="12"/>
      <c r="S296" s="12"/>
      <c r="T296" s="12"/>
      <c r="U296" s="12"/>
      <c r="V296" s="12"/>
      <c r="W296" s="12"/>
      <c r="X296" s="12"/>
      <c r="Y296" s="12"/>
      <c r="Z296" s="12"/>
      <c r="AA296" s="12"/>
    </row>
    <row r="297">
      <c r="A297" s="12"/>
      <c r="B297" s="12"/>
      <c r="C297" s="12"/>
      <c r="D297" s="12"/>
      <c r="E297" s="12"/>
      <c r="F297" s="12"/>
      <c r="G297" s="12"/>
      <c r="H297" s="2"/>
      <c r="I297" s="12"/>
      <c r="J297" s="12"/>
      <c r="K297" s="12"/>
      <c r="L297" s="12"/>
      <c r="M297" s="12"/>
      <c r="N297" s="12"/>
      <c r="O297" s="12"/>
      <c r="P297" s="12"/>
      <c r="Q297" s="12"/>
      <c r="R297" s="12"/>
      <c r="S297" s="12"/>
      <c r="T297" s="12"/>
      <c r="U297" s="12"/>
      <c r="V297" s="12"/>
      <c r="W297" s="12"/>
      <c r="X297" s="12"/>
      <c r="Y297" s="12"/>
      <c r="Z297" s="12"/>
      <c r="AA297" s="12"/>
    </row>
    <row r="298">
      <c r="A298" s="12"/>
      <c r="B298" s="12"/>
      <c r="C298" s="12"/>
      <c r="D298" s="12"/>
      <c r="E298" s="12"/>
      <c r="F298" s="12"/>
      <c r="G298" s="12"/>
      <c r="H298" s="2"/>
      <c r="I298" s="12"/>
      <c r="J298" s="12"/>
      <c r="K298" s="12"/>
      <c r="L298" s="12"/>
      <c r="M298" s="12"/>
      <c r="N298" s="12"/>
      <c r="O298" s="12"/>
      <c r="P298" s="12"/>
      <c r="Q298" s="12"/>
      <c r="R298" s="12"/>
      <c r="S298" s="12"/>
      <c r="T298" s="12"/>
      <c r="U298" s="12"/>
      <c r="V298" s="12"/>
      <c r="W298" s="12"/>
      <c r="X298" s="12"/>
      <c r="Y298" s="12"/>
      <c r="Z298" s="12"/>
      <c r="AA298" s="12"/>
    </row>
    <row r="299">
      <c r="A299" s="12"/>
      <c r="B299" s="12"/>
      <c r="C299" s="12"/>
      <c r="D299" s="12"/>
      <c r="E299" s="12"/>
      <c r="F299" s="12"/>
      <c r="G299" s="12"/>
      <c r="H299" s="2"/>
      <c r="I299" s="12"/>
      <c r="J299" s="12"/>
      <c r="K299" s="12"/>
      <c r="L299" s="12"/>
      <c r="M299" s="12"/>
      <c r="N299" s="12"/>
      <c r="O299" s="12"/>
      <c r="P299" s="12"/>
      <c r="Q299" s="12"/>
      <c r="R299" s="12"/>
      <c r="S299" s="12"/>
      <c r="T299" s="12"/>
      <c r="U299" s="12"/>
      <c r="V299" s="12"/>
      <c r="W299" s="12"/>
      <c r="X299" s="12"/>
      <c r="Y299" s="12"/>
      <c r="Z299" s="12"/>
      <c r="AA299" s="12"/>
    </row>
    <row r="300">
      <c r="A300" s="12"/>
      <c r="B300" s="12"/>
      <c r="C300" s="12"/>
      <c r="D300" s="12"/>
      <c r="E300" s="12"/>
      <c r="F300" s="12"/>
      <c r="G300" s="12"/>
      <c r="H300" s="2"/>
      <c r="I300" s="12"/>
      <c r="J300" s="12"/>
      <c r="K300" s="12"/>
      <c r="L300" s="12"/>
      <c r="M300" s="12"/>
      <c r="N300" s="12"/>
      <c r="O300" s="12"/>
      <c r="P300" s="12"/>
      <c r="Q300" s="12"/>
      <c r="R300" s="12"/>
      <c r="S300" s="12"/>
      <c r="T300" s="12"/>
      <c r="U300" s="12"/>
      <c r="V300" s="12"/>
      <c r="W300" s="12"/>
      <c r="X300" s="12"/>
      <c r="Y300" s="12"/>
      <c r="Z300" s="12"/>
      <c r="AA300" s="12"/>
    </row>
    <row r="301">
      <c r="A301" s="12"/>
      <c r="B301" s="12"/>
      <c r="C301" s="12"/>
      <c r="D301" s="12"/>
      <c r="E301" s="12"/>
      <c r="F301" s="12"/>
      <c r="G301" s="12"/>
      <c r="H301" s="2"/>
      <c r="I301" s="12"/>
      <c r="J301" s="12"/>
      <c r="K301" s="12"/>
      <c r="L301" s="12"/>
      <c r="M301" s="12"/>
      <c r="N301" s="12"/>
      <c r="O301" s="12"/>
      <c r="P301" s="12"/>
      <c r="Q301" s="12"/>
      <c r="R301" s="12"/>
      <c r="S301" s="12"/>
      <c r="T301" s="12"/>
      <c r="U301" s="12"/>
      <c r="V301" s="12"/>
      <c r="W301" s="12"/>
      <c r="X301" s="12"/>
      <c r="Y301" s="12"/>
      <c r="Z301" s="12"/>
      <c r="AA301" s="12"/>
    </row>
    <row r="302">
      <c r="A302" s="12"/>
      <c r="B302" s="12"/>
      <c r="C302" s="12"/>
      <c r="D302" s="12"/>
      <c r="E302" s="12"/>
      <c r="F302" s="12"/>
      <c r="G302" s="12"/>
      <c r="H302" s="2"/>
      <c r="I302" s="12"/>
      <c r="J302" s="12"/>
      <c r="K302" s="12"/>
      <c r="L302" s="12"/>
      <c r="M302" s="12"/>
      <c r="N302" s="12"/>
      <c r="O302" s="12"/>
      <c r="P302" s="12"/>
      <c r="Q302" s="12"/>
      <c r="R302" s="12"/>
      <c r="S302" s="12"/>
      <c r="T302" s="12"/>
      <c r="U302" s="12"/>
      <c r="V302" s="12"/>
      <c r="W302" s="12"/>
      <c r="X302" s="12"/>
      <c r="Y302" s="12"/>
      <c r="Z302" s="12"/>
      <c r="AA302" s="12"/>
    </row>
    <row r="303">
      <c r="A303" s="12"/>
      <c r="B303" s="12"/>
      <c r="C303" s="12"/>
      <c r="D303" s="12"/>
      <c r="E303" s="12"/>
      <c r="F303" s="12"/>
      <c r="G303" s="12"/>
      <c r="H303" s="2"/>
      <c r="I303" s="12"/>
      <c r="J303" s="12"/>
      <c r="K303" s="12"/>
      <c r="L303" s="12"/>
      <c r="M303" s="12"/>
      <c r="N303" s="12"/>
      <c r="O303" s="12"/>
      <c r="P303" s="12"/>
      <c r="Q303" s="12"/>
      <c r="R303" s="12"/>
      <c r="S303" s="12"/>
      <c r="T303" s="12"/>
      <c r="U303" s="12"/>
      <c r="V303" s="12"/>
      <c r="W303" s="12"/>
      <c r="X303" s="12"/>
      <c r="Y303" s="12"/>
      <c r="Z303" s="12"/>
      <c r="AA303" s="12"/>
    </row>
    <row r="304">
      <c r="A304" s="12"/>
      <c r="B304" s="12"/>
      <c r="C304" s="12"/>
      <c r="D304" s="12"/>
      <c r="E304" s="12"/>
      <c r="F304" s="12"/>
      <c r="G304" s="12"/>
      <c r="H304" s="2"/>
      <c r="I304" s="12"/>
      <c r="J304" s="12"/>
      <c r="K304" s="12"/>
      <c r="L304" s="12"/>
      <c r="M304" s="12"/>
      <c r="N304" s="12"/>
      <c r="O304" s="12"/>
      <c r="P304" s="12"/>
      <c r="Q304" s="12"/>
      <c r="R304" s="12"/>
      <c r="S304" s="12"/>
      <c r="T304" s="12"/>
      <c r="U304" s="12"/>
      <c r="V304" s="12"/>
      <c r="W304" s="12"/>
      <c r="X304" s="12"/>
      <c r="Y304" s="12"/>
      <c r="Z304" s="12"/>
      <c r="AA304" s="12"/>
    </row>
    <row r="305">
      <c r="A305" s="12"/>
      <c r="B305" s="12"/>
      <c r="C305" s="12"/>
      <c r="D305" s="12"/>
      <c r="E305" s="12"/>
      <c r="F305" s="12"/>
      <c r="G305" s="12"/>
      <c r="H305" s="2"/>
      <c r="I305" s="12"/>
      <c r="J305" s="12"/>
      <c r="K305" s="12"/>
      <c r="L305" s="12"/>
      <c r="M305" s="12"/>
      <c r="N305" s="12"/>
      <c r="O305" s="12"/>
      <c r="P305" s="12"/>
      <c r="Q305" s="12"/>
      <c r="R305" s="12"/>
      <c r="S305" s="12"/>
      <c r="T305" s="12"/>
      <c r="U305" s="12"/>
      <c r="V305" s="12"/>
      <c r="W305" s="12"/>
      <c r="X305" s="12"/>
      <c r="Y305" s="12"/>
      <c r="Z305" s="12"/>
      <c r="AA305" s="12"/>
    </row>
    <row r="306">
      <c r="A306" s="12"/>
      <c r="B306" s="12"/>
      <c r="C306" s="12"/>
      <c r="D306" s="12"/>
      <c r="E306" s="12"/>
      <c r="F306" s="12"/>
      <c r="G306" s="12"/>
      <c r="H306" s="2"/>
      <c r="I306" s="12"/>
      <c r="J306" s="12"/>
      <c r="K306" s="12"/>
      <c r="L306" s="12"/>
      <c r="M306" s="12"/>
      <c r="N306" s="12"/>
      <c r="O306" s="12"/>
      <c r="P306" s="12"/>
      <c r="Q306" s="12"/>
      <c r="R306" s="12"/>
      <c r="S306" s="12"/>
      <c r="T306" s="12"/>
      <c r="U306" s="12"/>
      <c r="V306" s="12"/>
      <c r="W306" s="12"/>
      <c r="X306" s="12"/>
      <c r="Y306" s="12"/>
      <c r="Z306" s="12"/>
      <c r="AA306" s="12"/>
    </row>
    <row r="307">
      <c r="A307" s="12"/>
      <c r="B307" s="12"/>
      <c r="C307" s="12"/>
      <c r="D307" s="12"/>
      <c r="E307" s="12"/>
      <c r="F307" s="12"/>
      <c r="G307" s="12"/>
      <c r="H307" s="2"/>
      <c r="I307" s="12"/>
      <c r="J307" s="12"/>
      <c r="K307" s="12"/>
      <c r="L307" s="12"/>
      <c r="M307" s="12"/>
      <c r="N307" s="12"/>
      <c r="O307" s="12"/>
      <c r="P307" s="12"/>
      <c r="Q307" s="12"/>
      <c r="R307" s="12"/>
      <c r="S307" s="12"/>
      <c r="T307" s="12"/>
      <c r="U307" s="12"/>
      <c r="V307" s="12"/>
      <c r="W307" s="12"/>
      <c r="X307" s="12"/>
      <c r="Y307" s="12"/>
      <c r="Z307" s="12"/>
      <c r="AA307" s="12"/>
    </row>
    <row r="308">
      <c r="A308" s="12"/>
      <c r="B308" s="12"/>
      <c r="C308" s="12"/>
      <c r="D308" s="12"/>
      <c r="E308" s="12"/>
      <c r="F308" s="12"/>
      <c r="G308" s="12"/>
      <c r="H308" s="2"/>
      <c r="I308" s="12"/>
      <c r="J308" s="12"/>
      <c r="K308" s="12"/>
      <c r="L308" s="12"/>
      <c r="M308" s="12"/>
      <c r="N308" s="12"/>
      <c r="O308" s="12"/>
      <c r="P308" s="12"/>
      <c r="Q308" s="12"/>
      <c r="R308" s="12"/>
      <c r="S308" s="12"/>
      <c r="T308" s="12"/>
      <c r="U308" s="12"/>
      <c r="V308" s="12"/>
      <c r="W308" s="12"/>
      <c r="X308" s="12"/>
      <c r="Y308" s="12"/>
      <c r="Z308" s="12"/>
      <c r="AA308" s="12"/>
    </row>
    <row r="309">
      <c r="A309" s="12"/>
      <c r="B309" s="12"/>
      <c r="C309" s="12"/>
      <c r="D309" s="12"/>
      <c r="E309" s="12"/>
      <c r="F309" s="12"/>
      <c r="G309" s="12"/>
      <c r="H309" s="2"/>
      <c r="I309" s="12"/>
      <c r="J309" s="12"/>
      <c r="K309" s="12"/>
      <c r="L309" s="12"/>
      <c r="M309" s="12"/>
      <c r="N309" s="12"/>
      <c r="O309" s="12"/>
      <c r="P309" s="12"/>
      <c r="Q309" s="12"/>
      <c r="R309" s="12"/>
      <c r="S309" s="12"/>
      <c r="T309" s="12"/>
      <c r="U309" s="12"/>
      <c r="V309" s="12"/>
      <c r="W309" s="12"/>
      <c r="X309" s="12"/>
      <c r="Y309" s="12"/>
      <c r="Z309" s="12"/>
      <c r="AA309" s="12"/>
    </row>
    <row r="310">
      <c r="A310" s="12"/>
      <c r="B310" s="12"/>
      <c r="C310" s="12"/>
      <c r="D310" s="12"/>
      <c r="E310" s="12"/>
      <c r="F310" s="12"/>
      <c r="G310" s="12"/>
      <c r="H310" s="2"/>
      <c r="I310" s="12"/>
      <c r="J310" s="12"/>
      <c r="K310" s="12"/>
      <c r="L310" s="12"/>
      <c r="M310" s="12"/>
      <c r="N310" s="12"/>
      <c r="O310" s="12"/>
      <c r="P310" s="12"/>
      <c r="Q310" s="12"/>
      <c r="R310" s="12"/>
      <c r="S310" s="12"/>
      <c r="T310" s="12"/>
      <c r="U310" s="12"/>
      <c r="V310" s="12"/>
      <c r="W310" s="12"/>
      <c r="X310" s="12"/>
      <c r="Y310" s="12"/>
      <c r="Z310" s="12"/>
      <c r="AA310" s="12"/>
    </row>
    <row r="311">
      <c r="A311" s="12"/>
      <c r="B311" s="12"/>
      <c r="C311" s="12"/>
      <c r="D311" s="12"/>
      <c r="E311" s="12"/>
      <c r="F311" s="12"/>
      <c r="G311" s="12"/>
      <c r="H311" s="2"/>
      <c r="I311" s="12"/>
      <c r="J311" s="12"/>
      <c r="K311" s="12"/>
      <c r="L311" s="12"/>
      <c r="M311" s="12"/>
      <c r="N311" s="12"/>
      <c r="O311" s="12"/>
      <c r="P311" s="12"/>
      <c r="Q311" s="12"/>
      <c r="R311" s="12"/>
      <c r="S311" s="12"/>
      <c r="T311" s="12"/>
      <c r="U311" s="12"/>
      <c r="V311" s="12"/>
      <c r="W311" s="12"/>
      <c r="X311" s="12"/>
      <c r="Y311" s="12"/>
      <c r="Z311" s="12"/>
      <c r="AA311" s="12"/>
    </row>
    <row r="312">
      <c r="A312" s="12"/>
      <c r="B312" s="12"/>
      <c r="C312" s="12"/>
      <c r="D312" s="12"/>
      <c r="E312" s="12"/>
      <c r="F312" s="12"/>
      <c r="G312" s="12"/>
      <c r="H312" s="2"/>
      <c r="I312" s="12"/>
      <c r="J312" s="12"/>
      <c r="K312" s="12"/>
      <c r="L312" s="12"/>
      <c r="M312" s="12"/>
      <c r="N312" s="12"/>
      <c r="O312" s="12"/>
      <c r="P312" s="12"/>
      <c r="Q312" s="12"/>
      <c r="R312" s="12"/>
      <c r="S312" s="12"/>
      <c r="T312" s="12"/>
      <c r="U312" s="12"/>
      <c r="V312" s="12"/>
      <c r="W312" s="12"/>
      <c r="X312" s="12"/>
      <c r="Y312" s="12"/>
      <c r="Z312" s="12"/>
      <c r="AA312" s="12"/>
    </row>
    <row r="313">
      <c r="A313" s="12"/>
      <c r="B313" s="12"/>
      <c r="C313" s="12"/>
      <c r="D313" s="12"/>
      <c r="E313" s="12"/>
      <c r="F313" s="12"/>
      <c r="G313" s="12"/>
      <c r="H313" s="2"/>
      <c r="I313" s="12"/>
      <c r="J313" s="12"/>
      <c r="K313" s="12"/>
      <c r="L313" s="12"/>
      <c r="M313" s="12"/>
      <c r="N313" s="12"/>
      <c r="O313" s="12"/>
      <c r="P313" s="12"/>
      <c r="Q313" s="12"/>
      <c r="R313" s="12"/>
      <c r="S313" s="12"/>
      <c r="T313" s="12"/>
      <c r="U313" s="12"/>
      <c r="V313" s="12"/>
      <c r="W313" s="12"/>
      <c r="X313" s="12"/>
      <c r="Y313" s="12"/>
      <c r="Z313" s="12"/>
      <c r="AA313" s="12"/>
    </row>
    <row r="314">
      <c r="A314" s="12"/>
      <c r="B314" s="12"/>
      <c r="C314" s="12"/>
      <c r="D314" s="12"/>
      <c r="E314" s="12"/>
      <c r="F314" s="12"/>
      <c r="G314" s="12"/>
      <c r="H314" s="2"/>
      <c r="I314" s="12"/>
      <c r="J314" s="12"/>
      <c r="K314" s="12"/>
      <c r="L314" s="12"/>
      <c r="M314" s="12"/>
      <c r="N314" s="12"/>
      <c r="O314" s="12"/>
      <c r="P314" s="12"/>
      <c r="Q314" s="12"/>
      <c r="R314" s="12"/>
      <c r="S314" s="12"/>
      <c r="T314" s="12"/>
      <c r="U314" s="12"/>
      <c r="V314" s="12"/>
      <c r="W314" s="12"/>
      <c r="X314" s="12"/>
      <c r="Y314" s="12"/>
      <c r="Z314" s="12"/>
      <c r="AA314" s="12"/>
    </row>
    <row r="315">
      <c r="A315" s="12"/>
      <c r="B315" s="12"/>
      <c r="C315" s="12"/>
      <c r="D315" s="12"/>
      <c r="E315" s="12"/>
      <c r="F315" s="12"/>
      <c r="G315" s="12"/>
      <c r="H315" s="2"/>
      <c r="I315" s="12"/>
      <c r="J315" s="12"/>
      <c r="K315" s="12"/>
      <c r="L315" s="12"/>
      <c r="M315" s="12"/>
      <c r="N315" s="12"/>
      <c r="O315" s="12"/>
      <c r="P315" s="12"/>
      <c r="Q315" s="12"/>
      <c r="R315" s="12"/>
      <c r="S315" s="12"/>
      <c r="T315" s="12"/>
      <c r="U315" s="12"/>
      <c r="V315" s="12"/>
      <c r="W315" s="12"/>
      <c r="X315" s="12"/>
      <c r="Y315" s="12"/>
      <c r="Z315" s="12"/>
      <c r="AA315" s="12"/>
    </row>
    <row r="316">
      <c r="A316" s="12"/>
      <c r="B316" s="12"/>
      <c r="C316" s="12"/>
      <c r="D316" s="12"/>
      <c r="E316" s="12"/>
      <c r="F316" s="12"/>
      <c r="G316" s="12"/>
      <c r="H316" s="2"/>
      <c r="I316" s="12"/>
      <c r="J316" s="12"/>
      <c r="K316" s="12"/>
      <c r="L316" s="12"/>
      <c r="M316" s="12"/>
      <c r="N316" s="12"/>
      <c r="O316" s="12"/>
      <c r="P316" s="12"/>
      <c r="Q316" s="12"/>
      <c r="R316" s="12"/>
      <c r="S316" s="12"/>
      <c r="T316" s="12"/>
      <c r="U316" s="12"/>
      <c r="V316" s="12"/>
      <c r="W316" s="12"/>
      <c r="X316" s="12"/>
      <c r="Y316" s="12"/>
      <c r="Z316" s="12"/>
      <c r="AA316" s="12"/>
    </row>
    <row r="317">
      <c r="A317" s="12"/>
      <c r="B317" s="12"/>
      <c r="C317" s="12"/>
      <c r="D317" s="12"/>
      <c r="E317" s="12"/>
      <c r="F317" s="12"/>
      <c r="G317" s="12"/>
      <c r="H317" s="2"/>
      <c r="I317" s="12"/>
      <c r="J317" s="12"/>
      <c r="K317" s="12"/>
      <c r="L317" s="12"/>
      <c r="M317" s="12"/>
      <c r="N317" s="12"/>
      <c r="O317" s="12"/>
      <c r="P317" s="12"/>
      <c r="Q317" s="12"/>
      <c r="R317" s="12"/>
      <c r="S317" s="12"/>
      <c r="T317" s="12"/>
      <c r="U317" s="12"/>
      <c r="V317" s="12"/>
      <c r="W317" s="12"/>
      <c r="X317" s="12"/>
      <c r="Y317" s="12"/>
      <c r="Z317" s="12"/>
      <c r="AA317" s="12"/>
    </row>
    <row r="318">
      <c r="A318" s="12"/>
      <c r="B318" s="12"/>
      <c r="C318" s="12"/>
      <c r="D318" s="12"/>
      <c r="E318" s="12"/>
      <c r="F318" s="12"/>
      <c r="G318" s="12"/>
      <c r="H318" s="2"/>
      <c r="I318" s="12"/>
      <c r="J318" s="12"/>
      <c r="K318" s="12"/>
      <c r="L318" s="12"/>
      <c r="M318" s="12"/>
      <c r="N318" s="12"/>
      <c r="O318" s="12"/>
      <c r="P318" s="12"/>
      <c r="Q318" s="12"/>
      <c r="R318" s="12"/>
      <c r="S318" s="12"/>
      <c r="T318" s="12"/>
      <c r="U318" s="12"/>
      <c r="V318" s="12"/>
      <c r="W318" s="12"/>
      <c r="X318" s="12"/>
      <c r="Y318" s="12"/>
      <c r="Z318" s="12"/>
      <c r="AA318" s="12"/>
    </row>
    <row r="319">
      <c r="A319" s="12"/>
      <c r="B319" s="12"/>
      <c r="C319" s="12"/>
      <c r="D319" s="12"/>
      <c r="E319" s="12"/>
      <c r="F319" s="12"/>
      <c r="G319" s="12"/>
      <c r="H319" s="2"/>
      <c r="I319" s="12"/>
      <c r="J319" s="12"/>
      <c r="K319" s="12"/>
      <c r="L319" s="12"/>
      <c r="M319" s="12"/>
      <c r="N319" s="12"/>
      <c r="O319" s="12"/>
      <c r="P319" s="12"/>
      <c r="Q319" s="12"/>
      <c r="R319" s="12"/>
      <c r="S319" s="12"/>
      <c r="T319" s="12"/>
      <c r="U319" s="12"/>
      <c r="V319" s="12"/>
      <c r="W319" s="12"/>
      <c r="X319" s="12"/>
      <c r="Y319" s="12"/>
      <c r="Z319" s="12"/>
      <c r="AA319" s="12"/>
    </row>
    <row r="320">
      <c r="A320" s="12"/>
      <c r="B320" s="12"/>
      <c r="C320" s="12"/>
      <c r="D320" s="12"/>
      <c r="E320" s="12"/>
      <c r="F320" s="12"/>
      <c r="G320" s="12"/>
      <c r="H320" s="2"/>
      <c r="I320" s="12"/>
      <c r="J320" s="12"/>
      <c r="K320" s="12"/>
      <c r="L320" s="12"/>
      <c r="M320" s="12"/>
      <c r="N320" s="12"/>
      <c r="O320" s="12"/>
      <c r="P320" s="12"/>
      <c r="Q320" s="12"/>
      <c r="R320" s="12"/>
      <c r="S320" s="12"/>
      <c r="T320" s="12"/>
      <c r="U320" s="12"/>
      <c r="V320" s="12"/>
      <c r="W320" s="12"/>
      <c r="X320" s="12"/>
      <c r="Y320" s="12"/>
      <c r="Z320" s="12"/>
      <c r="AA320" s="12"/>
    </row>
    <row r="321">
      <c r="A321" s="12"/>
      <c r="B321" s="12"/>
      <c r="C321" s="12"/>
      <c r="D321" s="12"/>
      <c r="E321" s="12"/>
      <c r="F321" s="12"/>
      <c r="G321" s="12"/>
      <c r="H321" s="2"/>
      <c r="I321" s="12"/>
      <c r="J321" s="12"/>
      <c r="K321" s="12"/>
      <c r="L321" s="12"/>
      <c r="M321" s="12"/>
      <c r="N321" s="12"/>
      <c r="O321" s="12"/>
      <c r="P321" s="12"/>
      <c r="Q321" s="12"/>
      <c r="R321" s="12"/>
      <c r="S321" s="12"/>
      <c r="T321" s="12"/>
      <c r="U321" s="12"/>
      <c r="V321" s="12"/>
      <c r="W321" s="12"/>
      <c r="X321" s="12"/>
      <c r="Y321" s="12"/>
      <c r="Z321" s="12"/>
      <c r="AA321" s="12"/>
    </row>
    <row r="322">
      <c r="A322" s="12"/>
      <c r="B322" s="12"/>
      <c r="C322" s="12"/>
      <c r="D322" s="12"/>
      <c r="E322" s="12"/>
      <c r="F322" s="12"/>
      <c r="G322" s="12"/>
      <c r="H322" s="2"/>
      <c r="I322" s="12"/>
      <c r="J322" s="12"/>
      <c r="K322" s="12"/>
      <c r="L322" s="12"/>
      <c r="M322" s="12"/>
      <c r="N322" s="12"/>
      <c r="O322" s="12"/>
      <c r="P322" s="12"/>
      <c r="Q322" s="12"/>
      <c r="R322" s="12"/>
      <c r="S322" s="12"/>
      <c r="T322" s="12"/>
      <c r="U322" s="12"/>
      <c r="V322" s="12"/>
      <c r="W322" s="12"/>
      <c r="X322" s="12"/>
      <c r="Y322" s="12"/>
      <c r="Z322" s="12"/>
      <c r="AA322" s="12"/>
    </row>
    <row r="323">
      <c r="A323" s="12"/>
      <c r="B323" s="12"/>
      <c r="C323" s="12"/>
      <c r="D323" s="12"/>
      <c r="E323" s="12"/>
      <c r="F323" s="12"/>
      <c r="G323" s="12"/>
      <c r="H323" s="2"/>
      <c r="I323" s="12"/>
      <c r="J323" s="12"/>
      <c r="K323" s="12"/>
      <c r="L323" s="12"/>
      <c r="M323" s="12"/>
      <c r="N323" s="12"/>
      <c r="O323" s="12"/>
      <c r="P323" s="12"/>
      <c r="Q323" s="12"/>
      <c r="R323" s="12"/>
      <c r="S323" s="12"/>
      <c r="T323" s="12"/>
      <c r="U323" s="12"/>
      <c r="V323" s="12"/>
      <c r="W323" s="12"/>
      <c r="X323" s="12"/>
      <c r="Y323" s="12"/>
      <c r="Z323" s="12"/>
      <c r="AA323" s="12"/>
    </row>
    <row r="324">
      <c r="A324" s="12"/>
      <c r="B324" s="12"/>
      <c r="C324" s="12"/>
      <c r="D324" s="12"/>
      <c r="E324" s="12"/>
      <c r="F324" s="12"/>
      <c r="G324" s="12"/>
      <c r="H324" s="2"/>
      <c r="I324" s="12"/>
      <c r="J324" s="12"/>
      <c r="K324" s="12"/>
      <c r="L324" s="12"/>
      <c r="M324" s="12"/>
      <c r="N324" s="12"/>
      <c r="O324" s="12"/>
      <c r="P324" s="12"/>
      <c r="Q324" s="12"/>
      <c r="R324" s="12"/>
      <c r="S324" s="12"/>
      <c r="T324" s="12"/>
      <c r="U324" s="12"/>
      <c r="V324" s="12"/>
      <c r="W324" s="12"/>
      <c r="X324" s="12"/>
      <c r="Y324" s="12"/>
      <c r="Z324" s="12"/>
      <c r="AA324" s="12"/>
    </row>
    <row r="325">
      <c r="A325" s="12"/>
      <c r="B325" s="12"/>
      <c r="C325" s="12"/>
      <c r="D325" s="12"/>
      <c r="E325" s="12"/>
      <c r="F325" s="12"/>
      <c r="G325" s="12"/>
      <c r="H325" s="2"/>
      <c r="I325" s="12"/>
      <c r="J325" s="12"/>
      <c r="K325" s="12"/>
      <c r="L325" s="12"/>
      <c r="M325" s="12"/>
      <c r="N325" s="12"/>
      <c r="O325" s="12"/>
      <c r="P325" s="12"/>
      <c r="Q325" s="12"/>
      <c r="R325" s="12"/>
      <c r="S325" s="12"/>
      <c r="T325" s="12"/>
      <c r="U325" s="12"/>
      <c r="V325" s="12"/>
      <c r="W325" s="12"/>
      <c r="X325" s="12"/>
      <c r="Y325" s="12"/>
      <c r="Z325" s="12"/>
      <c r="AA325" s="12"/>
    </row>
    <row r="326">
      <c r="A326" s="12"/>
      <c r="B326" s="12"/>
      <c r="C326" s="12"/>
      <c r="D326" s="12"/>
      <c r="E326" s="12"/>
      <c r="F326" s="12"/>
      <c r="G326" s="12"/>
      <c r="H326" s="2"/>
      <c r="I326" s="12"/>
      <c r="J326" s="12"/>
      <c r="K326" s="12"/>
      <c r="L326" s="12"/>
      <c r="M326" s="12"/>
      <c r="N326" s="12"/>
      <c r="O326" s="12"/>
      <c r="P326" s="12"/>
      <c r="Q326" s="12"/>
      <c r="R326" s="12"/>
      <c r="S326" s="12"/>
      <c r="T326" s="12"/>
      <c r="U326" s="12"/>
      <c r="V326" s="12"/>
      <c r="W326" s="12"/>
      <c r="X326" s="12"/>
      <c r="Y326" s="12"/>
      <c r="Z326" s="12"/>
      <c r="AA326" s="12"/>
    </row>
    <row r="327">
      <c r="A327" s="12"/>
      <c r="B327" s="12"/>
      <c r="C327" s="12"/>
      <c r="D327" s="12"/>
      <c r="E327" s="12"/>
      <c r="F327" s="12"/>
      <c r="G327" s="12"/>
      <c r="H327" s="2"/>
      <c r="I327" s="12"/>
      <c r="J327" s="12"/>
      <c r="K327" s="12"/>
      <c r="L327" s="12"/>
      <c r="M327" s="12"/>
      <c r="N327" s="12"/>
      <c r="O327" s="12"/>
      <c r="P327" s="12"/>
      <c r="Q327" s="12"/>
      <c r="R327" s="12"/>
      <c r="S327" s="12"/>
      <c r="T327" s="12"/>
      <c r="U327" s="12"/>
      <c r="V327" s="12"/>
      <c r="W327" s="12"/>
      <c r="X327" s="12"/>
      <c r="Y327" s="12"/>
      <c r="Z327" s="12"/>
      <c r="AA327" s="12"/>
    </row>
    <row r="328">
      <c r="A328" s="12"/>
      <c r="B328" s="12"/>
      <c r="C328" s="12"/>
      <c r="D328" s="12"/>
      <c r="E328" s="12"/>
      <c r="F328" s="12"/>
      <c r="G328" s="12"/>
      <c r="H328" s="2"/>
      <c r="I328" s="12"/>
      <c r="J328" s="12"/>
      <c r="K328" s="12"/>
      <c r="L328" s="12"/>
      <c r="M328" s="12"/>
      <c r="N328" s="12"/>
      <c r="O328" s="12"/>
      <c r="P328" s="12"/>
      <c r="Q328" s="12"/>
      <c r="R328" s="12"/>
      <c r="S328" s="12"/>
      <c r="T328" s="12"/>
      <c r="U328" s="12"/>
      <c r="V328" s="12"/>
      <c r="W328" s="12"/>
      <c r="X328" s="12"/>
      <c r="Y328" s="12"/>
      <c r="Z328" s="12"/>
      <c r="AA328" s="12"/>
    </row>
    <row r="329">
      <c r="A329" s="12"/>
      <c r="B329" s="12"/>
      <c r="C329" s="12"/>
      <c r="D329" s="12"/>
      <c r="E329" s="12"/>
      <c r="F329" s="12"/>
      <c r="G329" s="12"/>
      <c r="H329" s="2"/>
      <c r="I329" s="12"/>
      <c r="J329" s="12"/>
      <c r="K329" s="12"/>
      <c r="L329" s="12"/>
      <c r="M329" s="12"/>
      <c r="N329" s="12"/>
      <c r="O329" s="12"/>
      <c r="P329" s="12"/>
      <c r="Q329" s="12"/>
      <c r="R329" s="12"/>
      <c r="S329" s="12"/>
      <c r="T329" s="12"/>
      <c r="U329" s="12"/>
      <c r="V329" s="12"/>
      <c r="W329" s="12"/>
      <c r="X329" s="12"/>
      <c r="Y329" s="12"/>
      <c r="Z329" s="12"/>
      <c r="AA329" s="12"/>
    </row>
    <row r="330">
      <c r="A330" s="12"/>
      <c r="B330" s="12"/>
      <c r="C330" s="12"/>
      <c r="D330" s="12"/>
      <c r="E330" s="12"/>
      <c r="F330" s="12"/>
      <c r="G330" s="12"/>
      <c r="H330" s="2"/>
      <c r="I330" s="12"/>
      <c r="J330" s="12"/>
      <c r="K330" s="12"/>
      <c r="L330" s="12"/>
      <c r="M330" s="12"/>
      <c r="N330" s="12"/>
      <c r="O330" s="12"/>
      <c r="P330" s="12"/>
      <c r="Q330" s="12"/>
      <c r="R330" s="12"/>
      <c r="S330" s="12"/>
      <c r="T330" s="12"/>
      <c r="U330" s="12"/>
      <c r="V330" s="12"/>
      <c r="W330" s="12"/>
      <c r="X330" s="12"/>
      <c r="Y330" s="12"/>
      <c r="Z330" s="12"/>
      <c r="AA330" s="12"/>
    </row>
    <row r="331">
      <c r="A331" s="12"/>
      <c r="B331" s="12"/>
      <c r="C331" s="12"/>
      <c r="D331" s="12"/>
      <c r="E331" s="12"/>
      <c r="F331" s="12"/>
      <c r="G331" s="12"/>
      <c r="H331" s="2"/>
      <c r="I331" s="12"/>
      <c r="J331" s="12"/>
      <c r="K331" s="12"/>
      <c r="L331" s="12"/>
      <c r="M331" s="12"/>
      <c r="N331" s="12"/>
      <c r="O331" s="12"/>
      <c r="P331" s="12"/>
      <c r="Q331" s="12"/>
      <c r="R331" s="12"/>
      <c r="S331" s="12"/>
      <c r="T331" s="12"/>
      <c r="U331" s="12"/>
      <c r="V331" s="12"/>
      <c r="W331" s="12"/>
      <c r="X331" s="12"/>
      <c r="Y331" s="12"/>
      <c r="Z331" s="12"/>
      <c r="AA331" s="12"/>
    </row>
    <row r="332">
      <c r="A332" s="12"/>
      <c r="B332" s="12"/>
      <c r="C332" s="12"/>
      <c r="D332" s="12"/>
      <c r="E332" s="12"/>
      <c r="F332" s="12"/>
      <c r="G332" s="12"/>
      <c r="H332" s="2"/>
      <c r="I332" s="12"/>
      <c r="J332" s="12"/>
      <c r="K332" s="12"/>
      <c r="L332" s="12"/>
      <c r="M332" s="12"/>
      <c r="N332" s="12"/>
      <c r="O332" s="12"/>
      <c r="P332" s="12"/>
      <c r="Q332" s="12"/>
      <c r="R332" s="12"/>
      <c r="S332" s="12"/>
      <c r="T332" s="12"/>
      <c r="U332" s="12"/>
      <c r="V332" s="12"/>
      <c r="W332" s="12"/>
      <c r="X332" s="12"/>
      <c r="Y332" s="12"/>
      <c r="Z332" s="12"/>
      <c r="AA332" s="12"/>
    </row>
    <row r="333">
      <c r="A333" s="12"/>
      <c r="B333" s="12"/>
      <c r="C333" s="12"/>
      <c r="D333" s="12"/>
      <c r="E333" s="12"/>
      <c r="F333" s="12"/>
      <c r="G333" s="12"/>
      <c r="H333" s="2"/>
      <c r="I333" s="12"/>
      <c r="J333" s="12"/>
      <c r="K333" s="12"/>
      <c r="L333" s="12"/>
      <c r="M333" s="12"/>
      <c r="N333" s="12"/>
      <c r="O333" s="12"/>
      <c r="P333" s="12"/>
      <c r="Q333" s="12"/>
      <c r="R333" s="12"/>
      <c r="S333" s="12"/>
      <c r="T333" s="12"/>
      <c r="U333" s="12"/>
      <c r="V333" s="12"/>
      <c r="W333" s="12"/>
      <c r="X333" s="12"/>
      <c r="Y333" s="12"/>
      <c r="Z333" s="12"/>
      <c r="AA333" s="12"/>
    </row>
    <row r="334">
      <c r="A334" s="12"/>
      <c r="B334" s="12"/>
      <c r="C334" s="12"/>
      <c r="D334" s="12"/>
      <c r="E334" s="12"/>
      <c r="F334" s="12"/>
      <c r="G334" s="12"/>
      <c r="H334" s="2"/>
      <c r="I334" s="12"/>
      <c r="J334" s="12"/>
      <c r="K334" s="12"/>
      <c r="L334" s="12"/>
      <c r="M334" s="12"/>
      <c r="N334" s="12"/>
      <c r="O334" s="12"/>
      <c r="P334" s="12"/>
      <c r="Q334" s="12"/>
      <c r="R334" s="12"/>
      <c r="S334" s="12"/>
      <c r="T334" s="12"/>
      <c r="U334" s="12"/>
      <c r="V334" s="12"/>
      <c r="W334" s="12"/>
      <c r="X334" s="12"/>
      <c r="Y334" s="12"/>
      <c r="Z334" s="12"/>
      <c r="AA334" s="12"/>
    </row>
    <row r="335">
      <c r="A335" s="12"/>
      <c r="B335" s="12"/>
      <c r="C335" s="12"/>
      <c r="D335" s="12"/>
      <c r="E335" s="12"/>
      <c r="F335" s="12"/>
      <c r="G335" s="12"/>
      <c r="H335" s="2"/>
      <c r="I335" s="12"/>
      <c r="J335" s="12"/>
      <c r="K335" s="12"/>
      <c r="L335" s="12"/>
      <c r="M335" s="12"/>
      <c r="N335" s="12"/>
      <c r="O335" s="12"/>
      <c r="P335" s="12"/>
      <c r="Q335" s="12"/>
      <c r="R335" s="12"/>
      <c r="S335" s="12"/>
      <c r="T335" s="12"/>
      <c r="U335" s="12"/>
      <c r="V335" s="12"/>
      <c r="W335" s="12"/>
      <c r="X335" s="12"/>
      <c r="Y335" s="12"/>
      <c r="Z335" s="12"/>
      <c r="AA335" s="12"/>
    </row>
    <row r="336">
      <c r="A336" s="12"/>
      <c r="B336" s="12"/>
      <c r="C336" s="12"/>
      <c r="D336" s="12"/>
      <c r="E336" s="12"/>
      <c r="F336" s="12"/>
      <c r="G336" s="12"/>
      <c r="H336" s="2"/>
      <c r="I336" s="12"/>
      <c r="J336" s="12"/>
      <c r="K336" s="12"/>
      <c r="L336" s="12"/>
      <c r="M336" s="12"/>
      <c r="N336" s="12"/>
      <c r="O336" s="12"/>
      <c r="P336" s="12"/>
      <c r="Q336" s="12"/>
      <c r="R336" s="12"/>
      <c r="S336" s="12"/>
      <c r="T336" s="12"/>
      <c r="U336" s="12"/>
      <c r="V336" s="12"/>
      <c r="W336" s="12"/>
      <c r="X336" s="12"/>
      <c r="Y336" s="12"/>
      <c r="Z336" s="12"/>
      <c r="AA336" s="12"/>
    </row>
    <row r="337">
      <c r="A337" s="12"/>
      <c r="B337" s="12"/>
      <c r="C337" s="12"/>
      <c r="D337" s="12"/>
      <c r="E337" s="12"/>
      <c r="F337" s="12"/>
      <c r="G337" s="12"/>
      <c r="H337" s="2"/>
      <c r="I337" s="12"/>
      <c r="J337" s="12"/>
      <c r="K337" s="12"/>
      <c r="L337" s="12"/>
      <c r="M337" s="12"/>
      <c r="N337" s="12"/>
      <c r="O337" s="12"/>
      <c r="P337" s="12"/>
      <c r="Q337" s="12"/>
      <c r="R337" s="12"/>
      <c r="S337" s="12"/>
      <c r="T337" s="12"/>
      <c r="U337" s="12"/>
      <c r="V337" s="12"/>
      <c r="W337" s="12"/>
      <c r="X337" s="12"/>
      <c r="Y337" s="12"/>
      <c r="Z337" s="12"/>
      <c r="AA337" s="12"/>
    </row>
    <row r="338">
      <c r="A338" s="12"/>
      <c r="B338" s="12"/>
      <c r="C338" s="12"/>
      <c r="D338" s="12"/>
      <c r="E338" s="12"/>
      <c r="F338" s="12"/>
      <c r="G338" s="12"/>
      <c r="H338" s="2"/>
      <c r="I338" s="12"/>
      <c r="J338" s="12"/>
      <c r="K338" s="12"/>
      <c r="L338" s="12"/>
      <c r="M338" s="12"/>
      <c r="N338" s="12"/>
      <c r="O338" s="12"/>
      <c r="P338" s="12"/>
      <c r="Q338" s="12"/>
      <c r="R338" s="12"/>
      <c r="S338" s="12"/>
      <c r="T338" s="12"/>
      <c r="U338" s="12"/>
      <c r="V338" s="12"/>
      <c r="W338" s="12"/>
      <c r="X338" s="12"/>
      <c r="Y338" s="12"/>
      <c r="Z338" s="12"/>
      <c r="AA338" s="12"/>
    </row>
    <row r="339">
      <c r="A339" s="12"/>
      <c r="B339" s="12"/>
      <c r="C339" s="12"/>
      <c r="D339" s="12"/>
      <c r="E339" s="12"/>
      <c r="F339" s="12"/>
      <c r="G339" s="12"/>
      <c r="H339" s="2"/>
      <c r="I339" s="12"/>
      <c r="J339" s="12"/>
      <c r="K339" s="12"/>
      <c r="L339" s="12"/>
      <c r="M339" s="12"/>
      <c r="N339" s="12"/>
      <c r="O339" s="12"/>
      <c r="P339" s="12"/>
      <c r="Q339" s="12"/>
      <c r="R339" s="12"/>
      <c r="S339" s="12"/>
      <c r="T339" s="12"/>
      <c r="U339" s="12"/>
      <c r="V339" s="12"/>
      <c r="W339" s="12"/>
      <c r="X339" s="12"/>
      <c r="Y339" s="12"/>
      <c r="Z339" s="12"/>
      <c r="AA339" s="12"/>
    </row>
    <row r="340">
      <c r="A340" s="12"/>
      <c r="B340" s="12"/>
      <c r="C340" s="12"/>
      <c r="D340" s="12"/>
      <c r="E340" s="12"/>
      <c r="F340" s="12"/>
      <c r="G340" s="12"/>
      <c r="H340" s="2"/>
      <c r="I340" s="12"/>
      <c r="J340" s="12"/>
      <c r="K340" s="12"/>
      <c r="L340" s="12"/>
      <c r="M340" s="12"/>
      <c r="N340" s="12"/>
      <c r="O340" s="12"/>
      <c r="P340" s="12"/>
      <c r="Q340" s="12"/>
      <c r="R340" s="12"/>
      <c r="S340" s="12"/>
      <c r="T340" s="12"/>
      <c r="U340" s="12"/>
      <c r="V340" s="12"/>
      <c r="W340" s="12"/>
      <c r="X340" s="12"/>
      <c r="Y340" s="12"/>
      <c r="Z340" s="12"/>
      <c r="AA340" s="12"/>
    </row>
    <row r="341">
      <c r="A341" s="12"/>
      <c r="B341" s="12"/>
      <c r="C341" s="12"/>
      <c r="D341" s="12"/>
      <c r="E341" s="12"/>
      <c r="F341" s="12"/>
      <c r="G341" s="12"/>
      <c r="H341" s="2"/>
      <c r="I341" s="12"/>
      <c r="J341" s="12"/>
      <c r="K341" s="12"/>
      <c r="L341" s="12"/>
      <c r="M341" s="12"/>
      <c r="N341" s="12"/>
      <c r="O341" s="12"/>
      <c r="P341" s="12"/>
      <c r="Q341" s="12"/>
      <c r="R341" s="12"/>
      <c r="S341" s="12"/>
      <c r="T341" s="12"/>
      <c r="U341" s="12"/>
      <c r="V341" s="12"/>
      <c r="W341" s="12"/>
      <c r="X341" s="12"/>
      <c r="Y341" s="12"/>
      <c r="Z341" s="12"/>
      <c r="AA341" s="12"/>
    </row>
    <row r="342">
      <c r="A342" s="12"/>
      <c r="B342" s="12"/>
      <c r="C342" s="12"/>
      <c r="D342" s="12"/>
      <c r="E342" s="12"/>
      <c r="F342" s="12"/>
      <c r="G342" s="12"/>
      <c r="H342" s="2"/>
      <c r="I342" s="12"/>
      <c r="J342" s="12"/>
      <c r="K342" s="12"/>
      <c r="L342" s="12"/>
      <c r="M342" s="12"/>
      <c r="N342" s="12"/>
      <c r="O342" s="12"/>
      <c r="P342" s="12"/>
      <c r="Q342" s="12"/>
      <c r="R342" s="12"/>
      <c r="S342" s="12"/>
      <c r="T342" s="12"/>
      <c r="U342" s="12"/>
      <c r="V342" s="12"/>
      <c r="W342" s="12"/>
      <c r="X342" s="12"/>
      <c r="Y342" s="12"/>
      <c r="Z342" s="12"/>
      <c r="AA342" s="12"/>
    </row>
    <row r="343">
      <c r="A343" s="12"/>
      <c r="B343" s="12"/>
      <c r="C343" s="12"/>
      <c r="D343" s="12"/>
      <c r="E343" s="12"/>
      <c r="F343" s="12"/>
      <c r="G343" s="12"/>
      <c r="H343" s="2"/>
      <c r="I343" s="12"/>
      <c r="J343" s="12"/>
      <c r="K343" s="12"/>
      <c r="L343" s="12"/>
      <c r="M343" s="12"/>
      <c r="N343" s="12"/>
      <c r="O343" s="12"/>
      <c r="P343" s="12"/>
      <c r="Q343" s="12"/>
      <c r="R343" s="12"/>
      <c r="S343" s="12"/>
      <c r="T343" s="12"/>
      <c r="U343" s="12"/>
      <c r="V343" s="12"/>
      <c r="W343" s="12"/>
      <c r="X343" s="12"/>
      <c r="Y343" s="12"/>
      <c r="Z343" s="12"/>
      <c r="AA343" s="12"/>
    </row>
    <row r="344">
      <c r="A344" s="12"/>
      <c r="B344" s="12"/>
      <c r="C344" s="12"/>
      <c r="D344" s="12"/>
      <c r="E344" s="12"/>
      <c r="F344" s="12"/>
      <c r="G344" s="12"/>
      <c r="H344" s="2"/>
      <c r="I344" s="12"/>
      <c r="J344" s="12"/>
      <c r="K344" s="12"/>
      <c r="L344" s="12"/>
      <c r="M344" s="12"/>
      <c r="N344" s="12"/>
      <c r="O344" s="12"/>
      <c r="P344" s="12"/>
      <c r="Q344" s="12"/>
      <c r="R344" s="12"/>
      <c r="S344" s="12"/>
      <c r="T344" s="12"/>
      <c r="U344" s="12"/>
      <c r="V344" s="12"/>
      <c r="W344" s="12"/>
      <c r="X344" s="12"/>
      <c r="Y344" s="12"/>
      <c r="Z344" s="12"/>
      <c r="AA344" s="12"/>
    </row>
    <row r="345">
      <c r="A345" s="12"/>
      <c r="B345" s="12"/>
      <c r="C345" s="12"/>
      <c r="D345" s="12"/>
      <c r="E345" s="12"/>
      <c r="F345" s="12"/>
      <c r="G345" s="12"/>
      <c r="H345" s="2"/>
      <c r="I345" s="12"/>
      <c r="J345" s="12"/>
      <c r="K345" s="12"/>
      <c r="L345" s="12"/>
      <c r="M345" s="12"/>
      <c r="N345" s="12"/>
      <c r="O345" s="12"/>
      <c r="P345" s="12"/>
      <c r="Q345" s="12"/>
      <c r="R345" s="12"/>
      <c r="S345" s="12"/>
      <c r="T345" s="12"/>
      <c r="U345" s="12"/>
      <c r="V345" s="12"/>
      <c r="W345" s="12"/>
      <c r="X345" s="12"/>
      <c r="Y345" s="12"/>
      <c r="Z345" s="12"/>
      <c r="AA345" s="12"/>
    </row>
    <row r="346">
      <c r="A346" s="12"/>
      <c r="B346" s="12"/>
      <c r="C346" s="12"/>
      <c r="D346" s="12"/>
      <c r="E346" s="12"/>
      <c r="F346" s="12"/>
      <c r="G346" s="12"/>
      <c r="H346" s="2"/>
      <c r="I346" s="12"/>
      <c r="J346" s="12"/>
      <c r="K346" s="12"/>
      <c r="L346" s="12"/>
      <c r="M346" s="12"/>
      <c r="N346" s="12"/>
      <c r="O346" s="12"/>
      <c r="P346" s="12"/>
      <c r="Q346" s="12"/>
      <c r="R346" s="12"/>
      <c r="S346" s="12"/>
      <c r="T346" s="12"/>
      <c r="U346" s="12"/>
      <c r="V346" s="12"/>
      <c r="W346" s="12"/>
      <c r="X346" s="12"/>
      <c r="Y346" s="12"/>
      <c r="Z346" s="12"/>
      <c r="AA346" s="12"/>
    </row>
    <row r="347">
      <c r="A347" s="12"/>
      <c r="B347" s="12"/>
      <c r="C347" s="12"/>
      <c r="D347" s="12"/>
      <c r="E347" s="12"/>
      <c r="F347" s="12"/>
      <c r="G347" s="12"/>
      <c r="H347" s="2"/>
      <c r="I347" s="12"/>
      <c r="J347" s="12"/>
      <c r="K347" s="12"/>
      <c r="L347" s="12"/>
      <c r="M347" s="12"/>
      <c r="N347" s="12"/>
      <c r="O347" s="12"/>
      <c r="P347" s="12"/>
      <c r="Q347" s="12"/>
      <c r="R347" s="12"/>
      <c r="S347" s="12"/>
      <c r="T347" s="12"/>
      <c r="U347" s="12"/>
      <c r="V347" s="12"/>
      <c r="W347" s="12"/>
      <c r="X347" s="12"/>
      <c r="Y347" s="12"/>
      <c r="Z347" s="12"/>
      <c r="AA347" s="12"/>
    </row>
    <row r="348">
      <c r="A348" s="12"/>
      <c r="B348" s="12"/>
      <c r="C348" s="12"/>
      <c r="D348" s="12"/>
      <c r="E348" s="12"/>
      <c r="F348" s="12"/>
      <c r="G348" s="12"/>
      <c r="H348" s="2"/>
      <c r="I348" s="12"/>
      <c r="J348" s="12"/>
      <c r="K348" s="12"/>
      <c r="L348" s="12"/>
      <c r="M348" s="12"/>
      <c r="N348" s="12"/>
      <c r="O348" s="12"/>
      <c r="P348" s="12"/>
      <c r="Q348" s="12"/>
      <c r="R348" s="12"/>
      <c r="S348" s="12"/>
      <c r="T348" s="12"/>
      <c r="U348" s="12"/>
      <c r="V348" s="12"/>
      <c r="W348" s="12"/>
      <c r="X348" s="12"/>
      <c r="Y348" s="12"/>
      <c r="Z348" s="12"/>
      <c r="AA348" s="12"/>
    </row>
    <row r="349">
      <c r="A349" s="12"/>
      <c r="B349" s="12"/>
      <c r="C349" s="12"/>
      <c r="D349" s="12"/>
      <c r="E349" s="12"/>
      <c r="F349" s="12"/>
      <c r="G349" s="12"/>
      <c r="H349" s="2"/>
      <c r="I349" s="12"/>
      <c r="J349" s="12"/>
      <c r="K349" s="12"/>
      <c r="L349" s="12"/>
      <c r="M349" s="12"/>
      <c r="N349" s="12"/>
      <c r="O349" s="12"/>
      <c r="P349" s="12"/>
      <c r="Q349" s="12"/>
      <c r="R349" s="12"/>
      <c r="S349" s="12"/>
      <c r="T349" s="12"/>
      <c r="U349" s="12"/>
      <c r="V349" s="12"/>
      <c r="W349" s="12"/>
      <c r="X349" s="12"/>
      <c r="Y349" s="12"/>
      <c r="Z349" s="12"/>
      <c r="AA349" s="12"/>
    </row>
    <row r="350">
      <c r="A350" s="12"/>
      <c r="B350" s="12"/>
      <c r="C350" s="12"/>
      <c r="D350" s="12"/>
      <c r="E350" s="12"/>
      <c r="F350" s="12"/>
      <c r="G350" s="12"/>
      <c r="H350" s="2"/>
      <c r="I350" s="12"/>
      <c r="J350" s="12"/>
      <c r="K350" s="12"/>
      <c r="L350" s="12"/>
      <c r="M350" s="12"/>
      <c r="N350" s="12"/>
      <c r="O350" s="12"/>
      <c r="P350" s="12"/>
      <c r="Q350" s="12"/>
      <c r="R350" s="12"/>
      <c r="S350" s="12"/>
      <c r="T350" s="12"/>
      <c r="U350" s="12"/>
      <c r="V350" s="12"/>
      <c r="W350" s="12"/>
      <c r="X350" s="12"/>
      <c r="Y350" s="12"/>
      <c r="Z350" s="12"/>
      <c r="AA350" s="12"/>
    </row>
    <row r="351">
      <c r="A351" s="12"/>
      <c r="B351" s="12"/>
      <c r="C351" s="12"/>
      <c r="D351" s="12"/>
      <c r="E351" s="12"/>
      <c r="F351" s="12"/>
      <c r="G351" s="12"/>
      <c r="H351" s="2"/>
      <c r="I351" s="12"/>
      <c r="J351" s="12"/>
      <c r="K351" s="12"/>
      <c r="L351" s="12"/>
      <c r="M351" s="12"/>
      <c r="N351" s="12"/>
      <c r="O351" s="12"/>
      <c r="P351" s="12"/>
      <c r="Q351" s="12"/>
      <c r="R351" s="12"/>
      <c r="S351" s="12"/>
      <c r="T351" s="12"/>
      <c r="U351" s="12"/>
      <c r="V351" s="12"/>
      <c r="W351" s="12"/>
      <c r="X351" s="12"/>
      <c r="Y351" s="12"/>
      <c r="Z351" s="12"/>
      <c r="AA351" s="12"/>
    </row>
    <row r="352">
      <c r="A352" s="12"/>
      <c r="B352" s="12"/>
      <c r="C352" s="12"/>
      <c r="D352" s="12"/>
      <c r="E352" s="12"/>
      <c r="F352" s="12"/>
      <c r="G352" s="12"/>
      <c r="H352" s="2"/>
      <c r="I352" s="12"/>
      <c r="J352" s="12"/>
      <c r="K352" s="12"/>
      <c r="L352" s="12"/>
      <c r="M352" s="12"/>
      <c r="N352" s="12"/>
      <c r="O352" s="12"/>
      <c r="P352" s="12"/>
      <c r="Q352" s="12"/>
      <c r="R352" s="12"/>
      <c r="S352" s="12"/>
      <c r="T352" s="12"/>
      <c r="U352" s="12"/>
      <c r="V352" s="12"/>
      <c r="W352" s="12"/>
      <c r="X352" s="12"/>
      <c r="Y352" s="12"/>
      <c r="Z352" s="12"/>
      <c r="AA352" s="12"/>
    </row>
    <row r="353">
      <c r="A353" s="12"/>
      <c r="B353" s="12"/>
      <c r="C353" s="12"/>
      <c r="D353" s="12"/>
      <c r="E353" s="12"/>
      <c r="F353" s="12"/>
      <c r="G353" s="12"/>
      <c r="H353" s="2"/>
      <c r="I353" s="12"/>
      <c r="J353" s="12"/>
      <c r="K353" s="12"/>
      <c r="L353" s="12"/>
      <c r="M353" s="12"/>
      <c r="N353" s="12"/>
      <c r="O353" s="12"/>
      <c r="P353" s="12"/>
      <c r="Q353" s="12"/>
      <c r="R353" s="12"/>
      <c r="S353" s="12"/>
      <c r="T353" s="12"/>
      <c r="U353" s="12"/>
      <c r="V353" s="12"/>
      <c r="W353" s="12"/>
      <c r="X353" s="12"/>
      <c r="Y353" s="12"/>
      <c r="Z353" s="12"/>
      <c r="AA353" s="12"/>
    </row>
    <row r="354">
      <c r="A354" s="12"/>
      <c r="B354" s="12"/>
      <c r="C354" s="12"/>
      <c r="D354" s="12"/>
      <c r="E354" s="12"/>
      <c r="F354" s="12"/>
      <c r="G354" s="12"/>
      <c r="H354" s="2"/>
      <c r="I354" s="12"/>
      <c r="J354" s="12"/>
      <c r="K354" s="12"/>
      <c r="L354" s="12"/>
      <c r="M354" s="12"/>
      <c r="N354" s="12"/>
      <c r="O354" s="12"/>
      <c r="P354" s="12"/>
      <c r="Q354" s="12"/>
      <c r="R354" s="12"/>
      <c r="S354" s="12"/>
      <c r="T354" s="12"/>
      <c r="U354" s="12"/>
      <c r="V354" s="12"/>
      <c r="W354" s="12"/>
      <c r="X354" s="12"/>
      <c r="Y354" s="12"/>
      <c r="Z354" s="12"/>
      <c r="AA354" s="12"/>
    </row>
    <row r="355">
      <c r="A355" s="12"/>
      <c r="B355" s="12"/>
      <c r="C355" s="12"/>
      <c r="D355" s="12"/>
      <c r="E355" s="12"/>
      <c r="F355" s="12"/>
      <c r="G355" s="12"/>
      <c r="H355" s="2"/>
      <c r="I355" s="12"/>
      <c r="J355" s="12"/>
      <c r="K355" s="12"/>
      <c r="L355" s="12"/>
      <c r="M355" s="12"/>
      <c r="N355" s="12"/>
      <c r="O355" s="12"/>
      <c r="P355" s="12"/>
      <c r="Q355" s="12"/>
      <c r="R355" s="12"/>
      <c r="S355" s="12"/>
      <c r="T355" s="12"/>
      <c r="U355" s="12"/>
      <c r="V355" s="12"/>
      <c r="W355" s="12"/>
      <c r="X355" s="12"/>
      <c r="Y355" s="12"/>
      <c r="Z355" s="12"/>
      <c r="AA355" s="12"/>
    </row>
    <row r="356">
      <c r="A356" s="12"/>
      <c r="B356" s="12"/>
      <c r="C356" s="12"/>
      <c r="D356" s="12"/>
      <c r="E356" s="12"/>
      <c r="F356" s="12"/>
      <c r="G356" s="12"/>
      <c r="H356" s="2"/>
      <c r="I356" s="12"/>
      <c r="J356" s="12"/>
      <c r="K356" s="12"/>
      <c r="L356" s="12"/>
      <c r="M356" s="12"/>
      <c r="N356" s="12"/>
      <c r="O356" s="12"/>
      <c r="P356" s="12"/>
      <c r="Q356" s="12"/>
      <c r="R356" s="12"/>
      <c r="S356" s="12"/>
      <c r="T356" s="12"/>
      <c r="U356" s="12"/>
      <c r="V356" s="12"/>
      <c r="W356" s="12"/>
      <c r="X356" s="12"/>
      <c r="Y356" s="12"/>
      <c r="Z356" s="12"/>
      <c r="AA356" s="12"/>
    </row>
    <row r="357">
      <c r="A357" s="12"/>
      <c r="B357" s="12"/>
      <c r="C357" s="12"/>
      <c r="D357" s="12"/>
      <c r="E357" s="12"/>
      <c r="F357" s="12"/>
      <c r="G357" s="12"/>
      <c r="H357" s="2"/>
      <c r="I357" s="12"/>
      <c r="J357" s="12"/>
      <c r="K357" s="12"/>
      <c r="L357" s="12"/>
      <c r="M357" s="12"/>
      <c r="N357" s="12"/>
      <c r="O357" s="12"/>
      <c r="P357" s="12"/>
      <c r="Q357" s="12"/>
      <c r="R357" s="12"/>
      <c r="S357" s="12"/>
      <c r="T357" s="12"/>
      <c r="U357" s="12"/>
      <c r="V357" s="12"/>
      <c r="W357" s="12"/>
      <c r="X357" s="12"/>
      <c r="Y357" s="12"/>
      <c r="Z357" s="12"/>
      <c r="AA357" s="12"/>
    </row>
    <row r="358">
      <c r="A358" s="12"/>
      <c r="B358" s="12"/>
      <c r="C358" s="12"/>
      <c r="D358" s="12"/>
      <c r="E358" s="12"/>
      <c r="F358" s="12"/>
      <c r="G358" s="12"/>
      <c r="H358" s="2"/>
      <c r="I358" s="12"/>
      <c r="J358" s="12"/>
      <c r="K358" s="12"/>
      <c r="L358" s="12"/>
      <c r="M358" s="12"/>
      <c r="N358" s="12"/>
      <c r="O358" s="12"/>
      <c r="P358" s="12"/>
      <c r="Q358" s="12"/>
      <c r="R358" s="12"/>
      <c r="S358" s="12"/>
      <c r="T358" s="12"/>
      <c r="U358" s="12"/>
      <c r="V358" s="12"/>
      <c r="W358" s="12"/>
      <c r="X358" s="12"/>
      <c r="Y358" s="12"/>
      <c r="Z358" s="12"/>
      <c r="AA358" s="12"/>
    </row>
    <row r="359">
      <c r="A359" s="12"/>
      <c r="B359" s="12"/>
      <c r="C359" s="12"/>
      <c r="D359" s="12"/>
      <c r="E359" s="12"/>
      <c r="F359" s="12"/>
      <c r="G359" s="12"/>
      <c r="H359" s="2"/>
      <c r="I359" s="12"/>
      <c r="J359" s="12"/>
      <c r="K359" s="12"/>
      <c r="L359" s="12"/>
      <c r="M359" s="12"/>
      <c r="N359" s="12"/>
      <c r="O359" s="12"/>
      <c r="P359" s="12"/>
      <c r="Q359" s="12"/>
      <c r="R359" s="12"/>
      <c r="S359" s="12"/>
      <c r="T359" s="12"/>
      <c r="U359" s="12"/>
      <c r="V359" s="12"/>
      <c r="W359" s="12"/>
      <c r="X359" s="12"/>
      <c r="Y359" s="12"/>
      <c r="Z359" s="12"/>
      <c r="AA359" s="12"/>
    </row>
    <row r="360">
      <c r="A360" s="12"/>
      <c r="B360" s="12"/>
      <c r="C360" s="12"/>
      <c r="D360" s="12"/>
      <c r="E360" s="12"/>
      <c r="F360" s="12"/>
      <c r="G360" s="12"/>
      <c r="H360" s="2"/>
      <c r="I360" s="12"/>
      <c r="J360" s="12"/>
      <c r="K360" s="12"/>
      <c r="L360" s="12"/>
      <c r="M360" s="12"/>
      <c r="N360" s="12"/>
      <c r="O360" s="12"/>
      <c r="P360" s="12"/>
      <c r="Q360" s="12"/>
      <c r="R360" s="12"/>
      <c r="S360" s="12"/>
      <c r="T360" s="12"/>
      <c r="U360" s="12"/>
      <c r="V360" s="12"/>
      <c r="W360" s="12"/>
      <c r="X360" s="12"/>
      <c r="Y360" s="12"/>
      <c r="Z360" s="12"/>
      <c r="AA360" s="12"/>
    </row>
    <row r="361">
      <c r="A361" s="12"/>
      <c r="B361" s="12"/>
      <c r="C361" s="12"/>
      <c r="D361" s="12"/>
      <c r="E361" s="12"/>
      <c r="F361" s="12"/>
      <c r="G361" s="12"/>
      <c r="H361" s="2"/>
      <c r="I361" s="12"/>
      <c r="J361" s="12"/>
      <c r="K361" s="12"/>
      <c r="L361" s="12"/>
      <c r="M361" s="12"/>
      <c r="N361" s="12"/>
      <c r="O361" s="12"/>
      <c r="P361" s="12"/>
      <c r="Q361" s="12"/>
      <c r="R361" s="12"/>
      <c r="S361" s="12"/>
      <c r="T361" s="12"/>
      <c r="U361" s="12"/>
      <c r="V361" s="12"/>
      <c r="W361" s="12"/>
      <c r="X361" s="12"/>
      <c r="Y361" s="12"/>
      <c r="Z361" s="12"/>
      <c r="AA361" s="12"/>
    </row>
    <row r="362">
      <c r="A362" s="12"/>
      <c r="B362" s="12"/>
      <c r="C362" s="12"/>
      <c r="D362" s="12"/>
      <c r="E362" s="12"/>
      <c r="F362" s="12"/>
      <c r="G362" s="12"/>
      <c r="H362" s="2"/>
      <c r="I362" s="12"/>
      <c r="J362" s="12"/>
      <c r="K362" s="12"/>
      <c r="L362" s="12"/>
      <c r="M362" s="12"/>
      <c r="N362" s="12"/>
      <c r="O362" s="12"/>
      <c r="P362" s="12"/>
      <c r="Q362" s="12"/>
      <c r="R362" s="12"/>
      <c r="S362" s="12"/>
      <c r="T362" s="12"/>
      <c r="U362" s="12"/>
      <c r="V362" s="12"/>
      <c r="W362" s="12"/>
      <c r="X362" s="12"/>
      <c r="Y362" s="12"/>
      <c r="Z362" s="12"/>
      <c r="AA362" s="12"/>
    </row>
    <row r="363">
      <c r="A363" s="12"/>
      <c r="B363" s="12"/>
      <c r="C363" s="12"/>
      <c r="D363" s="12"/>
      <c r="E363" s="12"/>
      <c r="F363" s="12"/>
      <c r="G363" s="12"/>
      <c r="H363" s="2"/>
      <c r="I363" s="12"/>
      <c r="J363" s="12"/>
      <c r="K363" s="12"/>
      <c r="L363" s="12"/>
      <c r="M363" s="12"/>
      <c r="N363" s="12"/>
      <c r="O363" s="12"/>
      <c r="P363" s="12"/>
      <c r="Q363" s="12"/>
      <c r="R363" s="12"/>
      <c r="S363" s="12"/>
      <c r="T363" s="12"/>
      <c r="U363" s="12"/>
      <c r="V363" s="12"/>
      <c r="W363" s="12"/>
      <c r="X363" s="12"/>
      <c r="Y363" s="12"/>
      <c r="Z363" s="12"/>
      <c r="AA363" s="12"/>
    </row>
    <row r="364">
      <c r="A364" s="12"/>
      <c r="B364" s="12"/>
      <c r="C364" s="12"/>
      <c r="D364" s="12"/>
      <c r="E364" s="12"/>
      <c r="F364" s="12"/>
      <c r="G364" s="12"/>
      <c r="H364" s="2"/>
      <c r="I364" s="12"/>
      <c r="J364" s="12"/>
      <c r="K364" s="12"/>
      <c r="L364" s="12"/>
      <c r="M364" s="12"/>
      <c r="N364" s="12"/>
      <c r="O364" s="12"/>
      <c r="P364" s="12"/>
      <c r="Q364" s="12"/>
      <c r="R364" s="12"/>
      <c r="S364" s="12"/>
      <c r="T364" s="12"/>
      <c r="U364" s="12"/>
      <c r="V364" s="12"/>
      <c r="W364" s="12"/>
      <c r="X364" s="12"/>
      <c r="Y364" s="12"/>
      <c r="Z364" s="12"/>
      <c r="AA364" s="12"/>
    </row>
    <row r="365">
      <c r="A365" s="12"/>
      <c r="B365" s="12"/>
      <c r="C365" s="12"/>
      <c r="D365" s="12"/>
      <c r="E365" s="12"/>
      <c r="F365" s="12"/>
      <c r="G365" s="12"/>
      <c r="H365" s="2"/>
      <c r="I365" s="12"/>
      <c r="J365" s="12"/>
      <c r="K365" s="12"/>
      <c r="L365" s="12"/>
      <c r="M365" s="12"/>
      <c r="N365" s="12"/>
      <c r="O365" s="12"/>
      <c r="P365" s="12"/>
      <c r="Q365" s="12"/>
      <c r="R365" s="12"/>
      <c r="S365" s="12"/>
      <c r="T365" s="12"/>
      <c r="U365" s="12"/>
      <c r="V365" s="12"/>
      <c r="W365" s="12"/>
      <c r="X365" s="12"/>
      <c r="Y365" s="12"/>
      <c r="Z365" s="12"/>
      <c r="AA365" s="12"/>
    </row>
    <row r="366">
      <c r="A366" s="12"/>
      <c r="B366" s="12"/>
      <c r="C366" s="12"/>
      <c r="D366" s="12"/>
      <c r="E366" s="12"/>
      <c r="F366" s="12"/>
      <c r="G366" s="12"/>
      <c r="H366" s="2"/>
      <c r="I366" s="12"/>
      <c r="J366" s="12"/>
      <c r="K366" s="12"/>
      <c r="L366" s="12"/>
      <c r="M366" s="12"/>
      <c r="N366" s="12"/>
      <c r="O366" s="12"/>
      <c r="P366" s="12"/>
      <c r="Q366" s="12"/>
      <c r="R366" s="12"/>
      <c r="S366" s="12"/>
      <c r="T366" s="12"/>
      <c r="U366" s="12"/>
      <c r="V366" s="12"/>
      <c r="W366" s="12"/>
      <c r="X366" s="12"/>
      <c r="Y366" s="12"/>
      <c r="Z366" s="12"/>
      <c r="AA366" s="12"/>
    </row>
    <row r="367">
      <c r="A367" s="12"/>
      <c r="B367" s="12"/>
      <c r="C367" s="12"/>
      <c r="D367" s="12"/>
      <c r="E367" s="12"/>
      <c r="F367" s="12"/>
      <c r="G367" s="12"/>
      <c r="H367" s="2"/>
      <c r="I367" s="12"/>
      <c r="J367" s="12"/>
      <c r="K367" s="12"/>
      <c r="L367" s="12"/>
      <c r="M367" s="12"/>
      <c r="N367" s="12"/>
      <c r="O367" s="12"/>
      <c r="P367" s="12"/>
      <c r="Q367" s="12"/>
      <c r="R367" s="12"/>
      <c r="S367" s="12"/>
      <c r="T367" s="12"/>
      <c r="U367" s="12"/>
      <c r="V367" s="12"/>
      <c r="W367" s="12"/>
      <c r="X367" s="12"/>
      <c r="Y367" s="12"/>
      <c r="Z367" s="12"/>
      <c r="AA367" s="12"/>
    </row>
    <row r="368">
      <c r="A368" s="12"/>
      <c r="B368" s="12"/>
      <c r="C368" s="12"/>
      <c r="D368" s="12"/>
      <c r="E368" s="12"/>
      <c r="F368" s="12"/>
      <c r="G368" s="12"/>
      <c r="H368" s="2"/>
      <c r="I368" s="12"/>
      <c r="J368" s="12"/>
      <c r="K368" s="12"/>
      <c r="L368" s="12"/>
      <c r="M368" s="12"/>
      <c r="N368" s="12"/>
      <c r="O368" s="12"/>
      <c r="P368" s="12"/>
      <c r="Q368" s="12"/>
      <c r="R368" s="12"/>
      <c r="S368" s="12"/>
      <c r="T368" s="12"/>
      <c r="U368" s="12"/>
      <c r="V368" s="12"/>
      <c r="W368" s="12"/>
      <c r="X368" s="12"/>
      <c r="Y368" s="12"/>
      <c r="Z368" s="12"/>
      <c r="AA368" s="12"/>
    </row>
    <row r="369">
      <c r="A369" s="12"/>
      <c r="B369" s="12"/>
      <c r="C369" s="12"/>
      <c r="D369" s="12"/>
      <c r="E369" s="12"/>
      <c r="F369" s="12"/>
      <c r="G369" s="12"/>
      <c r="H369" s="2"/>
      <c r="I369" s="12"/>
      <c r="J369" s="12"/>
      <c r="K369" s="12"/>
      <c r="L369" s="12"/>
      <c r="M369" s="12"/>
      <c r="N369" s="12"/>
      <c r="O369" s="12"/>
      <c r="P369" s="12"/>
      <c r="Q369" s="12"/>
      <c r="R369" s="12"/>
      <c r="S369" s="12"/>
      <c r="T369" s="12"/>
      <c r="U369" s="12"/>
      <c r="V369" s="12"/>
      <c r="W369" s="12"/>
      <c r="X369" s="12"/>
      <c r="Y369" s="12"/>
      <c r="Z369" s="12"/>
      <c r="AA369" s="12"/>
    </row>
    <row r="370">
      <c r="A370" s="12"/>
      <c r="B370" s="12"/>
      <c r="C370" s="12"/>
      <c r="D370" s="12"/>
      <c r="E370" s="12"/>
      <c r="F370" s="12"/>
      <c r="G370" s="12"/>
      <c r="H370" s="2"/>
      <c r="I370" s="12"/>
      <c r="J370" s="12"/>
      <c r="K370" s="12"/>
      <c r="L370" s="12"/>
      <c r="M370" s="12"/>
      <c r="N370" s="12"/>
      <c r="O370" s="12"/>
      <c r="P370" s="12"/>
      <c r="Q370" s="12"/>
      <c r="R370" s="12"/>
      <c r="S370" s="12"/>
      <c r="T370" s="12"/>
      <c r="U370" s="12"/>
      <c r="V370" s="12"/>
      <c r="W370" s="12"/>
      <c r="X370" s="12"/>
      <c r="Y370" s="12"/>
      <c r="Z370" s="12"/>
      <c r="AA370" s="12"/>
    </row>
    <row r="371">
      <c r="A371" s="12"/>
      <c r="B371" s="12"/>
      <c r="C371" s="12"/>
      <c r="D371" s="12"/>
      <c r="E371" s="12"/>
      <c r="F371" s="12"/>
      <c r="G371" s="12"/>
      <c r="H371" s="2"/>
      <c r="I371" s="12"/>
      <c r="J371" s="12"/>
      <c r="K371" s="12"/>
      <c r="L371" s="12"/>
      <c r="M371" s="12"/>
      <c r="N371" s="12"/>
      <c r="O371" s="12"/>
      <c r="P371" s="12"/>
      <c r="Q371" s="12"/>
      <c r="R371" s="12"/>
      <c r="S371" s="12"/>
      <c r="T371" s="12"/>
      <c r="U371" s="12"/>
      <c r="V371" s="12"/>
      <c r="W371" s="12"/>
      <c r="X371" s="12"/>
      <c r="Y371" s="12"/>
      <c r="Z371" s="12"/>
      <c r="AA371" s="12"/>
    </row>
    <row r="372">
      <c r="A372" s="12"/>
      <c r="B372" s="12"/>
      <c r="C372" s="12"/>
      <c r="D372" s="12"/>
      <c r="E372" s="12"/>
      <c r="F372" s="12"/>
      <c r="G372" s="12"/>
      <c r="H372" s="2"/>
      <c r="I372" s="12"/>
      <c r="J372" s="12"/>
      <c r="K372" s="12"/>
      <c r="L372" s="12"/>
      <c r="M372" s="12"/>
      <c r="N372" s="12"/>
      <c r="O372" s="12"/>
      <c r="P372" s="12"/>
      <c r="Q372" s="12"/>
      <c r="R372" s="12"/>
      <c r="S372" s="12"/>
      <c r="T372" s="12"/>
      <c r="U372" s="12"/>
      <c r="V372" s="12"/>
      <c r="W372" s="12"/>
      <c r="X372" s="12"/>
      <c r="Y372" s="12"/>
      <c r="Z372" s="12"/>
      <c r="AA372" s="12"/>
    </row>
    <row r="373">
      <c r="A373" s="12"/>
      <c r="B373" s="12"/>
      <c r="C373" s="12"/>
      <c r="D373" s="12"/>
      <c r="E373" s="12"/>
      <c r="F373" s="12"/>
      <c r="G373" s="12"/>
      <c r="H373" s="2"/>
      <c r="I373" s="12"/>
      <c r="J373" s="12"/>
      <c r="K373" s="12"/>
      <c r="L373" s="12"/>
      <c r="M373" s="12"/>
      <c r="N373" s="12"/>
      <c r="O373" s="12"/>
      <c r="P373" s="12"/>
      <c r="Q373" s="12"/>
      <c r="R373" s="12"/>
      <c r="S373" s="12"/>
      <c r="T373" s="12"/>
      <c r="U373" s="12"/>
      <c r="V373" s="12"/>
      <c r="W373" s="12"/>
      <c r="X373" s="12"/>
      <c r="Y373" s="12"/>
      <c r="Z373" s="12"/>
      <c r="AA373" s="12"/>
    </row>
    <row r="374">
      <c r="A374" s="12"/>
      <c r="B374" s="12"/>
      <c r="C374" s="12"/>
      <c r="D374" s="12"/>
      <c r="E374" s="12"/>
      <c r="F374" s="12"/>
      <c r="G374" s="12"/>
      <c r="H374" s="2"/>
      <c r="I374" s="12"/>
      <c r="J374" s="12"/>
      <c r="K374" s="12"/>
      <c r="L374" s="12"/>
      <c r="M374" s="12"/>
      <c r="N374" s="12"/>
      <c r="O374" s="12"/>
      <c r="P374" s="12"/>
      <c r="Q374" s="12"/>
      <c r="R374" s="12"/>
      <c r="S374" s="12"/>
      <c r="T374" s="12"/>
      <c r="U374" s="12"/>
      <c r="V374" s="12"/>
      <c r="W374" s="12"/>
      <c r="X374" s="12"/>
      <c r="Y374" s="12"/>
      <c r="Z374" s="12"/>
      <c r="AA374" s="12"/>
    </row>
    <row r="375">
      <c r="A375" s="12"/>
      <c r="B375" s="12"/>
      <c r="C375" s="12"/>
      <c r="D375" s="12"/>
      <c r="E375" s="12"/>
      <c r="F375" s="12"/>
      <c r="G375" s="12"/>
      <c r="H375" s="2"/>
      <c r="I375" s="12"/>
      <c r="J375" s="12"/>
      <c r="K375" s="12"/>
      <c r="L375" s="12"/>
      <c r="M375" s="12"/>
      <c r="N375" s="12"/>
      <c r="O375" s="12"/>
      <c r="P375" s="12"/>
      <c r="Q375" s="12"/>
      <c r="R375" s="12"/>
      <c r="S375" s="12"/>
      <c r="T375" s="12"/>
      <c r="U375" s="12"/>
      <c r="V375" s="12"/>
      <c r="W375" s="12"/>
      <c r="X375" s="12"/>
      <c r="Y375" s="12"/>
      <c r="Z375" s="12"/>
      <c r="AA375" s="12"/>
    </row>
    <row r="376">
      <c r="A376" s="12"/>
      <c r="B376" s="12"/>
      <c r="C376" s="12"/>
      <c r="D376" s="12"/>
      <c r="E376" s="12"/>
      <c r="F376" s="12"/>
      <c r="G376" s="12"/>
      <c r="H376" s="2"/>
      <c r="I376" s="12"/>
      <c r="J376" s="12"/>
      <c r="K376" s="12"/>
      <c r="L376" s="12"/>
      <c r="M376" s="12"/>
      <c r="N376" s="12"/>
      <c r="O376" s="12"/>
      <c r="P376" s="12"/>
      <c r="Q376" s="12"/>
      <c r="R376" s="12"/>
      <c r="S376" s="12"/>
      <c r="T376" s="12"/>
      <c r="U376" s="12"/>
      <c r="V376" s="12"/>
      <c r="W376" s="12"/>
      <c r="X376" s="12"/>
      <c r="Y376" s="12"/>
      <c r="Z376" s="12"/>
      <c r="AA376" s="12"/>
    </row>
    <row r="377">
      <c r="A377" s="12"/>
      <c r="B377" s="12"/>
      <c r="C377" s="12"/>
      <c r="D377" s="12"/>
      <c r="E377" s="12"/>
      <c r="F377" s="12"/>
      <c r="G377" s="12"/>
      <c r="H377" s="2"/>
      <c r="I377" s="12"/>
      <c r="J377" s="12"/>
      <c r="K377" s="12"/>
      <c r="L377" s="12"/>
      <c r="M377" s="12"/>
      <c r="N377" s="12"/>
      <c r="O377" s="12"/>
      <c r="P377" s="12"/>
      <c r="Q377" s="12"/>
      <c r="R377" s="12"/>
      <c r="S377" s="12"/>
      <c r="T377" s="12"/>
      <c r="U377" s="12"/>
      <c r="V377" s="12"/>
      <c r="W377" s="12"/>
      <c r="X377" s="12"/>
      <c r="Y377" s="12"/>
      <c r="Z377" s="12"/>
      <c r="AA377" s="12"/>
    </row>
    <row r="378">
      <c r="A378" s="12"/>
      <c r="B378" s="12"/>
      <c r="C378" s="12"/>
      <c r="D378" s="12"/>
      <c r="E378" s="12"/>
      <c r="F378" s="12"/>
      <c r="G378" s="12"/>
      <c r="H378" s="2"/>
      <c r="I378" s="12"/>
      <c r="J378" s="12"/>
      <c r="K378" s="12"/>
      <c r="L378" s="12"/>
      <c r="M378" s="12"/>
      <c r="N378" s="12"/>
      <c r="O378" s="12"/>
      <c r="P378" s="12"/>
      <c r="Q378" s="12"/>
      <c r="R378" s="12"/>
      <c r="S378" s="12"/>
      <c r="T378" s="12"/>
      <c r="U378" s="12"/>
      <c r="V378" s="12"/>
      <c r="W378" s="12"/>
      <c r="X378" s="12"/>
      <c r="Y378" s="12"/>
      <c r="Z378" s="12"/>
      <c r="AA378" s="12"/>
    </row>
    <row r="379">
      <c r="A379" s="12"/>
      <c r="B379" s="12"/>
      <c r="C379" s="12"/>
      <c r="D379" s="12"/>
      <c r="E379" s="12"/>
      <c r="F379" s="12"/>
      <c r="G379" s="12"/>
      <c r="H379" s="2"/>
      <c r="I379" s="12"/>
      <c r="J379" s="12"/>
      <c r="K379" s="12"/>
      <c r="L379" s="12"/>
      <c r="M379" s="12"/>
      <c r="N379" s="12"/>
      <c r="O379" s="12"/>
      <c r="P379" s="12"/>
      <c r="Q379" s="12"/>
      <c r="R379" s="12"/>
      <c r="S379" s="12"/>
      <c r="T379" s="12"/>
      <c r="U379" s="12"/>
      <c r="V379" s="12"/>
      <c r="W379" s="12"/>
      <c r="X379" s="12"/>
      <c r="Y379" s="12"/>
      <c r="Z379" s="12"/>
      <c r="AA379" s="12"/>
    </row>
    <row r="380">
      <c r="A380" s="12"/>
      <c r="B380" s="12"/>
      <c r="C380" s="12"/>
      <c r="D380" s="12"/>
      <c r="E380" s="12"/>
      <c r="F380" s="12"/>
      <c r="G380" s="12"/>
      <c r="H380" s="2"/>
      <c r="I380" s="12"/>
      <c r="J380" s="12"/>
      <c r="K380" s="12"/>
      <c r="L380" s="12"/>
      <c r="M380" s="12"/>
      <c r="N380" s="12"/>
      <c r="O380" s="12"/>
      <c r="P380" s="12"/>
      <c r="Q380" s="12"/>
      <c r="R380" s="12"/>
      <c r="S380" s="12"/>
      <c r="T380" s="12"/>
      <c r="U380" s="12"/>
      <c r="V380" s="12"/>
      <c r="W380" s="12"/>
      <c r="X380" s="12"/>
      <c r="Y380" s="12"/>
      <c r="Z380" s="12"/>
      <c r="AA380" s="12"/>
    </row>
    <row r="381">
      <c r="A381" s="12"/>
      <c r="B381" s="12"/>
      <c r="C381" s="12"/>
      <c r="D381" s="12"/>
      <c r="E381" s="12"/>
      <c r="F381" s="12"/>
      <c r="G381" s="12"/>
      <c r="H381" s="2"/>
      <c r="I381" s="12"/>
      <c r="J381" s="12"/>
      <c r="K381" s="12"/>
      <c r="L381" s="12"/>
      <c r="M381" s="12"/>
      <c r="N381" s="12"/>
      <c r="O381" s="12"/>
      <c r="P381" s="12"/>
      <c r="Q381" s="12"/>
      <c r="R381" s="12"/>
      <c r="S381" s="12"/>
      <c r="T381" s="12"/>
      <c r="U381" s="12"/>
      <c r="V381" s="12"/>
      <c r="W381" s="12"/>
      <c r="X381" s="12"/>
      <c r="Y381" s="12"/>
      <c r="Z381" s="12"/>
      <c r="AA381" s="12"/>
    </row>
    <row r="382">
      <c r="A382" s="12"/>
      <c r="B382" s="12"/>
      <c r="C382" s="12"/>
      <c r="D382" s="12"/>
      <c r="E382" s="12"/>
      <c r="F382" s="12"/>
      <c r="G382" s="12"/>
      <c r="H382" s="2"/>
      <c r="I382" s="12"/>
      <c r="J382" s="12"/>
      <c r="K382" s="12"/>
      <c r="L382" s="12"/>
      <c r="M382" s="12"/>
      <c r="N382" s="12"/>
      <c r="O382" s="12"/>
      <c r="P382" s="12"/>
      <c r="Q382" s="12"/>
      <c r="R382" s="12"/>
      <c r="S382" s="12"/>
      <c r="T382" s="12"/>
      <c r="U382" s="12"/>
      <c r="V382" s="12"/>
      <c r="W382" s="12"/>
      <c r="X382" s="12"/>
      <c r="Y382" s="12"/>
      <c r="Z382" s="12"/>
      <c r="AA382" s="12"/>
    </row>
    <row r="383">
      <c r="A383" s="12"/>
      <c r="B383" s="12"/>
      <c r="C383" s="12"/>
      <c r="D383" s="12"/>
      <c r="E383" s="12"/>
      <c r="F383" s="12"/>
      <c r="G383" s="12"/>
      <c r="H383" s="2"/>
      <c r="I383" s="12"/>
      <c r="J383" s="12"/>
      <c r="K383" s="12"/>
      <c r="L383" s="12"/>
      <c r="M383" s="12"/>
      <c r="N383" s="12"/>
      <c r="O383" s="12"/>
      <c r="P383" s="12"/>
      <c r="Q383" s="12"/>
      <c r="R383" s="12"/>
      <c r="S383" s="12"/>
      <c r="T383" s="12"/>
      <c r="U383" s="12"/>
      <c r="V383" s="12"/>
      <c r="W383" s="12"/>
      <c r="X383" s="12"/>
      <c r="Y383" s="12"/>
      <c r="Z383" s="12"/>
      <c r="AA383" s="12"/>
    </row>
    <row r="384">
      <c r="A384" s="12"/>
      <c r="B384" s="12"/>
      <c r="C384" s="12"/>
      <c r="D384" s="12"/>
      <c r="E384" s="12"/>
      <c r="F384" s="12"/>
      <c r="G384" s="12"/>
      <c r="H384" s="2"/>
      <c r="I384" s="12"/>
      <c r="J384" s="12"/>
      <c r="K384" s="12"/>
      <c r="L384" s="12"/>
      <c r="M384" s="12"/>
      <c r="N384" s="12"/>
      <c r="O384" s="12"/>
      <c r="P384" s="12"/>
      <c r="Q384" s="12"/>
      <c r="R384" s="12"/>
      <c r="S384" s="12"/>
      <c r="T384" s="12"/>
      <c r="U384" s="12"/>
      <c r="V384" s="12"/>
      <c r="W384" s="12"/>
      <c r="X384" s="12"/>
      <c r="Y384" s="12"/>
      <c r="Z384" s="12"/>
      <c r="AA384" s="12"/>
    </row>
    <row r="385">
      <c r="A385" s="12"/>
      <c r="B385" s="12"/>
      <c r="C385" s="12"/>
      <c r="D385" s="12"/>
      <c r="E385" s="12"/>
      <c r="F385" s="12"/>
      <c r="G385" s="12"/>
      <c r="H385" s="2"/>
      <c r="I385" s="12"/>
      <c r="J385" s="12"/>
      <c r="K385" s="12"/>
      <c r="L385" s="12"/>
      <c r="M385" s="12"/>
      <c r="N385" s="12"/>
      <c r="O385" s="12"/>
      <c r="P385" s="12"/>
      <c r="Q385" s="12"/>
      <c r="R385" s="12"/>
      <c r="S385" s="12"/>
      <c r="T385" s="12"/>
      <c r="U385" s="12"/>
      <c r="V385" s="12"/>
      <c r="W385" s="12"/>
      <c r="X385" s="12"/>
      <c r="Y385" s="12"/>
      <c r="Z385" s="12"/>
      <c r="AA385" s="12"/>
    </row>
    <row r="386">
      <c r="A386" s="12"/>
      <c r="B386" s="12"/>
      <c r="C386" s="12"/>
      <c r="D386" s="12"/>
      <c r="E386" s="12"/>
      <c r="F386" s="12"/>
      <c r="G386" s="12"/>
      <c r="H386" s="2"/>
      <c r="I386" s="12"/>
      <c r="J386" s="12"/>
      <c r="K386" s="12"/>
      <c r="L386" s="12"/>
      <c r="M386" s="12"/>
      <c r="N386" s="12"/>
      <c r="O386" s="12"/>
      <c r="P386" s="12"/>
      <c r="Q386" s="12"/>
      <c r="R386" s="12"/>
      <c r="S386" s="12"/>
      <c r="T386" s="12"/>
      <c r="U386" s="12"/>
      <c r="V386" s="12"/>
      <c r="W386" s="12"/>
      <c r="X386" s="12"/>
      <c r="Y386" s="12"/>
      <c r="Z386" s="12"/>
      <c r="AA386" s="12"/>
    </row>
    <row r="387">
      <c r="A387" s="12"/>
      <c r="B387" s="12"/>
      <c r="C387" s="12"/>
      <c r="D387" s="12"/>
      <c r="E387" s="12"/>
      <c r="F387" s="12"/>
      <c r="G387" s="12"/>
      <c r="H387" s="2"/>
      <c r="I387" s="12"/>
      <c r="J387" s="12"/>
      <c r="K387" s="12"/>
      <c r="L387" s="12"/>
      <c r="M387" s="12"/>
      <c r="N387" s="12"/>
      <c r="O387" s="12"/>
      <c r="P387" s="12"/>
      <c r="Q387" s="12"/>
      <c r="R387" s="12"/>
      <c r="S387" s="12"/>
      <c r="T387" s="12"/>
      <c r="U387" s="12"/>
      <c r="V387" s="12"/>
      <c r="W387" s="12"/>
      <c r="X387" s="12"/>
      <c r="Y387" s="12"/>
      <c r="Z387" s="12"/>
      <c r="AA387" s="12"/>
    </row>
    <row r="388">
      <c r="A388" s="12"/>
      <c r="B388" s="12"/>
      <c r="C388" s="12"/>
      <c r="D388" s="12"/>
      <c r="E388" s="12"/>
      <c r="F388" s="12"/>
      <c r="G388" s="12"/>
      <c r="H388" s="2"/>
      <c r="I388" s="12"/>
      <c r="J388" s="12"/>
      <c r="K388" s="12"/>
      <c r="L388" s="12"/>
      <c r="M388" s="12"/>
      <c r="N388" s="12"/>
      <c r="O388" s="12"/>
      <c r="P388" s="12"/>
      <c r="Q388" s="12"/>
      <c r="R388" s="12"/>
      <c r="S388" s="12"/>
      <c r="T388" s="12"/>
      <c r="U388" s="12"/>
      <c r="V388" s="12"/>
      <c r="W388" s="12"/>
      <c r="X388" s="12"/>
      <c r="Y388" s="12"/>
      <c r="Z388" s="12"/>
      <c r="AA388" s="12"/>
    </row>
    <row r="389">
      <c r="A389" s="12"/>
      <c r="B389" s="12"/>
      <c r="C389" s="12"/>
      <c r="D389" s="12"/>
      <c r="E389" s="12"/>
      <c r="F389" s="12"/>
      <c r="G389" s="12"/>
      <c r="H389" s="2"/>
      <c r="I389" s="12"/>
      <c r="J389" s="12"/>
      <c r="K389" s="12"/>
      <c r="L389" s="12"/>
      <c r="M389" s="12"/>
      <c r="N389" s="12"/>
      <c r="O389" s="12"/>
      <c r="P389" s="12"/>
      <c r="Q389" s="12"/>
      <c r="R389" s="12"/>
      <c r="S389" s="12"/>
      <c r="T389" s="12"/>
      <c r="U389" s="12"/>
      <c r="V389" s="12"/>
      <c r="W389" s="12"/>
      <c r="X389" s="12"/>
      <c r="Y389" s="12"/>
      <c r="Z389" s="12"/>
      <c r="AA389" s="12"/>
    </row>
    <row r="390">
      <c r="A390" s="12"/>
      <c r="B390" s="12"/>
      <c r="C390" s="12"/>
      <c r="D390" s="12"/>
      <c r="E390" s="12"/>
      <c r="F390" s="12"/>
      <c r="G390" s="12"/>
      <c r="H390" s="2"/>
      <c r="I390" s="12"/>
      <c r="J390" s="12"/>
      <c r="K390" s="12"/>
      <c r="L390" s="12"/>
      <c r="M390" s="12"/>
      <c r="N390" s="12"/>
      <c r="O390" s="12"/>
      <c r="P390" s="12"/>
      <c r="Q390" s="12"/>
      <c r="R390" s="12"/>
      <c r="S390" s="12"/>
      <c r="T390" s="12"/>
      <c r="U390" s="12"/>
      <c r="V390" s="12"/>
      <c r="W390" s="12"/>
      <c r="X390" s="12"/>
      <c r="Y390" s="12"/>
      <c r="Z390" s="12"/>
      <c r="AA390" s="12"/>
    </row>
    <row r="391">
      <c r="A391" s="12"/>
      <c r="B391" s="12"/>
      <c r="C391" s="12"/>
      <c r="D391" s="12"/>
      <c r="E391" s="12"/>
      <c r="F391" s="12"/>
      <c r="G391" s="12"/>
      <c r="H391" s="2"/>
      <c r="I391" s="12"/>
      <c r="J391" s="12"/>
      <c r="K391" s="12"/>
      <c r="L391" s="12"/>
      <c r="M391" s="12"/>
      <c r="N391" s="12"/>
      <c r="O391" s="12"/>
      <c r="P391" s="12"/>
      <c r="Q391" s="12"/>
      <c r="R391" s="12"/>
      <c r="S391" s="12"/>
      <c r="T391" s="12"/>
      <c r="U391" s="12"/>
      <c r="V391" s="12"/>
      <c r="W391" s="12"/>
      <c r="X391" s="12"/>
      <c r="Y391" s="12"/>
      <c r="Z391" s="12"/>
      <c r="AA391" s="12"/>
    </row>
    <row r="392">
      <c r="A392" s="12"/>
      <c r="B392" s="12"/>
      <c r="C392" s="12"/>
      <c r="D392" s="12"/>
      <c r="E392" s="12"/>
      <c r="F392" s="12"/>
      <c r="G392" s="12"/>
      <c r="H392" s="2"/>
      <c r="I392" s="12"/>
      <c r="J392" s="12"/>
      <c r="K392" s="12"/>
      <c r="L392" s="12"/>
      <c r="M392" s="12"/>
      <c r="N392" s="12"/>
      <c r="O392" s="12"/>
      <c r="P392" s="12"/>
      <c r="Q392" s="12"/>
      <c r="R392" s="12"/>
      <c r="S392" s="12"/>
      <c r="T392" s="12"/>
      <c r="U392" s="12"/>
      <c r="V392" s="12"/>
      <c r="W392" s="12"/>
      <c r="X392" s="12"/>
      <c r="Y392" s="12"/>
      <c r="Z392" s="12"/>
      <c r="AA392" s="12"/>
    </row>
    <row r="393">
      <c r="A393" s="12"/>
      <c r="B393" s="12"/>
      <c r="C393" s="12"/>
      <c r="D393" s="12"/>
      <c r="E393" s="12"/>
      <c r="F393" s="12"/>
      <c r="G393" s="12"/>
      <c r="H393" s="2"/>
      <c r="I393" s="12"/>
      <c r="J393" s="12"/>
      <c r="K393" s="12"/>
      <c r="L393" s="12"/>
      <c r="M393" s="12"/>
      <c r="N393" s="12"/>
      <c r="O393" s="12"/>
      <c r="P393" s="12"/>
      <c r="Q393" s="12"/>
      <c r="R393" s="12"/>
      <c r="S393" s="12"/>
      <c r="T393" s="12"/>
      <c r="U393" s="12"/>
      <c r="V393" s="12"/>
      <c r="W393" s="12"/>
      <c r="X393" s="12"/>
      <c r="Y393" s="12"/>
      <c r="Z393" s="12"/>
      <c r="AA393" s="12"/>
    </row>
    <row r="394">
      <c r="A394" s="12"/>
      <c r="B394" s="12"/>
      <c r="C394" s="12"/>
      <c r="D394" s="12"/>
      <c r="E394" s="12"/>
      <c r="F394" s="12"/>
      <c r="G394" s="12"/>
      <c r="H394" s="2"/>
      <c r="I394" s="12"/>
      <c r="J394" s="12"/>
      <c r="K394" s="12"/>
      <c r="L394" s="12"/>
      <c r="M394" s="12"/>
      <c r="N394" s="12"/>
      <c r="O394" s="12"/>
      <c r="P394" s="12"/>
      <c r="Q394" s="12"/>
      <c r="R394" s="12"/>
      <c r="S394" s="12"/>
      <c r="T394" s="12"/>
      <c r="U394" s="12"/>
      <c r="V394" s="12"/>
      <c r="W394" s="12"/>
      <c r="X394" s="12"/>
      <c r="Y394" s="12"/>
      <c r="Z394" s="12"/>
      <c r="AA394" s="12"/>
    </row>
    <row r="395">
      <c r="A395" s="12"/>
      <c r="B395" s="12"/>
      <c r="C395" s="12"/>
      <c r="D395" s="12"/>
      <c r="E395" s="12"/>
      <c r="F395" s="12"/>
      <c r="G395" s="12"/>
      <c r="H395" s="2"/>
      <c r="I395" s="12"/>
      <c r="J395" s="12"/>
      <c r="K395" s="12"/>
      <c r="L395" s="12"/>
      <c r="M395" s="12"/>
      <c r="N395" s="12"/>
      <c r="O395" s="12"/>
      <c r="P395" s="12"/>
      <c r="Q395" s="12"/>
      <c r="R395" s="12"/>
      <c r="S395" s="12"/>
      <c r="T395" s="12"/>
      <c r="U395" s="12"/>
      <c r="V395" s="12"/>
      <c r="W395" s="12"/>
      <c r="X395" s="12"/>
      <c r="Y395" s="12"/>
      <c r="Z395" s="12"/>
      <c r="AA395" s="12"/>
    </row>
    <row r="396">
      <c r="A396" s="12"/>
      <c r="B396" s="12"/>
      <c r="C396" s="12"/>
      <c r="D396" s="12"/>
      <c r="E396" s="12"/>
      <c r="F396" s="12"/>
      <c r="G396" s="12"/>
      <c r="H396" s="2"/>
      <c r="I396" s="12"/>
      <c r="J396" s="12"/>
      <c r="K396" s="12"/>
      <c r="L396" s="12"/>
      <c r="M396" s="12"/>
      <c r="N396" s="12"/>
      <c r="O396" s="12"/>
      <c r="P396" s="12"/>
      <c r="Q396" s="12"/>
      <c r="R396" s="12"/>
      <c r="S396" s="12"/>
      <c r="T396" s="12"/>
      <c r="U396" s="12"/>
      <c r="V396" s="12"/>
      <c r="W396" s="12"/>
      <c r="X396" s="12"/>
      <c r="Y396" s="12"/>
      <c r="Z396" s="12"/>
      <c r="AA396" s="12"/>
    </row>
    <row r="397">
      <c r="A397" s="12"/>
      <c r="B397" s="12"/>
      <c r="C397" s="12"/>
      <c r="D397" s="12"/>
      <c r="E397" s="12"/>
      <c r="F397" s="12"/>
      <c r="G397" s="12"/>
      <c r="H397" s="2"/>
      <c r="I397" s="12"/>
      <c r="J397" s="12"/>
      <c r="K397" s="12"/>
      <c r="L397" s="12"/>
      <c r="M397" s="12"/>
      <c r="N397" s="12"/>
      <c r="O397" s="12"/>
      <c r="P397" s="12"/>
      <c r="Q397" s="12"/>
      <c r="R397" s="12"/>
      <c r="S397" s="12"/>
      <c r="T397" s="12"/>
      <c r="U397" s="12"/>
      <c r="V397" s="12"/>
      <c r="W397" s="12"/>
      <c r="X397" s="12"/>
      <c r="Y397" s="12"/>
      <c r="Z397" s="12"/>
      <c r="AA397" s="12"/>
    </row>
    <row r="398">
      <c r="A398" s="12"/>
      <c r="B398" s="12"/>
      <c r="C398" s="12"/>
      <c r="D398" s="12"/>
      <c r="E398" s="12"/>
      <c r="F398" s="12"/>
      <c r="G398" s="12"/>
      <c r="H398" s="2"/>
      <c r="I398" s="12"/>
      <c r="J398" s="12"/>
      <c r="K398" s="12"/>
      <c r="L398" s="12"/>
      <c r="M398" s="12"/>
      <c r="N398" s="12"/>
      <c r="O398" s="12"/>
      <c r="P398" s="12"/>
      <c r="Q398" s="12"/>
      <c r="R398" s="12"/>
      <c r="S398" s="12"/>
      <c r="T398" s="12"/>
      <c r="U398" s="12"/>
      <c r="V398" s="12"/>
      <c r="W398" s="12"/>
      <c r="X398" s="12"/>
      <c r="Y398" s="12"/>
      <c r="Z398" s="12"/>
      <c r="AA398" s="12"/>
    </row>
    <row r="399">
      <c r="A399" s="12"/>
      <c r="B399" s="12"/>
      <c r="C399" s="12"/>
      <c r="D399" s="12"/>
      <c r="E399" s="12"/>
      <c r="F399" s="12"/>
      <c r="G399" s="12"/>
      <c r="H399" s="2"/>
      <c r="I399" s="12"/>
      <c r="J399" s="12"/>
      <c r="K399" s="12"/>
      <c r="L399" s="12"/>
      <c r="M399" s="12"/>
      <c r="N399" s="12"/>
      <c r="O399" s="12"/>
      <c r="P399" s="12"/>
      <c r="Q399" s="12"/>
      <c r="R399" s="12"/>
      <c r="S399" s="12"/>
      <c r="T399" s="12"/>
      <c r="U399" s="12"/>
      <c r="V399" s="12"/>
      <c r="W399" s="12"/>
      <c r="X399" s="12"/>
      <c r="Y399" s="12"/>
      <c r="Z399" s="12"/>
      <c r="AA399" s="12"/>
    </row>
    <row r="400">
      <c r="A400" s="12"/>
      <c r="B400" s="12"/>
      <c r="C400" s="12"/>
      <c r="D400" s="12"/>
      <c r="E400" s="12"/>
      <c r="F400" s="12"/>
      <c r="G400" s="12"/>
      <c r="H400" s="2"/>
      <c r="I400" s="12"/>
      <c r="J400" s="12"/>
      <c r="K400" s="12"/>
      <c r="L400" s="12"/>
      <c r="M400" s="12"/>
      <c r="N400" s="12"/>
      <c r="O400" s="12"/>
      <c r="P400" s="12"/>
      <c r="Q400" s="12"/>
      <c r="R400" s="12"/>
      <c r="S400" s="12"/>
      <c r="T400" s="12"/>
      <c r="U400" s="12"/>
      <c r="V400" s="12"/>
      <c r="W400" s="12"/>
      <c r="X400" s="12"/>
      <c r="Y400" s="12"/>
      <c r="Z400" s="12"/>
      <c r="AA400" s="12"/>
    </row>
    <row r="401">
      <c r="A401" s="12"/>
      <c r="B401" s="12"/>
      <c r="C401" s="12"/>
      <c r="D401" s="12"/>
      <c r="E401" s="12"/>
      <c r="F401" s="12"/>
      <c r="G401" s="12"/>
      <c r="H401" s="2"/>
      <c r="I401" s="12"/>
      <c r="J401" s="12"/>
      <c r="K401" s="12"/>
      <c r="L401" s="12"/>
      <c r="M401" s="12"/>
      <c r="N401" s="12"/>
      <c r="O401" s="12"/>
      <c r="P401" s="12"/>
      <c r="Q401" s="12"/>
      <c r="R401" s="12"/>
      <c r="S401" s="12"/>
      <c r="T401" s="12"/>
      <c r="U401" s="12"/>
      <c r="V401" s="12"/>
      <c r="W401" s="12"/>
      <c r="X401" s="12"/>
      <c r="Y401" s="12"/>
      <c r="Z401" s="12"/>
      <c r="AA401" s="12"/>
    </row>
    <row r="402">
      <c r="A402" s="12"/>
      <c r="B402" s="12"/>
      <c r="C402" s="12"/>
      <c r="D402" s="12"/>
      <c r="E402" s="12"/>
      <c r="F402" s="12"/>
      <c r="G402" s="12"/>
      <c r="H402" s="2"/>
      <c r="I402" s="12"/>
      <c r="J402" s="12"/>
      <c r="K402" s="12"/>
      <c r="L402" s="12"/>
      <c r="M402" s="12"/>
      <c r="N402" s="12"/>
      <c r="O402" s="12"/>
      <c r="P402" s="12"/>
      <c r="Q402" s="12"/>
      <c r="R402" s="12"/>
      <c r="S402" s="12"/>
      <c r="T402" s="12"/>
      <c r="U402" s="12"/>
      <c r="V402" s="12"/>
      <c r="W402" s="12"/>
      <c r="X402" s="12"/>
      <c r="Y402" s="12"/>
      <c r="Z402" s="12"/>
      <c r="AA402" s="12"/>
    </row>
    <row r="403">
      <c r="A403" s="12"/>
      <c r="B403" s="12"/>
      <c r="C403" s="12"/>
      <c r="D403" s="12"/>
      <c r="E403" s="12"/>
      <c r="F403" s="12"/>
      <c r="G403" s="12"/>
      <c r="H403" s="2"/>
      <c r="I403" s="12"/>
      <c r="J403" s="12"/>
      <c r="K403" s="12"/>
      <c r="L403" s="12"/>
      <c r="M403" s="12"/>
      <c r="N403" s="12"/>
      <c r="O403" s="12"/>
      <c r="P403" s="12"/>
      <c r="Q403" s="12"/>
      <c r="R403" s="12"/>
      <c r="S403" s="12"/>
      <c r="T403" s="12"/>
      <c r="U403" s="12"/>
      <c r="V403" s="12"/>
      <c r="W403" s="12"/>
      <c r="X403" s="12"/>
      <c r="Y403" s="12"/>
      <c r="Z403" s="12"/>
      <c r="AA403" s="12"/>
    </row>
    <row r="404">
      <c r="A404" s="12"/>
      <c r="B404" s="12"/>
      <c r="C404" s="12"/>
      <c r="D404" s="12"/>
      <c r="E404" s="12"/>
      <c r="F404" s="12"/>
      <c r="G404" s="12"/>
      <c r="H404" s="2"/>
      <c r="I404" s="12"/>
      <c r="J404" s="12"/>
      <c r="K404" s="12"/>
      <c r="L404" s="12"/>
      <c r="M404" s="12"/>
      <c r="N404" s="12"/>
      <c r="O404" s="12"/>
      <c r="P404" s="12"/>
      <c r="Q404" s="12"/>
      <c r="R404" s="12"/>
      <c r="S404" s="12"/>
      <c r="T404" s="12"/>
      <c r="U404" s="12"/>
      <c r="V404" s="12"/>
      <c r="W404" s="12"/>
      <c r="X404" s="12"/>
      <c r="Y404" s="12"/>
      <c r="Z404" s="12"/>
      <c r="AA404" s="12"/>
    </row>
    <row r="405">
      <c r="A405" s="12"/>
      <c r="B405" s="12"/>
      <c r="C405" s="12"/>
      <c r="D405" s="12"/>
      <c r="E405" s="12"/>
      <c r="F405" s="12"/>
      <c r="G405" s="12"/>
      <c r="H405" s="2"/>
      <c r="I405" s="12"/>
      <c r="J405" s="12"/>
      <c r="K405" s="12"/>
      <c r="L405" s="12"/>
      <c r="M405" s="12"/>
      <c r="N405" s="12"/>
      <c r="O405" s="12"/>
      <c r="P405" s="12"/>
      <c r="Q405" s="12"/>
      <c r="R405" s="12"/>
      <c r="S405" s="12"/>
      <c r="T405" s="12"/>
      <c r="U405" s="12"/>
      <c r="V405" s="12"/>
      <c r="W405" s="12"/>
      <c r="X405" s="12"/>
      <c r="Y405" s="12"/>
      <c r="Z405" s="12"/>
      <c r="AA405" s="12"/>
    </row>
    <row r="406">
      <c r="A406" s="12"/>
      <c r="B406" s="12"/>
      <c r="C406" s="12"/>
      <c r="D406" s="12"/>
      <c r="E406" s="12"/>
      <c r="F406" s="12"/>
      <c r="G406" s="12"/>
      <c r="H406" s="2"/>
      <c r="I406" s="12"/>
      <c r="J406" s="12"/>
      <c r="K406" s="12"/>
      <c r="L406" s="12"/>
      <c r="M406" s="12"/>
      <c r="N406" s="12"/>
      <c r="O406" s="12"/>
      <c r="P406" s="12"/>
      <c r="Q406" s="12"/>
      <c r="R406" s="12"/>
      <c r="S406" s="12"/>
      <c r="T406" s="12"/>
      <c r="U406" s="12"/>
      <c r="V406" s="12"/>
      <c r="W406" s="12"/>
      <c r="X406" s="12"/>
      <c r="Y406" s="12"/>
      <c r="Z406" s="12"/>
      <c r="AA406" s="12"/>
    </row>
    <row r="407">
      <c r="A407" s="12"/>
      <c r="B407" s="12"/>
      <c r="C407" s="12"/>
      <c r="D407" s="12"/>
      <c r="E407" s="12"/>
      <c r="F407" s="12"/>
      <c r="G407" s="12"/>
      <c r="H407" s="2"/>
      <c r="I407" s="12"/>
      <c r="J407" s="12"/>
      <c r="K407" s="12"/>
      <c r="L407" s="12"/>
      <c r="M407" s="12"/>
      <c r="N407" s="12"/>
      <c r="O407" s="12"/>
      <c r="P407" s="12"/>
      <c r="Q407" s="12"/>
      <c r="R407" s="12"/>
      <c r="S407" s="12"/>
      <c r="T407" s="12"/>
      <c r="U407" s="12"/>
      <c r="V407" s="12"/>
      <c r="W407" s="12"/>
      <c r="X407" s="12"/>
      <c r="Y407" s="12"/>
      <c r="Z407" s="12"/>
      <c r="AA407" s="12"/>
    </row>
    <row r="408">
      <c r="A408" s="12"/>
      <c r="B408" s="12"/>
      <c r="C408" s="12"/>
      <c r="D408" s="12"/>
      <c r="E408" s="12"/>
      <c r="F408" s="12"/>
      <c r="G408" s="12"/>
      <c r="H408" s="2"/>
      <c r="I408" s="12"/>
      <c r="J408" s="12"/>
      <c r="K408" s="12"/>
      <c r="L408" s="12"/>
      <c r="M408" s="12"/>
      <c r="N408" s="12"/>
      <c r="O408" s="12"/>
      <c r="P408" s="12"/>
      <c r="Q408" s="12"/>
      <c r="R408" s="12"/>
      <c r="S408" s="12"/>
      <c r="T408" s="12"/>
      <c r="U408" s="12"/>
      <c r="V408" s="12"/>
      <c r="W408" s="12"/>
      <c r="X408" s="12"/>
      <c r="Y408" s="12"/>
      <c r="Z408" s="12"/>
      <c r="AA408" s="12"/>
    </row>
    <row r="409">
      <c r="A409" s="12"/>
      <c r="B409" s="12"/>
      <c r="C409" s="12"/>
      <c r="D409" s="12"/>
      <c r="E409" s="12"/>
      <c r="F409" s="12"/>
      <c r="G409" s="12"/>
      <c r="H409" s="2"/>
      <c r="I409" s="12"/>
      <c r="J409" s="12"/>
      <c r="K409" s="12"/>
      <c r="L409" s="12"/>
      <c r="M409" s="12"/>
      <c r="N409" s="12"/>
      <c r="O409" s="12"/>
      <c r="P409" s="12"/>
      <c r="Q409" s="12"/>
      <c r="R409" s="12"/>
      <c r="S409" s="12"/>
      <c r="T409" s="12"/>
      <c r="U409" s="12"/>
      <c r="V409" s="12"/>
      <c r="W409" s="12"/>
      <c r="X409" s="12"/>
      <c r="Y409" s="12"/>
      <c r="Z409" s="12"/>
      <c r="AA409" s="12"/>
    </row>
    <row r="410">
      <c r="A410" s="12"/>
      <c r="B410" s="12"/>
      <c r="C410" s="12"/>
      <c r="D410" s="12"/>
      <c r="E410" s="12"/>
      <c r="F410" s="12"/>
      <c r="G410" s="12"/>
      <c r="H410" s="2"/>
      <c r="I410" s="12"/>
      <c r="J410" s="12"/>
      <c r="K410" s="12"/>
      <c r="L410" s="12"/>
      <c r="M410" s="12"/>
      <c r="N410" s="12"/>
      <c r="O410" s="12"/>
      <c r="P410" s="12"/>
      <c r="Q410" s="12"/>
      <c r="R410" s="12"/>
      <c r="S410" s="12"/>
      <c r="T410" s="12"/>
      <c r="U410" s="12"/>
      <c r="V410" s="12"/>
      <c r="W410" s="12"/>
      <c r="X410" s="12"/>
      <c r="Y410" s="12"/>
      <c r="Z410" s="12"/>
      <c r="AA410" s="12"/>
    </row>
    <row r="411">
      <c r="A411" s="12"/>
      <c r="B411" s="12"/>
      <c r="C411" s="12"/>
      <c r="D411" s="12"/>
      <c r="E411" s="12"/>
      <c r="F411" s="12"/>
      <c r="G411" s="12"/>
      <c r="H411" s="2"/>
      <c r="I411" s="12"/>
      <c r="J411" s="12"/>
      <c r="K411" s="12"/>
      <c r="L411" s="12"/>
      <c r="M411" s="12"/>
      <c r="N411" s="12"/>
      <c r="O411" s="12"/>
      <c r="P411" s="12"/>
      <c r="Q411" s="12"/>
      <c r="R411" s="12"/>
      <c r="S411" s="12"/>
      <c r="T411" s="12"/>
      <c r="U411" s="12"/>
      <c r="V411" s="12"/>
      <c r="W411" s="12"/>
      <c r="X411" s="12"/>
      <c r="Y411" s="12"/>
      <c r="Z411" s="12"/>
      <c r="AA411" s="12"/>
    </row>
    <row r="412">
      <c r="A412" s="12"/>
      <c r="B412" s="12"/>
      <c r="C412" s="12"/>
      <c r="D412" s="12"/>
      <c r="E412" s="12"/>
      <c r="F412" s="12"/>
      <c r="G412" s="12"/>
      <c r="H412" s="2"/>
      <c r="I412" s="12"/>
      <c r="J412" s="12"/>
      <c r="K412" s="12"/>
      <c r="L412" s="12"/>
      <c r="M412" s="12"/>
      <c r="N412" s="12"/>
      <c r="O412" s="12"/>
      <c r="P412" s="12"/>
      <c r="Q412" s="12"/>
      <c r="R412" s="12"/>
      <c r="S412" s="12"/>
      <c r="T412" s="12"/>
      <c r="U412" s="12"/>
      <c r="V412" s="12"/>
      <c r="W412" s="12"/>
      <c r="X412" s="12"/>
      <c r="Y412" s="12"/>
      <c r="Z412" s="12"/>
      <c r="AA412" s="12"/>
    </row>
    <row r="413">
      <c r="A413" s="12"/>
      <c r="B413" s="12"/>
      <c r="C413" s="12"/>
      <c r="D413" s="12"/>
      <c r="E413" s="12"/>
      <c r="F413" s="12"/>
      <c r="G413" s="12"/>
      <c r="H413" s="2"/>
      <c r="I413" s="12"/>
      <c r="J413" s="12"/>
      <c r="K413" s="12"/>
      <c r="L413" s="12"/>
      <c r="M413" s="12"/>
      <c r="N413" s="12"/>
      <c r="O413" s="12"/>
      <c r="P413" s="12"/>
      <c r="Q413" s="12"/>
      <c r="R413" s="12"/>
      <c r="S413" s="12"/>
      <c r="T413" s="12"/>
      <c r="U413" s="12"/>
      <c r="V413" s="12"/>
      <c r="W413" s="12"/>
      <c r="X413" s="12"/>
      <c r="Y413" s="12"/>
      <c r="Z413" s="12"/>
      <c r="AA413" s="12"/>
    </row>
    <row r="414">
      <c r="A414" s="12"/>
      <c r="B414" s="12"/>
      <c r="C414" s="12"/>
      <c r="D414" s="12"/>
      <c r="E414" s="12"/>
      <c r="F414" s="12"/>
      <c r="G414" s="12"/>
      <c r="H414" s="2"/>
      <c r="I414" s="12"/>
      <c r="J414" s="12"/>
      <c r="K414" s="12"/>
      <c r="L414" s="12"/>
      <c r="M414" s="12"/>
      <c r="N414" s="12"/>
      <c r="O414" s="12"/>
      <c r="P414" s="12"/>
      <c r="Q414" s="12"/>
      <c r="R414" s="12"/>
      <c r="S414" s="12"/>
      <c r="T414" s="12"/>
      <c r="U414" s="12"/>
      <c r="V414" s="12"/>
      <c r="W414" s="12"/>
      <c r="X414" s="12"/>
      <c r="Y414" s="12"/>
      <c r="Z414" s="12"/>
      <c r="AA414" s="12"/>
    </row>
    <row r="415">
      <c r="A415" s="12"/>
      <c r="B415" s="12"/>
      <c r="C415" s="12"/>
      <c r="D415" s="12"/>
      <c r="E415" s="12"/>
      <c r="F415" s="12"/>
      <c r="G415" s="12"/>
      <c r="H415" s="2"/>
      <c r="I415" s="12"/>
      <c r="J415" s="12"/>
      <c r="K415" s="12"/>
      <c r="L415" s="12"/>
      <c r="M415" s="12"/>
      <c r="N415" s="12"/>
      <c r="O415" s="12"/>
      <c r="P415" s="12"/>
      <c r="Q415" s="12"/>
      <c r="R415" s="12"/>
      <c r="S415" s="12"/>
      <c r="T415" s="12"/>
      <c r="U415" s="12"/>
      <c r="V415" s="12"/>
      <c r="W415" s="12"/>
      <c r="X415" s="12"/>
      <c r="Y415" s="12"/>
      <c r="Z415" s="12"/>
      <c r="AA415" s="12"/>
    </row>
    <row r="416">
      <c r="A416" s="12"/>
      <c r="B416" s="12"/>
      <c r="C416" s="12"/>
      <c r="D416" s="12"/>
      <c r="E416" s="12"/>
      <c r="F416" s="12"/>
      <c r="G416" s="12"/>
      <c r="H416" s="2"/>
      <c r="I416" s="12"/>
      <c r="J416" s="12"/>
      <c r="K416" s="12"/>
      <c r="L416" s="12"/>
      <c r="M416" s="12"/>
      <c r="N416" s="12"/>
      <c r="O416" s="12"/>
      <c r="P416" s="12"/>
      <c r="Q416" s="12"/>
      <c r="R416" s="12"/>
      <c r="S416" s="12"/>
      <c r="T416" s="12"/>
      <c r="U416" s="12"/>
      <c r="V416" s="12"/>
      <c r="W416" s="12"/>
      <c r="X416" s="12"/>
      <c r="Y416" s="12"/>
      <c r="Z416" s="12"/>
      <c r="AA416" s="12"/>
    </row>
    <row r="417">
      <c r="A417" s="12"/>
      <c r="B417" s="12"/>
      <c r="C417" s="12"/>
      <c r="D417" s="12"/>
      <c r="E417" s="12"/>
      <c r="F417" s="12"/>
      <c r="G417" s="12"/>
      <c r="H417" s="2"/>
      <c r="I417" s="12"/>
      <c r="J417" s="12"/>
      <c r="K417" s="12"/>
      <c r="L417" s="12"/>
      <c r="M417" s="12"/>
      <c r="N417" s="12"/>
      <c r="O417" s="12"/>
      <c r="P417" s="12"/>
      <c r="Q417" s="12"/>
      <c r="R417" s="12"/>
      <c r="S417" s="12"/>
      <c r="T417" s="12"/>
      <c r="U417" s="12"/>
      <c r="V417" s="12"/>
      <c r="W417" s="12"/>
      <c r="X417" s="12"/>
      <c r="Y417" s="12"/>
      <c r="Z417" s="12"/>
      <c r="AA417" s="12"/>
    </row>
    <row r="418">
      <c r="A418" s="12"/>
      <c r="B418" s="12"/>
      <c r="C418" s="12"/>
      <c r="D418" s="12"/>
      <c r="E418" s="12"/>
      <c r="F418" s="12"/>
      <c r="G418" s="12"/>
      <c r="H418" s="2"/>
      <c r="I418" s="12"/>
      <c r="J418" s="12"/>
      <c r="K418" s="12"/>
      <c r="L418" s="12"/>
      <c r="M418" s="12"/>
      <c r="N418" s="12"/>
      <c r="O418" s="12"/>
      <c r="P418" s="12"/>
      <c r="Q418" s="12"/>
      <c r="R418" s="12"/>
      <c r="S418" s="12"/>
      <c r="T418" s="12"/>
      <c r="U418" s="12"/>
      <c r="V418" s="12"/>
      <c r="W418" s="12"/>
      <c r="X418" s="12"/>
      <c r="Y418" s="12"/>
      <c r="Z418" s="12"/>
      <c r="AA418" s="12"/>
    </row>
    <row r="419">
      <c r="A419" s="12"/>
      <c r="B419" s="12"/>
      <c r="C419" s="12"/>
      <c r="D419" s="12"/>
      <c r="E419" s="12"/>
      <c r="F419" s="12"/>
      <c r="G419" s="12"/>
      <c r="H419" s="2"/>
      <c r="I419" s="12"/>
      <c r="J419" s="12"/>
      <c r="K419" s="12"/>
      <c r="L419" s="12"/>
      <c r="M419" s="12"/>
      <c r="N419" s="12"/>
      <c r="O419" s="12"/>
      <c r="P419" s="12"/>
      <c r="Q419" s="12"/>
      <c r="R419" s="12"/>
      <c r="S419" s="12"/>
      <c r="T419" s="12"/>
      <c r="U419" s="12"/>
      <c r="V419" s="12"/>
      <c r="W419" s="12"/>
      <c r="X419" s="12"/>
      <c r="Y419" s="12"/>
      <c r="Z419" s="12"/>
      <c r="AA419" s="12"/>
    </row>
    <row r="420">
      <c r="A420" s="12"/>
      <c r="B420" s="12"/>
      <c r="C420" s="12"/>
      <c r="D420" s="12"/>
      <c r="E420" s="12"/>
      <c r="F420" s="12"/>
      <c r="G420" s="12"/>
      <c r="H420" s="2"/>
      <c r="I420" s="12"/>
      <c r="J420" s="12"/>
      <c r="K420" s="12"/>
      <c r="L420" s="12"/>
      <c r="M420" s="12"/>
      <c r="N420" s="12"/>
      <c r="O420" s="12"/>
      <c r="P420" s="12"/>
      <c r="Q420" s="12"/>
      <c r="R420" s="12"/>
      <c r="S420" s="12"/>
      <c r="T420" s="12"/>
      <c r="U420" s="12"/>
      <c r="V420" s="12"/>
      <c r="W420" s="12"/>
      <c r="X420" s="12"/>
      <c r="Y420" s="12"/>
      <c r="Z420" s="12"/>
      <c r="AA420" s="12"/>
    </row>
    <row r="421">
      <c r="A421" s="12"/>
      <c r="B421" s="12"/>
      <c r="C421" s="12"/>
      <c r="D421" s="12"/>
      <c r="E421" s="12"/>
      <c r="F421" s="12"/>
      <c r="G421" s="12"/>
      <c r="H421" s="2"/>
      <c r="I421" s="12"/>
      <c r="J421" s="12"/>
      <c r="K421" s="12"/>
      <c r="L421" s="12"/>
      <c r="M421" s="12"/>
      <c r="N421" s="12"/>
      <c r="O421" s="12"/>
      <c r="P421" s="12"/>
      <c r="Q421" s="12"/>
      <c r="R421" s="12"/>
      <c r="S421" s="12"/>
      <c r="T421" s="12"/>
      <c r="U421" s="12"/>
      <c r="V421" s="12"/>
      <c r="W421" s="12"/>
      <c r="X421" s="12"/>
      <c r="Y421" s="12"/>
      <c r="Z421" s="12"/>
      <c r="AA421" s="12"/>
    </row>
    <row r="422">
      <c r="A422" s="12"/>
      <c r="B422" s="12"/>
      <c r="C422" s="12"/>
      <c r="D422" s="12"/>
      <c r="E422" s="12"/>
      <c r="F422" s="12"/>
      <c r="G422" s="12"/>
      <c r="H422" s="2"/>
      <c r="I422" s="12"/>
      <c r="J422" s="12"/>
      <c r="K422" s="12"/>
      <c r="L422" s="12"/>
      <c r="M422" s="12"/>
      <c r="N422" s="12"/>
      <c r="O422" s="12"/>
      <c r="P422" s="12"/>
      <c r="Q422" s="12"/>
      <c r="R422" s="12"/>
      <c r="S422" s="12"/>
      <c r="T422" s="12"/>
      <c r="U422" s="12"/>
      <c r="V422" s="12"/>
      <c r="W422" s="12"/>
      <c r="X422" s="12"/>
      <c r="Y422" s="12"/>
      <c r="Z422" s="12"/>
      <c r="AA422" s="12"/>
    </row>
    <row r="423">
      <c r="A423" s="12"/>
      <c r="B423" s="12"/>
      <c r="C423" s="12"/>
      <c r="D423" s="12"/>
      <c r="E423" s="12"/>
      <c r="F423" s="12"/>
      <c r="G423" s="12"/>
      <c r="H423" s="2"/>
      <c r="I423" s="12"/>
      <c r="J423" s="12"/>
      <c r="K423" s="12"/>
      <c r="L423" s="12"/>
      <c r="M423" s="12"/>
      <c r="N423" s="12"/>
      <c r="O423" s="12"/>
      <c r="P423" s="12"/>
      <c r="Q423" s="12"/>
      <c r="R423" s="12"/>
      <c r="S423" s="12"/>
      <c r="T423" s="12"/>
      <c r="U423" s="12"/>
      <c r="V423" s="12"/>
      <c r="W423" s="12"/>
      <c r="X423" s="12"/>
      <c r="Y423" s="12"/>
      <c r="Z423" s="12"/>
      <c r="AA423" s="12"/>
    </row>
    <row r="424">
      <c r="A424" s="12"/>
      <c r="B424" s="12"/>
      <c r="C424" s="12"/>
      <c r="D424" s="12"/>
      <c r="E424" s="12"/>
      <c r="F424" s="12"/>
      <c r="G424" s="12"/>
      <c r="H424" s="2"/>
      <c r="I424" s="12"/>
      <c r="J424" s="12"/>
      <c r="K424" s="12"/>
      <c r="L424" s="12"/>
      <c r="M424" s="12"/>
      <c r="N424" s="12"/>
      <c r="O424" s="12"/>
      <c r="P424" s="12"/>
      <c r="Q424" s="12"/>
      <c r="R424" s="12"/>
      <c r="S424" s="12"/>
      <c r="T424" s="12"/>
      <c r="U424" s="12"/>
      <c r="V424" s="12"/>
      <c r="W424" s="12"/>
      <c r="X424" s="12"/>
      <c r="Y424" s="12"/>
      <c r="Z424" s="12"/>
      <c r="AA424" s="12"/>
    </row>
    <row r="425">
      <c r="A425" s="12"/>
      <c r="B425" s="12"/>
      <c r="C425" s="12"/>
      <c r="D425" s="12"/>
      <c r="E425" s="12"/>
      <c r="F425" s="12"/>
      <c r="G425" s="12"/>
      <c r="H425" s="2"/>
      <c r="I425" s="12"/>
      <c r="J425" s="12"/>
      <c r="K425" s="12"/>
      <c r="L425" s="12"/>
      <c r="M425" s="12"/>
      <c r="N425" s="12"/>
      <c r="O425" s="12"/>
      <c r="P425" s="12"/>
      <c r="Q425" s="12"/>
      <c r="R425" s="12"/>
      <c r="S425" s="12"/>
      <c r="T425" s="12"/>
      <c r="U425" s="12"/>
      <c r="V425" s="12"/>
      <c r="W425" s="12"/>
      <c r="X425" s="12"/>
      <c r="Y425" s="12"/>
      <c r="Z425" s="12"/>
      <c r="AA425" s="12"/>
    </row>
    <row r="426">
      <c r="A426" s="12"/>
      <c r="B426" s="12"/>
      <c r="C426" s="12"/>
      <c r="D426" s="12"/>
      <c r="E426" s="12"/>
      <c r="F426" s="12"/>
      <c r="G426" s="12"/>
      <c r="H426" s="2"/>
      <c r="I426" s="12"/>
      <c r="J426" s="12"/>
      <c r="K426" s="12"/>
      <c r="L426" s="12"/>
      <c r="M426" s="12"/>
      <c r="N426" s="12"/>
      <c r="O426" s="12"/>
      <c r="P426" s="12"/>
      <c r="Q426" s="12"/>
      <c r="R426" s="12"/>
      <c r="S426" s="12"/>
      <c r="T426" s="12"/>
      <c r="U426" s="12"/>
      <c r="V426" s="12"/>
      <c r="W426" s="12"/>
      <c r="X426" s="12"/>
      <c r="Y426" s="12"/>
      <c r="Z426" s="12"/>
      <c r="AA426" s="12"/>
    </row>
    <row r="427">
      <c r="A427" s="12"/>
      <c r="B427" s="12"/>
      <c r="C427" s="12"/>
      <c r="D427" s="12"/>
      <c r="E427" s="12"/>
      <c r="F427" s="12"/>
      <c r="G427" s="12"/>
      <c r="H427" s="2"/>
      <c r="I427" s="12"/>
      <c r="J427" s="12"/>
      <c r="K427" s="12"/>
      <c r="L427" s="12"/>
      <c r="M427" s="12"/>
      <c r="N427" s="12"/>
      <c r="O427" s="12"/>
      <c r="P427" s="12"/>
      <c r="Q427" s="12"/>
      <c r="R427" s="12"/>
      <c r="S427" s="12"/>
      <c r="T427" s="12"/>
      <c r="U427" s="12"/>
      <c r="V427" s="12"/>
      <c r="W427" s="12"/>
      <c r="X427" s="12"/>
      <c r="Y427" s="12"/>
      <c r="Z427" s="12"/>
      <c r="AA427" s="12"/>
    </row>
    <row r="428">
      <c r="A428" s="12"/>
      <c r="B428" s="12"/>
      <c r="C428" s="12"/>
      <c r="D428" s="12"/>
      <c r="E428" s="12"/>
      <c r="F428" s="12"/>
      <c r="G428" s="12"/>
      <c r="H428" s="2"/>
      <c r="I428" s="12"/>
      <c r="J428" s="12"/>
      <c r="K428" s="12"/>
      <c r="L428" s="12"/>
      <c r="M428" s="12"/>
      <c r="N428" s="12"/>
      <c r="O428" s="12"/>
      <c r="P428" s="12"/>
      <c r="Q428" s="12"/>
      <c r="R428" s="12"/>
      <c r="S428" s="12"/>
      <c r="T428" s="12"/>
      <c r="U428" s="12"/>
      <c r="V428" s="12"/>
      <c r="W428" s="12"/>
      <c r="X428" s="12"/>
      <c r="Y428" s="12"/>
      <c r="Z428" s="12"/>
      <c r="AA428" s="12"/>
    </row>
    <row r="429">
      <c r="A429" s="12"/>
      <c r="B429" s="12"/>
      <c r="C429" s="12"/>
      <c r="D429" s="12"/>
      <c r="E429" s="12"/>
      <c r="F429" s="12"/>
      <c r="G429" s="12"/>
      <c r="H429" s="2"/>
      <c r="I429" s="12"/>
      <c r="J429" s="12"/>
      <c r="K429" s="12"/>
      <c r="L429" s="12"/>
      <c r="M429" s="12"/>
      <c r="N429" s="12"/>
      <c r="O429" s="12"/>
      <c r="P429" s="12"/>
      <c r="Q429" s="12"/>
      <c r="R429" s="12"/>
      <c r="S429" s="12"/>
      <c r="T429" s="12"/>
      <c r="U429" s="12"/>
      <c r="V429" s="12"/>
      <c r="W429" s="12"/>
      <c r="X429" s="12"/>
      <c r="Y429" s="12"/>
      <c r="Z429" s="12"/>
      <c r="AA429" s="12"/>
    </row>
    <row r="430">
      <c r="A430" s="12"/>
      <c r="B430" s="12"/>
      <c r="C430" s="12"/>
      <c r="D430" s="12"/>
      <c r="E430" s="12"/>
      <c r="F430" s="12"/>
      <c r="G430" s="12"/>
      <c r="H430" s="2"/>
      <c r="I430" s="12"/>
      <c r="J430" s="12"/>
      <c r="K430" s="12"/>
      <c r="L430" s="12"/>
      <c r="M430" s="12"/>
      <c r="N430" s="12"/>
      <c r="O430" s="12"/>
      <c r="P430" s="12"/>
      <c r="Q430" s="12"/>
      <c r="R430" s="12"/>
      <c r="S430" s="12"/>
      <c r="T430" s="12"/>
      <c r="U430" s="12"/>
      <c r="V430" s="12"/>
      <c r="W430" s="12"/>
      <c r="X430" s="12"/>
      <c r="Y430" s="12"/>
      <c r="Z430" s="12"/>
      <c r="AA430" s="12"/>
    </row>
    <row r="431">
      <c r="A431" s="12"/>
      <c r="B431" s="12"/>
      <c r="C431" s="12"/>
      <c r="D431" s="12"/>
      <c r="E431" s="12"/>
      <c r="F431" s="12"/>
      <c r="G431" s="12"/>
      <c r="H431" s="2"/>
      <c r="I431" s="12"/>
      <c r="J431" s="12"/>
      <c r="K431" s="12"/>
      <c r="L431" s="12"/>
      <c r="M431" s="12"/>
      <c r="N431" s="12"/>
      <c r="O431" s="12"/>
      <c r="P431" s="12"/>
      <c r="Q431" s="12"/>
      <c r="R431" s="12"/>
      <c r="S431" s="12"/>
      <c r="T431" s="12"/>
      <c r="U431" s="12"/>
      <c r="V431" s="12"/>
      <c r="W431" s="12"/>
      <c r="X431" s="12"/>
      <c r="Y431" s="12"/>
      <c r="Z431" s="12"/>
      <c r="AA431" s="12"/>
    </row>
    <row r="432">
      <c r="A432" s="12"/>
      <c r="B432" s="12"/>
      <c r="C432" s="12"/>
      <c r="D432" s="12"/>
      <c r="E432" s="12"/>
      <c r="F432" s="12"/>
      <c r="G432" s="12"/>
      <c r="H432" s="2"/>
      <c r="I432" s="12"/>
      <c r="J432" s="12"/>
      <c r="K432" s="12"/>
      <c r="L432" s="12"/>
      <c r="M432" s="12"/>
      <c r="N432" s="12"/>
      <c r="O432" s="12"/>
      <c r="P432" s="12"/>
      <c r="Q432" s="12"/>
      <c r="R432" s="12"/>
      <c r="S432" s="12"/>
      <c r="T432" s="12"/>
      <c r="U432" s="12"/>
      <c r="V432" s="12"/>
      <c r="W432" s="12"/>
      <c r="X432" s="12"/>
      <c r="Y432" s="12"/>
      <c r="Z432" s="12"/>
      <c r="AA432" s="12"/>
    </row>
    <row r="433">
      <c r="A433" s="12"/>
      <c r="B433" s="12"/>
      <c r="C433" s="12"/>
      <c r="D433" s="12"/>
      <c r="E433" s="12"/>
      <c r="F433" s="12"/>
      <c r="G433" s="12"/>
      <c r="H433" s="2"/>
      <c r="I433" s="12"/>
      <c r="J433" s="12"/>
      <c r="K433" s="12"/>
      <c r="L433" s="12"/>
      <c r="M433" s="12"/>
      <c r="N433" s="12"/>
      <c r="O433" s="12"/>
      <c r="P433" s="12"/>
      <c r="Q433" s="12"/>
      <c r="R433" s="12"/>
      <c r="S433" s="12"/>
      <c r="T433" s="12"/>
      <c r="U433" s="12"/>
      <c r="V433" s="12"/>
      <c r="W433" s="12"/>
      <c r="X433" s="12"/>
      <c r="Y433" s="12"/>
      <c r="Z433" s="12"/>
      <c r="AA433" s="12"/>
    </row>
    <row r="434">
      <c r="A434" s="12"/>
      <c r="B434" s="12"/>
      <c r="C434" s="12"/>
      <c r="D434" s="12"/>
      <c r="E434" s="12"/>
      <c r="F434" s="12"/>
      <c r="G434" s="12"/>
      <c r="H434" s="2"/>
      <c r="I434" s="12"/>
      <c r="J434" s="12"/>
      <c r="K434" s="12"/>
      <c r="L434" s="12"/>
      <c r="M434" s="12"/>
      <c r="N434" s="12"/>
      <c r="O434" s="12"/>
      <c r="P434" s="12"/>
      <c r="Q434" s="12"/>
      <c r="R434" s="12"/>
      <c r="S434" s="12"/>
      <c r="T434" s="12"/>
      <c r="U434" s="12"/>
      <c r="V434" s="12"/>
      <c r="W434" s="12"/>
      <c r="X434" s="12"/>
      <c r="Y434" s="12"/>
      <c r="Z434" s="12"/>
      <c r="AA434" s="12"/>
    </row>
    <row r="435">
      <c r="A435" s="12"/>
      <c r="B435" s="12"/>
      <c r="C435" s="12"/>
      <c r="D435" s="12"/>
      <c r="E435" s="12"/>
      <c r="F435" s="12"/>
      <c r="G435" s="12"/>
      <c r="H435" s="2"/>
      <c r="I435" s="12"/>
      <c r="J435" s="12"/>
      <c r="K435" s="12"/>
      <c r="L435" s="12"/>
      <c r="M435" s="12"/>
      <c r="N435" s="12"/>
      <c r="O435" s="12"/>
      <c r="P435" s="12"/>
      <c r="Q435" s="12"/>
      <c r="R435" s="12"/>
      <c r="S435" s="12"/>
      <c r="T435" s="12"/>
      <c r="U435" s="12"/>
      <c r="V435" s="12"/>
      <c r="W435" s="12"/>
      <c r="X435" s="12"/>
      <c r="Y435" s="12"/>
      <c r="Z435" s="12"/>
      <c r="AA435" s="12"/>
    </row>
    <row r="436">
      <c r="A436" s="12"/>
      <c r="B436" s="12"/>
      <c r="C436" s="12"/>
      <c r="D436" s="12"/>
      <c r="E436" s="12"/>
      <c r="F436" s="12"/>
      <c r="G436" s="12"/>
      <c r="H436" s="2"/>
      <c r="I436" s="12"/>
      <c r="J436" s="12"/>
      <c r="K436" s="12"/>
      <c r="L436" s="12"/>
      <c r="M436" s="12"/>
      <c r="N436" s="12"/>
      <c r="O436" s="12"/>
      <c r="P436" s="12"/>
      <c r="Q436" s="12"/>
      <c r="R436" s="12"/>
      <c r="S436" s="12"/>
      <c r="T436" s="12"/>
      <c r="U436" s="12"/>
      <c r="V436" s="12"/>
      <c r="W436" s="12"/>
      <c r="X436" s="12"/>
      <c r="Y436" s="12"/>
      <c r="Z436" s="12"/>
      <c r="AA436" s="12"/>
    </row>
    <row r="437">
      <c r="A437" s="12"/>
      <c r="B437" s="12"/>
      <c r="C437" s="12"/>
      <c r="D437" s="12"/>
      <c r="E437" s="12"/>
      <c r="F437" s="12"/>
      <c r="G437" s="12"/>
      <c r="H437" s="2"/>
      <c r="I437" s="12"/>
      <c r="J437" s="12"/>
      <c r="K437" s="12"/>
      <c r="L437" s="12"/>
      <c r="M437" s="12"/>
      <c r="N437" s="12"/>
      <c r="O437" s="12"/>
      <c r="P437" s="12"/>
      <c r="Q437" s="12"/>
      <c r="R437" s="12"/>
      <c r="S437" s="12"/>
      <c r="T437" s="12"/>
      <c r="U437" s="12"/>
      <c r="V437" s="12"/>
      <c r="W437" s="12"/>
      <c r="X437" s="12"/>
      <c r="Y437" s="12"/>
      <c r="Z437" s="12"/>
      <c r="AA437" s="12"/>
    </row>
    <row r="438">
      <c r="A438" s="12"/>
      <c r="B438" s="12"/>
      <c r="C438" s="12"/>
      <c r="D438" s="12"/>
      <c r="E438" s="12"/>
      <c r="F438" s="12"/>
      <c r="G438" s="12"/>
      <c r="H438" s="2"/>
      <c r="I438" s="12"/>
      <c r="J438" s="12"/>
      <c r="K438" s="12"/>
      <c r="L438" s="12"/>
      <c r="M438" s="12"/>
      <c r="N438" s="12"/>
      <c r="O438" s="12"/>
      <c r="P438" s="12"/>
      <c r="Q438" s="12"/>
      <c r="R438" s="12"/>
      <c r="S438" s="12"/>
      <c r="T438" s="12"/>
      <c r="U438" s="12"/>
      <c r="V438" s="12"/>
      <c r="W438" s="12"/>
      <c r="X438" s="12"/>
      <c r="Y438" s="12"/>
      <c r="Z438" s="12"/>
      <c r="AA438" s="12"/>
    </row>
    <row r="439">
      <c r="A439" s="12"/>
      <c r="B439" s="12"/>
      <c r="C439" s="12"/>
      <c r="D439" s="12"/>
      <c r="E439" s="12"/>
      <c r="F439" s="12"/>
      <c r="G439" s="12"/>
      <c r="H439" s="2"/>
      <c r="I439" s="12"/>
      <c r="J439" s="12"/>
      <c r="K439" s="12"/>
      <c r="L439" s="12"/>
      <c r="M439" s="12"/>
      <c r="N439" s="12"/>
      <c r="O439" s="12"/>
      <c r="P439" s="12"/>
      <c r="Q439" s="12"/>
      <c r="R439" s="12"/>
      <c r="S439" s="12"/>
      <c r="T439" s="12"/>
      <c r="U439" s="12"/>
      <c r="V439" s="12"/>
      <c r="W439" s="12"/>
      <c r="X439" s="12"/>
      <c r="Y439" s="12"/>
      <c r="Z439" s="12"/>
      <c r="AA439" s="12"/>
    </row>
    <row r="440">
      <c r="A440" s="12"/>
      <c r="B440" s="12"/>
      <c r="C440" s="12"/>
      <c r="D440" s="12"/>
      <c r="E440" s="12"/>
      <c r="F440" s="12"/>
      <c r="G440" s="12"/>
      <c r="H440" s="2"/>
      <c r="I440" s="12"/>
      <c r="J440" s="12"/>
      <c r="K440" s="12"/>
      <c r="L440" s="12"/>
      <c r="M440" s="12"/>
      <c r="N440" s="12"/>
      <c r="O440" s="12"/>
      <c r="P440" s="12"/>
      <c r="Q440" s="12"/>
      <c r="R440" s="12"/>
      <c r="S440" s="12"/>
      <c r="T440" s="12"/>
      <c r="U440" s="12"/>
      <c r="V440" s="12"/>
      <c r="W440" s="12"/>
      <c r="X440" s="12"/>
      <c r="Y440" s="12"/>
      <c r="Z440" s="12"/>
      <c r="AA440" s="12"/>
    </row>
    <row r="441">
      <c r="A441" s="12"/>
      <c r="B441" s="12"/>
      <c r="C441" s="12"/>
      <c r="D441" s="12"/>
      <c r="E441" s="12"/>
      <c r="F441" s="12"/>
      <c r="G441" s="12"/>
      <c r="H441" s="2"/>
      <c r="I441" s="12"/>
      <c r="J441" s="12"/>
      <c r="K441" s="12"/>
      <c r="L441" s="12"/>
      <c r="M441" s="12"/>
      <c r="N441" s="12"/>
      <c r="O441" s="12"/>
      <c r="P441" s="12"/>
      <c r="Q441" s="12"/>
      <c r="R441" s="12"/>
      <c r="S441" s="12"/>
      <c r="T441" s="12"/>
      <c r="U441" s="12"/>
      <c r="V441" s="12"/>
      <c r="W441" s="12"/>
      <c r="X441" s="12"/>
      <c r="Y441" s="12"/>
      <c r="Z441" s="12"/>
      <c r="AA441" s="12"/>
    </row>
    <row r="442">
      <c r="A442" s="12"/>
      <c r="B442" s="12"/>
      <c r="C442" s="12"/>
      <c r="D442" s="12"/>
      <c r="E442" s="12"/>
      <c r="F442" s="12"/>
      <c r="G442" s="12"/>
      <c r="H442" s="2"/>
      <c r="I442" s="12"/>
      <c r="J442" s="12"/>
      <c r="K442" s="12"/>
      <c r="L442" s="12"/>
      <c r="M442" s="12"/>
      <c r="N442" s="12"/>
      <c r="O442" s="12"/>
      <c r="P442" s="12"/>
      <c r="Q442" s="12"/>
      <c r="R442" s="12"/>
      <c r="S442" s="12"/>
      <c r="T442" s="12"/>
      <c r="U442" s="12"/>
      <c r="V442" s="12"/>
      <c r="W442" s="12"/>
      <c r="X442" s="12"/>
      <c r="Y442" s="12"/>
      <c r="Z442" s="12"/>
      <c r="AA442" s="12"/>
    </row>
    <row r="443">
      <c r="A443" s="12"/>
      <c r="B443" s="12"/>
      <c r="C443" s="12"/>
      <c r="D443" s="12"/>
      <c r="E443" s="12"/>
      <c r="F443" s="12"/>
      <c r="G443" s="12"/>
      <c r="H443" s="2"/>
      <c r="I443" s="12"/>
      <c r="J443" s="12"/>
      <c r="K443" s="12"/>
      <c r="L443" s="12"/>
      <c r="M443" s="12"/>
      <c r="N443" s="12"/>
      <c r="O443" s="12"/>
      <c r="P443" s="12"/>
      <c r="Q443" s="12"/>
      <c r="R443" s="12"/>
      <c r="S443" s="12"/>
      <c r="T443" s="12"/>
      <c r="U443" s="12"/>
      <c r="V443" s="12"/>
      <c r="W443" s="12"/>
      <c r="X443" s="12"/>
      <c r="Y443" s="12"/>
      <c r="Z443" s="12"/>
      <c r="AA443" s="12"/>
    </row>
    <row r="444">
      <c r="A444" s="12"/>
      <c r="B444" s="12"/>
      <c r="C444" s="12"/>
      <c r="D444" s="12"/>
      <c r="E444" s="12"/>
      <c r="F444" s="12"/>
      <c r="G444" s="12"/>
      <c r="H444" s="2"/>
      <c r="I444" s="12"/>
      <c r="J444" s="12"/>
      <c r="K444" s="12"/>
      <c r="L444" s="12"/>
      <c r="M444" s="12"/>
      <c r="N444" s="12"/>
      <c r="O444" s="12"/>
      <c r="P444" s="12"/>
      <c r="Q444" s="12"/>
      <c r="R444" s="12"/>
      <c r="S444" s="12"/>
      <c r="T444" s="12"/>
      <c r="U444" s="12"/>
      <c r="V444" s="12"/>
      <c r="W444" s="12"/>
      <c r="X444" s="12"/>
      <c r="Y444" s="12"/>
      <c r="Z444" s="12"/>
      <c r="AA444" s="12"/>
    </row>
    <row r="445">
      <c r="A445" s="12"/>
      <c r="B445" s="12"/>
      <c r="C445" s="12"/>
      <c r="D445" s="12"/>
      <c r="E445" s="12"/>
      <c r="F445" s="12"/>
      <c r="G445" s="12"/>
      <c r="H445" s="2"/>
      <c r="I445" s="12"/>
      <c r="J445" s="12"/>
      <c r="K445" s="12"/>
      <c r="L445" s="12"/>
      <c r="M445" s="12"/>
      <c r="N445" s="12"/>
      <c r="O445" s="12"/>
      <c r="P445" s="12"/>
      <c r="Q445" s="12"/>
      <c r="R445" s="12"/>
      <c r="S445" s="12"/>
      <c r="T445" s="12"/>
      <c r="U445" s="12"/>
      <c r="V445" s="12"/>
      <c r="W445" s="12"/>
      <c r="X445" s="12"/>
      <c r="Y445" s="12"/>
      <c r="Z445" s="12"/>
      <c r="AA445" s="12"/>
    </row>
    <row r="446">
      <c r="A446" s="12"/>
      <c r="B446" s="12"/>
      <c r="C446" s="12"/>
      <c r="D446" s="12"/>
      <c r="E446" s="12"/>
      <c r="F446" s="12"/>
      <c r="G446" s="12"/>
      <c r="H446" s="2"/>
      <c r="I446" s="12"/>
      <c r="J446" s="12"/>
      <c r="K446" s="12"/>
      <c r="L446" s="12"/>
      <c r="M446" s="12"/>
      <c r="N446" s="12"/>
      <c r="O446" s="12"/>
      <c r="P446" s="12"/>
      <c r="Q446" s="12"/>
      <c r="R446" s="12"/>
      <c r="S446" s="12"/>
      <c r="T446" s="12"/>
      <c r="U446" s="12"/>
      <c r="V446" s="12"/>
      <c r="W446" s="12"/>
      <c r="X446" s="12"/>
      <c r="Y446" s="12"/>
      <c r="Z446" s="12"/>
      <c r="AA446" s="12"/>
    </row>
    <row r="447">
      <c r="A447" s="12"/>
      <c r="B447" s="12"/>
      <c r="C447" s="12"/>
      <c r="D447" s="12"/>
      <c r="E447" s="12"/>
      <c r="F447" s="12"/>
      <c r="G447" s="12"/>
      <c r="H447" s="2"/>
      <c r="I447" s="12"/>
      <c r="J447" s="12"/>
      <c r="K447" s="12"/>
      <c r="L447" s="12"/>
      <c r="M447" s="12"/>
      <c r="N447" s="12"/>
      <c r="O447" s="12"/>
      <c r="P447" s="12"/>
      <c r="Q447" s="12"/>
      <c r="R447" s="12"/>
      <c r="S447" s="12"/>
      <c r="T447" s="12"/>
      <c r="U447" s="12"/>
      <c r="V447" s="12"/>
      <c r="W447" s="12"/>
      <c r="X447" s="12"/>
      <c r="Y447" s="12"/>
      <c r="Z447" s="12"/>
      <c r="AA447" s="12"/>
    </row>
    <row r="448">
      <c r="A448" s="12"/>
      <c r="B448" s="12"/>
      <c r="C448" s="12"/>
      <c r="D448" s="12"/>
      <c r="E448" s="12"/>
      <c r="F448" s="12"/>
      <c r="G448" s="12"/>
      <c r="H448" s="2"/>
      <c r="I448" s="12"/>
      <c r="J448" s="12"/>
      <c r="K448" s="12"/>
      <c r="L448" s="12"/>
      <c r="M448" s="12"/>
      <c r="N448" s="12"/>
      <c r="O448" s="12"/>
      <c r="P448" s="12"/>
      <c r="Q448" s="12"/>
      <c r="R448" s="12"/>
      <c r="S448" s="12"/>
      <c r="T448" s="12"/>
      <c r="U448" s="12"/>
      <c r="V448" s="12"/>
      <c r="W448" s="12"/>
      <c r="X448" s="12"/>
      <c r="Y448" s="12"/>
      <c r="Z448" s="12"/>
      <c r="AA448" s="12"/>
    </row>
    <row r="449">
      <c r="A449" s="12"/>
      <c r="B449" s="12"/>
      <c r="C449" s="12"/>
      <c r="D449" s="12"/>
      <c r="E449" s="12"/>
      <c r="F449" s="12"/>
      <c r="G449" s="12"/>
      <c r="H449" s="2"/>
      <c r="I449" s="12"/>
      <c r="J449" s="12"/>
      <c r="K449" s="12"/>
      <c r="L449" s="12"/>
      <c r="M449" s="12"/>
      <c r="N449" s="12"/>
      <c r="O449" s="12"/>
      <c r="P449" s="12"/>
      <c r="Q449" s="12"/>
      <c r="R449" s="12"/>
      <c r="S449" s="12"/>
      <c r="T449" s="12"/>
      <c r="U449" s="12"/>
      <c r="V449" s="12"/>
      <c r="W449" s="12"/>
      <c r="X449" s="12"/>
      <c r="Y449" s="12"/>
      <c r="Z449" s="12"/>
      <c r="AA449" s="12"/>
    </row>
    <row r="450">
      <c r="A450" s="12"/>
      <c r="B450" s="12"/>
      <c r="C450" s="12"/>
      <c r="D450" s="12"/>
      <c r="E450" s="12"/>
      <c r="F450" s="12"/>
      <c r="G450" s="12"/>
      <c r="H450" s="2"/>
      <c r="I450" s="12"/>
      <c r="J450" s="12"/>
      <c r="K450" s="12"/>
      <c r="L450" s="12"/>
      <c r="M450" s="12"/>
      <c r="N450" s="12"/>
      <c r="O450" s="12"/>
      <c r="P450" s="12"/>
      <c r="Q450" s="12"/>
      <c r="R450" s="12"/>
      <c r="S450" s="12"/>
      <c r="T450" s="12"/>
      <c r="U450" s="12"/>
      <c r="V450" s="12"/>
      <c r="W450" s="12"/>
      <c r="X450" s="12"/>
      <c r="Y450" s="12"/>
      <c r="Z450" s="12"/>
      <c r="AA450" s="12"/>
    </row>
    <row r="451">
      <c r="A451" s="12"/>
      <c r="B451" s="12"/>
      <c r="C451" s="12"/>
      <c r="D451" s="12"/>
      <c r="E451" s="12"/>
      <c r="F451" s="12"/>
      <c r="G451" s="12"/>
      <c r="H451" s="2"/>
      <c r="I451" s="12"/>
      <c r="J451" s="12"/>
      <c r="K451" s="12"/>
      <c r="L451" s="12"/>
      <c r="M451" s="12"/>
      <c r="N451" s="12"/>
      <c r="O451" s="12"/>
      <c r="P451" s="12"/>
      <c r="Q451" s="12"/>
      <c r="R451" s="12"/>
      <c r="S451" s="12"/>
      <c r="T451" s="12"/>
      <c r="U451" s="12"/>
      <c r="V451" s="12"/>
      <c r="W451" s="12"/>
      <c r="X451" s="12"/>
      <c r="Y451" s="12"/>
      <c r="Z451" s="12"/>
      <c r="AA451" s="12"/>
    </row>
    <row r="452">
      <c r="A452" s="12"/>
      <c r="B452" s="12"/>
      <c r="C452" s="12"/>
      <c r="D452" s="12"/>
      <c r="E452" s="12"/>
      <c r="F452" s="12"/>
      <c r="G452" s="12"/>
      <c r="H452" s="2"/>
      <c r="I452" s="12"/>
      <c r="J452" s="12"/>
      <c r="K452" s="12"/>
      <c r="L452" s="12"/>
      <c r="M452" s="12"/>
      <c r="N452" s="12"/>
      <c r="O452" s="12"/>
      <c r="P452" s="12"/>
      <c r="Q452" s="12"/>
      <c r="R452" s="12"/>
      <c r="S452" s="12"/>
      <c r="T452" s="12"/>
      <c r="U452" s="12"/>
      <c r="V452" s="12"/>
      <c r="W452" s="12"/>
      <c r="X452" s="12"/>
      <c r="Y452" s="12"/>
      <c r="Z452" s="12"/>
      <c r="AA452" s="12"/>
    </row>
    <row r="453">
      <c r="A453" s="12"/>
      <c r="B453" s="12"/>
      <c r="C453" s="12"/>
      <c r="D453" s="12"/>
      <c r="E453" s="12"/>
      <c r="F453" s="12"/>
      <c r="G453" s="12"/>
      <c r="H453" s="2"/>
      <c r="I453" s="12"/>
      <c r="J453" s="12"/>
      <c r="K453" s="12"/>
      <c r="L453" s="12"/>
      <c r="M453" s="12"/>
      <c r="N453" s="12"/>
      <c r="O453" s="12"/>
      <c r="P453" s="12"/>
      <c r="Q453" s="12"/>
      <c r="R453" s="12"/>
      <c r="S453" s="12"/>
      <c r="T453" s="12"/>
      <c r="U453" s="12"/>
      <c r="V453" s="12"/>
      <c r="W453" s="12"/>
      <c r="X453" s="12"/>
      <c r="Y453" s="12"/>
      <c r="Z453" s="12"/>
      <c r="AA453" s="12"/>
    </row>
    <row r="454">
      <c r="A454" s="12"/>
      <c r="B454" s="12"/>
      <c r="C454" s="12"/>
      <c r="D454" s="12"/>
      <c r="E454" s="12"/>
      <c r="F454" s="12"/>
      <c r="G454" s="12"/>
      <c r="H454" s="2"/>
      <c r="I454" s="12"/>
      <c r="J454" s="12"/>
      <c r="K454" s="12"/>
      <c r="L454" s="12"/>
      <c r="M454" s="12"/>
      <c r="N454" s="12"/>
      <c r="O454" s="12"/>
      <c r="P454" s="12"/>
      <c r="Q454" s="12"/>
      <c r="R454" s="12"/>
      <c r="S454" s="12"/>
      <c r="T454" s="12"/>
      <c r="U454" s="12"/>
      <c r="V454" s="12"/>
      <c r="W454" s="12"/>
      <c r="X454" s="12"/>
      <c r="Y454" s="12"/>
      <c r="Z454" s="12"/>
      <c r="AA454" s="12"/>
    </row>
    <row r="455">
      <c r="A455" s="12"/>
      <c r="B455" s="12"/>
      <c r="C455" s="12"/>
      <c r="D455" s="12"/>
      <c r="E455" s="12"/>
      <c r="F455" s="12"/>
      <c r="G455" s="12"/>
      <c r="H455" s="2"/>
      <c r="I455" s="12"/>
      <c r="J455" s="12"/>
      <c r="K455" s="12"/>
      <c r="L455" s="12"/>
      <c r="M455" s="12"/>
      <c r="N455" s="12"/>
      <c r="O455" s="12"/>
      <c r="P455" s="12"/>
      <c r="Q455" s="12"/>
      <c r="R455" s="12"/>
      <c r="S455" s="12"/>
      <c r="T455" s="12"/>
      <c r="U455" s="12"/>
      <c r="V455" s="12"/>
      <c r="W455" s="12"/>
      <c r="X455" s="12"/>
      <c r="Y455" s="12"/>
      <c r="Z455" s="12"/>
      <c r="AA455" s="12"/>
    </row>
    <row r="456">
      <c r="A456" s="12"/>
      <c r="B456" s="12"/>
      <c r="C456" s="12"/>
      <c r="D456" s="12"/>
      <c r="E456" s="12"/>
      <c r="F456" s="12"/>
      <c r="G456" s="12"/>
      <c r="H456" s="2"/>
      <c r="I456" s="12"/>
      <c r="J456" s="12"/>
      <c r="K456" s="12"/>
      <c r="L456" s="12"/>
      <c r="M456" s="12"/>
      <c r="N456" s="12"/>
      <c r="O456" s="12"/>
      <c r="P456" s="12"/>
      <c r="Q456" s="12"/>
      <c r="R456" s="12"/>
      <c r="S456" s="12"/>
      <c r="T456" s="12"/>
      <c r="U456" s="12"/>
      <c r="V456" s="12"/>
      <c r="W456" s="12"/>
      <c r="X456" s="12"/>
      <c r="Y456" s="12"/>
      <c r="Z456" s="12"/>
      <c r="AA456" s="12"/>
    </row>
    <row r="457">
      <c r="A457" s="12"/>
      <c r="B457" s="12"/>
      <c r="C457" s="12"/>
      <c r="D457" s="12"/>
      <c r="E457" s="12"/>
      <c r="F457" s="12"/>
      <c r="G457" s="12"/>
      <c r="H457" s="2"/>
      <c r="I457" s="12"/>
      <c r="J457" s="12"/>
      <c r="K457" s="12"/>
      <c r="L457" s="12"/>
      <c r="M457" s="12"/>
      <c r="N457" s="12"/>
      <c r="O457" s="12"/>
      <c r="P457" s="12"/>
      <c r="Q457" s="12"/>
      <c r="R457" s="12"/>
      <c r="S457" s="12"/>
      <c r="T457" s="12"/>
      <c r="U457" s="12"/>
      <c r="V457" s="12"/>
      <c r="W457" s="12"/>
      <c r="X457" s="12"/>
      <c r="Y457" s="12"/>
      <c r="Z457" s="12"/>
      <c r="AA457" s="12"/>
    </row>
    <row r="458">
      <c r="A458" s="12"/>
      <c r="B458" s="12"/>
      <c r="C458" s="12"/>
      <c r="D458" s="12"/>
      <c r="E458" s="12"/>
      <c r="F458" s="12"/>
      <c r="G458" s="12"/>
      <c r="H458" s="2"/>
      <c r="I458" s="12"/>
      <c r="J458" s="12"/>
      <c r="K458" s="12"/>
      <c r="L458" s="12"/>
      <c r="M458" s="12"/>
      <c r="N458" s="12"/>
      <c r="O458" s="12"/>
      <c r="P458" s="12"/>
      <c r="Q458" s="12"/>
      <c r="R458" s="12"/>
      <c r="S458" s="12"/>
      <c r="T458" s="12"/>
      <c r="U458" s="12"/>
      <c r="V458" s="12"/>
      <c r="W458" s="12"/>
      <c r="X458" s="12"/>
      <c r="Y458" s="12"/>
      <c r="Z458" s="12"/>
      <c r="AA458" s="12"/>
    </row>
    <row r="459">
      <c r="A459" s="12"/>
      <c r="B459" s="12"/>
      <c r="C459" s="12"/>
      <c r="D459" s="12"/>
      <c r="E459" s="12"/>
      <c r="F459" s="12"/>
      <c r="G459" s="12"/>
      <c r="H459" s="2"/>
      <c r="I459" s="12"/>
      <c r="J459" s="12"/>
      <c r="K459" s="12"/>
      <c r="L459" s="12"/>
      <c r="M459" s="12"/>
      <c r="N459" s="12"/>
      <c r="O459" s="12"/>
      <c r="P459" s="12"/>
      <c r="Q459" s="12"/>
      <c r="R459" s="12"/>
      <c r="S459" s="12"/>
      <c r="T459" s="12"/>
      <c r="U459" s="12"/>
      <c r="V459" s="12"/>
      <c r="W459" s="12"/>
      <c r="X459" s="12"/>
      <c r="Y459" s="12"/>
      <c r="Z459" s="12"/>
      <c r="AA459" s="12"/>
    </row>
    <row r="460">
      <c r="A460" s="12"/>
      <c r="B460" s="12"/>
      <c r="C460" s="12"/>
      <c r="D460" s="12"/>
      <c r="E460" s="12"/>
      <c r="F460" s="12"/>
      <c r="G460" s="12"/>
      <c r="H460" s="2"/>
      <c r="I460" s="12"/>
      <c r="J460" s="12"/>
      <c r="K460" s="12"/>
      <c r="L460" s="12"/>
      <c r="M460" s="12"/>
      <c r="N460" s="12"/>
      <c r="O460" s="12"/>
      <c r="P460" s="12"/>
      <c r="Q460" s="12"/>
      <c r="R460" s="12"/>
      <c r="S460" s="12"/>
      <c r="T460" s="12"/>
      <c r="U460" s="12"/>
      <c r="V460" s="12"/>
      <c r="W460" s="12"/>
      <c r="X460" s="12"/>
      <c r="Y460" s="12"/>
      <c r="Z460" s="12"/>
      <c r="AA460" s="12"/>
    </row>
    <row r="461">
      <c r="A461" s="12"/>
      <c r="B461" s="12"/>
      <c r="C461" s="12"/>
      <c r="D461" s="12"/>
      <c r="E461" s="12"/>
      <c r="F461" s="12"/>
      <c r="G461" s="12"/>
      <c r="H461" s="2"/>
      <c r="I461" s="12"/>
      <c r="J461" s="12"/>
      <c r="K461" s="12"/>
      <c r="L461" s="12"/>
      <c r="M461" s="12"/>
      <c r="N461" s="12"/>
      <c r="O461" s="12"/>
      <c r="P461" s="12"/>
      <c r="Q461" s="12"/>
      <c r="R461" s="12"/>
      <c r="S461" s="12"/>
      <c r="T461" s="12"/>
      <c r="U461" s="12"/>
      <c r="V461" s="12"/>
      <c r="W461" s="12"/>
      <c r="X461" s="12"/>
      <c r="Y461" s="12"/>
      <c r="Z461" s="12"/>
      <c r="AA461" s="12"/>
    </row>
    <row r="462">
      <c r="A462" s="12"/>
      <c r="B462" s="12"/>
      <c r="C462" s="12"/>
      <c r="D462" s="12"/>
      <c r="E462" s="12"/>
      <c r="F462" s="12"/>
      <c r="G462" s="12"/>
      <c r="H462" s="2"/>
      <c r="I462" s="12"/>
      <c r="J462" s="12"/>
      <c r="K462" s="12"/>
      <c r="L462" s="12"/>
      <c r="M462" s="12"/>
      <c r="N462" s="12"/>
      <c r="O462" s="12"/>
      <c r="P462" s="12"/>
      <c r="Q462" s="12"/>
      <c r="R462" s="12"/>
      <c r="S462" s="12"/>
      <c r="T462" s="12"/>
      <c r="U462" s="12"/>
      <c r="V462" s="12"/>
      <c r="W462" s="12"/>
      <c r="X462" s="12"/>
      <c r="Y462" s="12"/>
      <c r="Z462" s="12"/>
      <c r="AA462" s="12"/>
    </row>
    <row r="463">
      <c r="A463" s="12"/>
      <c r="B463" s="12"/>
      <c r="C463" s="12"/>
      <c r="D463" s="12"/>
      <c r="E463" s="12"/>
      <c r="F463" s="12"/>
      <c r="G463" s="12"/>
      <c r="H463" s="2"/>
      <c r="I463" s="12"/>
      <c r="J463" s="12"/>
      <c r="K463" s="12"/>
      <c r="L463" s="12"/>
      <c r="M463" s="12"/>
      <c r="N463" s="12"/>
      <c r="O463" s="12"/>
      <c r="P463" s="12"/>
      <c r="Q463" s="12"/>
      <c r="R463" s="12"/>
      <c r="S463" s="12"/>
      <c r="T463" s="12"/>
      <c r="U463" s="12"/>
      <c r="V463" s="12"/>
      <c r="W463" s="12"/>
      <c r="X463" s="12"/>
      <c r="Y463" s="12"/>
      <c r="Z463" s="12"/>
      <c r="AA463" s="12"/>
    </row>
    <row r="464">
      <c r="A464" s="12"/>
      <c r="B464" s="12"/>
      <c r="C464" s="12"/>
      <c r="D464" s="12"/>
      <c r="E464" s="12"/>
      <c r="F464" s="12"/>
      <c r="G464" s="12"/>
      <c r="H464" s="2"/>
      <c r="I464" s="12"/>
      <c r="J464" s="12"/>
      <c r="K464" s="12"/>
      <c r="L464" s="12"/>
      <c r="M464" s="12"/>
      <c r="N464" s="12"/>
      <c r="O464" s="12"/>
      <c r="P464" s="12"/>
      <c r="Q464" s="12"/>
      <c r="R464" s="12"/>
      <c r="S464" s="12"/>
      <c r="T464" s="12"/>
      <c r="U464" s="12"/>
      <c r="V464" s="12"/>
      <c r="W464" s="12"/>
      <c r="X464" s="12"/>
      <c r="Y464" s="12"/>
      <c r="Z464" s="12"/>
      <c r="AA464" s="12"/>
    </row>
    <row r="465">
      <c r="A465" s="12"/>
      <c r="B465" s="12"/>
      <c r="C465" s="12"/>
      <c r="D465" s="12"/>
      <c r="E465" s="12"/>
      <c r="F465" s="12"/>
      <c r="G465" s="12"/>
      <c r="H465" s="2"/>
      <c r="I465" s="12"/>
      <c r="J465" s="12"/>
      <c r="K465" s="12"/>
      <c r="L465" s="12"/>
      <c r="M465" s="12"/>
      <c r="N465" s="12"/>
      <c r="O465" s="12"/>
      <c r="P465" s="12"/>
      <c r="Q465" s="12"/>
      <c r="R465" s="12"/>
      <c r="S465" s="12"/>
      <c r="T465" s="12"/>
      <c r="U465" s="12"/>
      <c r="V465" s="12"/>
      <c r="W465" s="12"/>
      <c r="X465" s="12"/>
      <c r="Y465" s="12"/>
      <c r="Z465" s="12"/>
      <c r="AA465" s="12"/>
    </row>
    <row r="466">
      <c r="A466" s="12"/>
      <c r="B466" s="12"/>
      <c r="C466" s="12"/>
      <c r="D466" s="12"/>
      <c r="E466" s="12"/>
      <c r="F466" s="12"/>
      <c r="G466" s="12"/>
      <c r="H466" s="2"/>
      <c r="I466" s="12"/>
      <c r="J466" s="12"/>
      <c r="K466" s="12"/>
      <c r="L466" s="12"/>
      <c r="M466" s="12"/>
      <c r="N466" s="12"/>
      <c r="O466" s="12"/>
      <c r="P466" s="12"/>
      <c r="Q466" s="12"/>
      <c r="R466" s="12"/>
      <c r="S466" s="12"/>
      <c r="T466" s="12"/>
      <c r="U466" s="12"/>
      <c r="V466" s="12"/>
      <c r="W466" s="12"/>
      <c r="X466" s="12"/>
      <c r="Y466" s="12"/>
      <c r="Z466" s="12"/>
      <c r="AA466" s="12"/>
    </row>
    <row r="467">
      <c r="A467" s="12"/>
      <c r="B467" s="12"/>
      <c r="C467" s="12"/>
      <c r="D467" s="12"/>
      <c r="E467" s="12"/>
      <c r="F467" s="12"/>
      <c r="G467" s="12"/>
      <c r="H467" s="2"/>
      <c r="I467" s="12"/>
      <c r="J467" s="12"/>
      <c r="K467" s="12"/>
      <c r="L467" s="12"/>
      <c r="M467" s="12"/>
      <c r="N467" s="12"/>
      <c r="O467" s="12"/>
      <c r="P467" s="12"/>
      <c r="Q467" s="12"/>
      <c r="R467" s="12"/>
      <c r="S467" s="12"/>
      <c r="T467" s="12"/>
      <c r="U467" s="12"/>
      <c r="V467" s="12"/>
      <c r="W467" s="12"/>
      <c r="X467" s="12"/>
      <c r="Y467" s="12"/>
      <c r="Z467" s="12"/>
      <c r="AA467" s="12"/>
    </row>
    <row r="468">
      <c r="A468" s="12"/>
      <c r="B468" s="12"/>
      <c r="C468" s="12"/>
      <c r="D468" s="12"/>
      <c r="E468" s="12"/>
      <c r="F468" s="12"/>
      <c r="G468" s="12"/>
      <c r="H468" s="2"/>
      <c r="I468" s="12"/>
      <c r="J468" s="12"/>
      <c r="K468" s="12"/>
      <c r="L468" s="12"/>
      <c r="M468" s="12"/>
      <c r="N468" s="12"/>
      <c r="O468" s="12"/>
      <c r="P468" s="12"/>
      <c r="Q468" s="12"/>
      <c r="R468" s="12"/>
      <c r="S468" s="12"/>
      <c r="T468" s="12"/>
      <c r="U468" s="12"/>
      <c r="V468" s="12"/>
      <c r="W468" s="12"/>
      <c r="X468" s="12"/>
      <c r="Y468" s="12"/>
      <c r="Z468" s="12"/>
      <c r="AA468" s="12"/>
    </row>
    <row r="469">
      <c r="A469" s="12"/>
      <c r="B469" s="12"/>
      <c r="C469" s="12"/>
      <c r="D469" s="12"/>
      <c r="E469" s="12"/>
      <c r="F469" s="12"/>
      <c r="G469" s="12"/>
      <c r="H469" s="2"/>
      <c r="I469" s="12"/>
      <c r="J469" s="12"/>
      <c r="K469" s="12"/>
      <c r="L469" s="12"/>
      <c r="M469" s="12"/>
      <c r="N469" s="12"/>
      <c r="O469" s="12"/>
      <c r="P469" s="12"/>
      <c r="Q469" s="12"/>
      <c r="R469" s="12"/>
      <c r="S469" s="12"/>
      <c r="T469" s="12"/>
      <c r="U469" s="12"/>
      <c r="V469" s="12"/>
      <c r="W469" s="12"/>
      <c r="X469" s="12"/>
      <c r="Y469" s="12"/>
      <c r="Z469" s="12"/>
      <c r="AA469" s="12"/>
    </row>
    <row r="470">
      <c r="A470" s="12"/>
      <c r="B470" s="12"/>
      <c r="C470" s="12"/>
      <c r="D470" s="12"/>
      <c r="E470" s="12"/>
      <c r="F470" s="12"/>
      <c r="G470" s="12"/>
      <c r="H470" s="2"/>
      <c r="I470" s="12"/>
      <c r="J470" s="12"/>
      <c r="K470" s="12"/>
      <c r="L470" s="12"/>
      <c r="M470" s="12"/>
      <c r="N470" s="12"/>
      <c r="O470" s="12"/>
      <c r="P470" s="12"/>
      <c r="Q470" s="12"/>
      <c r="R470" s="12"/>
      <c r="S470" s="12"/>
      <c r="T470" s="12"/>
      <c r="U470" s="12"/>
      <c r="V470" s="12"/>
      <c r="W470" s="12"/>
      <c r="X470" s="12"/>
      <c r="Y470" s="12"/>
      <c r="Z470" s="12"/>
      <c r="AA470" s="12"/>
    </row>
    <row r="471">
      <c r="A471" s="12"/>
      <c r="B471" s="12"/>
      <c r="C471" s="12"/>
      <c r="D471" s="12"/>
      <c r="E471" s="12"/>
      <c r="F471" s="12"/>
      <c r="G471" s="12"/>
      <c r="H471" s="2"/>
      <c r="I471" s="12"/>
      <c r="J471" s="12"/>
      <c r="K471" s="12"/>
      <c r="L471" s="12"/>
      <c r="M471" s="12"/>
      <c r="N471" s="12"/>
      <c r="O471" s="12"/>
      <c r="P471" s="12"/>
      <c r="Q471" s="12"/>
      <c r="R471" s="12"/>
      <c r="S471" s="12"/>
      <c r="T471" s="12"/>
      <c r="U471" s="12"/>
      <c r="V471" s="12"/>
      <c r="W471" s="12"/>
      <c r="X471" s="12"/>
      <c r="Y471" s="12"/>
      <c r="Z471" s="12"/>
      <c r="AA471" s="12"/>
    </row>
    <row r="472">
      <c r="A472" s="12"/>
      <c r="B472" s="12"/>
      <c r="C472" s="12"/>
      <c r="D472" s="12"/>
      <c r="E472" s="12"/>
      <c r="F472" s="12"/>
      <c r="G472" s="12"/>
      <c r="H472" s="2"/>
      <c r="I472" s="12"/>
      <c r="J472" s="12"/>
      <c r="K472" s="12"/>
      <c r="L472" s="12"/>
      <c r="M472" s="12"/>
      <c r="N472" s="12"/>
      <c r="O472" s="12"/>
      <c r="P472" s="12"/>
      <c r="Q472" s="12"/>
      <c r="R472" s="12"/>
      <c r="S472" s="12"/>
      <c r="T472" s="12"/>
      <c r="U472" s="12"/>
      <c r="V472" s="12"/>
      <c r="W472" s="12"/>
      <c r="X472" s="12"/>
      <c r="Y472" s="12"/>
      <c r="Z472" s="12"/>
      <c r="AA472" s="12"/>
    </row>
    <row r="473">
      <c r="A473" s="12"/>
      <c r="B473" s="12"/>
      <c r="C473" s="12"/>
      <c r="D473" s="12"/>
      <c r="E473" s="12"/>
      <c r="F473" s="12"/>
      <c r="G473" s="12"/>
      <c r="H473" s="2"/>
      <c r="I473" s="12"/>
      <c r="J473" s="12"/>
      <c r="K473" s="12"/>
      <c r="L473" s="12"/>
      <c r="M473" s="12"/>
      <c r="N473" s="12"/>
      <c r="O473" s="12"/>
      <c r="P473" s="12"/>
      <c r="Q473" s="12"/>
      <c r="R473" s="12"/>
      <c r="S473" s="12"/>
      <c r="T473" s="12"/>
      <c r="U473" s="12"/>
      <c r="V473" s="12"/>
      <c r="W473" s="12"/>
      <c r="X473" s="12"/>
      <c r="Y473" s="12"/>
      <c r="Z473" s="12"/>
      <c r="AA473" s="12"/>
    </row>
    <row r="474">
      <c r="A474" s="12"/>
      <c r="B474" s="12"/>
      <c r="C474" s="12"/>
      <c r="D474" s="12"/>
      <c r="E474" s="12"/>
      <c r="F474" s="12"/>
      <c r="G474" s="12"/>
      <c r="H474" s="2"/>
      <c r="I474" s="12"/>
      <c r="J474" s="12"/>
      <c r="K474" s="12"/>
      <c r="L474" s="12"/>
      <c r="M474" s="12"/>
      <c r="N474" s="12"/>
      <c r="O474" s="12"/>
      <c r="P474" s="12"/>
      <c r="Q474" s="12"/>
      <c r="R474" s="12"/>
      <c r="S474" s="12"/>
      <c r="T474" s="12"/>
      <c r="U474" s="12"/>
      <c r="V474" s="12"/>
      <c r="W474" s="12"/>
      <c r="X474" s="12"/>
      <c r="Y474" s="12"/>
      <c r="Z474" s="12"/>
      <c r="AA474" s="12"/>
    </row>
    <row r="475">
      <c r="A475" s="12"/>
      <c r="B475" s="12"/>
      <c r="C475" s="12"/>
      <c r="D475" s="12"/>
      <c r="E475" s="12"/>
      <c r="F475" s="12"/>
      <c r="G475" s="12"/>
      <c r="H475" s="2"/>
      <c r="I475" s="12"/>
      <c r="J475" s="12"/>
      <c r="K475" s="12"/>
      <c r="L475" s="12"/>
      <c r="M475" s="12"/>
      <c r="N475" s="12"/>
      <c r="O475" s="12"/>
      <c r="P475" s="12"/>
      <c r="Q475" s="12"/>
      <c r="R475" s="12"/>
      <c r="S475" s="12"/>
      <c r="T475" s="12"/>
      <c r="U475" s="12"/>
      <c r="V475" s="12"/>
      <c r="W475" s="12"/>
      <c r="X475" s="12"/>
      <c r="Y475" s="12"/>
      <c r="Z475" s="12"/>
      <c r="AA475" s="12"/>
    </row>
    <row r="476">
      <c r="A476" s="12"/>
      <c r="B476" s="12"/>
      <c r="C476" s="12"/>
      <c r="D476" s="12"/>
      <c r="E476" s="12"/>
      <c r="F476" s="12"/>
      <c r="G476" s="12"/>
      <c r="H476" s="2"/>
      <c r="I476" s="12"/>
      <c r="J476" s="12"/>
      <c r="K476" s="12"/>
      <c r="L476" s="12"/>
      <c r="M476" s="12"/>
      <c r="N476" s="12"/>
      <c r="O476" s="12"/>
      <c r="P476" s="12"/>
      <c r="Q476" s="12"/>
      <c r="R476" s="12"/>
      <c r="S476" s="12"/>
      <c r="T476" s="12"/>
      <c r="U476" s="12"/>
      <c r="V476" s="12"/>
      <c r="W476" s="12"/>
      <c r="X476" s="12"/>
      <c r="Y476" s="12"/>
      <c r="Z476" s="12"/>
      <c r="AA476" s="12"/>
    </row>
    <row r="477">
      <c r="A477" s="12"/>
      <c r="B477" s="12"/>
      <c r="C477" s="12"/>
      <c r="D477" s="12"/>
      <c r="E477" s="12"/>
      <c r="F477" s="12"/>
      <c r="G477" s="12"/>
      <c r="H477" s="2"/>
      <c r="I477" s="12"/>
      <c r="J477" s="12"/>
      <c r="K477" s="12"/>
      <c r="L477" s="12"/>
      <c r="M477" s="12"/>
      <c r="N477" s="12"/>
      <c r="O477" s="12"/>
      <c r="P477" s="12"/>
      <c r="Q477" s="12"/>
      <c r="R477" s="12"/>
      <c r="S477" s="12"/>
      <c r="T477" s="12"/>
      <c r="U477" s="12"/>
      <c r="V477" s="12"/>
      <c r="W477" s="12"/>
      <c r="X477" s="12"/>
      <c r="Y477" s="12"/>
      <c r="Z477" s="12"/>
      <c r="AA477" s="12"/>
    </row>
    <row r="478">
      <c r="A478" s="12"/>
      <c r="B478" s="12"/>
      <c r="C478" s="12"/>
      <c r="D478" s="12"/>
      <c r="E478" s="12"/>
      <c r="F478" s="12"/>
      <c r="G478" s="12"/>
      <c r="H478" s="2"/>
      <c r="I478" s="12"/>
      <c r="J478" s="12"/>
      <c r="K478" s="12"/>
      <c r="L478" s="12"/>
      <c r="M478" s="12"/>
      <c r="N478" s="12"/>
      <c r="O478" s="12"/>
      <c r="P478" s="12"/>
      <c r="Q478" s="12"/>
      <c r="R478" s="12"/>
      <c r="S478" s="12"/>
      <c r="T478" s="12"/>
      <c r="U478" s="12"/>
      <c r="V478" s="12"/>
      <c r="W478" s="12"/>
      <c r="X478" s="12"/>
      <c r="Y478" s="12"/>
      <c r="Z478" s="12"/>
      <c r="AA478" s="12"/>
    </row>
    <row r="479">
      <c r="A479" s="12"/>
      <c r="B479" s="12"/>
      <c r="C479" s="12"/>
      <c r="D479" s="12"/>
      <c r="E479" s="12"/>
      <c r="F479" s="12"/>
      <c r="G479" s="12"/>
      <c r="H479" s="2"/>
      <c r="I479" s="12"/>
      <c r="J479" s="12"/>
      <c r="K479" s="12"/>
      <c r="L479" s="12"/>
      <c r="M479" s="12"/>
      <c r="N479" s="12"/>
      <c r="O479" s="12"/>
      <c r="P479" s="12"/>
      <c r="Q479" s="12"/>
      <c r="R479" s="12"/>
      <c r="S479" s="12"/>
      <c r="T479" s="12"/>
      <c r="U479" s="12"/>
      <c r="V479" s="12"/>
      <c r="W479" s="12"/>
      <c r="X479" s="12"/>
      <c r="Y479" s="12"/>
      <c r="Z479" s="12"/>
      <c r="AA479" s="12"/>
    </row>
    <row r="480">
      <c r="A480" s="12"/>
      <c r="B480" s="12"/>
      <c r="C480" s="12"/>
      <c r="D480" s="12"/>
      <c r="E480" s="12"/>
      <c r="F480" s="12"/>
      <c r="G480" s="12"/>
      <c r="H480" s="2"/>
      <c r="I480" s="12"/>
      <c r="J480" s="12"/>
      <c r="K480" s="12"/>
      <c r="L480" s="12"/>
      <c r="M480" s="12"/>
      <c r="N480" s="12"/>
      <c r="O480" s="12"/>
      <c r="P480" s="12"/>
      <c r="Q480" s="12"/>
      <c r="R480" s="12"/>
      <c r="S480" s="12"/>
      <c r="T480" s="12"/>
      <c r="U480" s="12"/>
      <c r="V480" s="12"/>
      <c r="W480" s="12"/>
      <c r="X480" s="12"/>
      <c r="Y480" s="12"/>
      <c r="Z480" s="12"/>
      <c r="AA480" s="12"/>
    </row>
    <row r="481">
      <c r="A481" s="12"/>
      <c r="B481" s="12"/>
      <c r="C481" s="12"/>
      <c r="D481" s="12"/>
      <c r="E481" s="12"/>
      <c r="F481" s="12"/>
      <c r="G481" s="12"/>
      <c r="H481" s="2"/>
      <c r="I481" s="12"/>
      <c r="J481" s="12"/>
      <c r="K481" s="12"/>
      <c r="L481" s="12"/>
      <c r="M481" s="12"/>
      <c r="N481" s="12"/>
      <c r="O481" s="12"/>
      <c r="P481" s="12"/>
      <c r="Q481" s="12"/>
      <c r="R481" s="12"/>
      <c r="S481" s="12"/>
      <c r="T481" s="12"/>
      <c r="U481" s="12"/>
      <c r="V481" s="12"/>
      <c r="W481" s="12"/>
      <c r="X481" s="12"/>
      <c r="Y481" s="12"/>
      <c r="Z481" s="12"/>
      <c r="AA481" s="12"/>
    </row>
    <row r="482">
      <c r="A482" s="12"/>
      <c r="B482" s="12"/>
      <c r="C482" s="12"/>
      <c r="D482" s="12"/>
      <c r="E482" s="12"/>
      <c r="F482" s="12"/>
      <c r="G482" s="12"/>
      <c r="H482" s="2"/>
      <c r="I482" s="12"/>
      <c r="J482" s="12"/>
      <c r="K482" s="12"/>
      <c r="L482" s="12"/>
      <c r="M482" s="12"/>
      <c r="N482" s="12"/>
      <c r="O482" s="12"/>
      <c r="P482" s="12"/>
      <c r="Q482" s="12"/>
      <c r="R482" s="12"/>
      <c r="S482" s="12"/>
      <c r="T482" s="12"/>
      <c r="U482" s="12"/>
      <c r="V482" s="12"/>
      <c r="W482" s="12"/>
      <c r="X482" s="12"/>
      <c r="Y482" s="12"/>
      <c r="Z482" s="12"/>
      <c r="AA482" s="12"/>
    </row>
    <row r="483">
      <c r="A483" s="12"/>
      <c r="B483" s="12"/>
      <c r="C483" s="12"/>
      <c r="D483" s="12"/>
      <c r="E483" s="12"/>
      <c r="F483" s="12"/>
      <c r="G483" s="12"/>
      <c r="H483" s="2"/>
      <c r="I483" s="12"/>
      <c r="J483" s="12"/>
      <c r="K483" s="12"/>
      <c r="L483" s="12"/>
      <c r="M483" s="12"/>
      <c r="N483" s="12"/>
      <c r="O483" s="12"/>
      <c r="P483" s="12"/>
      <c r="Q483" s="12"/>
      <c r="R483" s="12"/>
      <c r="S483" s="12"/>
      <c r="T483" s="12"/>
      <c r="U483" s="12"/>
      <c r="V483" s="12"/>
      <c r="W483" s="12"/>
      <c r="X483" s="12"/>
      <c r="Y483" s="12"/>
      <c r="Z483" s="12"/>
      <c r="AA483" s="12"/>
    </row>
    <row r="484">
      <c r="A484" s="12"/>
      <c r="B484" s="12"/>
      <c r="C484" s="12"/>
      <c r="D484" s="12"/>
      <c r="E484" s="12"/>
      <c r="F484" s="12"/>
      <c r="G484" s="12"/>
      <c r="H484" s="2"/>
      <c r="I484" s="12"/>
      <c r="J484" s="12"/>
      <c r="K484" s="12"/>
      <c r="L484" s="12"/>
      <c r="M484" s="12"/>
      <c r="N484" s="12"/>
      <c r="O484" s="12"/>
      <c r="P484" s="12"/>
      <c r="Q484" s="12"/>
      <c r="R484" s="12"/>
      <c r="S484" s="12"/>
      <c r="T484" s="12"/>
      <c r="U484" s="12"/>
      <c r="V484" s="12"/>
      <c r="W484" s="12"/>
      <c r="X484" s="12"/>
      <c r="Y484" s="12"/>
      <c r="Z484" s="12"/>
      <c r="AA484" s="12"/>
    </row>
    <row r="485">
      <c r="A485" s="12"/>
      <c r="B485" s="12"/>
      <c r="C485" s="12"/>
      <c r="D485" s="12"/>
      <c r="E485" s="12"/>
      <c r="F485" s="12"/>
      <c r="G485" s="12"/>
      <c r="H485" s="2"/>
      <c r="I485" s="12"/>
      <c r="J485" s="12"/>
      <c r="K485" s="12"/>
      <c r="L485" s="12"/>
      <c r="M485" s="12"/>
      <c r="N485" s="12"/>
      <c r="O485" s="12"/>
      <c r="P485" s="12"/>
      <c r="Q485" s="12"/>
      <c r="R485" s="12"/>
      <c r="S485" s="12"/>
      <c r="T485" s="12"/>
      <c r="U485" s="12"/>
      <c r="V485" s="12"/>
      <c r="W485" s="12"/>
      <c r="X485" s="12"/>
      <c r="Y485" s="12"/>
      <c r="Z485" s="12"/>
      <c r="AA485" s="12"/>
    </row>
    <row r="486">
      <c r="A486" s="12"/>
      <c r="B486" s="12"/>
      <c r="C486" s="12"/>
      <c r="D486" s="12"/>
      <c r="E486" s="12"/>
      <c r="F486" s="12"/>
      <c r="G486" s="12"/>
      <c r="H486" s="2"/>
      <c r="I486" s="12"/>
      <c r="J486" s="12"/>
      <c r="K486" s="12"/>
      <c r="L486" s="12"/>
      <c r="M486" s="12"/>
      <c r="N486" s="12"/>
      <c r="O486" s="12"/>
      <c r="P486" s="12"/>
      <c r="Q486" s="12"/>
      <c r="R486" s="12"/>
      <c r="S486" s="12"/>
      <c r="T486" s="12"/>
      <c r="U486" s="12"/>
      <c r="V486" s="12"/>
      <c r="W486" s="12"/>
      <c r="X486" s="12"/>
      <c r="Y486" s="12"/>
      <c r="Z486" s="12"/>
      <c r="AA486" s="12"/>
    </row>
    <row r="487">
      <c r="A487" s="12"/>
      <c r="B487" s="12"/>
      <c r="C487" s="12"/>
      <c r="D487" s="12"/>
      <c r="E487" s="12"/>
      <c r="F487" s="12"/>
      <c r="G487" s="12"/>
      <c r="H487" s="2"/>
      <c r="I487" s="12"/>
      <c r="J487" s="12"/>
      <c r="K487" s="12"/>
      <c r="L487" s="12"/>
      <c r="M487" s="12"/>
      <c r="N487" s="12"/>
      <c r="O487" s="12"/>
      <c r="P487" s="12"/>
      <c r="Q487" s="12"/>
      <c r="R487" s="12"/>
      <c r="S487" s="12"/>
      <c r="T487" s="12"/>
      <c r="U487" s="12"/>
      <c r="V487" s="12"/>
      <c r="W487" s="12"/>
      <c r="X487" s="12"/>
      <c r="Y487" s="12"/>
      <c r="Z487" s="12"/>
      <c r="AA487" s="12"/>
    </row>
    <row r="488">
      <c r="A488" s="12"/>
      <c r="B488" s="12"/>
      <c r="C488" s="12"/>
      <c r="D488" s="12"/>
      <c r="E488" s="12"/>
      <c r="F488" s="12"/>
      <c r="G488" s="12"/>
      <c r="H488" s="2"/>
      <c r="I488" s="12"/>
      <c r="J488" s="12"/>
      <c r="K488" s="12"/>
      <c r="L488" s="12"/>
      <c r="M488" s="12"/>
      <c r="N488" s="12"/>
      <c r="O488" s="12"/>
      <c r="P488" s="12"/>
      <c r="Q488" s="12"/>
      <c r="R488" s="12"/>
      <c r="S488" s="12"/>
      <c r="T488" s="12"/>
      <c r="U488" s="12"/>
      <c r="V488" s="12"/>
      <c r="W488" s="12"/>
      <c r="X488" s="12"/>
      <c r="Y488" s="12"/>
      <c r="Z488" s="12"/>
      <c r="AA488" s="12"/>
    </row>
    <row r="489">
      <c r="A489" s="12"/>
      <c r="B489" s="12"/>
      <c r="C489" s="12"/>
      <c r="D489" s="12"/>
      <c r="E489" s="12"/>
      <c r="F489" s="12"/>
      <c r="G489" s="12"/>
      <c r="H489" s="2"/>
      <c r="I489" s="12"/>
      <c r="J489" s="12"/>
      <c r="K489" s="12"/>
      <c r="L489" s="12"/>
      <c r="M489" s="12"/>
      <c r="N489" s="12"/>
      <c r="O489" s="12"/>
      <c r="P489" s="12"/>
      <c r="Q489" s="12"/>
      <c r="R489" s="12"/>
      <c r="S489" s="12"/>
      <c r="T489" s="12"/>
      <c r="U489" s="12"/>
      <c r="V489" s="12"/>
      <c r="W489" s="12"/>
      <c r="X489" s="12"/>
      <c r="Y489" s="12"/>
      <c r="Z489" s="12"/>
      <c r="AA489" s="12"/>
    </row>
    <row r="490">
      <c r="A490" s="12"/>
      <c r="B490" s="12"/>
      <c r="C490" s="12"/>
      <c r="D490" s="12"/>
      <c r="E490" s="12"/>
      <c r="F490" s="12"/>
      <c r="G490" s="12"/>
      <c r="H490" s="2"/>
      <c r="I490" s="12"/>
      <c r="J490" s="12"/>
      <c r="K490" s="12"/>
      <c r="L490" s="12"/>
      <c r="M490" s="12"/>
      <c r="N490" s="12"/>
      <c r="O490" s="12"/>
      <c r="P490" s="12"/>
      <c r="Q490" s="12"/>
      <c r="R490" s="12"/>
      <c r="S490" s="12"/>
      <c r="T490" s="12"/>
      <c r="U490" s="12"/>
      <c r="V490" s="12"/>
      <c r="W490" s="12"/>
      <c r="X490" s="12"/>
      <c r="Y490" s="12"/>
      <c r="Z490" s="12"/>
      <c r="AA490" s="12"/>
    </row>
    <row r="491">
      <c r="A491" s="12"/>
      <c r="B491" s="12"/>
      <c r="C491" s="12"/>
      <c r="D491" s="12"/>
      <c r="E491" s="12"/>
      <c r="F491" s="12"/>
      <c r="G491" s="12"/>
      <c r="H491" s="2"/>
      <c r="I491" s="12"/>
      <c r="J491" s="12"/>
      <c r="K491" s="12"/>
      <c r="L491" s="12"/>
      <c r="M491" s="12"/>
      <c r="N491" s="12"/>
      <c r="O491" s="12"/>
      <c r="P491" s="12"/>
      <c r="Q491" s="12"/>
      <c r="R491" s="12"/>
      <c r="S491" s="12"/>
      <c r="T491" s="12"/>
      <c r="U491" s="12"/>
      <c r="V491" s="12"/>
      <c r="W491" s="12"/>
      <c r="X491" s="12"/>
      <c r="Y491" s="12"/>
      <c r="Z491" s="12"/>
      <c r="AA491" s="12"/>
    </row>
    <row r="492">
      <c r="A492" s="12"/>
      <c r="B492" s="12"/>
      <c r="C492" s="12"/>
      <c r="D492" s="12"/>
      <c r="E492" s="12"/>
      <c r="F492" s="12"/>
      <c r="G492" s="12"/>
      <c r="H492" s="2"/>
      <c r="I492" s="12"/>
      <c r="J492" s="12"/>
      <c r="K492" s="12"/>
      <c r="L492" s="12"/>
      <c r="M492" s="12"/>
      <c r="N492" s="12"/>
      <c r="O492" s="12"/>
      <c r="P492" s="12"/>
      <c r="Q492" s="12"/>
      <c r="R492" s="12"/>
      <c r="S492" s="12"/>
      <c r="T492" s="12"/>
      <c r="U492" s="12"/>
      <c r="V492" s="12"/>
      <c r="W492" s="12"/>
      <c r="X492" s="12"/>
      <c r="Y492" s="12"/>
      <c r="Z492" s="12"/>
      <c r="AA492" s="12"/>
    </row>
    <row r="493">
      <c r="A493" s="12"/>
      <c r="B493" s="12"/>
      <c r="C493" s="12"/>
      <c r="D493" s="12"/>
      <c r="E493" s="12"/>
      <c r="F493" s="12"/>
      <c r="G493" s="12"/>
      <c r="H493" s="2"/>
      <c r="I493" s="12"/>
      <c r="J493" s="12"/>
      <c r="K493" s="12"/>
      <c r="L493" s="12"/>
      <c r="M493" s="12"/>
      <c r="N493" s="12"/>
      <c r="O493" s="12"/>
      <c r="P493" s="12"/>
      <c r="Q493" s="12"/>
      <c r="R493" s="12"/>
      <c r="S493" s="12"/>
      <c r="T493" s="12"/>
      <c r="U493" s="12"/>
      <c r="V493" s="12"/>
      <c r="W493" s="12"/>
      <c r="X493" s="12"/>
      <c r="Y493" s="12"/>
      <c r="Z493" s="12"/>
      <c r="AA493" s="12"/>
    </row>
    <row r="494">
      <c r="A494" s="12"/>
      <c r="B494" s="12"/>
      <c r="C494" s="12"/>
      <c r="D494" s="12"/>
      <c r="E494" s="12"/>
      <c r="F494" s="12"/>
      <c r="G494" s="12"/>
      <c r="H494" s="2"/>
      <c r="I494" s="12"/>
      <c r="J494" s="12"/>
      <c r="K494" s="12"/>
      <c r="L494" s="12"/>
      <c r="M494" s="12"/>
      <c r="N494" s="12"/>
      <c r="O494" s="12"/>
      <c r="P494" s="12"/>
      <c r="Q494" s="12"/>
      <c r="R494" s="12"/>
      <c r="S494" s="12"/>
      <c r="T494" s="12"/>
      <c r="U494" s="12"/>
      <c r="V494" s="12"/>
      <c r="W494" s="12"/>
      <c r="X494" s="12"/>
      <c r="Y494" s="12"/>
      <c r="Z494" s="12"/>
      <c r="AA494" s="12"/>
    </row>
    <row r="495">
      <c r="A495" s="12"/>
      <c r="B495" s="12"/>
      <c r="C495" s="12"/>
      <c r="D495" s="12"/>
      <c r="E495" s="12"/>
      <c r="F495" s="12"/>
      <c r="G495" s="12"/>
      <c r="H495" s="2"/>
      <c r="I495" s="12"/>
      <c r="J495" s="12"/>
      <c r="K495" s="12"/>
      <c r="L495" s="12"/>
      <c r="M495" s="12"/>
      <c r="N495" s="12"/>
      <c r="O495" s="12"/>
      <c r="P495" s="12"/>
      <c r="Q495" s="12"/>
      <c r="R495" s="12"/>
      <c r="S495" s="12"/>
      <c r="T495" s="12"/>
      <c r="U495" s="12"/>
      <c r="V495" s="12"/>
      <c r="W495" s="12"/>
      <c r="X495" s="12"/>
      <c r="Y495" s="12"/>
      <c r="Z495" s="12"/>
      <c r="AA495" s="12"/>
    </row>
    <row r="496">
      <c r="A496" s="12"/>
      <c r="B496" s="12"/>
      <c r="C496" s="12"/>
      <c r="D496" s="12"/>
      <c r="E496" s="12"/>
      <c r="F496" s="12"/>
      <c r="G496" s="12"/>
      <c r="H496" s="2"/>
      <c r="I496" s="12"/>
      <c r="J496" s="12"/>
      <c r="K496" s="12"/>
      <c r="L496" s="12"/>
      <c r="M496" s="12"/>
      <c r="N496" s="12"/>
      <c r="O496" s="12"/>
      <c r="P496" s="12"/>
      <c r="Q496" s="12"/>
      <c r="R496" s="12"/>
      <c r="S496" s="12"/>
      <c r="T496" s="12"/>
      <c r="U496" s="12"/>
      <c r="V496" s="12"/>
      <c r="W496" s="12"/>
      <c r="X496" s="12"/>
      <c r="Y496" s="12"/>
      <c r="Z496" s="12"/>
      <c r="AA496" s="12"/>
    </row>
    <row r="497">
      <c r="A497" s="12"/>
      <c r="B497" s="12"/>
      <c r="C497" s="12"/>
      <c r="D497" s="12"/>
      <c r="E497" s="12"/>
      <c r="F497" s="12"/>
      <c r="G497" s="12"/>
      <c r="H497" s="2"/>
      <c r="I497" s="12"/>
      <c r="J497" s="12"/>
      <c r="K497" s="12"/>
      <c r="L497" s="12"/>
      <c r="M497" s="12"/>
      <c r="N497" s="12"/>
      <c r="O497" s="12"/>
      <c r="P497" s="12"/>
      <c r="Q497" s="12"/>
      <c r="R497" s="12"/>
      <c r="S497" s="12"/>
      <c r="T497" s="12"/>
      <c r="U497" s="12"/>
      <c r="V497" s="12"/>
      <c r="W497" s="12"/>
      <c r="X497" s="12"/>
      <c r="Y497" s="12"/>
      <c r="Z497" s="12"/>
      <c r="AA497" s="12"/>
    </row>
    <row r="498">
      <c r="A498" s="12"/>
      <c r="B498" s="12"/>
      <c r="C498" s="12"/>
      <c r="D498" s="12"/>
      <c r="E498" s="12"/>
      <c r="F498" s="12"/>
      <c r="G498" s="12"/>
      <c r="H498" s="2"/>
      <c r="I498" s="12"/>
      <c r="J498" s="12"/>
      <c r="K498" s="12"/>
      <c r="L498" s="12"/>
      <c r="M498" s="12"/>
      <c r="N498" s="12"/>
      <c r="O498" s="12"/>
      <c r="P498" s="12"/>
      <c r="Q498" s="12"/>
      <c r="R498" s="12"/>
      <c r="S498" s="12"/>
      <c r="T498" s="12"/>
      <c r="U498" s="12"/>
      <c r="V498" s="12"/>
      <c r="W498" s="12"/>
      <c r="X498" s="12"/>
      <c r="Y498" s="12"/>
      <c r="Z498" s="12"/>
      <c r="AA498" s="12"/>
    </row>
    <row r="499">
      <c r="A499" s="12"/>
      <c r="B499" s="12"/>
      <c r="C499" s="12"/>
      <c r="D499" s="12"/>
      <c r="E499" s="12"/>
      <c r="F499" s="12"/>
      <c r="G499" s="12"/>
      <c r="H499" s="2"/>
      <c r="I499" s="12"/>
      <c r="J499" s="12"/>
      <c r="K499" s="12"/>
      <c r="L499" s="12"/>
      <c r="M499" s="12"/>
      <c r="N499" s="12"/>
      <c r="O499" s="12"/>
      <c r="P499" s="12"/>
      <c r="Q499" s="12"/>
      <c r="R499" s="12"/>
      <c r="S499" s="12"/>
      <c r="T499" s="12"/>
      <c r="U499" s="12"/>
      <c r="V499" s="12"/>
      <c r="W499" s="12"/>
      <c r="X499" s="12"/>
      <c r="Y499" s="12"/>
      <c r="Z499" s="12"/>
      <c r="AA499" s="12"/>
    </row>
    <row r="500">
      <c r="A500" s="12"/>
      <c r="B500" s="12"/>
      <c r="C500" s="12"/>
      <c r="D500" s="12"/>
      <c r="E500" s="12"/>
      <c r="F500" s="12"/>
      <c r="G500" s="12"/>
      <c r="H500" s="2"/>
      <c r="I500" s="12"/>
      <c r="J500" s="12"/>
      <c r="K500" s="12"/>
      <c r="L500" s="12"/>
      <c r="M500" s="12"/>
      <c r="N500" s="12"/>
      <c r="O500" s="12"/>
      <c r="P500" s="12"/>
      <c r="Q500" s="12"/>
      <c r="R500" s="12"/>
      <c r="S500" s="12"/>
      <c r="T500" s="12"/>
      <c r="U500" s="12"/>
      <c r="V500" s="12"/>
      <c r="W500" s="12"/>
      <c r="X500" s="12"/>
      <c r="Y500" s="12"/>
      <c r="Z500" s="12"/>
      <c r="AA500" s="12"/>
    </row>
    <row r="501">
      <c r="A501" s="12"/>
      <c r="B501" s="12"/>
      <c r="C501" s="12"/>
      <c r="D501" s="12"/>
      <c r="E501" s="12"/>
      <c r="F501" s="12"/>
      <c r="G501" s="12"/>
      <c r="H501" s="2"/>
      <c r="I501" s="12"/>
      <c r="J501" s="12"/>
      <c r="K501" s="12"/>
      <c r="L501" s="12"/>
      <c r="M501" s="12"/>
      <c r="N501" s="12"/>
      <c r="O501" s="12"/>
      <c r="P501" s="12"/>
      <c r="Q501" s="12"/>
      <c r="R501" s="12"/>
      <c r="S501" s="12"/>
      <c r="T501" s="12"/>
      <c r="U501" s="12"/>
      <c r="V501" s="12"/>
      <c r="W501" s="12"/>
      <c r="X501" s="12"/>
      <c r="Y501" s="12"/>
      <c r="Z501" s="12"/>
      <c r="AA501" s="12"/>
    </row>
    <row r="502">
      <c r="A502" s="12"/>
      <c r="B502" s="12"/>
      <c r="C502" s="12"/>
      <c r="D502" s="12"/>
      <c r="E502" s="12"/>
      <c r="F502" s="12"/>
      <c r="G502" s="12"/>
      <c r="H502" s="2"/>
      <c r="I502" s="12"/>
      <c r="J502" s="12"/>
      <c r="K502" s="12"/>
      <c r="L502" s="12"/>
      <c r="M502" s="12"/>
      <c r="N502" s="12"/>
      <c r="O502" s="12"/>
      <c r="P502" s="12"/>
      <c r="Q502" s="12"/>
      <c r="R502" s="12"/>
      <c r="S502" s="12"/>
      <c r="T502" s="12"/>
      <c r="U502" s="12"/>
      <c r="V502" s="12"/>
      <c r="W502" s="12"/>
      <c r="X502" s="12"/>
      <c r="Y502" s="12"/>
      <c r="Z502" s="12"/>
      <c r="AA502" s="12"/>
    </row>
    <row r="503">
      <c r="A503" s="12"/>
      <c r="B503" s="12"/>
      <c r="C503" s="12"/>
      <c r="D503" s="12"/>
      <c r="E503" s="12"/>
      <c r="F503" s="12"/>
      <c r="G503" s="12"/>
      <c r="H503" s="2"/>
      <c r="I503" s="12"/>
      <c r="J503" s="12"/>
      <c r="K503" s="12"/>
      <c r="L503" s="12"/>
      <c r="M503" s="12"/>
      <c r="N503" s="12"/>
      <c r="O503" s="12"/>
      <c r="P503" s="12"/>
      <c r="Q503" s="12"/>
      <c r="R503" s="12"/>
      <c r="S503" s="12"/>
      <c r="T503" s="12"/>
      <c r="U503" s="12"/>
      <c r="V503" s="12"/>
      <c r="W503" s="12"/>
      <c r="X503" s="12"/>
      <c r="Y503" s="12"/>
      <c r="Z503" s="12"/>
      <c r="AA503" s="12"/>
    </row>
    <row r="504">
      <c r="A504" s="12"/>
      <c r="B504" s="12"/>
      <c r="C504" s="12"/>
      <c r="D504" s="12"/>
      <c r="E504" s="12"/>
      <c r="F504" s="12"/>
      <c r="G504" s="12"/>
      <c r="H504" s="2"/>
      <c r="I504" s="12"/>
      <c r="J504" s="12"/>
      <c r="K504" s="12"/>
      <c r="L504" s="12"/>
      <c r="M504" s="12"/>
      <c r="N504" s="12"/>
      <c r="O504" s="12"/>
      <c r="P504" s="12"/>
      <c r="Q504" s="12"/>
      <c r="R504" s="12"/>
      <c r="S504" s="12"/>
      <c r="T504" s="12"/>
      <c r="U504" s="12"/>
      <c r="V504" s="12"/>
      <c r="W504" s="12"/>
      <c r="X504" s="12"/>
      <c r="Y504" s="12"/>
      <c r="Z504" s="12"/>
      <c r="AA504" s="12"/>
    </row>
    <row r="505">
      <c r="A505" s="12"/>
      <c r="B505" s="12"/>
      <c r="C505" s="12"/>
      <c r="D505" s="12"/>
      <c r="E505" s="12"/>
      <c r="F505" s="12"/>
      <c r="G505" s="12"/>
      <c r="H505" s="2"/>
      <c r="I505" s="12"/>
      <c r="J505" s="12"/>
      <c r="K505" s="12"/>
      <c r="L505" s="12"/>
      <c r="M505" s="12"/>
      <c r="N505" s="12"/>
      <c r="O505" s="12"/>
      <c r="P505" s="12"/>
      <c r="Q505" s="12"/>
      <c r="R505" s="12"/>
      <c r="S505" s="12"/>
      <c r="T505" s="12"/>
      <c r="U505" s="12"/>
      <c r="V505" s="12"/>
      <c r="W505" s="12"/>
      <c r="X505" s="12"/>
      <c r="Y505" s="12"/>
      <c r="Z505" s="12"/>
      <c r="AA505" s="12"/>
    </row>
    <row r="506">
      <c r="A506" s="12"/>
      <c r="B506" s="12"/>
      <c r="C506" s="12"/>
      <c r="D506" s="12"/>
      <c r="E506" s="12"/>
      <c r="F506" s="12"/>
      <c r="G506" s="12"/>
      <c r="H506" s="2"/>
      <c r="I506" s="12"/>
      <c r="J506" s="12"/>
      <c r="K506" s="12"/>
      <c r="L506" s="12"/>
      <c r="M506" s="12"/>
      <c r="N506" s="12"/>
      <c r="O506" s="12"/>
      <c r="P506" s="12"/>
      <c r="Q506" s="12"/>
      <c r="R506" s="12"/>
      <c r="S506" s="12"/>
      <c r="T506" s="12"/>
      <c r="U506" s="12"/>
      <c r="V506" s="12"/>
      <c r="W506" s="12"/>
      <c r="X506" s="12"/>
      <c r="Y506" s="12"/>
      <c r="Z506" s="12"/>
      <c r="AA506" s="12"/>
    </row>
    <row r="507">
      <c r="A507" s="12"/>
      <c r="B507" s="12"/>
      <c r="C507" s="12"/>
      <c r="D507" s="12"/>
      <c r="E507" s="12"/>
      <c r="F507" s="12"/>
      <c r="G507" s="12"/>
      <c r="H507" s="2"/>
      <c r="I507" s="12"/>
      <c r="J507" s="12"/>
      <c r="K507" s="12"/>
      <c r="L507" s="12"/>
      <c r="M507" s="12"/>
      <c r="N507" s="12"/>
      <c r="O507" s="12"/>
      <c r="P507" s="12"/>
      <c r="Q507" s="12"/>
      <c r="R507" s="12"/>
      <c r="S507" s="12"/>
      <c r="T507" s="12"/>
      <c r="U507" s="12"/>
      <c r="V507" s="12"/>
      <c r="W507" s="12"/>
      <c r="X507" s="12"/>
      <c r="Y507" s="12"/>
      <c r="Z507" s="12"/>
      <c r="AA507" s="12"/>
    </row>
    <row r="508">
      <c r="A508" s="12"/>
      <c r="B508" s="12"/>
      <c r="C508" s="12"/>
      <c r="D508" s="12"/>
      <c r="E508" s="12"/>
      <c r="F508" s="12"/>
      <c r="G508" s="12"/>
      <c r="H508" s="2"/>
      <c r="I508" s="12"/>
      <c r="J508" s="12"/>
      <c r="K508" s="12"/>
      <c r="L508" s="12"/>
      <c r="M508" s="12"/>
      <c r="N508" s="12"/>
      <c r="O508" s="12"/>
      <c r="P508" s="12"/>
      <c r="Q508" s="12"/>
      <c r="R508" s="12"/>
      <c r="S508" s="12"/>
      <c r="T508" s="12"/>
      <c r="U508" s="12"/>
      <c r="V508" s="12"/>
      <c r="W508" s="12"/>
      <c r="X508" s="12"/>
      <c r="Y508" s="12"/>
      <c r="Z508" s="12"/>
      <c r="AA508" s="12"/>
    </row>
    <row r="509">
      <c r="A509" s="12"/>
      <c r="B509" s="12"/>
      <c r="C509" s="12"/>
      <c r="D509" s="12"/>
      <c r="E509" s="12"/>
      <c r="F509" s="12"/>
      <c r="G509" s="12"/>
      <c r="H509" s="2"/>
      <c r="I509" s="12"/>
      <c r="J509" s="12"/>
      <c r="K509" s="12"/>
      <c r="L509" s="12"/>
      <c r="M509" s="12"/>
      <c r="N509" s="12"/>
      <c r="O509" s="12"/>
      <c r="P509" s="12"/>
      <c r="Q509" s="12"/>
      <c r="R509" s="12"/>
      <c r="S509" s="12"/>
      <c r="T509" s="12"/>
      <c r="U509" s="12"/>
      <c r="V509" s="12"/>
      <c r="W509" s="12"/>
      <c r="X509" s="12"/>
      <c r="Y509" s="12"/>
      <c r="Z509" s="12"/>
      <c r="AA509" s="12"/>
    </row>
    <row r="510">
      <c r="A510" s="12"/>
      <c r="B510" s="12"/>
      <c r="C510" s="12"/>
      <c r="D510" s="12"/>
      <c r="E510" s="12"/>
      <c r="F510" s="12"/>
      <c r="G510" s="12"/>
      <c r="H510" s="2"/>
      <c r="I510" s="12"/>
      <c r="J510" s="12"/>
      <c r="K510" s="12"/>
      <c r="L510" s="12"/>
      <c r="M510" s="12"/>
      <c r="N510" s="12"/>
      <c r="O510" s="12"/>
      <c r="P510" s="12"/>
      <c r="Q510" s="12"/>
      <c r="R510" s="12"/>
      <c r="S510" s="12"/>
      <c r="T510" s="12"/>
      <c r="U510" s="12"/>
      <c r="V510" s="12"/>
      <c r="W510" s="12"/>
      <c r="X510" s="12"/>
      <c r="Y510" s="12"/>
      <c r="Z510" s="12"/>
      <c r="AA510" s="12"/>
    </row>
    <row r="511">
      <c r="A511" s="12"/>
      <c r="B511" s="12"/>
      <c r="C511" s="12"/>
      <c r="D511" s="12"/>
      <c r="E511" s="12"/>
      <c r="F511" s="12"/>
      <c r="G511" s="12"/>
      <c r="H511" s="2"/>
      <c r="I511" s="12"/>
      <c r="J511" s="12"/>
      <c r="K511" s="12"/>
      <c r="L511" s="12"/>
      <c r="M511" s="12"/>
      <c r="N511" s="12"/>
      <c r="O511" s="12"/>
      <c r="P511" s="12"/>
      <c r="Q511" s="12"/>
      <c r="R511" s="12"/>
      <c r="S511" s="12"/>
      <c r="T511" s="12"/>
      <c r="U511" s="12"/>
      <c r="V511" s="12"/>
      <c r="W511" s="12"/>
      <c r="X511" s="12"/>
      <c r="Y511" s="12"/>
      <c r="Z511" s="12"/>
      <c r="AA511" s="12"/>
    </row>
    <row r="512">
      <c r="A512" s="12"/>
      <c r="B512" s="12"/>
      <c r="C512" s="12"/>
      <c r="D512" s="12"/>
      <c r="E512" s="12"/>
      <c r="F512" s="12"/>
      <c r="G512" s="12"/>
      <c r="H512" s="2"/>
      <c r="I512" s="12"/>
      <c r="J512" s="12"/>
      <c r="K512" s="12"/>
      <c r="L512" s="12"/>
      <c r="M512" s="12"/>
      <c r="N512" s="12"/>
      <c r="O512" s="12"/>
      <c r="P512" s="12"/>
      <c r="Q512" s="12"/>
      <c r="R512" s="12"/>
      <c r="S512" s="12"/>
      <c r="T512" s="12"/>
      <c r="U512" s="12"/>
      <c r="V512" s="12"/>
      <c r="W512" s="12"/>
      <c r="X512" s="12"/>
      <c r="Y512" s="12"/>
      <c r="Z512" s="12"/>
      <c r="AA512" s="12"/>
    </row>
    <row r="513">
      <c r="A513" s="12"/>
      <c r="B513" s="12"/>
      <c r="C513" s="12"/>
      <c r="D513" s="12"/>
      <c r="E513" s="12"/>
      <c r="F513" s="12"/>
      <c r="G513" s="12"/>
      <c r="H513" s="2"/>
      <c r="I513" s="12"/>
      <c r="J513" s="12"/>
      <c r="K513" s="12"/>
      <c r="L513" s="12"/>
      <c r="M513" s="12"/>
      <c r="N513" s="12"/>
      <c r="O513" s="12"/>
      <c r="P513" s="12"/>
      <c r="Q513" s="12"/>
      <c r="R513" s="12"/>
      <c r="S513" s="12"/>
      <c r="T513" s="12"/>
      <c r="U513" s="12"/>
      <c r="V513" s="12"/>
      <c r="W513" s="12"/>
      <c r="X513" s="12"/>
      <c r="Y513" s="12"/>
      <c r="Z513" s="12"/>
      <c r="AA513" s="12"/>
    </row>
    <row r="514">
      <c r="A514" s="12"/>
      <c r="B514" s="12"/>
      <c r="C514" s="12"/>
      <c r="D514" s="12"/>
      <c r="E514" s="12"/>
      <c r="F514" s="12"/>
      <c r="G514" s="12"/>
      <c r="H514" s="2"/>
      <c r="I514" s="12"/>
      <c r="J514" s="12"/>
      <c r="K514" s="12"/>
      <c r="L514" s="12"/>
      <c r="M514" s="12"/>
      <c r="N514" s="12"/>
      <c r="O514" s="12"/>
      <c r="P514" s="12"/>
      <c r="Q514" s="12"/>
      <c r="R514" s="12"/>
      <c r="S514" s="12"/>
      <c r="T514" s="12"/>
      <c r="U514" s="12"/>
      <c r="V514" s="12"/>
      <c r="W514" s="12"/>
      <c r="X514" s="12"/>
      <c r="Y514" s="12"/>
      <c r="Z514" s="12"/>
      <c r="AA514" s="12"/>
    </row>
    <row r="515">
      <c r="A515" s="12"/>
      <c r="B515" s="12"/>
      <c r="C515" s="12"/>
      <c r="D515" s="12"/>
      <c r="E515" s="12"/>
      <c r="F515" s="12"/>
      <c r="G515" s="12"/>
      <c r="H515" s="2"/>
      <c r="I515" s="12"/>
      <c r="J515" s="12"/>
      <c r="K515" s="12"/>
      <c r="L515" s="12"/>
      <c r="M515" s="12"/>
      <c r="N515" s="12"/>
      <c r="O515" s="12"/>
      <c r="P515" s="12"/>
      <c r="Q515" s="12"/>
      <c r="R515" s="12"/>
      <c r="S515" s="12"/>
      <c r="T515" s="12"/>
      <c r="U515" s="12"/>
      <c r="V515" s="12"/>
      <c r="W515" s="12"/>
      <c r="X515" s="12"/>
      <c r="Y515" s="12"/>
      <c r="Z515" s="12"/>
      <c r="AA515" s="12"/>
    </row>
    <row r="516">
      <c r="A516" s="12"/>
      <c r="B516" s="12"/>
      <c r="C516" s="12"/>
      <c r="D516" s="12"/>
      <c r="E516" s="12"/>
      <c r="F516" s="12"/>
      <c r="G516" s="12"/>
      <c r="H516" s="2"/>
      <c r="I516" s="12"/>
      <c r="J516" s="12"/>
      <c r="K516" s="12"/>
      <c r="L516" s="12"/>
      <c r="M516" s="12"/>
      <c r="N516" s="12"/>
      <c r="O516" s="12"/>
      <c r="P516" s="12"/>
      <c r="Q516" s="12"/>
      <c r="R516" s="12"/>
      <c r="S516" s="12"/>
      <c r="T516" s="12"/>
      <c r="U516" s="12"/>
      <c r="V516" s="12"/>
      <c r="W516" s="12"/>
      <c r="X516" s="12"/>
      <c r="Y516" s="12"/>
      <c r="Z516" s="12"/>
      <c r="AA516" s="12"/>
    </row>
    <row r="517">
      <c r="A517" s="12"/>
      <c r="B517" s="12"/>
      <c r="C517" s="12"/>
      <c r="D517" s="12"/>
      <c r="E517" s="12"/>
      <c r="F517" s="12"/>
      <c r="G517" s="12"/>
      <c r="H517" s="2"/>
      <c r="I517" s="12"/>
      <c r="J517" s="12"/>
      <c r="K517" s="12"/>
      <c r="L517" s="12"/>
      <c r="M517" s="12"/>
      <c r="N517" s="12"/>
      <c r="O517" s="12"/>
      <c r="P517" s="12"/>
      <c r="Q517" s="12"/>
      <c r="R517" s="12"/>
      <c r="S517" s="12"/>
      <c r="T517" s="12"/>
      <c r="U517" s="12"/>
      <c r="V517" s="12"/>
      <c r="W517" s="12"/>
      <c r="X517" s="12"/>
      <c r="Y517" s="12"/>
      <c r="Z517" s="12"/>
      <c r="AA517" s="12"/>
    </row>
    <row r="518">
      <c r="A518" s="12"/>
      <c r="B518" s="12"/>
      <c r="C518" s="12"/>
      <c r="D518" s="12"/>
      <c r="E518" s="12"/>
      <c r="F518" s="12"/>
      <c r="G518" s="12"/>
      <c r="H518" s="2"/>
      <c r="I518" s="12"/>
      <c r="J518" s="12"/>
      <c r="K518" s="12"/>
      <c r="L518" s="12"/>
      <c r="M518" s="12"/>
      <c r="N518" s="12"/>
      <c r="O518" s="12"/>
      <c r="P518" s="12"/>
      <c r="Q518" s="12"/>
      <c r="R518" s="12"/>
      <c r="S518" s="12"/>
      <c r="T518" s="12"/>
      <c r="U518" s="12"/>
      <c r="V518" s="12"/>
      <c r="W518" s="12"/>
      <c r="X518" s="12"/>
      <c r="Y518" s="12"/>
      <c r="Z518" s="12"/>
      <c r="AA518" s="12"/>
    </row>
    <row r="519">
      <c r="A519" s="12"/>
      <c r="B519" s="12"/>
      <c r="C519" s="12"/>
      <c r="D519" s="12"/>
      <c r="E519" s="12"/>
      <c r="F519" s="12"/>
      <c r="G519" s="12"/>
      <c r="H519" s="2"/>
      <c r="I519" s="12"/>
      <c r="J519" s="12"/>
      <c r="K519" s="12"/>
      <c r="L519" s="12"/>
      <c r="M519" s="12"/>
      <c r="N519" s="12"/>
      <c r="O519" s="12"/>
      <c r="P519" s="12"/>
      <c r="Q519" s="12"/>
      <c r="R519" s="12"/>
      <c r="S519" s="12"/>
      <c r="T519" s="12"/>
      <c r="U519" s="12"/>
      <c r="V519" s="12"/>
      <c r="W519" s="12"/>
      <c r="X519" s="12"/>
      <c r="Y519" s="12"/>
      <c r="Z519" s="12"/>
      <c r="AA519" s="12"/>
    </row>
    <row r="520">
      <c r="A520" s="12"/>
      <c r="B520" s="12"/>
      <c r="C520" s="12"/>
      <c r="D520" s="12"/>
      <c r="E520" s="12"/>
      <c r="F520" s="12"/>
      <c r="G520" s="12"/>
      <c r="H520" s="2"/>
      <c r="I520" s="12"/>
      <c r="J520" s="12"/>
      <c r="K520" s="12"/>
      <c r="L520" s="12"/>
      <c r="M520" s="12"/>
      <c r="N520" s="12"/>
      <c r="O520" s="12"/>
      <c r="P520" s="12"/>
      <c r="Q520" s="12"/>
      <c r="R520" s="12"/>
      <c r="S520" s="12"/>
      <c r="T520" s="12"/>
      <c r="U520" s="12"/>
      <c r="V520" s="12"/>
      <c r="W520" s="12"/>
      <c r="X520" s="12"/>
      <c r="Y520" s="12"/>
      <c r="Z520" s="12"/>
      <c r="AA520" s="12"/>
    </row>
    <row r="521">
      <c r="A521" s="12"/>
      <c r="B521" s="12"/>
      <c r="C521" s="12"/>
      <c r="D521" s="12"/>
      <c r="E521" s="12"/>
      <c r="F521" s="12"/>
      <c r="G521" s="12"/>
      <c r="H521" s="2"/>
      <c r="I521" s="12"/>
      <c r="J521" s="12"/>
      <c r="K521" s="12"/>
      <c r="L521" s="12"/>
      <c r="M521" s="12"/>
      <c r="N521" s="12"/>
      <c r="O521" s="12"/>
      <c r="P521" s="12"/>
      <c r="Q521" s="12"/>
      <c r="R521" s="12"/>
      <c r="S521" s="12"/>
      <c r="T521" s="12"/>
      <c r="U521" s="12"/>
      <c r="V521" s="12"/>
      <c r="W521" s="12"/>
      <c r="X521" s="12"/>
      <c r="Y521" s="12"/>
      <c r="Z521" s="12"/>
      <c r="AA521" s="12"/>
    </row>
    <row r="522">
      <c r="A522" s="12"/>
      <c r="B522" s="12"/>
      <c r="C522" s="12"/>
      <c r="D522" s="12"/>
      <c r="E522" s="12"/>
      <c r="F522" s="12"/>
      <c r="G522" s="12"/>
      <c r="H522" s="2"/>
      <c r="I522" s="12"/>
      <c r="J522" s="12"/>
      <c r="K522" s="12"/>
      <c r="L522" s="12"/>
      <c r="M522" s="12"/>
      <c r="N522" s="12"/>
      <c r="O522" s="12"/>
      <c r="P522" s="12"/>
      <c r="Q522" s="12"/>
      <c r="R522" s="12"/>
      <c r="S522" s="12"/>
      <c r="T522" s="12"/>
      <c r="U522" s="12"/>
      <c r="V522" s="12"/>
      <c r="W522" s="12"/>
      <c r="X522" s="12"/>
      <c r="Y522" s="12"/>
      <c r="Z522" s="12"/>
      <c r="AA522" s="12"/>
    </row>
    <row r="523">
      <c r="A523" s="12"/>
      <c r="B523" s="12"/>
      <c r="C523" s="12"/>
      <c r="D523" s="12"/>
      <c r="E523" s="12"/>
      <c r="F523" s="12"/>
      <c r="G523" s="12"/>
      <c r="H523" s="2"/>
      <c r="I523" s="12"/>
      <c r="J523" s="12"/>
      <c r="K523" s="12"/>
      <c r="L523" s="12"/>
      <c r="M523" s="12"/>
      <c r="N523" s="12"/>
      <c r="O523" s="12"/>
      <c r="P523" s="12"/>
      <c r="Q523" s="12"/>
      <c r="R523" s="12"/>
      <c r="S523" s="12"/>
      <c r="T523" s="12"/>
      <c r="U523" s="12"/>
      <c r="V523" s="12"/>
      <c r="W523" s="12"/>
      <c r="X523" s="12"/>
      <c r="Y523" s="12"/>
      <c r="Z523" s="12"/>
      <c r="AA523" s="12"/>
    </row>
    <row r="524">
      <c r="A524" s="12"/>
      <c r="B524" s="12"/>
      <c r="C524" s="12"/>
      <c r="D524" s="12"/>
      <c r="E524" s="12"/>
      <c r="F524" s="12"/>
      <c r="G524" s="12"/>
      <c r="H524" s="2"/>
      <c r="I524" s="12"/>
      <c r="J524" s="12"/>
      <c r="K524" s="12"/>
      <c r="L524" s="12"/>
      <c r="M524" s="12"/>
      <c r="N524" s="12"/>
      <c r="O524" s="12"/>
      <c r="P524" s="12"/>
      <c r="Q524" s="12"/>
      <c r="R524" s="12"/>
      <c r="S524" s="12"/>
      <c r="T524" s="12"/>
      <c r="U524" s="12"/>
      <c r="V524" s="12"/>
      <c r="W524" s="12"/>
      <c r="X524" s="12"/>
      <c r="Y524" s="12"/>
      <c r="Z524" s="12"/>
      <c r="AA524" s="12"/>
    </row>
    <row r="525">
      <c r="A525" s="12"/>
      <c r="B525" s="12"/>
      <c r="C525" s="12"/>
      <c r="D525" s="12"/>
      <c r="E525" s="12"/>
      <c r="F525" s="12"/>
      <c r="G525" s="12"/>
      <c r="H525" s="2"/>
      <c r="I525" s="12"/>
      <c r="J525" s="12"/>
      <c r="K525" s="12"/>
      <c r="L525" s="12"/>
      <c r="M525" s="12"/>
      <c r="N525" s="12"/>
      <c r="O525" s="12"/>
      <c r="P525" s="12"/>
      <c r="Q525" s="12"/>
      <c r="R525" s="12"/>
      <c r="S525" s="12"/>
      <c r="T525" s="12"/>
      <c r="U525" s="12"/>
      <c r="V525" s="12"/>
      <c r="W525" s="12"/>
      <c r="X525" s="12"/>
      <c r="Y525" s="12"/>
      <c r="Z525" s="12"/>
      <c r="AA525" s="12"/>
    </row>
    <row r="526">
      <c r="A526" s="12"/>
      <c r="B526" s="12"/>
      <c r="C526" s="12"/>
      <c r="D526" s="12"/>
      <c r="E526" s="12"/>
      <c r="F526" s="12"/>
      <c r="G526" s="12"/>
      <c r="H526" s="2"/>
      <c r="I526" s="12"/>
      <c r="J526" s="12"/>
      <c r="K526" s="12"/>
      <c r="L526" s="12"/>
      <c r="M526" s="12"/>
      <c r="N526" s="12"/>
      <c r="O526" s="12"/>
      <c r="P526" s="12"/>
      <c r="Q526" s="12"/>
      <c r="R526" s="12"/>
      <c r="S526" s="12"/>
      <c r="T526" s="12"/>
      <c r="U526" s="12"/>
      <c r="V526" s="12"/>
      <c r="W526" s="12"/>
      <c r="X526" s="12"/>
      <c r="Y526" s="12"/>
      <c r="Z526" s="12"/>
      <c r="AA526" s="12"/>
    </row>
    <row r="527">
      <c r="A527" s="12"/>
      <c r="B527" s="12"/>
      <c r="C527" s="12"/>
      <c r="D527" s="12"/>
      <c r="E527" s="12"/>
      <c r="F527" s="12"/>
      <c r="G527" s="12"/>
      <c r="H527" s="2"/>
      <c r="I527" s="12"/>
      <c r="J527" s="12"/>
      <c r="K527" s="12"/>
      <c r="L527" s="12"/>
      <c r="M527" s="12"/>
      <c r="N527" s="12"/>
      <c r="O527" s="12"/>
      <c r="P527" s="12"/>
      <c r="Q527" s="12"/>
      <c r="R527" s="12"/>
      <c r="S527" s="12"/>
      <c r="T527" s="12"/>
      <c r="U527" s="12"/>
      <c r="V527" s="12"/>
      <c r="W527" s="12"/>
      <c r="X527" s="12"/>
      <c r="Y527" s="12"/>
      <c r="Z527" s="12"/>
      <c r="AA527" s="12"/>
    </row>
    <row r="528">
      <c r="A528" s="12"/>
      <c r="B528" s="12"/>
      <c r="C528" s="12"/>
      <c r="D528" s="12"/>
      <c r="E528" s="12"/>
      <c r="F528" s="12"/>
      <c r="G528" s="12"/>
      <c r="H528" s="2"/>
      <c r="I528" s="12"/>
      <c r="J528" s="12"/>
      <c r="K528" s="12"/>
      <c r="L528" s="12"/>
      <c r="M528" s="12"/>
      <c r="N528" s="12"/>
      <c r="O528" s="12"/>
      <c r="P528" s="12"/>
      <c r="Q528" s="12"/>
      <c r="R528" s="12"/>
      <c r="S528" s="12"/>
      <c r="T528" s="12"/>
      <c r="U528" s="12"/>
      <c r="V528" s="12"/>
      <c r="W528" s="12"/>
      <c r="X528" s="12"/>
      <c r="Y528" s="12"/>
      <c r="Z528" s="12"/>
      <c r="AA528" s="12"/>
    </row>
    <row r="529">
      <c r="A529" s="12"/>
      <c r="B529" s="12"/>
      <c r="C529" s="12"/>
      <c r="D529" s="12"/>
      <c r="E529" s="12"/>
      <c r="F529" s="12"/>
      <c r="G529" s="12"/>
      <c r="H529" s="2"/>
      <c r="I529" s="12"/>
      <c r="J529" s="12"/>
      <c r="K529" s="12"/>
      <c r="L529" s="12"/>
      <c r="M529" s="12"/>
      <c r="N529" s="12"/>
      <c r="O529" s="12"/>
      <c r="P529" s="12"/>
      <c r="Q529" s="12"/>
      <c r="R529" s="12"/>
      <c r="S529" s="12"/>
      <c r="T529" s="12"/>
      <c r="U529" s="12"/>
      <c r="V529" s="12"/>
      <c r="W529" s="12"/>
      <c r="X529" s="12"/>
      <c r="Y529" s="12"/>
      <c r="Z529" s="12"/>
      <c r="AA529" s="12"/>
    </row>
    <row r="530">
      <c r="A530" s="12"/>
      <c r="B530" s="12"/>
      <c r="C530" s="12"/>
      <c r="D530" s="12"/>
      <c r="E530" s="12"/>
      <c r="F530" s="12"/>
      <c r="G530" s="12"/>
      <c r="H530" s="2"/>
      <c r="I530" s="12"/>
      <c r="J530" s="12"/>
      <c r="K530" s="12"/>
      <c r="L530" s="12"/>
      <c r="M530" s="12"/>
      <c r="N530" s="12"/>
      <c r="O530" s="12"/>
      <c r="P530" s="12"/>
      <c r="Q530" s="12"/>
      <c r="R530" s="12"/>
      <c r="S530" s="12"/>
      <c r="T530" s="12"/>
      <c r="U530" s="12"/>
      <c r="V530" s="12"/>
      <c r="W530" s="12"/>
      <c r="X530" s="12"/>
      <c r="Y530" s="12"/>
      <c r="Z530" s="12"/>
      <c r="AA530" s="12"/>
    </row>
    <row r="531">
      <c r="A531" s="12"/>
      <c r="B531" s="12"/>
      <c r="C531" s="12"/>
      <c r="D531" s="12"/>
      <c r="E531" s="12"/>
      <c r="F531" s="12"/>
      <c r="G531" s="12"/>
      <c r="H531" s="2"/>
      <c r="I531" s="12"/>
      <c r="J531" s="12"/>
      <c r="K531" s="12"/>
      <c r="L531" s="12"/>
      <c r="M531" s="12"/>
      <c r="N531" s="12"/>
      <c r="O531" s="12"/>
      <c r="P531" s="12"/>
      <c r="Q531" s="12"/>
      <c r="R531" s="12"/>
      <c r="S531" s="12"/>
      <c r="T531" s="12"/>
      <c r="U531" s="12"/>
      <c r="V531" s="12"/>
      <c r="W531" s="12"/>
      <c r="X531" s="12"/>
      <c r="Y531" s="12"/>
      <c r="Z531" s="12"/>
      <c r="AA531" s="12"/>
    </row>
    <row r="532">
      <c r="A532" s="12"/>
      <c r="B532" s="12"/>
      <c r="C532" s="12"/>
      <c r="D532" s="12"/>
      <c r="E532" s="12"/>
      <c r="F532" s="12"/>
      <c r="G532" s="12"/>
      <c r="H532" s="2"/>
      <c r="I532" s="12"/>
      <c r="J532" s="12"/>
      <c r="K532" s="12"/>
      <c r="L532" s="12"/>
      <c r="M532" s="12"/>
      <c r="N532" s="12"/>
      <c r="O532" s="12"/>
      <c r="P532" s="12"/>
      <c r="Q532" s="12"/>
      <c r="R532" s="12"/>
      <c r="S532" s="12"/>
      <c r="T532" s="12"/>
      <c r="U532" s="12"/>
      <c r="V532" s="12"/>
      <c r="W532" s="12"/>
      <c r="X532" s="12"/>
      <c r="Y532" s="12"/>
      <c r="Z532" s="12"/>
      <c r="AA532" s="12"/>
    </row>
    <row r="533">
      <c r="A533" s="12"/>
      <c r="B533" s="12"/>
      <c r="C533" s="12"/>
      <c r="D533" s="12"/>
      <c r="E533" s="12"/>
      <c r="F533" s="12"/>
      <c r="G533" s="12"/>
      <c r="H533" s="2"/>
      <c r="I533" s="12"/>
      <c r="J533" s="12"/>
      <c r="K533" s="12"/>
      <c r="L533" s="12"/>
      <c r="M533" s="12"/>
      <c r="N533" s="12"/>
      <c r="O533" s="12"/>
      <c r="P533" s="12"/>
      <c r="Q533" s="12"/>
      <c r="R533" s="12"/>
      <c r="S533" s="12"/>
      <c r="T533" s="12"/>
      <c r="U533" s="12"/>
      <c r="V533" s="12"/>
      <c r="W533" s="12"/>
      <c r="X533" s="12"/>
      <c r="Y533" s="12"/>
      <c r="Z533" s="12"/>
      <c r="AA533" s="12"/>
    </row>
    <row r="534">
      <c r="A534" s="12"/>
      <c r="B534" s="12"/>
      <c r="C534" s="12"/>
      <c r="D534" s="12"/>
      <c r="E534" s="12"/>
      <c r="F534" s="12"/>
      <c r="G534" s="12"/>
      <c r="H534" s="2"/>
      <c r="I534" s="12"/>
      <c r="J534" s="12"/>
      <c r="K534" s="12"/>
      <c r="L534" s="12"/>
      <c r="M534" s="12"/>
      <c r="N534" s="12"/>
      <c r="O534" s="12"/>
      <c r="P534" s="12"/>
      <c r="Q534" s="12"/>
      <c r="R534" s="12"/>
      <c r="S534" s="12"/>
      <c r="T534" s="12"/>
      <c r="U534" s="12"/>
      <c r="V534" s="12"/>
      <c r="W534" s="12"/>
      <c r="X534" s="12"/>
      <c r="Y534" s="12"/>
      <c r="Z534" s="12"/>
      <c r="AA534" s="12"/>
    </row>
    <row r="535">
      <c r="A535" s="12"/>
      <c r="B535" s="12"/>
      <c r="C535" s="12"/>
      <c r="D535" s="12"/>
      <c r="E535" s="12"/>
      <c r="F535" s="12"/>
      <c r="G535" s="12"/>
      <c r="H535" s="2"/>
      <c r="I535" s="12"/>
      <c r="J535" s="12"/>
      <c r="K535" s="12"/>
      <c r="L535" s="12"/>
      <c r="M535" s="12"/>
      <c r="N535" s="12"/>
      <c r="O535" s="12"/>
      <c r="P535" s="12"/>
      <c r="Q535" s="12"/>
      <c r="R535" s="12"/>
      <c r="S535" s="12"/>
      <c r="T535" s="12"/>
      <c r="U535" s="12"/>
      <c r="V535" s="12"/>
      <c r="W535" s="12"/>
      <c r="X535" s="12"/>
      <c r="Y535" s="12"/>
      <c r="Z535" s="12"/>
      <c r="AA535" s="12"/>
    </row>
    <row r="536">
      <c r="A536" s="12"/>
      <c r="B536" s="12"/>
      <c r="C536" s="12"/>
      <c r="D536" s="12"/>
      <c r="E536" s="12"/>
      <c r="F536" s="12"/>
      <c r="G536" s="12"/>
      <c r="H536" s="2"/>
      <c r="I536" s="12"/>
      <c r="J536" s="12"/>
      <c r="K536" s="12"/>
      <c r="L536" s="12"/>
      <c r="M536" s="12"/>
      <c r="N536" s="12"/>
      <c r="O536" s="12"/>
      <c r="P536" s="12"/>
      <c r="Q536" s="12"/>
      <c r="R536" s="12"/>
      <c r="S536" s="12"/>
      <c r="T536" s="12"/>
      <c r="U536" s="12"/>
      <c r="V536" s="12"/>
      <c r="W536" s="12"/>
      <c r="X536" s="12"/>
      <c r="Y536" s="12"/>
      <c r="Z536" s="12"/>
      <c r="AA536" s="12"/>
    </row>
    <row r="537">
      <c r="A537" s="12"/>
      <c r="B537" s="12"/>
      <c r="C537" s="12"/>
      <c r="D537" s="12"/>
      <c r="E537" s="12"/>
      <c r="F537" s="12"/>
      <c r="G537" s="12"/>
      <c r="H537" s="2"/>
      <c r="I537" s="12"/>
      <c r="J537" s="12"/>
      <c r="K537" s="12"/>
      <c r="L537" s="12"/>
      <c r="M537" s="12"/>
      <c r="N537" s="12"/>
      <c r="O537" s="12"/>
      <c r="P537" s="12"/>
      <c r="Q537" s="12"/>
      <c r="R537" s="12"/>
      <c r="S537" s="12"/>
      <c r="T537" s="12"/>
      <c r="U537" s="12"/>
      <c r="V537" s="12"/>
      <c r="W537" s="12"/>
      <c r="X537" s="12"/>
      <c r="Y537" s="12"/>
      <c r="Z537" s="12"/>
      <c r="AA537" s="12"/>
    </row>
    <row r="538">
      <c r="A538" s="12"/>
      <c r="B538" s="12"/>
      <c r="C538" s="12"/>
      <c r="D538" s="12"/>
      <c r="E538" s="12"/>
      <c r="F538" s="12"/>
      <c r="G538" s="12"/>
      <c r="H538" s="2"/>
      <c r="I538" s="12"/>
      <c r="J538" s="12"/>
      <c r="K538" s="12"/>
      <c r="L538" s="12"/>
      <c r="M538" s="12"/>
      <c r="N538" s="12"/>
      <c r="O538" s="12"/>
      <c r="P538" s="12"/>
      <c r="Q538" s="12"/>
      <c r="R538" s="12"/>
      <c r="S538" s="12"/>
      <c r="T538" s="12"/>
      <c r="U538" s="12"/>
      <c r="V538" s="12"/>
      <c r="W538" s="12"/>
      <c r="X538" s="12"/>
      <c r="Y538" s="12"/>
      <c r="Z538" s="12"/>
      <c r="AA538" s="12"/>
    </row>
    <row r="539">
      <c r="A539" s="12"/>
      <c r="B539" s="12"/>
      <c r="C539" s="12"/>
      <c r="D539" s="12"/>
      <c r="E539" s="12"/>
      <c r="F539" s="12"/>
      <c r="G539" s="12"/>
      <c r="H539" s="2"/>
      <c r="I539" s="12"/>
      <c r="J539" s="12"/>
      <c r="K539" s="12"/>
      <c r="L539" s="12"/>
      <c r="M539" s="12"/>
      <c r="N539" s="12"/>
      <c r="O539" s="12"/>
      <c r="P539" s="12"/>
      <c r="Q539" s="12"/>
      <c r="R539" s="12"/>
      <c r="S539" s="12"/>
      <c r="T539" s="12"/>
      <c r="U539" s="12"/>
      <c r="V539" s="12"/>
      <c r="W539" s="12"/>
      <c r="X539" s="12"/>
      <c r="Y539" s="12"/>
      <c r="Z539" s="12"/>
      <c r="AA539" s="12"/>
    </row>
    <row r="540">
      <c r="A540" s="12"/>
      <c r="B540" s="12"/>
      <c r="C540" s="12"/>
      <c r="D540" s="12"/>
      <c r="E540" s="12"/>
      <c r="F540" s="12"/>
      <c r="G540" s="12"/>
      <c r="H540" s="2"/>
      <c r="I540" s="12"/>
      <c r="J540" s="12"/>
      <c r="K540" s="12"/>
      <c r="L540" s="12"/>
      <c r="M540" s="12"/>
      <c r="N540" s="12"/>
      <c r="O540" s="12"/>
      <c r="P540" s="12"/>
      <c r="Q540" s="12"/>
      <c r="R540" s="12"/>
      <c r="S540" s="12"/>
      <c r="T540" s="12"/>
      <c r="U540" s="12"/>
      <c r="V540" s="12"/>
      <c r="W540" s="12"/>
      <c r="X540" s="12"/>
      <c r="Y540" s="12"/>
      <c r="Z540" s="12"/>
      <c r="AA540" s="12"/>
    </row>
    <row r="541">
      <c r="A541" s="12"/>
      <c r="B541" s="12"/>
      <c r="C541" s="12"/>
      <c r="D541" s="12"/>
      <c r="E541" s="12"/>
      <c r="F541" s="12"/>
      <c r="G541" s="12"/>
      <c r="H541" s="2"/>
      <c r="I541" s="12"/>
      <c r="J541" s="12"/>
      <c r="K541" s="12"/>
      <c r="L541" s="12"/>
      <c r="M541" s="12"/>
      <c r="N541" s="12"/>
      <c r="O541" s="12"/>
      <c r="P541" s="12"/>
      <c r="Q541" s="12"/>
      <c r="R541" s="12"/>
      <c r="S541" s="12"/>
      <c r="T541" s="12"/>
      <c r="U541" s="12"/>
      <c r="V541" s="12"/>
      <c r="W541" s="12"/>
      <c r="X541" s="12"/>
      <c r="Y541" s="12"/>
      <c r="Z541" s="12"/>
      <c r="AA541" s="12"/>
    </row>
    <row r="542">
      <c r="A542" s="12"/>
      <c r="B542" s="12"/>
      <c r="C542" s="12"/>
      <c r="D542" s="12"/>
      <c r="E542" s="12"/>
      <c r="F542" s="12"/>
      <c r="G542" s="12"/>
      <c r="H542" s="2"/>
      <c r="I542" s="12"/>
      <c r="J542" s="12"/>
      <c r="K542" s="12"/>
      <c r="L542" s="12"/>
      <c r="M542" s="12"/>
      <c r="N542" s="12"/>
      <c r="O542" s="12"/>
      <c r="P542" s="12"/>
      <c r="Q542" s="12"/>
      <c r="R542" s="12"/>
      <c r="S542" s="12"/>
      <c r="T542" s="12"/>
      <c r="U542" s="12"/>
      <c r="V542" s="12"/>
      <c r="W542" s="12"/>
      <c r="X542" s="12"/>
      <c r="Y542" s="12"/>
      <c r="Z542" s="12"/>
      <c r="AA542" s="12"/>
    </row>
    <row r="543">
      <c r="A543" s="12"/>
      <c r="B543" s="12"/>
      <c r="C543" s="12"/>
      <c r="D543" s="12"/>
      <c r="E543" s="12"/>
      <c r="F543" s="12"/>
      <c r="G543" s="12"/>
      <c r="H543" s="2"/>
      <c r="I543" s="12"/>
      <c r="J543" s="12"/>
      <c r="K543" s="12"/>
      <c r="L543" s="12"/>
      <c r="M543" s="12"/>
      <c r="N543" s="12"/>
      <c r="O543" s="12"/>
      <c r="P543" s="12"/>
      <c r="Q543" s="12"/>
      <c r="R543" s="12"/>
      <c r="S543" s="12"/>
      <c r="T543" s="12"/>
      <c r="U543" s="12"/>
      <c r="V543" s="12"/>
      <c r="W543" s="12"/>
      <c r="X543" s="12"/>
      <c r="Y543" s="12"/>
      <c r="Z543" s="12"/>
      <c r="AA543" s="12"/>
    </row>
    <row r="544">
      <c r="A544" s="12"/>
      <c r="B544" s="12"/>
      <c r="C544" s="12"/>
      <c r="D544" s="12"/>
      <c r="E544" s="12"/>
      <c r="F544" s="12"/>
      <c r="G544" s="12"/>
      <c r="H544" s="2"/>
      <c r="I544" s="12"/>
      <c r="J544" s="12"/>
      <c r="K544" s="12"/>
      <c r="L544" s="12"/>
      <c r="M544" s="12"/>
      <c r="N544" s="12"/>
      <c r="O544" s="12"/>
      <c r="P544" s="12"/>
      <c r="Q544" s="12"/>
      <c r="R544" s="12"/>
      <c r="S544" s="12"/>
      <c r="T544" s="12"/>
      <c r="U544" s="12"/>
      <c r="V544" s="12"/>
      <c r="W544" s="12"/>
      <c r="X544" s="12"/>
      <c r="Y544" s="12"/>
      <c r="Z544" s="12"/>
      <c r="AA544" s="12"/>
    </row>
    <row r="545">
      <c r="A545" s="12"/>
      <c r="B545" s="12"/>
      <c r="C545" s="12"/>
      <c r="D545" s="12"/>
      <c r="E545" s="12"/>
      <c r="F545" s="12"/>
      <c r="G545" s="12"/>
      <c r="H545" s="2"/>
      <c r="I545" s="12"/>
      <c r="J545" s="12"/>
      <c r="K545" s="12"/>
      <c r="L545" s="12"/>
      <c r="M545" s="12"/>
      <c r="N545" s="12"/>
      <c r="O545" s="12"/>
      <c r="P545" s="12"/>
      <c r="Q545" s="12"/>
      <c r="R545" s="12"/>
      <c r="S545" s="12"/>
      <c r="T545" s="12"/>
      <c r="U545" s="12"/>
      <c r="V545" s="12"/>
      <c r="W545" s="12"/>
      <c r="X545" s="12"/>
      <c r="Y545" s="12"/>
      <c r="Z545" s="12"/>
      <c r="AA545" s="12"/>
    </row>
    <row r="546">
      <c r="A546" s="12"/>
      <c r="B546" s="12"/>
      <c r="C546" s="12"/>
      <c r="D546" s="12"/>
      <c r="E546" s="12"/>
      <c r="F546" s="12"/>
      <c r="G546" s="12"/>
      <c r="H546" s="2"/>
      <c r="I546" s="12"/>
      <c r="J546" s="12"/>
      <c r="K546" s="12"/>
      <c r="L546" s="12"/>
      <c r="M546" s="12"/>
      <c r="N546" s="12"/>
      <c r="O546" s="12"/>
      <c r="P546" s="12"/>
      <c r="Q546" s="12"/>
      <c r="R546" s="12"/>
      <c r="S546" s="12"/>
      <c r="T546" s="12"/>
      <c r="U546" s="12"/>
      <c r="V546" s="12"/>
      <c r="W546" s="12"/>
      <c r="X546" s="12"/>
      <c r="Y546" s="12"/>
      <c r="Z546" s="12"/>
      <c r="AA546" s="12"/>
    </row>
    <row r="547">
      <c r="A547" s="12"/>
      <c r="B547" s="12"/>
      <c r="C547" s="12"/>
      <c r="D547" s="12"/>
      <c r="E547" s="12"/>
      <c r="F547" s="12"/>
      <c r="G547" s="12"/>
      <c r="H547" s="2"/>
      <c r="I547" s="12"/>
      <c r="J547" s="12"/>
      <c r="K547" s="12"/>
      <c r="L547" s="12"/>
      <c r="M547" s="12"/>
      <c r="N547" s="12"/>
      <c r="O547" s="12"/>
      <c r="P547" s="12"/>
      <c r="Q547" s="12"/>
      <c r="R547" s="12"/>
      <c r="S547" s="12"/>
      <c r="T547" s="12"/>
      <c r="U547" s="12"/>
      <c r="V547" s="12"/>
      <c r="W547" s="12"/>
      <c r="X547" s="12"/>
      <c r="Y547" s="12"/>
      <c r="Z547" s="12"/>
      <c r="AA547" s="12"/>
    </row>
    <row r="548">
      <c r="A548" s="12"/>
      <c r="B548" s="12"/>
      <c r="C548" s="12"/>
      <c r="D548" s="12"/>
      <c r="E548" s="12"/>
      <c r="F548" s="12"/>
      <c r="G548" s="12"/>
      <c r="H548" s="2"/>
      <c r="I548" s="12"/>
      <c r="J548" s="12"/>
      <c r="K548" s="12"/>
      <c r="L548" s="12"/>
      <c r="M548" s="12"/>
      <c r="N548" s="12"/>
      <c r="O548" s="12"/>
      <c r="P548" s="12"/>
      <c r="Q548" s="12"/>
      <c r="R548" s="12"/>
      <c r="S548" s="12"/>
      <c r="T548" s="12"/>
      <c r="U548" s="12"/>
      <c r="V548" s="12"/>
      <c r="W548" s="12"/>
      <c r="X548" s="12"/>
      <c r="Y548" s="12"/>
      <c r="Z548" s="12"/>
      <c r="AA548" s="12"/>
    </row>
    <row r="549">
      <c r="A549" s="12"/>
      <c r="B549" s="12"/>
      <c r="C549" s="12"/>
      <c r="D549" s="12"/>
      <c r="E549" s="12"/>
      <c r="F549" s="12"/>
      <c r="G549" s="12"/>
      <c r="H549" s="2"/>
      <c r="I549" s="12"/>
      <c r="J549" s="12"/>
      <c r="K549" s="12"/>
      <c r="L549" s="12"/>
      <c r="M549" s="12"/>
      <c r="N549" s="12"/>
      <c r="O549" s="12"/>
      <c r="P549" s="12"/>
      <c r="Q549" s="12"/>
      <c r="R549" s="12"/>
      <c r="S549" s="12"/>
      <c r="T549" s="12"/>
      <c r="U549" s="12"/>
      <c r="V549" s="12"/>
      <c r="W549" s="12"/>
      <c r="X549" s="12"/>
      <c r="Y549" s="12"/>
      <c r="Z549" s="12"/>
      <c r="AA549" s="12"/>
    </row>
    <row r="550">
      <c r="A550" s="12"/>
      <c r="B550" s="12"/>
      <c r="C550" s="12"/>
      <c r="D550" s="12"/>
      <c r="E550" s="12"/>
      <c r="F550" s="12"/>
      <c r="G550" s="12"/>
      <c r="H550" s="2"/>
      <c r="I550" s="12"/>
      <c r="J550" s="12"/>
      <c r="K550" s="12"/>
      <c r="L550" s="12"/>
      <c r="M550" s="12"/>
      <c r="N550" s="12"/>
      <c r="O550" s="12"/>
      <c r="P550" s="12"/>
      <c r="Q550" s="12"/>
      <c r="R550" s="12"/>
      <c r="S550" s="12"/>
      <c r="T550" s="12"/>
      <c r="U550" s="12"/>
      <c r="V550" s="12"/>
      <c r="W550" s="12"/>
      <c r="X550" s="12"/>
      <c r="Y550" s="12"/>
      <c r="Z550" s="12"/>
      <c r="AA550" s="12"/>
    </row>
    <row r="551">
      <c r="A551" s="12"/>
      <c r="B551" s="12"/>
      <c r="C551" s="12"/>
      <c r="D551" s="12"/>
      <c r="E551" s="12"/>
      <c r="F551" s="12"/>
      <c r="G551" s="12"/>
      <c r="H551" s="2"/>
      <c r="I551" s="12"/>
      <c r="J551" s="12"/>
      <c r="K551" s="12"/>
      <c r="L551" s="12"/>
      <c r="M551" s="12"/>
      <c r="N551" s="12"/>
      <c r="O551" s="12"/>
      <c r="P551" s="12"/>
      <c r="Q551" s="12"/>
      <c r="R551" s="12"/>
      <c r="S551" s="12"/>
      <c r="T551" s="12"/>
      <c r="U551" s="12"/>
      <c r="V551" s="12"/>
      <c r="W551" s="12"/>
      <c r="X551" s="12"/>
      <c r="Y551" s="12"/>
      <c r="Z551" s="12"/>
      <c r="AA551" s="12"/>
    </row>
    <row r="552">
      <c r="A552" s="12"/>
      <c r="B552" s="12"/>
      <c r="C552" s="12"/>
      <c r="D552" s="12"/>
      <c r="E552" s="12"/>
      <c r="F552" s="12"/>
      <c r="G552" s="12"/>
      <c r="H552" s="2"/>
      <c r="I552" s="12"/>
      <c r="J552" s="12"/>
      <c r="K552" s="12"/>
      <c r="L552" s="12"/>
      <c r="M552" s="12"/>
      <c r="N552" s="12"/>
      <c r="O552" s="12"/>
      <c r="P552" s="12"/>
      <c r="Q552" s="12"/>
      <c r="R552" s="12"/>
      <c r="S552" s="12"/>
      <c r="T552" s="12"/>
      <c r="U552" s="12"/>
      <c r="V552" s="12"/>
      <c r="W552" s="12"/>
      <c r="X552" s="12"/>
      <c r="Y552" s="12"/>
      <c r="Z552" s="12"/>
      <c r="AA552" s="12"/>
    </row>
    <row r="553">
      <c r="A553" s="12"/>
      <c r="B553" s="12"/>
      <c r="C553" s="12"/>
      <c r="D553" s="12"/>
      <c r="E553" s="12"/>
      <c r="F553" s="12"/>
      <c r="G553" s="12"/>
      <c r="H553" s="2"/>
      <c r="I553" s="12"/>
      <c r="J553" s="12"/>
      <c r="K553" s="12"/>
      <c r="L553" s="12"/>
      <c r="M553" s="12"/>
      <c r="N553" s="12"/>
      <c r="O553" s="12"/>
      <c r="P553" s="12"/>
      <c r="Q553" s="12"/>
      <c r="R553" s="12"/>
      <c r="S553" s="12"/>
      <c r="T553" s="12"/>
      <c r="U553" s="12"/>
      <c r="V553" s="12"/>
      <c r="W553" s="12"/>
      <c r="X553" s="12"/>
      <c r="Y553" s="12"/>
      <c r="Z553" s="12"/>
      <c r="AA553" s="12"/>
    </row>
    <row r="554">
      <c r="A554" s="12"/>
      <c r="B554" s="12"/>
      <c r="C554" s="12"/>
      <c r="D554" s="12"/>
      <c r="E554" s="12"/>
      <c r="F554" s="12"/>
      <c r="G554" s="12"/>
      <c r="H554" s="2"/>
      <c r="I554" s="12"/>
      <c r="J554" s="12"/>
      <c r="K554" s="12"/>
      <c r="L554" s="12"/>
      <c r="M554" s="12"/>
      <c r="N554" s="12"/>
      <c r="O554" s="12"/>
      <c r="P554" s="12"/>
      <c r="Q554" s="12"/>
      <c r="R554" s="12"/>
      <c r="S554" s="12"/>
      <c r="T554" s="12"/>
      <c r="U554" s="12"/>
      <c r="V554" s="12"/>
      <c r="W554" s="12"/>
      <c r="X554" s="12"/>
      <c r="Y554" s="12"/>
      <c r="Z554" s="12"/>
      <c r="AA554" s="12"/>
    </row>
    <row r="555">
      <c r="A555" s="12"/>
      <c r="B555" s="12"/>
      <c r="C555" s="12"/>
      <c r="D555" s="12"/>
      <c r="E555" s="12"/>
      <c r="F555" s="12"/>
      <c r="G555" s="12"/>
      <c r="H555" s="2"/>
      <c r="I555" s="12"/>
      <c r="J555" s="12"/>
      <c r="K555" s="12"/>
      <c r="L555" s="12"/>
      <c r="M555" s="12"/>
      <c r="N555" s="12"/>
      <c r="O555" s="12"/>
      <c r="P555" s="12"/>
      <c r="Q555" s="12"/>
      <c r="R555" s="12"/>
      <c r="S555" s="12"/>
      <c r="T555" s="12"/>
      <c r="U555" s="12"/>
      <c r="V555" s="12"/>
      <c r="W555" s="12"/>
      <c r="X555" s="12"/>
      <c r="Y555" s="12"/>
      <c r="Z555" s="12"/>
      <c r="AA555" s="12"/>
    </row>
    <row r="556">
      <c r="A556" s="12"/>
      <c r="B556" s="12"/>
      <c r="C556" s="12"/>
      <c r="D556" s="12"/>
      <c r="E556" s="12"/>
      <c r="F556" s="12"/>
      <c r="G556" s="12"/>
      <c r="H556" s="2"/>
      <c r="I556" s="12"/>
      <c r="J556" s="12"/>
      <c r="K556" s="12"/>
      <c r="L556" s="12"/>
      <c r="M556" s="12"/>
      <c r="N556" s="12"/>
      <c r="O556" s="12"/>
      <c r="P556" s="12"/>
      <c r="Q556" s="12"/>
      <c r="R556" s="12"/>
      <c r="S556" s="12"/>
      <c r="T556" s="12"/>
      <c r="U556" s="12"/>
      <c r="V556" s="12"/>
      <c r="W556" s="12"/>
      <c r="X556" s="12"/>
      <c r="Y556" s="12"/>
      <c r="Z556" s="12"/>
      <c r="AA556" s="12"/>
    </row>
    <row r="557">
      <c r="A557" s="12"/>
      <c r="B557" s="12"/>
      <c r="C557" s="12"/>
      <c r="D557" s="12"/>
      <c r="E557" s="12"/>
      <c r="F557" s="12"/>
      <c r="G557" s="12"/>
      <c r="H557" s="2"/>
      <c r="I557" s="12"/>
      <c r="J557" s="12"/>
      <c r="K557" s="12"/>
      <c r="L557" s="12"/>
      <c r="M557" s="12"/>
      <c r="N557" s="12"/>
      <c r="O557" s="12"/>
      <c r="P557" s="12"/>
      <c r="Q557" s="12"/>
      <c r="R557" s="12"/>
      <c r="S557" s="12"/>
      <c r="T557" s="12"/>
      <c r="U557" s="12"/>
      <c r="V557" s="12"/>
      <c r="W557" s="12"/>
      <c r="X557" s="12"/>
      <c r="Y557" s="12"/>
      <c r="Z557" s="12"/>
      <c r="AA557" s="12"/>
    </row>
    <row r="558">
      <c r="A558" s="12"/>
      <c r="B558" s="12"/>
      <c r="C558" s="12"/>
      <c r="D558" s="12"/>
      <c r="E558" s="12"/>
      <c r="F558" s="12"/>
      <c r="G558" s="12"/>
      <c r="H558" s="2"/>
      <c r="I558" s="12"/>
      <c r="J558" s="12"/>
      <c r="K558" s="12"/>
      <c r="L558" s="12"/>
      <c r="M558" s="12"/>
      <c r="N558" s="12"/>
      <c r="O558" s="12"/>
      <c r="P558" s="12"/>
      <c r="Q558" s="12"/>
      <c r="R558" s="12"/>
      <c r="S558" s="12"/>
      <c r="T558" s="12"/>
      <c r="U558" s="12"/>
      <c r="V558" s="12"/>
      <c r="W558" s="12"/>
      <c r="X558" s="12"/>
      <c r="Y558" s="12"/>
      <c r="Z558" s="12"/>
      <c r="AA558" s="12"/>
    </row>
    <row r="559">
      <c r="A559" s="12"/>
      <c r="B559" s="12"/>
      <c r="C559" s="12"/>
      <c r="D559" s="12"/>
      <c r="E559" s="12"/>
      <c r="F559" s="12"/>
      <c r="G559" s="12"/>
      <c r="H559" s="2"/>
      <c r="I559" s="12"/>
      <c r="J559" s="12"/>
      <c r="K559" s="12"/>
      <c r="L559" s="12"/>
      <c r="M559" s="12"/>
      <c r="N559" s="12"/>
      <c r="O559" s="12"/>
      <c r="P559" s="12"/>
      <c r="Q559" s="12"/>
      <c r="R559" s="12"/>
      <c r="S559" s="12"/>
      <c r="T559" s="12"/>
      <c r="U559" s="12"/>
      <c r="V559" s="12"/>
      <c r="W559" s="12"/>
      <c r="X559" s="12"/>
      <c r="Y559" s="12"/>
      <c r="Z559" s="12"/>
      <c r="AA559" s="12"/>
    </row>
    <row r="560">
      <c r="A560" s="12"/>
      <c r="B560" s="12"/>
      <c r="C560" s="12"/>
      <c r="D560" s="12"/>
      <c r="E560" s="12"/>
      <c r="F560" s="12"/>
      <c r="G560" s="12"/>
      <c r="H560" s="2"/>
      <c r="I560" s="12"/>
      <c r="J560" s="12"/>
      <c r="K560" s="12"/>
      <c r="L560" s="12"/>
      <c r="M560" s="12"/>
      <c r="N560" s="12"/>
      <c r="O560" s="12"/>
      <c r="P560" s="12"/>
      <c r="Q560" s="12"/>
      <c r="R560" s="12"/>
      <c r="S560" s="12"/>
      <c r="T560" s="12"/>
      <c r="U560" s="12"/>
      <c r="V560" s="12"/>
      <c r="W560" s="12"/>
      <c r="X560" s="12"/>
      <c r="Y560" s="12"/>
      <c r="Z560" s="12"/>
      <c r="AA560" s="12"/>
    </row>
    <row r="561">
      <c r="A561" s="12"/>
      <c r="B561" s="12"/>
      <c r="C561" s="12"/>
      <c r="D561" s="12"/>
      <c r="E561" s="12"/>
      <c r="F561" s="12"/>
      <c r="G561" s="12"/>
      <c r="H561" s="2"/>
      <c r="I561" s="12"/>
      <c r="J561" s="12"/>
      <c r="K561" s="12"/>
      <c r="L561" s="12"/>
      <c r="M561" s="12"/>
      <c r="N561" s="12"/>
      <c r="O561" s="12"/>
      <c r="P561" s="12"/>
      <c r="Q561" s="12"/>
      <c r="R561" s="12"/>
      <c r="S561" s="12"/>
      <c r="T561" s="12"/>
      <c r="U561" s="12"/>
      <c r="V561" s="12"/>
      <c r="W561" s="12"/>
      <c r="X561" s="12"/>
      <c r="Y561" s="12"/>
      <c r="Z561" s="12"/>
      <c r="AA561" s="12"/>
    </row>
    <row r="562">
      <c r="A562" s="12"/>
      <c r="B562" s="12"/>
      <c r="C562" s="12"/>
      <c r="D562" s="12"/>
      <c r="E562" s="12"/>
      <c r="F562" s="12"/>
      <c r="G562" s="12"/>
      <c r="H562" s="2"/>
      <c r="I562" s="12"/>
      <c r="J562" s="12"/>
      <c r="K562" s="12"/>
      <c r="L562" s="12"/>
      <c r="M562" s="12"/>
      <c r="N562" s="12"/>
      <c r="O562" s="12"/>
      <c r="P562" s="12"/>
      <c r="Q562" s="12"/>
      <c r="R562" s="12"/>
      <c r="S562" s="12"/>
      <c r="T562" s="12"/>
      <c r="U562" s="12"/>
      <c r="V562" s="12"/>
      <c r="W562" s="12"/>
      <c r="X562" s="12"/>
      <c r="Y562" s="12"/>
      <c r="Z562" s="12"/>
      <c r="AA562" s="12"/>
    </row>
    <row r="563">
      <c r="A563" s="12"/>
      <c r="B563" s="12"/>
      <c r="C563" s="12"/>
      <c r="D563" s="12"/>
      <c r="E563" s="12"/>
      <c r="F563" s="12"/>
      <c r="G563" s="12"/>
      <c r="H563" s="2"/>
      <c r="I563" s="12"/>
      <c r="J563" s="12"/>
      <c r="K563" s="12"/>
      <c r="L563" s="12"/>
      <c r="M563" s="12"/>
      <c r="N563" s="12"/>
      <c r="O563" s="12"/>
      <c r="P563" s="12"/>
      <c r="Q563" s="12"/>
      <c r="R563" s="12"/>
      <c r="S563" s="12"/>
      <c r="T563" s="12"/>
      <c r="U563" s="12"/>
      <c r="V563" s="12"/>
      <c r="W563" s="12"/>
      <c r="X563" s="12"/>
      <c r="Y563" s="12"/>
      <c r="Z563" s="12"/>
      <c r="AA563" s="12"/>
    </row>
    <row r="564">
      <c r="A564" s="12"/>
      <c r="B564" s="12"/>
      <c r="C564" s="12"/>
      <c r="D564" s="12"/>
      <c r="E564" s="12"/>
      <c r="F564" s="12"/>
      <c r="G564" s="12"/>
      <c r="H564" s="2"/>
      <c r="I564" s="12"/>
      <c r="J564" s="12"/>
      <c r="K564" s="12"/>
      <c r="L564" s="12"/>
      <c r="M564" s="12"/>
      <c r="N564" s="12"/>
      <c r="O564" s="12"/>
      <c r="P564" s="12"/>
      <c r="Q564" s="12"/>
      <c r="R564" s="12"/>
      <c r="S564" s="12"/>
      <c r="T564" s="12"/>
      <c r="U564" s="12"/>
      <c r="V564" s="12"/>
      <c r="W564" s="12"/>
      <c r="X564" s="12"/>
      <c r="Y564" s="12"/>
      <c r="Z564" s="12"/>
      <c r="AA564" s="12"/>
    </row>
    <row r="565">
      <c r="A565" s="12"/>
      <c r="B565" s="12"/>
      <c r="C565" s="12"/>
      <c r="D565" s="12"/>
      <c r="E565" s="12"/>
      <c r="F565" s="12"/>
      <c r="G565" s="12"/>
      <c r="H565" s="2"/>
      <c r="I565" s="12"/>
      <c r="J565" s="12"/>
      <c r="K565" s="12"/>
      <c r="L565" s="12"/>
      <c r="M565" s="12"/>
      <c r="N565" s="12"/>
      <c r="O565" s="12"/>
      <c r="P565" s="12"/>
      <c r="Q565" s="12"/>
      <c r="R565" s="12"/>
      <c r="S565" s="12"/>
      <c r="T565" s="12"/>
      <c r="U565" s="12"/>
      <c r="V565" s="12"/>
      <c r="W565" s="12"/>
      <c r="X565" s="12"/>
      <c r="Y565" s="12"/>
      <c r="Z565" s="12"/>
      <c r="AA565" s="12"/>
    </row>
    <row r="566">
      <c r="A566" s="12"/>
      <c r="B566" s="12"/>
      <c r="C566" s="12"/>
      <c r="D566" s="12"/>
      <c r="E566" s="12"/>
      <c r="F566" s="12"/>
      <c r="G566" s="12"/>
      <c r="H566" s="2"/>
      <c r="I566" s="12"/>
      <c r="J566" s="12"/>
      <c r="K566" s="12"/>
      <c r="L566" s="12"/>
      <c r="M566" s="12"/>
      <c r="N566" s="12"/>
      <c r="O566" s="12"/>
      <c r="P566" s="12"/>
      <c r="Q566" s="12"/>
      <c r="R566" s="12"/>
      <c r="S566" s="12"/>
      <c r="T566" s="12"/>
      <c r="U566" s="12"/>
      <c r="V566" s="12"/>
      <c r="W566" s="12"/>
      <c r="X566" s="12"/>
      <c r="Y566" s="12"/>
      <c r="Z566" s="12"/>
      <c r="AA566" s="12"/>
    </row>
    <row r="567">
      <c r="A567" s="12"/>
      <c r="B567" s="12"/>
      <c r="C567" s="12"/>
      <c r="D567" s="12"/>
      <c r="E567" s="12"/>
      <c r="F567" s="12"/>
      <c r="G567" s="12"/>
      <c r="H567" s="2"/>
      <c r="I567" s="12"/>
      <c r="J567" s="12"/>
      <c r="K567" s="12"/>
      <c r="L567" s="12"/>
      <c r="M567" s="12"/>
      <c r="N567" s="12"/>
      <c r="O567" s="12"/>
      <c r="P567" s="12"/>
      <c r="Q567" s="12"/>
      <c r="R567" s="12"/>
      <c r="S567" s="12"/>
      <c r="T567" s="12"/>
      <c r="U567" s="12"/>
      <c r="V567" s="12"/>
      <c r="W567" s="12"/>
      <c r="X567" s="12"/>
      <c r="Y567" s="12"/>
      <c r="Z567" s="12"/>
      <c r="AA567" s="12"/>
    </row>
    <row r="568">
      <c r="A568" s="12"/>
      <c r="B568" s="12"/>
      <c r="C568" s="12"/>
      <c r="D568" s="12"/>
      <c r="E568" s="12"/>
      <c r="F568" s="12"/>
      <c r="G568" s="12"/>
      <c r="H568" s="2"/>
      <c r="I568" s="12"/>
      <c r="J568" s="12"/>
      <c r="K568" s="12"/>
      <c r="L568" s="12"/>
      <c r="M568" s="12"/>
      <c r="N568" s="12"/>
      <c r="O568" s="12"/>
      <c r="P568" s="12"/>
      <c r="Q568" s="12"/>
      <c r="R568" s="12"/>
      <c r="S568" s="12"/>
      <c r="T568" s="12"/>
      <c r="U568" s="12"/>
      <c r="V568" s="12"/>
      <c r="W568" s="12"/>
      <c r="X568" s="12"/>
      <c r="Y568" s="12"/>
      <c r="Z568" s="12"/>
      <c r="AA568" s="12"/>
    </row>
    <row r="569">
      <c r="A569" s="12"/>
      <c r="B569" s="12"/>
      <c r="C569" s="12"/>
      <c r="D569" s="12"/>
      <c r="E569" s="12"/>
      <c r="F569" s="12"/>
      <c r="G569" s="12"/>
      <c r="H569" s="2"/>
      <c r="I569" s="12"/>
      <c r="J569" s="12"/>
      <c r="K569" s="12"/>
      <c r="L569" s="12"/>
      <c r="M569" s="12"/>
      <c r="N569" s="12"/>
      <c r="O569" s="12"/>
      <c r="P569" s="12"/>
      <c r="Q569" s="12"/>
      <c r="R569" s="12"/>
      <c r="S569" s="12"/>
      <c r="T569" s="12"/>
      <c r="U569" s="12"/>
      <c r="V569" s="12"/>
      <c r="W569" s="12"/>
      <c r="X569" s="12"/>
      <c r="Y569" s="12"/>
      <c r="Z569" s="12"/>
      <c r="AA569" s="12"/>
    </row>
    <row r="570">
      <c r="A570" s="12"/>
      <c r="B570" s="12"/>
      <c r="C570" s="12"/>
      <c r="D570" s="12"/>
      <c r="E570" s="12"/>
      <c r="F570" s="12"/>
      <c r="G570" s="12"/>
      <c r="H570" s="2"/>
      <c r="I570" s="12"/>
      <c r="J570" s="12"/>
      <c r="K570" s="12"/>
      <c r="L570" s="12"/>
      <c r="M570" s="12"/>
      <c r="N570" s="12"/>
      <c r="O570" s="12"/>
      <c r="P570" s="12"/>
      <c r="Q570" s="12"/>
      <c r="R570" s="12"/>
      <c r="S570" s="12"/>
      <c r="T570" s="12"/>
      <c r="U570" s="12"/>
      <c r="V570" s="12"/>
      <c r="W570" s="12"/>
      <c r="X570" s="12"/>
      <c r="Y570" s="12"/>
      <c r="Z570" s="12"/>
      <c r="AA570" s="12"/>
    </row>
    <row r="571">
      <c r="A571" s="12"/>
      <c r="B571" s="12"/>
      <c r="C571" s="12"/>
      <c r="D571" s="12"/>
      <c r="E571" s="12"/>
      <c r="F571" s="12"/>
      <c r="G571" s="12"/>
      <c r="H571" s="2"/>
      <c r="I571" s="12"/>
      <c r="J571" s="12"/>
      <c r="K571" s="12"/>
      <c r="L571" s="12"/>
      <c r="M571" s="12"/>
      <c r="N571" s="12"/>
      <c r="O571" s="12"/>
      <c r="P571" s="12"/>
      <c r="Q571" s="12"/>
      <c r="R571" s="12"/>
      <c r="S571" s="12"/>
      <c r="T571" s="12"/>
      <c r="U571" s="12"/>
      <c r="V571" s="12"/>
      <c r="W571" s="12"/>
      <c r="X571" s="12"/>
      <c r="Y571" s="12"/>
      <c r="Z571" s="12"/>
      <c r="AA571" s="12"/>
    </row>
    <row r="572">
      <c r="A572" s="12"/>
      <c r="B572" s="12"/>
      <c r="C572" s="12"/>
      <c r="D572" s="12"/>
      <c r="E572" s="12"/>
      <c r="F572" s="12"/>
      <c r="G572" s="12"/>
      <c r="H572" s="2"/>
      <c r="I572" s="12"/>
      <c r="J572" s="12"/>
      <c r="K572" s="12"/>
      <c r="L572" s="12"/>
      <c r="M572" s="12"/>
      <c r="N572" s="12"/>
      <c r="O572" s="12"/>
      <c r="P572" s="12"/>
      <c r="Q572" s="12"/>
      <c r="R572" s="12"/>
      <c r="S572" s="12"/>
      <c r="T572" s="12"/>
      <c r="U572" s="12"/>
      <c r="V572" s="12"/>
      <c r="W572" s="12"/>
      <c r="X572" s="12"/>
      <c r="Y572" s="12"/>
      <c r="Z572" s="12"/>
      <c r="AA572" s="12"/>
    </row>
    <row r="573">
      <c r="A573" s="12"/>
      <c r="B573" s="12"/>
      <c r="C573" s="12"/>
      <c r="D573" s="12"/>
      <c r="E573" s="12"/>
      <c r="F573" s="12"/>
      <c r="G573" s="12"/>
      <c r="H573" s="2"/>
      <c r="I573" s="12"/>
      <c r="J573" s="12"/>
      <c r="K573" s="12"/>
      <c r="L573" s="12"/>
      <c r="M573" s="12"/>
      <c r="N573" s="12"/>
      <c r="O573" s="12"/>
      <c r="P573" s="12"/>
      <c r="Q573" s="12"/>
      <c r="R573" s="12"/>
      <c r="S573" s="12"/>
      <c r="T573" s="12"/>
      <c r="U573" s="12"/>
      <c r="V573" s="12"/>
      <c r="W573" s="12"/>
      <c r="X573" s="12"/>
      <c r="Y573" s="12"/>
      <c r="Z573" s="12"/>
      <c r="AA573" s="12"/>
    </row>
    <row r="574">
      <c r="A574" s="12"/>
      <c r="B574" s="12"/>
      <c r="C574" s="12"/>
      <c r="D574" s="12"/>
      <c r="E574" s="12"/>
      <c r="F574" s="12"/>
      <c r="G574" s="12"/>
      <c r="H574" s="2"/>
      <c r="I574" s="12"/>
      <c r="J574" s="12"/>
      <c r="K574" s="12"/>
      <c r="L574" s="12"/>
      <c r="M574" s="12"/>
      <c r="N574" s="12"/>
      <c r="O574" s="12"/>
      <c r="P574" s="12"/>
      <c r="Q574" s="12"/>
      <c r="R574" s="12"/>
      <c r="S574" s="12"/>
      <c r="T574" s="12"/>
      <c r="U574" s="12"/>
      <c r="V574" s="12"/>
      <c r="W574" s="12"/>
      <c r="X574" s="12"/>
      <c r="Y574" s="12"/>
      <c r="Z574" s="12"/>
      <c r="AA574" s="12"/>
    </row>
    <row r="575">
      <c r="A575" s="12"/>
      <c r="B575" s="12"/>
      <c r="C575" s="12"/>
      <c r="D575" s="12"/>
      <c r="E575" s="12"/>
      <c r="F575" s="12"/>
      <c r="G575" s="12"/>
      <c r="H575" s="2"/>
      <c r="I575" s="12"/>
      <c r="J575" s="12"/>
      <c r="K575" s="12"/>
      <c r="L575" s="12"/>
      <c r="M575" s="12"/>
      <c r="N575" s="12"/>
      <c r="O575" s="12"/>
      <c r="P575" s="12"/>
      <c r="Q575" s="12"/>
      <c r="R575" s="12"/>
      <c r="S575" s="12"/>
      <c r="T575" s="12"/>
      <c r="U575" s="12"/>
      <c r="V575" s="12"/>
      <c r="W575" s="12"/>
      <c r="X575" s="12"/>
      <c r="Y575" s="12"/>
      <c r="Z575" s="12"/>
      <c r="AA575" s="12"/>
    </row>
    <row r="576">
      <c r="A576" s="12"/>
      <c r="B576" s="12"/>
      <c r="C576" s="12"/>
      <c r="D576" s="12"/>
      <c r="E576" s="12"/>
      <c r="F576" s="12"/>
      <c r="G576" s="12"/>
      <c r="H576" s="2"/>
      <c r="I576" s="12"/>
      <c r="J576" s="12"/>
      <c r="K576" s="12"/>
      <c r="L576" s="12"/>
      <c r="M576" s="12"/>
      <c r="N576" s="12"/>
      <c r="O576" s="12"/>
      <c r="P576" s="12"/>
      <c r="Q576" s="12"/>
      <c r="R576" s="12"/>
      <c r="S576" s="12"/>
      <c r="T576" s="12"/>
      <c r="U576" s="12"/>
      <c r="V576" s="12"/>
      <c r="W576" s="12"/>
      <c r="X576" s="12"/>
      <c r="Y576" s="12"/>
      <c r="Z576" s="12"/>
      <c r="AA576" s="12"/>
    </row>
    <row r="577">
      <c r="A577" s="12"/>
      <c r="B577" s="12"/>
      <c r="C577" s="12"/>
      <c r="D577" s="12"/>
      <c r="E577" s="12"/>
      <c r="F577" s="12"/>
      <c r="G577" s="12"/>
      <c r="H577" s="2"/>
      <c r="I577" s="12"/>
      <c r="J577" s="12"/>
      <c r="K577" s="12"/>
      <c r="L577" s="12"/>
      <c r="M577" s="12"/>
      <c r="N577" s="12"/>
      <c r="O577" s="12"/>
      <c r="P577" s="12"/>
      <c r="Q577" s="12"/>
      <c r="R577" s="12"/>
      <c r="S577" s="12"/>
      <c r="T577" s="12"/>
      <c r="U577" s="12"/>
      <c r="V577" s="12"/>
      <c r="W577" s="12"/>
      <c r="X577" s="12"/>
      <c r="Y577" s="12"/>
      <c r="Z577" s="12"/>
      <c r="AA577" s="12"/>
    </row>
    <row r="578">
      <c r="A578" s="12"/>
      <c r="B578" s="12"/>
      <c r="C578" s="12"/>
      <c r="D578" s="12"/>
      <c r="E578" s="12"/>
      <c r="F578" s="12"/>
      <c r="G578" s="12"/>
      <c r="H578" s="2"/>
      <c r="I578" s="12"/>
      <c r="J578" s="12"/>
      <c r="K578" s="12"/>
      <c r="L578" s="12"/>
      <c r="M578" s="12"/>
      <c r="N578" s="12"/>
      <c r="O578" s="12"/>
      <c r="P578" s="12"/>
      <c r="Q578" s="12"/>
      <c r="R578" s="12"/>
      <c r="S578" s="12"/>
      <c r="T578" s="12"/>
      <c r="U578" s="12"/>
      <c r="V578" s="12"/>
      <c r="W578" s="12"/>
      <c r="X578" s="12"/>
      <c r="Y578" s="12"/>
      <c r="Z578" s="12"/>
      <c r="AA578" s="12"/>
    </row>
    <row r="579">
      <c r="A579" s="12"/>
      <c r="B579" s="12"/>
      <c r="C579" s="12"/>
      <c r="D579" s="12"/>
      <c r="E579" s="12"/>
      <c r="F579" s="12"/>
      <c r="G579" s="12"/>
      <c r="H579" s="2"/>
      <c r="I579" s="12"/>
      <c r="J579" s="12"/>
      <c r="K579" s="12"/>
      <c r="L579" s="12"/>
      <c r="M579" s="12"/>
      <c r="N579" s="12"/>
      <c r="O579" s="12"/>
      <c r="P579" s="12"/>
      <c r="Q579" s="12"/>
      <c r="R579" s="12"/>
      <c r="S579" s="12"/>
      <c r="T579" s="12"/>
      <c r="U579" s="12"/>
      <c r="V579" s="12"/>
      <c r="W579" s="12"/>
      <c r="X579" s="12"/>
      <c r="Y579" s="12"/>
      <c r="Z579" s="12"/>
      <c r="AA579" s="12"/>
    </row>
    <row r="580">
      <c r="A580" s="12"/>
      <c r="B580" s="12"/>
      <c r="C580" s="12"/>
      <c r="D580" s="12"/>
      <c r="E580" s="12"/>
      <c r="F580" s="12"/>
      <c r="G580" s="12"/>
      <c r="H580" s="2"/>
      <c r="I580" s="12"/>
      <c r="J580" s="12"/>
      <c r="K580" s="12"/>
      <c r="L580" s="12"/>
      <c r="M580" s="12"/>
      <c r="N580" s="12"/>
      <c r="O580" s="12"/>
      <c r="P580" s="12"/>
      <c r="Q580" s="12"/>
      <c r="R580" s="12"/>
      <c r="S580" s="12"/>
      <c r="T580" s="12"/>
      <c r="U580" s="12"/>
      <c r="V580" s="12"/>
      <c r="W580" s="12"/>
      <c r="X580" s="12"/>
      <c r="Y580" s="12"/>
      <c r="Z580" s="12"/>
      <c r="AA580" s="12"/>
    </row>
    <row r="581">
      <c r="A581" s="12"/>
      <c r="B581" s="12"/>
      <c r="C581" s="12"/>
      <c r="D581" s="12"/>
      <c r="E581" s="12"/>
      <c r="F581" s="12"/>
      <c r="G581" s="12"/>
      <c r="H581" s="2"/>
      <c r="I581" s="12"/>
      <c r="J581" s="12"/>
      <c r="K581" s="12"/>
      <c r="L581" s="12"/>
      <c r="M581" s="12"/>
      <c r="N581" s="12"/>
      <c r="O581" s="12"/>
      <c r="P581" s="12"/>
      <c r="Q581" s="12"/>
      <c r="R581" s="12"/>
      <c r="S581" s="12"/>
      <c r="T581" s="12"/>
      <c r="U581" s="12"/>
      <c r="V581" s="12"/>
      <c r="W581" s="12"/>
      <c r="X581" s="12"/>
      <c r="Y581" s="12"/>
      <c r="Z581" s="12"/>
      <c r="AA581" s="12"/>
    </row>
    <row r="582">
      <c r="A582" s="12"/>
      <c r="B582" s="12"/>
      <c r="C582" s="12"/>
      <c r="D582" s="12"/>
      <c r="E582" s="12"/>
      <c r="F582" s="12"/>
      <c r="G582" s="12"/>
      <c r="H582" s="2"/>
      <c r="I582" s="12"/>
      <c r="J582" s="12"/>
      <c r="K582" s="12"/>
      <c r="L582" s="12"/>
      <c r="M582" s="12"/>
      <c r="N582" s="12"/>
      <c r="O582" s="12"/>
      <c r="P582" s="12"/>
      <c r="Q582" s="12"/>
      <c r="R582" s="12"/>
      <c r="S582" s="12"/>
      <c r="T582" s="12"/>
      <c r="U582" s="12"/>
      <c r="V582" s="12"/>
      <c r="W582" s="12"/>
      <c r="X582" s="12"/>
      <c r="Y582" s="12"/>
      <c r="Z582" s="12"/>
      <c r="AA582" s="12"/>
    </row>
    <row r="583">
      <c r="A583" s="12"/>
      <c r="B583" s="12"/>
      <c r="C583" s="12"/>
      <c r="D583" s="12"/>
      <c r="E583" s="12"/>
      <c r="F583" s="12"/>
      <c r="G583" s="12"/>
      <c r="H583" s="2"/>
      <c r="I583" s="12"/>
      <c r="J583" s="12"/>
      <c r="K583" s="12"/>
      <c r="L583" s="12"/>
      <c r="M583" s="12"/>
      <c r="N583" s="12"/>
      <c r="O583" s="12"/>
      <c r="P583" s="12"/>
      <c r="Q583" s="12"/>
      <c r="R583" s="12"/>
      <c r="S583" s="12"/>
      <c r="T583" s="12"/>
      <c r="U583" s="12"/>
      <c r="V583" s="12"/>
      <c r="W583" s="12"/>
      <c r="X583" s="12"/>
      <c r="Y583" s="12"/>
      <c r="Z583" s="12"/>
      <c r="AA583" s="12"/>
    </row>
    <row r="584">
      <c r="A584" s="12"/>
      <c r="B584" s="12"/>
      <c r="C584" s="12"/>
      <c r="D584" s="12"/>
      <c r="E584" s="12"/>
      <c r="F584" s="12"/>
      <c r="G584" s="12"/>
      <c r="H584" s="2"/>
      <c r="I584" s="12"/>
      <c r="J584" s="12"/>
      <c r="K584" s="12"/>
      <c r="L584" s="12"/>
      <c r="M584" s="12"/>
      <c r="N584" s="12"/>
      <c r="O584" s="12"/>
      <c r="P584" s="12"/>
      <c r="Q584" s="12"/>
      <c r="R584" s="12"/>
      <c r="S584" s="12"/>
      <c r="T584" s="12"/>
      <c r="U584" s="12"/>
      <c r="V584" s="12"/>
      <c r="W584" s="12"/>
      <c r="X584" s="12"/>
      <c r="Y584" s="12"/>
      <c r="Z584" s="12"/>
      <c r="AA584" s="12"/>
    </row>
    <row r="585">
      <c r="A585" s="12"/>
      <c r="B585" s="12"/>
      <c r="C585" s="12"/>
      <c r="D585" s="12"/>
      <c r="E585" s="12"/>
      <c r="F585" s="12"/>
      <c r="G585" s="12"/>
      <c r="H585" s="2"/>
      <c r="I585" s="12"/>
      <c r="J585" s="12"/>
      <c r="K585" s="12"/>
      <c r="L585" s="12"/>
      <c r="M585" s="12"/>
      <c r="N585" s="12"/>
      <c r="O585" s="12"/>
      <c r="P585" s="12"/>
      <c r="Q585" s="12"/>
      <c r="R585" s="12"/>
      <c r="S585" s="12"/>
      <c r="T585" s="12"/>
      <c r="U585" s="12"/>
      <c r="V585" s="12"/>
      <c r="W585" s="12"/>
      <c r="X585" s="12"/>
      <c r="Y585" s="12"/>
      <c r="Z585" s="12"/>
      <c r="AA585" s="12"/>
    </row>
    <row r="586">
      <c r="A586" s="12"/>
      <c r="B586" s="12"/>
      <c r="C586" s="12"/>
      <c r="D586" s="12"/>
      <c r="E586" s="12"/>
      <c r="F586" s="12"/>
      <c r="G586" s="12"/>
      <c r="H586" s="2"/>
      <c r="I586" s="12"/>
      <c r="J586" s="12"/>
      <c r="K586" s="12"/>
      <c r="L586" s="12"/>
      <c r="M586" s="12"/>
      <c r="N586" s="12"/>
      <c r="O586" s="12"/>
      <c r="P586" s="12"/>
      <c r="Q586" s="12"/>
      <c r="R586" s="12"/>
      <c r="S586" s="12"/>
      <c r="T586" s="12"/>
      <c r="U586" s="12"/>
      <c r="V586" s="12"/>
      <c r="W586" s="12"/>
      <c r="X586" s="12"/>
      <c r="Y586" s="12"/>
      <c r="Z586" s="12"/>
      <c r="AA586" s="12"/>
    </row>
    <row r="587">
      <c r="A587" s="12"/>
      <c r="B587" s="12"/>
      <c r="C587" s="12"/>
      <c r="D587" s="12"/>
      <c r="E587" s="12"/>
      <c r="F587" s="12"/>
      <c r="G587" s="12"/>
      <c r="H587" s="2"/>
      <c r="I587" s="12"/>
      <c r="J587" s="12"/>
      <c r="K587" s="12"/>
      <c r="L587" s="12"/>
      <c r="M587" s="12"/>
      <c r="N587" s="12"/>
      <c r="O587" s="12"/>
      <c r="P587" s="12"/>
      <c r="Q587" s="12"/>
      <c r="R587" s="12"/>
      <c r="S587" s="12"/>
      <c r="T587" s="12"/>
      <c r="U587" s="12"/>
      <c r="V587" s="12"/>
      <c r="W587" s="12"/>
      <c r="X587" s="12"/>
      <c r="Y587" s="12"/>
      <c r="Z587" s="12"/>
      <c r="AA587" s="12"/>
    </row>
    <row r="588">
      <c r="A588" s="12"/>
      <c r="B588" s="12"/>
      <c r="C588" s="12"/>
      <c r="D588" s="12"/>
      <c r="E588" s="12"/>
      <c r="F588" s="12"/>
      <c r="G588" s="12"/>
      <c r="H588" s="2"/>
      <c r="I588" s="12"/>
      <c r="J588" s="12"/>
      <c r="K588" s="12"/>
      <c r="L588" s="12"/>
      <c r="M588" s="12"/>
      <c r="N588" s="12"/>
      <c r="O588" s="12"/>
      <c r="P588" s="12"/>
      <c r="Q588" s="12"/>
      <c r="R588" s="12"/>
      <c r="S588" s="12"/>
      <c r="T588" s="12"/>
      <c r="U588" s="12"/>
      <c r="V588" s="12"/>
      <c r="W588" s="12"/>
      <c r="X588" s="12"/>
      <c r="Y588" s="12"/>
      <c r="Z588" s="12"/>
      <c r="AA588" s="12"/>
    </row>
    <row r="589">
      <c r="A589" s="12"/>
      <c r="B589" s="12"/>
      <c r="C589" s="12"/>
      <c r="D589" s="12"/>
      <c r="E589" s="12"/>
      <c r="F589" s="12"/>
      <c r="G589" s="12"/>
      <c r="H589" s="2"/>
      <c r="I589" s="12"/>
      <c r="J589" s="12"/>
      <c r="K589" s="12"/>
      <c r="L589" s="12"/>
      <c r="M589" s="12"/>
      <c r="N589" s="12"/>
      <c r="O589" s="12"/>
      <c r="P589" s="12"/>
      <c r="Q589" s="12"/>
      <c r="R589" s="12"/>
      <c r="S589" s="12"/>
      <c r="T589" s="12"/>
      <c r="U589" s="12"/>
      <c r="V589" s="12"/>
      <c r="W589" s="12"/>
      <c r="X589" s="12"/>
      <c r="Y589" s="12"/>
      <c r="Z589" s="12"/>
      <c r="AA589" s="12"/>
    </row>
    <row r="590">
      <c r="A590" s="12"/>
      <c r="B590" s="12"/>
      <c r="C590" s="12"/>
      <c r="D590" s="12"/>
      <c r="E590" s="12"/>
      <c r="F590" s="12"/>
      <c r="G590" s="12"/>
      <c r="H590" s="2"/>
      <c r="I590" s="12"/>
      <c r="J590" s="12"/>
      <c r="K590" s="12"/>
      <c r="L590" s="12"/>
      <c r="M590" s="12"/>
      <c r="N590" s="12"/>
      <c r="O590" s="12"/>
      <c r="P590" s="12"/>
      <c r="Q590" s="12"/>
      <c r="R590" s="12"/>
      <c r="S590" s="12"/>
      <c r="T590" s="12"/>
      <c r="U590" s="12"/>
      <c r="V590" s="12"/>
      <c r="W590" s="12"/>
      <c r="X590" s="12"/>
      <c r="Y590" s="12"/>
      <c r="Z590" s="12"/>
      <c r="AA590" s="12"/>
    </row>
    <row r="591">
      <c r="A591" s="12"/>
      <c r="B591" s="12"/>
      <c r="C591" s="12"/>
      <c r="D591" s="12"/>
      <c r="E591" s="12"/>
      <c r="F591" s="12"/>
      <c r="G591" s="12"/>
      <c r="H591" s="2"/>
      <c r="I591" s="12"/>
      <c r="J591" s="12"/>
      <c r="K591" s="12"/>
      <c r="L591" s="12"/>
      <c r="M591" s="12"/>
      <c r="N591" s="12"/>
      <c r="O591" s="12"/>
      <c r="P591" s="12"/>
      <c r="Q591" s="12"/>
      <c r="R591" s="12"/>
      <c r="S591" s="12"/>
      <c r="T591" s="12"/>
      <c r="U591" s="12"/>
      <c r="V591" s="12"/>
      <c r="W591" s="12"/>
      <c r="X591" s="12"/>
      <c r="Y591" s="12"/>
      <c r="Z591" s="12"/>
      <c r="AA591" s="12"/>
    </row>
    <row r="592">
      <c r="A592" s="12"/>
      <c r="B592" s="12"/>
      <c r="C592" s="12"/>
      <c r="D592" s="12"/>
      <c r="E592" s="12"/>
      <c r="F592" s="12"/>
      <c r="G592" s="12"/>
      <c r="H592" s="2"/>
      <c r="I592" s="12"/>
      <c r="J592" s="12"/>
      <c r="K592" s="12"/>
      <c r="L592" s="12"/>
      <c r="M592" s="12"/>
      <c r="N592" s="12"/>
      <c r="O592" s="12"/>
      <c r="P592" s="12"/>
      <c r="Q592" s="12"/>
      <c r="R592" s="12"/>
      <c r="S592" s="12"/>
      <c r="T592" s="12"/>
      <c r="U592" s="12"/>
      <c r="V592" s="12"/>
      <c r="W592" s="12"/>
      <c r="X592" s="12"/>
      <c r="Y592" s="12"/>
      <c r="Z592" s="12"/>
      <c r="AA592" s="12"/>
    </row>
    <row r="593">
      <c r="A593" s="12"/>
      <c r="B593" s="12"/>
      <c r="C593" s="12"/>
      <c r="D593" s="12"/>
      <c r="E593" s="12"/>
      <c r="F593" s="12"/>
      <c r="G593" s="12"/>
      <c r="H593" s="2"/>
      <c r="I593" s="12"/>
      <c r="J593" s="12"/>
      <c r="K593" s="12"/>
      <c r="L593" s="12"/>
      <c r="M593" s="12"/>
      <c r="N593" s="12"/>
      <c r="O593" s="12"/>
      <c r="P593" s="12"/>
      <c r="Q593" s="12"/>
      <c r="R593" s="12"/>
      <c r="S593" s="12"/>
      <c r="T593" s="12"/>
      <c r="U593" s="12"/>
      <c r="V593" s="12"/>
      <c r="W593" s="12"/>
      <c r="X593" s="12"/>
      <c r="Y593" s="12"/>
      <c r="Z593" s="12"/>
      <c r="AA593" s="12"/>
    </row>
    <row r="594">
      <c r="A594" s="12"/>
      <c r="B594" s="12"/>
      <c r="C594" s="12"/>
      <c r="D594" s="12"/>
      <c r="E594" s="12"/>
      <c r="F594" s="12"/>
      <c r="G594" s="12"/>
      <c r="H594" s="2"/>
      <c r="I594" s="12"/>
      <c r="J594" s="12"/>
      <c r="K594" s="12"/>
      <c r="L594" s="12"/>
      <c r="M594" s="12"/>
      <c r="N594" s="12"/>
      <c r="O594" s="12"/>
      <c r="P594" s="12"/>
      <c r="Q594" s="12"/>
      <c r="R594" s="12"/>
      <c r="S594" s="12"/>
      <c r="T594" s="12"/>
      <c r="U594" s="12"/>
      <c r="V594" s="12"/>
      <c r="W594" s="12"/>
      <c r="X594" s="12"/>
      <c r="Y594" s="12"/>
      <c r="Z594" s="12"/>
      <c r="AA594" s="12"/>
    </row>
    <row r="595">
      <c r="A595" s="12"/>
      <c r="B595" s="12"/>
      <c r="C595" s="12"/>
      <c r="D595" s="12"/>
      <c r="E595" s="12"/>
      <c r="F595" s="12"/>
      <c r="G595" s="12"/>
      <c r="H595" s="2"/>
      <c r="I595" s="12"/>
      <c r="J595" s="12"/>
      <c r="K595" s="12"/>
      <c r="L595" s="12"/>
      <c r="M595" s="12"/>
      <c r="N595" s="12"/>
      <c r="O595" s="12"/>
      <c r="P595" s="12"/>
      <c r="Q595" s="12"/>
      <c r="R595" s="12"/>
      <c r="S595" s="12"/>
      <c r="T595" s="12"/>
      <c r="U595" s="12"/>
      <c r="V595" s="12"/>
      <c r="W595" s="12"/>
      <c r="X595" s="12"/>
      <c r="Y595" s="12"/>
      <c r="Z595" s="12"/>
      <c r="AA595" s="12"/>
    </row>
    <row r="596">
      <c r="A596" s="12"/>
      <c r="B596" s="12"/>
      <c r="C596" s="12"/>
      <c r="D596" s="12"/>
      <c r="E596" s="12"/>
      <c r="F596" s="12"/>
      <c r="G596" s="12"/>
      <c r="H596" s="2"/>
      <c r="I596" s="12"/>
      <c r="J596" s="12"/>
      <c r="K596" s="12"/>
      <c r="L596" s="12"/>
      <c r="M596" s="12"/>
      <c r="N596" s="12"/>
      <c r="O596" s="12"/>
      <c r="P596" s="12"/>
      <c r="Q596" s="12"/>
      <c r="R596" s="12"/>
      <c r="S596" s="12"/>
      <c r="T596" s="12"/>
      <c r="U596" s="12"/>
      <c r="V596" s="12"/>
      <c r="W596" s="12"/>
      <c r="X596" s="12"/>
      <c r="Y596" s="12"/>
      <c r="Z596" s="12"/>
      <c r="AA596" s="12"/>
    </row>
    <row r="597">
      <c r="A597" s="12"/>
      <c r="B597" s="12"/>
      <c r="C597" s="12"/>
      <c r="D597" s="12"/>
      <c r="E597" s="12"/>
      <c r="F597" s="12"/>
      <c r="G597" s="12"/>
      <c r="H597" s="2"/>
      <c r="I597" s="12"/>
      <c r="J597" s="12"/>
      <c r="K597" s="12"/>
      <c r="L597" s="12"/>
      <c r="M597" s="12"/>
      <c r="N597" s="12"/>
      <c r="O597" s="12"/>
      <c r="P597" s="12"/>
      <c r="Q597" s="12"/>
      <c r="R597" s="12"/>
      <c r="S597" s="12"/>
      <c r="T597" s="12"/>
      <c r="U597" s="12"/>
      <c r="V597" s="12"/>
      <c r="W597" s="12"/>
      <c r="X597" s="12"/>
      <c r="Y597" s="12"/>
      <c r="Z597" s="12"/>
      <c r="AA597" s="12"/>
    </row>
    <row r="598">
      <c r="A598" s="12"/>
      <c r="B598" s="12"/>
      <c r="C598" s="12"/>
      <c r="D598" s="12"/>
      <c r="E598" s="12"/>
      <c r="F598" s="12"/>
      <c r="G598" s="12"/>
      <c r="H598" s="2"/>
      <c r="I598" s="12"/>
      <c r="J598" s="12"/>
      <c r="K598" s="12"/>
      <c r="L598" s="12"/>
      <c r="M598" s="12"/>
      <c r="N598" s="12"/>
      <c r="O598" s="12"/>
      <c r="P598" s="12"/>
      <c r="Q598" s="12"/>
      <c r="R598" s="12"/>
      <c r="S598" s="12"/>
      <c r="T598" s="12"/>
      <c r="U598" s="12"/>
      <c r="V598" s="12"/>
      <c r="W598" s="12"/>
      <c r="X598" s="12"/>
      <c r="Y598" s="12"/>
      <c r="Z598" s="12"/>
      <c r="AA598" s="12"/>
    </row>
    <row r="599">
      <c r="A599" s="12"/>
      <c r="B599" s="12"/>
      <c r="C599" s="12"/>
      <c r="D599" s="12"/>
      <c r="E599" s="12"/>
      <c r="F599" s="12"/>
      <c r="G599" s="12"/>
      <c r="H599" s="2"/>
      <c r="I599" s="12"/>
      <c r="J599" s="12"/>
      <c r="K599" s="12"/>
      <c r="L599" s="12"/>
      <c r="M599" s="12"/>
      <c r="N599" s="12"/>
      <c r="O599" s="12"/>
      <c r="P599" s="12"/>
      <c r="Q599" s="12"/>
      <c r="R599" s="12"/>
      <c r="S599" s="12"/>
      <c r="T599" s="12"/>
      <c r="U599" s="12"/>
      <c r="V599" s="12"/>
      <c r="W599" s="12"/>
      <c r="X599" s="12"/>
      <c r="Y599" s="12"/>
      <c r="Z599" s="12"/>
      <c r="AA599" s="12"/>
    </row>
    <row r="600">
      <c r="A600" s="12"/>
      <c r="B600" s="12"/>
      <c r="C600" s="12"/>
      <c r="D600" s="12"/>
      <c r="E600" s="12"/>
      <c r="F600" s="12"/>
      <c r="G600" s="12"/>
      <c r="H600" s="2"/>
      <c r="I600" s="12"/>
      <c r="J600" s="12"/>
      <c r="K600" s="12"/>
      <c r="L600" s="12"/>
      <c r="M600" s="12"/>
      <c r="N600" s="12"/>
      <c r="O600" s="12"/>
      <c r="P600" s="12"/>
      <c r="Q600" s="12"/>
      <c r="R600" s="12"/>
      <c r="S600" s="12"/>
      <c r="T600" s="12"/>
      <c r="U600" s="12"/>
      <c r="V600" s="12"/>
      <c r="W600" s="12"/>
      <c r="X600" s="12"/>
      <c r="Y600" s="12"/>
      <c r="Z600" s="12"/>
      <c r="AA600" s="12"/>
    </row>
    <row r="601">
      <c r="A601" s="12"/>
      <c r="B601" s="12"/>
      <c r="C601" s="12"/>
      <c r="D601" s="12"/>
      <c r="E601" s="12"/>
      <c r="F601" s="12"/>
      <c r="G601" s="12"/>
      <c r="H601" s="2"/>
      <c r="I601" s="12"/>
      <c r="J601" s="12"/>
      <c r="K601" s="12"/>
      <c r="L601" s="12"/>
      <c r="M601" s="12"/>
      <c r="N601" s="12"/>
      <c r="O601" s="12"/>
      <c r="P601" s="12"/>
      <c r="Q601" s="12"/>
      <c r="R601" s="12"/>
      <c r="S601" s="12"/>
      <c r="T601" s="12"/>
      <c r="U601" s="12"/>
      <c r="V601" s="12"/>
      <c r="W601" s="12"/>
      <c r="X601" s="12"/>
      <c r="Y601" s="12"/>
      <c r="Z601" s="12"/>
      <c r="AA601" s="12"/>
    </row>
    <row r="602">
      <c r="A602" s="12"/>
      <c r="B602" s="12"/>
      <c r="C602" s="12"/>
      <c r="D602" s="12"/>
      <c r="E602" s="12"/>
      <c r="F602" s="12"/>
      <c r="G602" s="12"/>
      <c r="H602" s="2"/>
      <c r="I602" s="12"/>
      <c r="J602" s="12"/>
      <c r="K602" s="12"/>
      <c r="L602" s="12"/>
      <c r="M602" s="12"/>
      <c r="N602" s="12"/>
      <c r="O602" s="12"/>
      <c r="P602" s="12"/>
      <c r="Q602" s="12"/>
      <c r="R602" s="12"/>
      <c r="S602" s="12"/>
      <c r="T602" s="12"/>
      <c r="U602" s="12"/>
      <c r="V602" s="12"/>
      <c r="W602" s="12"/>
      <c r="X602" s="12"/>
      <c r="Y602" s="12"/>
      <c r="Z602" s="12"/>
      <c r="AA602" s="12"/>
    </row>
    <row r="603">
      <c r="A603" s="12"/>
      <c r="B603" s="12"/>
      <c r="C603" s="12"/>
      <c r="D603" s="12"/>
      <c r="E603" s="12"/>
      <c r="F603" s="12"/>
      <c r="G603" s="12"/>
      <c r="H603" s="2"/>
      <c r="I603" s="12"/>
      <c r="J603" s="12"/>
      <c r="K603" s="12"/>
      <c r="L603" s="12"/>
      <c r="M603" s="12"/>
      <c r="N603" s="12"/>
      <c r="O603" s="12"/>
      <c r="P603" s="12"/>
      <c r="Q603" s="12"/>
      <c r="R603" s="12"/>
      <c r="S603" s="12"/>
      <c r="T603" s="12"/>
      <c r="U603" s="12"/>
      <c r="V603" s="12"/>
      <c r="W603" s="12"/>
      <c r="X603" s="12"/>
      <c r="Y603" s="12"/>
      <c r="Z603" s="12"/>
      <c r="AA603" s="12"/>
    </row>
    <row r="604">
      <c r="A604" s="12"/>
      <c r="B604" s="12"/>
      <c r="C604" s="12"/>
      <c r="D604" s="12"/>
      <c r="E604" s="12"/>
      <c r="F604" s="12"/>
      <c r="G604" s="12"/>
      <c r="H604" s="2"/>
      <c r="I604" s="12"/>
      <c r="J604" s="12"/>
      <c r="K604" s="12"/>
      <c r="L604" s="12"/>
      <c r="M604" s="12"/>
      <c r="N604" s="12"/>
      <c r="O604" s="12"/>
      <c r="P604" s="12"/>
      <c r="Q604" s="12"/>
      <c r="R604" s="12"/>
      <c r="S604" s="12"/>
      <c r="T604" s="12"/>
      <c r="U604" s="12"/>
      <c r="V604" s="12"/>
      <c r="W604" s="12"/>
      <c r="X604" s="12"/>
      <c r="Y604" s="12"/>
      <c r="Z604" s="12"/>
      <c r="AA604" s="12"/>
    </row>
    <row r="605">
      <c r="A605" s="12"/>
      <c r="B605" s="12"/>
      <c r="C605" s="12"/>
      <c r="D605" s="12"/>
      <c r="E605" s="12"/>
      <c r="F605" s="12"/>
      <c r="G605" s="12"/>
      <c r="H605" s="2"/>
      <c r="I605" s="12"/>
      <c r="J605" s="12"/>
      <c r="K605" s="12"/>
      <c r="L605" s="12"/>
      <c r="M605" s="12"/>
      <c r="N605" s="12"/>
      <c r="O605" s="12"/>
      <c r="P605" s="12"/>
      <c r="Q605" s="12"/>
      <c r="R605" s="12"/>
      <c r="S605" s="12"/>
      <c r="T605" s="12"/>
      <c r="U605" s="12"/>
      <c r="V605" s="12"/>
      <c r="W605" s="12"/>
      <c r="X605" s="12"/>
      <c r="Y605" s="12"/>
      <c r="Z605" s="12"/>
      <c r="AA605" s="12"/>
    </row>
    <row r="606">
      <c r="A606" s="12"/>
      <c r="B606" s="12"/>
      <c r="C606" s="12"/>
      <c r="D606" s="12"/>
      <c r="E606" s="12"/>
      <c r="F606" s="12"/>
      <c r="G606" s="12"/>
      <c r="H606" s="2"/>
      <c r="I606" s="12"/>
      <c r="J606" s="12"/>
      <c r="K606" s="12"/>
      <c r="L606" s="12"/>
      <c r="M606" s="12"/>
      <c r="N606" s="12"/>
      <c r="O606" s="12"/>
      <c r="P606" s="12"/>
      <c r="Q606" s="12"/>
      <c r="R606" s="12"/>
      <c r="S606" s="12"/>
      <c r="T606" s="12"/>
      <c r="U606" s="12"/>
      <c r="V606" s="12"/>
      <c r="W606" s="12"/>
      <c r="X606" s="12"/>
      <c r="Y606" s="12"/>
      <c r="Z606" s="12"/>
      <c r="AA606" s="12"/>
    </row>
    <row r="607">
      <c r="A607" s="12"/>
      <c r="B607" s="12"/>
      <c r="C607" s="12"/>
      <c r="D607" s="12"/>
      <c r="E607" s="12"/>
      <c r="F607" s="12"/>
      <c r="G607" s="12"/>
      <c r="H607" s="2"/>
      <c r="I607" s="12"/>
      <c r="J607" s="12"/>
      <c r="K607" s="12"/>
      <c r="L607" s="12"/>
      <c r="M607" s="12"/>
      <c r="N607" s="12"/>
      <c r="O607" s="12"/>
      <c r="P607" s="12"/>
      <c r="Q607" s="12"/>
      <c r="R607" s="12"/>
      <c r="S607" s="12"/>
      <c r="T607" s="12"/>
      <c r="U607" s="12"/>
      <c r="V607" s="12"/>
      <c r="W607" s="12"/>
      <c r="X607" s="12"/>
      <c r="Y607" s="12"/>
      <c r="Z607" s="12"/>
      <c r="AA607" s="12"/>
    </row>
    <row r="608">
      <c r="A608" s="12"/>
      <c r="B608" s="12"/>
      <c r="C608" s="12"/>
      <c r="D608" s="12"/>
      <c r="E608" s="12"/>
      <c r="F608" s="12"/>
      <c r="G608" s="12"/>
      <c r="H608" s="2"/>
      <c r="I608" s="12"/>
      <c r="J608" s="12"/>
      <c r="K608" s="12"/>
      <c r="L608" s="12"/>
      <c r="M608" s="12"/>
      <c r="N608" s="12"/>
      <c r="O608" s="12"/>
      <c r="P608" s="12"/>
      <c r="Q608" s="12"/>
      <c r="R608" s="12"/>
      <c r="S608" s="12"/>
      <c r="T608" s="12"/>
      <c r="U608" s="12"/>
      <c r="V608" s="12"/>
      <c r="W608" s="12"/>
      <c r="X608" s="12"/>
      <c r="Y608" s="12"/>
      <c r="Z608" s="12"/>
      <c r="AA608" s="12"/>
    </row>
    <row r="609">
      <c r="A609" s="12"/>
      <c r="B609" s="12"/>
      <c r="C609" s="12"/>
      <c r="D609" s="12"/>
      <c r="E609" s="12"/>
      <c r="F609" s="12"/>
      <c r="G609" s="12"/>
      <c r="H609" s="2"/>
      <c r="I609" s="12"/>
      <c r="J609" s="12"/>
      <c r="K609" s="12"/>
      <c r="L609" s="12"/>
      <c r="M609" s="12"/>
      <c r="N609" s="12"/>
      <c r="O609" s="12"/>
      <c r="P609" s="12"/>
      <c r="Q609" s="12"/>
      <c r="R609" s="12"/>
      <c r="S609" s="12"/>
      <c r="T609" s="12"/>
      <c r="U609" s="12"/>
      <c r="V609" s="12"/>
      <c r="W609" s="12"/>
      <c r="X609" s="12"/>
      <c r="Y609" s="12"/>
      <c r="Z609" s="12"/>
      <c r="AA609" s="12"/>
    </row>
    <row r="610">
      <c r="A610" s="12"/>
      <c r="B610" s="12"/>
      <c r="C610" s="12"/>
      <c r="D610" s="12"/>
      <c r="E610" s="12"/>
      <c r="F610" s="12"/>
      <c r="G610" s="12"/>
      <c r="H610" s="2"/>
      <c r="I610" s="12"/>
      <c r="J610" s="12"/>
      <c r="K610" s="12"/>
      <c r="L610" s="12"/>
      <c r="M610" s="12"/>
      <c r="N610" s="12"/>
      <c r="O610" s="12"/>
      <c r="P610" s="12"/>
      <c r="Q610" s="12"/>
      <c r="R610" s="12"/>
      <c r="S610" s="12"/>
      <c r="T610" s="12"/>
      <c r="U610" s="12"/>
      <c r="V610" s="12"/>
      <c r="W610" s="12"/>
      <c r="X610" s="12"/>
      <c r="Y610" s="12"/>
      <c r="Z610" s="12"/>
      <c r="AA610" s="12"/>
    </row>
    <row r="611">
      <c r="A611" s="12"/>
      <c r="B611" s="12"/>
      <c r="C611" s="12"/>
      <c r="D611" s="12"/>
      <c r="E611" s="12"/>
      <c r="F611" s="12"/>
      <c r="G611" s="12"/>
      <c r="H611" s="2"/>
      <c r="I611" s="12"/>
      <c r="J611" s="12"/>
      <c r="K611" s="12"/>
      <c r="L611" s="12"/>
      <c r="M611" s="12"/>
      <c r="N611" s="12"/>
      <c r="O611" s="12"/>
      <c r="P611" s="12"/>
      <c r="Q611" s="12"/>
      <c r="R611" s="12"/>
      <c r="S611" s="12"/>
      <c r="T611" s="12"/>
      <c r="U611" s="12"/>
      <c r="V611" s="12"/>
      <c r="W611" s="12"/>
      <c r="X611" s="12"/>
      <c r="Y611" s="12"/>
      <c r="Z611" s="12"/>
      <c r="AA611" s="12"/>
    </row>
    <row r="612">
      <c r="A612" s="12"/>
      <c r="B612" s="12"/>
      <c r="C612" s="12"/>
      <c r="D612" s="12"/>
      <c r="E612" s="12"/>
      <c r="F612" s="12"/>
      <c r="G612" s="12"/>
      <c r="H612" s="2"/>
      <c r="I612" s="12"/>
      <c r="J612" s="12"/>
      <c r="K612" s="12"/>
      <c r="L612" s="12"/>
      <c r="M612" s="12"/>
      <c r="N612" s="12"/>
      <c r="O612" s="12"/>
      <c r="P612" s="12"/>
      <c r="Q612" s="12"/>
      <c r="R612" s="12"/>
      <c r="S612" s="12"/>
      <c r="T612" s="12"/>
      <c r="U612" s="12"/>
      <c r="V612" s="12"/>
      <c r="W612" s="12"/>
      <c r="X612" s="12"/>
      <c r="Y612" s="12"/>
      <c r="Z612" s="12"/>
      <c r="AA612" s="12"/>
    </row>
    <row r="613">
      <c r="A613" s="12"/>
      <c r="B613" s="12"/>
      <c r="C613" s="12"/>
      <c r="D613" s="12"/>
      <c r="E613" s="12"/>
      <c r="F613" s="12"/>
      <c r="G613" s="12"/>
      <c r="H613" s="2"/>
      <c r="I613" s="12"/>
      <c r="J613" s="12"/>
      <c r="K613" s="12"/>
      <c r="L613" s="12"/>
      <c r="M613" s="12"/>
      <c r="N613" s="12"/>
      <c r="O613" s="12"/>
      <c r="P613" s="12"/>
      <c r="Q613" s="12"/>
      <c r="R613" s="12"/>
      <c r="S613" s="12"/>
      <c r="T613" s="12"/>
      <c r="U613" s="12"/>
      <c r="V613" s="12"/>
      <c r="W613" s="12"/>
      <c r="X613" s="12"/>
      <c r="Y613" s="12"/>
      <c r="Z613" s="12"/>
      <c r="AA613" s="12"/>
    </row>
    <row r="614">
      <c r="A614" s="12"/>
      <c r="B614" s="12"/>
      <c r="C614" s="12"/>
      <c r="D614" s="12"/>
      <c r="E614" s="12"/>
      <c r="F614" s="12"/>
      <c r="G614" s="12"/>
      <c r="H614" s="2"/>
      <c r="I614" s="12"/>
      <c r="J614" s="12"/>
      <c r="K614" s="12"/>
      <c r="L614" s="12"/>
      <c r="M614" s="12"/>
      <c r="N614" s="12"/>
      <c r="O614" s="12"/>
      <c r="P614" s="12"/>
      <c r="Q614" s="12"/>
      <c r="R614" s="12"/>
      <c r="S614" s="12"/>
      <c r="T614" s="12"/>
      <c r="U614" s="12"/>
      <c r="V614" s="12"/>
      <c r="W614" s="12"/>
      <c r="X614" s="12"/>
      <c r="Y614" s="12"/>
      <c r="Z614" s="12"/>
      <c r="AA614" s="12"/>
    </row>
    <row r="615">
      <c r="A615" s="12"/>
      <c r="B615" s="12"/>
      <c r="C615" s="12"/>
      <c r="D615" s="12"/>
      <c r="E615" s="12"/>
      <c r="F615" s="12"/>
      <c r="G615" s="12"/>
      <c r="H615" s="2"/>
      <c r="I615" s="12"/>
      <c r="J615" s="12"/>
      <c r="K615" s="12"/>
      <c r="L615" s="12"/>
      <c r="M615" s="12"/>
      <c r="N615" s="12"/>
      <c r="O615" s="12"/>
      <c r="P615" s="12"/>
      <c r="Q615" s="12"/>
      <c r="R615" s="12"/>
      <c r="S615" s="12"/>
      <c r="T615" s="12"/>
      <c r="U615" s="12"/>
      <c r="V615" s="12"/>
      <c r="W615" s="12"/>
      <c r="X615" s="12"/>
      <c r="Y615" s="12"/>
      <c r="Z615" s="12"/>
      <c r="AA615" s="12"/>
    </row>
    <row r="616">
      <c r="A616" s="12"/>
      <c r="B616" s="12"/>
      <c r="C616" s="12"/>
      <c r="D616" s="12"/>
      <c r="E616" s="12"/>
      <c r="F616" s="12"/>
      <c r="G616" s="12"/>
      <c r="H616" s="2"/>
      <c r="I616" s="12"/>
      <c r="J616" s="12"/>
      <c r="K616" s="12"/>
      <c r="L616" s="12"/>
      <c r="M616" s="12"/>
      <c r="N616" s="12"/>
      <c r="O616" s="12"/>
      <c r="P616" s="12"/>
      <c r="Q616" s="12"/>
      <c r="R616" s="12"/>
      <c r="S616" s="12"/>
      <c r="T616" s="12"/>
      <c r="U616" s="12"/>
      <c r="V616" s="12"/>
      <c r="W616" s="12"/>
      <c r="X616" s="12"/>
      <c r="Y616" s="12"/>
      <c r="Z616" s="12"/>
      <c r="AA616" s="12"/>
    </row>
    <row r="617">
      <c r="A617" s="12"/>
      <c r="B617" s="12"/>
      <c r="C617" s="12"/>
      <c r="D617" s="12"/>
      <c r="E617" s="12"/>
      <c r="F617" s="12"/>
      <c r="G617" s="12"/>
      <c r="H617" s="2"/>
      <c r="I617" s="12"/>
      <c r="J617" s="12"/>
      <c r="K617" s="12"/>
      <c r="L617" s="12"/>
      <c r="M617" s="12"/>
      <c r="N617" s="12"/>
      <c r="O617" s="12"/>
      <c r="P617" s="12"/>
      <c r="Q617" s="12"/>
      <c r="R617" s="12"/>
      <c r="S617" s="12"/>
      <c r="T617" s="12"/>
      <c r="U617" s="12"/>
      <c r="V617" s="12"/>
      <c r="W617" s="12"/>
      <c r="X617" s="12"/>
      <c r="Y617" s="12"/>
      <c r="Z617" s="12"/>
      <c r="AA617" s="12"/>
    </row>
    <row r="618">
      <c r="A618" s="12"/>
      <c r="B618" s="12"/>
      <c r="C618" s="12"/>
      <c r="D618" s="12"/>
      <c r="E618" s="12"/>
      <c r="F618" s="12"/>
      <c r="G618" s="12"/>
      <c r="H618" s="2"/>
      <c r="I618" s="12"/>
      <c r="J618" s="12"/>
      <c r="K618" s="12"/>
      <c r="L618" s="12"/>
      <c r="M618" s="12"/>
      <c r="N618" s="12"/>
      <c r="O618" s="12"/>
      <c r="P618" s="12"/>
      <c r="Q618" s="12"/>
      <c r="R618" s="12"/>
      <c r="S618" s="12"/>
      <c r="T618" s="12"/>
      <c r="U618" s="12"/>
      <c r="V618" s="12"/>
      <c r="W618" s="12"/>
      <c r="X618" s="12"/>
      <c r="Y618" s="12"/>
      <c r="Z618" s="12"/>
      <c r="AA618" s="12"/>
    </row>
    <row r="619">
      <c r="A619" s="12"/>
      <c r="B619" s="12"/>
      <c r="C619" s="12"/>
      <c r="D619" s="12"/>
      <c r="E619" s="12"/>
      <c r="F619" s="12"/>
      <c r="G619" s="12"/>
      <c r="H619" s="2"/>
      <c r="I619" s="12"/>
      <c r="J619" s="12"/>
      <c r="K619" s="12"/>
      <c r="L619" s="12"/>
      <c r="M619" s="12"/>
      <c r="N619" s="12"/>
      <c r="O619" s="12"/>
      <c r="P619" s="12"/>
      <c r="Q619" s="12"/>
      <c r="R619" s="12"/>
      <c r="S619" s="12"/>
      <c r="T619" s="12"/>
      <c r="U619" s="12"/>
      <c r="V619" s="12"/>
      <c r="W619" s="12"/>
      <c r="X619" s="12"/>
      <c r="Y619" s="12"/>
      <c r="Z619" s="12"/>
      <c r="AA619" s="12"/>
    </row>
    <row r="620">
      <c r="A620" s="12"/>
      <c r="B620" s="12"/>
      <c r="C620" s="12"/>
      <c r="D620" s="12"/>
      <c r="E620" s="12"/>
      <c r="F620" s="12"/>
      <c r="G620" s="12"/>
      <c r="H620" s="2"/>
      <c r="I620" s="12"/>
      <c r="J620" s="12"/>
      <c r="K620" s="12"/>
      <c r="L620" s="12"/>
      <c r="M620" s="12"/>
      <c r="N620" s="12"/>
      <c r="O620" s="12"/>
      <c r="P620" s="12"/>
      <c r="Q620" s="12"/>
      <c r="R620" s="12"/>
      <c r="S620" s="12"/>
      <c r="T620" s="12"/>
      <c r="U620" s="12"/>
      <c r="V620" s="12"/>
      <c r="W620" s="12"/>
      <c r="X620" s="12"/>
      <c r="Y620" s="12"/>
      <c r="Z620" s="12"/>
      <c r="AA620" s="12"/>
    </row>
    <row r="621">
      <c r="A621" s="12"/>
      <c r="B621" s="12"/>
      <c r="C621" s="12"/>
      <c r="D621" s="12"/>
      <c r="E621" s="12"/>
      <c r="F621" s="12"/>
      <c r="G621" s="12"/>
      <c r="H621" s="2"/>
      <c r="I621" s="12"/>
      <c r="J621" s="12"/>
      <c r="K621" s="12"/>
      <c r="L621" s="12"/>
      <c r="M621" s="12"/>
      <c r="N621" s="12"/>
      <c r="O621" s="12"/>
      <c r="P621" s="12"/>
      <c r="Q621" s="12"/>
      <c r="R621" s="12"/>
      <c r="S621" s="12"/>
      <c r="T621" s="12"/>
      <c r="U621" s="12"/>
      <c r="V621" s="12"/>
      <c r="W621" s="12"/>
      <c r="X621" s="12"/>
      <c r="Y621" s="12"/>
      <c r="Z621" s="12"/>
      <c r="AA621" s="12"/>
    </row>
    <row r="622">
      <c r="A622" s="12"/>
      <c r="B622" s="12"/>
      <c r="C622" s="12"/>
      <c r="D622" s="12"/>
      <c r="E622" s="12"/>
      <c r="F622" s="12"/>
      <c r="G622" s="12"/>
      <c r="H622" s="2"/>
      <c r="I622" s="12"/>
      <c r="J622" s="12"/>
      <c r="K622" s="12"/>
      <c r="L622" s="12"/>
      <c r="M622" s="12"/>
      <c r="N622" s="12"/>
      <c r="O622" s="12"/>
      <c r="P622" s="12"/>
      <c r="Q622" s="12"/>
      <c r="R622" s="12"/>
      <c r="S622" s="12"/>
      <c r="T622" s="12"/>
      <c r="U622" s="12"/>
      <c r="V622" s="12"/>
      <c r="W622" s="12"/>
      <c r="X622" s="12"/>
      <c r="Y622" s="12"/>
      <c r="Z622" s="12"/>
      <c r="AA622" s="12"/>
    </row>
    <row r="623">
      <c r="A623" s="12"/>
      <c r="B623" s="12"/>
      <c r="C623" s="12"/>
      <c r="D623" s="12"/>
      <c r="E623" s="12"/>
      <c r="F623" s="12"/>
      <c r="G623" s="12"/>
      <c r="H623" s="2"/>
      <c r="I623" s="12"/>
      <c r="J623" s="12"/>
      <c r="K623" s="12"/>
      <c r="L623" s="12"/>
      <c r="M623" s="12"/>
      <c r="N623" s="12"/>
      <c r="O623" s="12"/>
      <c r="P623" s="12"/>
      <c r="Q623" s="12"/>
      <c r="R623" s="12"/>
      <c r="S623" s="12"/>
      <c r="T623" s="12"/>
      <c r="U623" s="12"/>
      <c r="V623" s="12"/>
      <c r="W623" s="12"/>
      <c r="X623" s="12"/>
      <c r="Y623" s="12"/>
      <c r="Z623" s="12"/>
      <c r="AA623" s="12"/>
    </row>
    <row r="624">
      <c r="A624" s="12"/>
      <c r="B624" s="12"/>
      <c r="C624" s="12"/>
      <c r="D624" s="12"/>
      <c r="E624" s="12"/>
      <c r="F624" s="12"/>
      <c r="G624" s="12"/>
      <c r="H624" s="2"/>
      <c r="I624" s="12"/>
      <c r="J624" s="12"/>
      <c r="K624" s="12"/>
      <c r="L624" s="12"/>
      <c r="M624" s="12"/>
      <c r="N624" s="12"/>
      <c r="O624" s="12"/>
      <c r="P624" s="12"/>
      <c r="Q624" s="12"/>
      <c r="R624" s="12"/>
      <c r="S624" s="12"/>
      <c r="T624" s="12"/>
      <c r="U624" s="12"/>
      <c r="V624" s="12"/>
      <c r="W624" s="12"/>
      <c r="X624" s="12"/>
      <c r="Y624" s="12"/>
      <c r="Z624" s="12"/>
      <c r="AA624" s="12"/>
    </row>
    <row r="625">
      <c r="A625" s="12"/>
      <c r="B625" s="12"/>
      <c r="C625" s="12"/>
      <c r="D625" s="12"/>
      <c r="E625" s="12"/>
      <c r="F625" s="12"/>
      <c r="G625" s="12"/>
      <c r="H625" s="2"/>
      <c r="I625" s="12"/>
      <c r="J625" s="12"/>
      <c r="K625" s="12"/>
      <c r="L625" s="12"/>
      <c r="M625" s="12"/>
      <c r="N625" s="12"/>
      <c r="O625" s="12"/>
      <c r="P625" s="12"/>
      <c r="Q625" s="12"/>
      <c r="R625" s="12"/>
      <c r="S625" s="12"/>
      <c r="T625" s="12"/>
      <c r="U625" s="12"/>
      <c r="V625" s="12"/>
      <c r="W625" s="12"/>
      <c r="X625" s="12"/>
      <c r="Y625" s="12"/>
      <c r="Z625" s="12"/>
      <c r="AA625" s="12"/>
    </row>
    <row r="626">
      <c r="A626" s="12"/>
      <c r="B626" s="12"/>
      <c r="C626" s="12"/>
      <c r="D626" s="12"/>
      <c r="E626" s="12"/>
      <c r="F626" s="12"/>
      <c r="G626" s="12"/>
      <c r="H626" s="2"/>
      <c r="I626" s="12"/>
      <c r="J626" s="12"/>
      <c r="K626" s="12"/>
      <c r="L626" s="12"/>
      <c r="M626" s="12"/>
      <c r="N626" s="12"/>
      <c r="O626" s="12"/>
      <c r="P626" s="12"/>
      <c r="Q626" s="12"/>
      <c r="R626" s="12"/>
      <c r="S626" s="12"/>
      <c r="T626" s="12"/>
      <c r="U626" s="12"/>
      <c r="V626" s="12"/>
      <c r="W626" s="12"/>
      <c r="X626" s="12"/>
      <c r="Y626" s="12"/>
      <c r="Z626" s="12"/>
      <c r="AA626" s="12"/>
    </row>
    <row r="627">
      <c r="A627" s="12"/>
      <c r="B627" s="12"/>
      <c r="C627" s="12"/>
      <c r="D627" s="12"/>
      <c r="E627" s="12"/>
      <c r="F627" s="12"/>
      <c r="G627" s="12"/>
      <c r="H627" s="2"/>
      <c r="I627" s="12"/>
      <c r="J627" s="12"/>
      <c r="K627" s="12"/>
      <c r="L627" s="12"/>
      <c r="M627" s="12"/>
      <c r="N627" s="12"/>
      <c r="O627" s="12"/>
      <c r="P627" s="12"/>
      <c r="Q627" s="12"/>
      <c r="R627" s="12"/>
      <c r="S627" s="12"/>
      <c r="T627" s="12"/>
      <c r="U627" s="12"/>
      <c r="V627" s="12"/>
      <c r="W627" s="12"/>
      <c r="X627" s="12"/>
      <c r="Y627" s="12"/>
      <c r="Z627" s="12"/>
      <c r="AA627" s="12"/>
    </row>
    <row r="628">
      <c r="A628" s="12"/>
      <c r="B628" s="12"/>
      <c r="C628" s="12"/>
      <c r="D628" s="12"/>
      <c r="E628" s="12"/>
      <c r="F628" s="12"/>
      <c r="G628" s="12"/>
      <c r="H628" s="2"/>
      <c r="I628" s="12"/>
      <c r="J628" s="12"/>
      <c r="K628" s="12"/>
      <c r="L628" s="12"/>
      <c r="M628" s="12"/>
      <c r="N628" s="12"/>
      <c r="O628" s="12"/>
      <c r="P628" s="12"/>
      <c r="Q628" s="12"/>
      <c r="R628" s="12"/>
      <c r="S628" s="12"/>
      <c r="T628" s="12"/>
      <c r="U628" s="12"/>
      <c r="V628" s="12"/>
      <c r="W628" s="12"/>
      <c r="X628" s="12"/>
      <c r="Y628" s="12"/>
      <c r="Z628" s="12"/>
      <c r="AA628" s="12"/>
    </row>
    <row r="629">
      <c r="A629" s="12"/>
      <c r="B629" s="12"/>
      <c r="C629" s="12"/>
      <c r="D629" s="12"/>
      <c r="E629" s="12"/>
      <c r="F629" s="12"/>
      <c r="G629" s="12"/>
      <c r="H629" s="2"/>
      <c r="I629" s="12"/>
      <c r="J629" s="12"/>
      <c r="K629" s="12"/>
      <c r="L629" s="12"/>
      <c r="M629" s="12"/>
      <c r="N629" s="12"/>
      <c r="O629" s="12"/>
      <c r="P629" s="12"/>
      <c r="Q629" s="12"/>
      <c r="R629" s="12"/>
      <c r="S629" s="12"/>
      <c r="T629" s="12"/>
      <c r="U629" s="12"/>
      <c r="V629" s="12"/>
      <c r="W629" s="12"/>
      <c r="X629" s="12"/>
      <c r="Y629" s="12"/>
      <c r="Z629" s="12"/>
      <c r="AA629" s="12"/>
    </row>
    <row r="630">
      <c r="A630" s="12"/>
      <c r="B630" s="12"/>
      <c r="C630" s="12"/>
      <c r="D630" s="12"/>
      <c r="E630" s="12"/>
      <c r="F630" s="12"/>
      <c r="G630" s="12"/>
      <c r="H630" s="2"/>
      <c r="I630" s="12"/>
      <c r="J630" s="12"/>
      <c r="K630" s="12"/>
      <c r="L630" s="12"/>
      <c r="M630" s="12"/>
      <c r="N630" s="12"/>
      <c r="O630" s="12"/>
      <c r="P630" s="12"/>
      <c r="Q630" s="12"/>
      <c r="R630" s="12"/>
      <c r="S630" s="12"/>
      <c r="T630" s="12"/>
      <c r="U630" s="12"/>
      <c r="V630" s="12"/>
      <c r="W630" s="12"/>
      <c r="X630" s="12"/>
      <c r="Y630" s="12"/>
      <c r="Z630" s="12"/>
      <c r="AA630" s="12"/>
    </row>
    <row r="631">
      <c r="A631" s="12"/>
      <c r="B631" s="12"/>
      <c r="C631" s="12"/>
      <c r="D631" s="12"/>
      <c r="E631" s="12"/>
      <c r="F631" s="12"/>
      <c r="G631" s="12"/>
      <c r="H631" s="2"/>
      <c r="I631" s="12"/>
      <c r="J631" s="12"/>
      <c r="K631" s="12"/>
      <c r="L631" s="12"/>
      <c r="M631" s="12"/>
      <c r="N631" s="12"/>
      <c r="O631" s="12"/>
      <c r="P631" s="12"/>
      <c r="Q631" s="12"/>
      <c r="R631" s="12"/>
      <c r="S631" s="12"/>
      <c r="T631" s="12"/>
      <c r="U631" s="12"/>
      <c r="V631" s="12"/>
      <c r="W631" s="12"/>
      <c r="X631" s="12"/>
      <c r="Y631" s="12"/>
      <c r="Z631" s="12"/>
      <c r="AA631" s="12"/>
    </row>
    <row r="632">
      <c r="A632" s="12"/>
      <c r="B632" s="12"/>
      <c r="C632" s="12"/>
      <c r="D632" s="12"/>
      <c r="E632" s="12"/>
      <c r="F632" s="12"/>
      <c r="G632" s="12"/>
      <c r="H632" s="2"/>
      <c r="I632" s="12"/>
      <c r="J632" s="12"/>
      <c r="K632" s="12"/>
      <c r="L632" s="12"/>
      <c r="M632" s="12"/>
      <c r="N632" s="12"/>
      <c r="O632" s="12"/>
      <c r="P632" s="12"/>
      <c r="Q632" s="12"/>
      <c r="R632" s="12"/>
      <c r="S632" s="12"/>
      <c r="T632" s="12"/>
      <c r="U632" s="12"/>
      <c r="V632" s="12"/>
      <c r="W632" s="12"/>
      <c r="X632" s="12"/>
      <c r="Y632" s="12"/>
      <c r="Z632" s="12"/>
      <c r="AA632" s="12"/>
    </row>
    <row r="633">
      <c r="A633" s="12"/>
      <c r="B633" s="12"/>
      <c r="C633" s="12"/>
      <c r="D633" s="12"/>
      <c r="E633" s="12"/>
      <c r="F633" s="12"/>
      <c r="G633" s="12"/>
      <c r="H633" s="2"/>
      <c r="I633" s="12"/>
      <c r="J633" s="12"/>
      <c r="K633" s="12"/>
      <c r="L633" s="12"/>
      <c r="M633" s="12"/>
      <c r="N633" s="12"/>
      <c r="O633" s="12"/>
      <c r="P633" s="12"/>
      <c r="Q633" s="12"/>
      <c r="R633" s="12"/>
      <c r="S633" s="12"/>
      <c r="T633" s="12"/>
      <c r="U633" s="12"/>
      <c r="V633" s="12"/>
      <c r="W633" s="12"/>
      <c r="X633" s="12"/>
      <c r="Y633" s="12"/>
      <c r="Z633" s="12"/>
      <c r="AA633" s="12"/>
    </row>
    <row r="634">
      <c r="A634" s="12"/>
      <c r="B634" s="12"/>
      <c r="C634" s="12"/>
      <c r="D634" s="12"/>
      <c r="E634" s="12"/>
      <c r="F634" s="12"/>
      <c r="G634" s="12"/>
      <c r="H634" s="2"/>
      <c r="I634" s="12"/>
      <c r="J634" s="12"/>
      <c r="K634" s="12"/>
      <c r="L634" s="12"/>
      <c r="M634" s="12"/>
      <c r="N634" s="12"/>
      <c r="O634" s="12"/>
      <c r="P634" s="12"/>
      <c r="Q634" s="12"/>
      <c r="R634" s="12"/>
      <c r="S634" s="12"/>
      <c r="T634" s="12"/>
      <c r="U634" s="12"/>
      <c r="V634" s="12"/>
      <c r="W634" s="12"/>
      <c r="X634" s="12"/>
      <c r="Y634" s="12"/>
      <c r="Z634" s="12"/>
      <c r="AA634" s="12"/>
    </row>
    <row r="635">
      <c r="A635" s="12"/>
      <c r="B635" s="12"/>
      <c r="C635" s="12"/>
      <c r="D635" s="12"/>
      <c r="E635" s="12"/>
      <c r="F635" s="12"/>
      <c r="G635" s="12"/>
      <c r="H635" s="2"/>
      <c r="I635" s="12"/>
      <c r="J635" s="12"/>
      <c r="K635" s="12"/>
      <c r="L635" s="12"/>
      <c r="M635" s="12"/>
      <c r="N635" s="12"/>
      <c r="O635" s="12"/>
      <c r="P635" s="12"/>
      <c r="Q635" s="12"/>
      <c r="R635" s="12"/>
      <c r="S635" s="12"/>
      <c r="T635" s="12"/>
      <c r="U635" s="12"/>
      <c r="V635" s="12"/>
      <c r="W635" s="12"/>
      <c r="X635" s="12"/>
      <c r="Y635" s="12"/>
      <c r="Z635" s="12"/>
      <c r="AA635" s="12"/>
    </row>
    <row r="636">
      <c r="A636" s="12"/>
      <c r="B636" s="12"/>
      <c r="C636" s="12"/>
      <c r="D636" s="12"/>
      <c r="E636" s="12"/>
      <c r="F636" s="12"/>
      <c r="G636" s="12"/>
      <c r="H636" s="2"/>
      <c r="I636" s="12"/>
      <c r="J636" s="12"/>
      <c r="K636" s="12"/>
      <c r="L636" s="12"/>
      <c r="M636" s="12"/>
      <c r="N636" s="12"/>
      <c r="O636" s="12"/>
      <c r="P636" s="12"/>
      <c r="Q636" s="12"/>
      <c r="R636" s="12"/>
      <c r="S636" s="12"/>
      <c r="T636" s="12"/>
      <c r="U636" s="12"/>
      <c r="V636" s="12"/>
      <c r="W636" s="12"/>
      <c r="X636" s="12"/>
      <c r="Y636" s="12"/>
      <c r="Z636" s="12"/>
      <c r="AA636" s="12"/>
    </row>
    <row r="637">
      <c r="A637" s="12"/>
      <c r="B637" s="12"/>
      <c r="C637" s="12"/>
      <c r="D637" s="12"/>
      <c r="E637" s="12"/>
      <c r="F637" s="12"/>
      <c r="G637" s="12"/>
      <c r="H637" s="2"/>
      <c r="I637" s="12"/>
      <c r="J637" s="12"/>
      <c r="K637" s="12"/>
      <c r="L637" s="12"/>
      <c r="M637" s="12"/>
      <c r="N637" s="12"/>
      <c r="O637" s="12"/>
      <c r="P637" s="12"/>
      <c r="Q637" s="12"/>
      <c r="R637" s="12"/>
      <c r="S637" s="12"/>
      <c r="T637" s="12"/>
      <c r="U637" s="12"/>
      <c r="V637" s="12"/>
      <c r="W637" s="12"/>
      <c r="X637" s="12"/>
      <c r="Y637" s="12"/>
      <c r="Z637" s="12"/>
      <c r="AA637" s="12"/>
    </row>
    <row r="638">
      <c r="A638" s="12"/>
      <c r="B638" s="12"/>
      <c r="C638" s="12"/>
      <c r="D638" s="12"/>
      <c r="E638" s="12"/>
      <c r="F638" s="12"/>
      <c r="G638" s="12"/>
      <c r="H638" s="2"/>
      <c r="I638" s="12"/>
      <c r="J638" s="12"/>
      <c r="K638" s="12"/>
      <c r="L638" s="12"/>
      <c r="M638" s="12"/>
      <c r="N638" s="12"/>
      <c r="O638" s="12"/>
      <c r="P638" s="12"/>
      <c r="Q638" s="12"/>
      <c r="R638" s="12"/>
      <c r="S638" s="12"/>
      <c r="T638" s="12"/>
      <c r="U638" s="12"/>
      <c r="V638" s="12"/>
      <c r="W638" s="12"/>
      <c r="X638" s="12"/>
      <c r="Y638" s="12"/>
      <c r="Z638" s="12"/>
      <c r="AA638" s="12"/>
    </row>
    <row r="639">
      <c r="A639" s="12"/>
      <c r="B639" s="12"/>
      <c r="C639" s="12"/>
      <c r="D639" s="12"/>
      <c r="E639" s="12"/>
      <c r="F639" s="12"/>
      <c r="G639" s="12"/>
      <c r="H639" s="2"/>
      <c r="I639" s="12"/>
      <c r="J639" s="12"/>
      <c r="K639" s="12"/>
      <c r="L639" s="12"/>
      <c r="M639" s="12"/>
      <c r="N639" s="12"/>
      <c r="O639" s="12"/>
      <c r="P639" s="12"/>
      <c r="Q639" s="12"/>
      <c r="R639" s="12"/>
      <c r="S639" s="12"/>
      <c r="T639" s="12"/>
      <c r="U639" s="12"/>
      <c r="V639" s="12"/>
      <c r="W639" s="12"/>
      <c r="X639" s="12"/>
      <c r="Y639" s="12"/>
      <c r="Z639" s="12"/>
      <c r="AA639" s="12"/>
    </row>
    <row r="640">
      <c r="A640" s="12"/>
      <c r="B640" s="12"/>
      <c r="C640" s="12"/>
      <c r="D640" s="12"/>
      <c r="E640" s="12"/>
      <c r="F640" s="12"/>
      <c r="G640" s="12"/>
      <c r="H640" s="2"/>
      <c r="I640" s="12"/>
      <c r="J640" s="12"/>
      <c r="K640" s="12"/>
      <c r="L640" s="12"/>
      <c r="M640" s="12"/>
      <c r="N640" s="12"/>
      <c r="O640" s="12"/>
      <c r="P640" s="12"/>
      <c r="Q640" s="12"/>
      <c r="R640" s="12"/>
      <c r="S640" s="12"/>
      <c r="T640" s="12"/>
      <c r="U640" s="12"/>
      <c r="V640" s="12"/>
      <c r="W640" s="12"/>
      <c r="X640" s="12"/>
      <c r="Y640" s="12"/>
      <c r="Z640" s="12"/>
      <c r="AA640" s="12"/>
    </row>
    <row r="641">
      <c r="A641" s="12"/>
      <c r="B641" s="12"/>
      <c r="C641" s="12"/>
      <c r="D641" s="12"/>
      <c r="E641" s="12"/>
      <c r="F641" s="12"/>
      <c r="G641" s="12"/>
      <c r="H641" s="2"/>
      <c r="I641" s="12"/>
      <c r="J641" s="12"/>
      <c r="K641" s="12"/>
      <c r="L641" s="12"/>
      <c r="M641" s="12"/>
      <c r="N641" s="12"/>
      <c r="O641" s="12"/>
      <c r="P641" s="12"/>
      <c r="Q641" s="12"/>
      <c r="R641" s="12"/>
      <c r="S641" s="12"/>
      <c r="T641" s="12"/>
      <c r="U641" s="12"/>
      <c r="V641" s="12"/>
      <c r="W641" s="12"/>
      <c r="X641" s="12"/>
      <c r="Y641" s="12"/>
      <c r="Z641" s="12"/>
      <c r="AA641" s="12"/>
    </row>
    <row r="642">
      <c r="A642" s="12"/>
      <c r="B642" s="12"/>
      <c r="C642" s="12"/>
      <c r="D642" s="12"/>
      <c r="E642" s="12"/>
      <c r="F642" s="12"/>
      <c r="G642" s="12"/>
      <c r="H642" s="2"/>
      <c r="I642" s="12"/>
      <c r="J642" s="12"/>
      <c r="K642" s="12"/>
      <c r="L642" s="12"/>
      <c r="M642" s="12"/>
      <c r="N642" s="12"/>
      <c r="O642" s="12"/>
      <c r="P642" s="12"/>
      <c r="Q642" s="12"/>
      <c r="R642" s="12"/>
      <c r="S642" s="12"/>
      <c r="T642" s="12"/>
      <c r="U642" s="12"/>
      <c r="V642" s="12"/>
      <c r="W642" s="12"/>
      <c r="X642" s="12"/>
      <c r="Y642" s="12"/>
      <c r="Z642" s="12"/>
      <c r="AA642" s="12"/>
    </row>
    <row r="643">
      <c r="A643" s="12"/>
      <c r="B643" s="12"/>
      <c r="C643" s="12"/>
      <c r="D643" s="12"/>
      <c r="E643" s="12"/>
      <c r="F643" s="12"/>
      <c r="G643" s="12"/>
      <c r="H643" s="2"/>
      <c r="I643" s="12"/>
      <c r="J643" s="12"/>
      <c r="K643" s="12"/>
      <c r="L643" s="12"/>
      <c r="M643" s="12"/>
      <c r="N643" s="12"/>
      <c r="O643" s="12"/>
      <c r="P643" s="12"/>
      <c r="Q643" s="12"/>
      <c r="R643" s="12"/>
      <c r="S643" s="12"/>
      <c r="T643" s="12"/>
      <c r="U643" s="12"/>
      <c r="V643" s="12"/>
      <c r="W643" s="12"/>
      <c r="X643" s="12"/>
      <c r="Y643" s="12"/>
      <c r="Z643" s="12"/>
      <c r="AA643" s="12"/>
    </row>
    <row r="644">
      <c r="A644" s="12"/>
      <c r="B644" s="12"/>
      <c r="C644" s="12"/>
      <c r="D644" s="12"/>
      <c r="E644" s="12"/>
      <c r="F644" s="12"/>
      <c r="G644" s="12"/>
      <c r="H644" s="2"/>
      <c r="I644" s="12"/>
      <c r="J644" s="12"/>
      <c r="K644" s="12"/>
      <c r="L644" s="12"/>
      <c r="M644" s="12"/>
      <c r="N644" s="12"/>
      <c r="O644" s="12"/>
      <c r="P644" s="12"/>
      <c r="Q644" s="12"/>
      <c r="R644" s="12"/>
      <c r="S644" s="12"/>
      <c r="T644" s="12"/>
      <c r="U644" s="12"/>
      <c r="V644" s="12"/>
      <c r="W644" s="12"/>
      <c r="X644" s="12"/>
      <c r="Y644" s="12"/>
      <c r="Z644" s="12"/>
      <c r="AA644" s="12"/>
    </row>
    <row r="645">
      <c r="A645" s="12"/>
      <c r="B645" s="12"/>
      <c r="C645" s="12"/>
      <c r="D645" s="12"/>
      <c r="E645" s="12"/>
      <c r="F645" s="12"/>
      <c r="G645" s="12"/>
      <c r="H645" s="2"/>
      <c r="I645" s="12"/>
      <c r="J645" s="12"/>
      <c r="K645" s="12"/>
      <c r="L645" s="12"/>
      <c r="M645" s="12"/>
      <c r="N645" s="12"/>
      <c r="O645" s="12"/>
      <c r="P645" s="12"/>
      <c r="Q645" s="12"/>
      <c r="R645" s="12"/>
      <c r="S645" s="12"/>
      <c r="T645" s="12"/>
      <c r="U645" s="12"/>
      <c r="V645" s="12"/>
      <c r="W645" s="12"/>
      <c r="X645" s="12"/>
      <c r="Y645" s="12"/>
      <c r="Z645" s="12"/>
      <c r="AA645" s="12"/>
    </row>
    <row r="646">
      <c r="A646" s="12"/>
      <c r="B646" s="12"/>
      <c r="C646" s="12"/>
      <c r="D646" s="12"/>
      <c r="E646" s="12"/>
      <c r="F646" s="12"/>
      <c r="G646" s="12"/>
      <c r="H646" s="2"/>
      <c r="I646" s="12"/>
      <c r="J646" s="12"/>
      <c r="K646" s="12"/>
      <c r="L646" s="12"/>
      <c r="M646" s="12"/>
      <c r="N646" s="12"/>
      <c r="O646" s="12"/>
      <c r="P646" s="12"/>
      <c r="Q646" s="12"/>
      <c r="R646" s="12"/>
      <c r="S646" s="12"/>
      <c r="T646" s="12"/>
      <c r="U646" s="12"/>
      <c r="V646" s="12"/>
      <c r="W646" s="12"/>
      <c r="X646" s="12"/>
      <c r="Y646" s="12"/>
      <c r="Z646" s="12"/>
      <c r="AA646" s="12"/>
    </row>
    <row r="647">
      <c r="A647" s="12"/>
      <c r="B647" s="12"/>
      <c r="C647" s="12"/>
      <c r="D647" s="12"/>
      <c r="E647" s="12"/>
      <c r="F647" s="12"/>
      <c r="G647" s="12"/>
      <c r="H647" s="2"/>
      <c r="I647" s="12"/>
      <c r="J647" s="12"/>
      <c r="K647" s="12"/>
      <c r="L647" s="12"/>
      <c r="M647" s="12"/>
      <c r="N647" s="12"/>
      <c r="O647" s="12"/>
      <c r="P647" s="12"/>
      <c r="Q647" s="12"/>
      <c r="R647" s="12"/>
      <c r="S647" s="12"/>
      <c r="T647" s="12"/>
      <c r="U647" s="12"/>
      <c r="V647" s="12"/>
      <c r="W647" s="12"/>
      <c r="X647" s="12"/>
      <c r="Y647" s="12"/>
      <c r="Z647" s="12"/>
      <c r="AA647" s="12"/>
    </row>
    <row r="648">
      <c r="A648" s="12"/>
      <c r="B648" s="12"/>
      <c r="C648" s="12"/>
      <c r="D648" s="12"/>
      <c r="E648" s="12"/>
      <c r="F648" s="12"/>
      <c r="G648" s="12"/>
      <c r="H648" s="2"/>
      <c r="I648" s="12"/>
      <c r="J648" s="12"/>
      <c r="K648" s="12"/>
      <c r="L648" s="12"/>
      <c r="M648" s="12"/>
      <c r="N648" s="12"/>
      <c r="O648" s="12"/>
      <c r="P648" s="12"/>
      <c r="Q648" s="12"/>
      <c r="R648" s="12"/>
      <c r="S648" s="12"/>
      <c r="T648" s="12"/>
      <c r="U648" s="12"/>
      <c r="V648" s="12"/>
      <c r="W648" s="12"/>
      <c r="X648" s="12"/>
      <c r="Y648" s="12"/>
      <c r="Z648" s="12"/>
      <c r="AA648" s="12"/>
    </row>
    <row r="649">
      <c r="A649" s="12"/>
      <c r="B649" s="12"/>
      <c r="C649" s="12"/>
      <c r="D649" s="12"/>
      <c r="E649" s="12"/>
      <c r="F649" s="12"/>
      <c r="G649" s="12"/>
      <c r="H649" s="2"/>
      <c r="I649" s="12"/>
      <c r="J649" s="12"/>
      <c r="K649" s="12"/>
      <c r="L649" s="12"/>
      <c r="M649" s="12"/>
      <c r="N649" s="12"/>
      <c r="O649" s="12"/>
      <c r="P649" s="12"/>
      <c r="Q649" s="12"/>
      <c r="R649" s="12"/>
      <c r="S649" s="12"/>
      <c r="T649" s="12"/>
      <c r="U649" s="12"/>
      <c r="V649" s="12"/>
      <c r="W649" s="12"/>
      <c r="X649" s="12"/>
      <c r="Y649" s="12"/>
      <c r="Z649" s="12"/>
      <c r="AA649" s="12"/>
    </row>
    <row r="650">
      <c r="A650" s="12"/>
      <c r="B650" s="12"/>
      <c r="C650" s="12"/>
      <c r="D650" s="12"/>
      <c r="E650" s="12"/>
      <c r="F650" s="12"/>
      <c r="G650" s="12"/>
      <c r="H650" s="2"/>
      <c r="I650" s="12"/>
      <c r="J650" s="12"/>
      <c r="K650" s="12"/>
      <c r="L650" s="12"/>
      <c r="M650" s="12"/>
      <c r="N650" s="12"/>
      <c r="O650" s="12"/>
      <c r="P650" s="12"/>
      <c r="Q650" s="12"/>
      <c r="R650" s="12"/>
      <c r="S650" s="12"/>
      <c r="T650" s="12"/>
      <c r="U650" s="12"/>
      <c r="V650" s="12"/>
      <c r="W650" s="12"/>
      <c r="X650" s="12"/>
      <c r="Y650" s="12"/>
      <c r="Z650" s="12"/>
      <c r="AA650" s="12"/>
    </row>
    <row r="651">
      <c r="A651" s="12"/>
      <c r="B651" s="12"/>
      <c r="C651" s="12"/>
      <c r="D651" s="12"/>
      <c r="E651" s="12"/>
      <c r="F651" s="12"/>
      <c r="G651" s="12"/>
      <c r="H651" s="2"/>
      <c r="I651" s="12"/>
      <c r="J651" s="12"/>
      <c r="K651" s="12"/>
      <c r="L651" s="12"/>
      <c r="M651" s="12"/>
      <c r="N651" s="12"/>
      <c r="O651" s="12"/>
      <c r="P651" s="12"/>
      <c r="Q651" s="12"/>
      <c r="R651" s="12"/>
      <c r="S651" s="12"/>
      <c r="T651" s="12"/>
      <c r="U651" s="12"/>
      <c r="V651" s="12"/>
      <c r="W651" s="12"/>
      <c r="X651" s="12"/>
      <c r="Y651" s="12"/>
      <c r="Z651" s="12"/>
      <c r="AA651" s="12"/>
    </row>
    <row r="652">
      <c r="A652" s="12"/>
      <c r="B652" s="12"/>
      <c r="C652" s="12"/>
      <c r="D652" s="12"/>
      <c r="E652" s="12"/>
      <c r="F652" s="12"/>
      <c r="G652" s="12"/>
      <c r="H652" s="2"/>
      <c r="I652" s="12"/>
      <c r="J652" s="12"/>
      <c r="K652" s="12"/>
      <c r="L652" s="12"/>
      <c r="M652" s="12"/>
      <c r="N652" s="12"/>
      <c r="O652" s="12"/>
      <c r="P652" s="12"/>
      <c r="Q652" s="12"/>
      <c r="R652" s="12"/>
      <c r="S652" s="12"/>
      <c r="T652" s="12"/>
      <c r="U652" s="12"/>
      <c r="V652" s="12"/>
      <c r="W652" s="12"/>
      <c r="X652" s="12"/>
      <c r="Y652" s="12"/>
      <c r="Z652" s="12"/>
      <c r="AA652" s="12"/>
    </row>
    <row r="653">
      <c r="A653" s="12"/>
      <c r="B653" s="12"/>
      <c r="C653" s="12"/>
      <c r="D653" s="12"/>
      <c r="E653" s="12"/>
      <c r="F653" s="12"/>
      <c r="G653" s="12"/>
      <c r="H653" s="2"/>
      <c r="I653" s="12"/>
      <c r="J653" s="12"/>
      <c r="K653" s="12"/>
      <c r="L653" s="12"/>
      <c r="M653" s="12"/>
      <c r="N653" s="12"/>
      <c r="O653" s="12"/>
      <c r="P653" s="12"/>
      <c r="Q653" s="12"/>
      <c r="R653" s="12"/>
      <c r="S653" s="12"/>
      <c r="T653" s="12"/>
      <c r="U653" s="12"/>
      <c r="V653" s="12"/>
      <c r="W653" s="12"/>
      <c r="X653" s="12"/>
      <c r="Y653" s="12"/>
      <c r="Z653" s="12"/>
      <c r="AA653" s="12"/>
    </row>
    <row r="654">
      <c r="A654" s="12"/>
      <c r="B654" s="12"/>
      <c r="C654" s="12"/>
      <c r="D654" s="12"/>
      <c r="E654" s="12"/>
      <c r="F654" s="12"/>
      <c r="G654" s="12"/>
      <c r="H654" s="2"/>
      <c r="I654" s="12"/>
      <c r="J654" s="12"/>
      <c r="K654" s="12"/>
      <c r="L654" s="12"/>
      <c r="M654" s="12"/>
      <c r="N654" s="12"/>
      <c r="O654" s="12"/>
      <c r="P654" s="12"/>
      <c r="Q654" s="12"/>
      <c r="R654" s="12"/>
      <c r="S654" s="12"/>
      <c r="T654" s="12"/>
      <c r="U654" s="12"/>
      <c r="V654" s="12"/>
      <c r="W654" s="12"/>
      <c r="X654" s="12"/>
      <c r="Y654" s="12"/>
      <c r="Z654" s="12"/>
      <c r="AA654" s="12"/>
    </row>
    <row r="655">
      <c r="A655" s="12"/>
      <c r="B655" s="12"/>
      <c r="C655" s="12"/>
      <c r="D655" s="12"/>
      <c r="E655" s="12"/>
      <c r="F655" s="12"/>
      <c r="G655" s="12"/>
      <c r="H655" s="2"/>
      <c r="I655" s="12"/>
      <c r="J655" s="12"/>
      <c r="K655" s="12"/>
      <c r="L655" s="12"/>
      <c r="M655" s="12"/>
      <c r="N655" s="12"/>
      <c r="O655" s="12"/>
      <c r="P655" s="12"/>
      <c r="Q655" s="12"/>
      <c r="R655" s="12"/>
      <c r="S655" s="12"/>
      <c r="T655" s="12"/>
      <c r="U655" s="12"/>
      <c r="V655" s="12"/>
      <c r="W655" s="12"/>
      <c r="X655" s="12"/>
      <c r="Y655" s="12"/>
      <c r="Z655" s="12"/>
      <c r="AA655" s="12"/>
    </row>
    <row r="656">
      <c r="A656" s="12"/>
      <c r="B656" s="12"/>
      <c r="C656" s="12"/>
      <c r="D656" s="12"/>
      <c r="E656" s="12"/>
      <c r="F656" s="12"/>
      <c r="G656" s="12"/>
      <c r="H656" s="2"/>
      <c r="I656" s="12"/>
      <c r="J656" s="12"/>
      <c r="K656" s="12"/>
      <c r="L656" s="12"/>
      <c r="M656" s="12"/>
      <c r="N656" s="12"/>
      <c r="O656" s="12"/>
      <c r="P656" s="12"/>
      <c r="Q656" s="12"/>
      <c r="R656" s="12"/>
      <c r="S656" s="12"/>
      <c r="T656" s="12"/>
      <c r="U656" s="12"/>
      <c r="V656" s="12"/>
      <c r="W656" s="12"/>
      <c r="X656" s="12"/>
      <c r="Y656" s="12"/>
      <c r="Z656" s="12"/>
      <c r="AA656" s="12"/>
    </row>
    <row r="657">
      <c r="A657" s="12"/>
      <c r="B657" s="12"/>
      <c r="C657" s="12"/>
      <c r="D657" s="12"/>
      <c r="E657" s="12"/>
      <c r="F657" s="12"/>
      <c r="G657" s="12"/>
      <c r="H657" s="2"/>
      <c r="I657" s="12"/>
      <c r="J657" s="12"/>
      <c r="K657" s="12"/>
      <c r="L657" s="12"/>
      <c r="M657" s="12"/>
      <c r="N657" s="12"/>
      <c r="O657" s="12"/>
      <c r="P657" s="12"/>
      <c r="Q657" s="12"/>
      <c r="R657" s="12"/>
      <c r="S657" s="12"/>
      <c r="T657" s="12"/>
      <c r="U657" s="12"/>
      <c r="V657" s="12"/>
      <c r="W657" s="12"/>
      <c r="X657" s="12"/>
      <c r="Y657" s="12"/>
      <c r="Z657" s="12"/>
      <c r="AA657" s="12"/>
    </row>
    <row r="658">
      <c r="A658" s="12"/>
      <c r="B658" s="12"/>
      <c r="C658" s="12"/>
      <c r="D658" s="12"/>
      <c r="E658" s="12"/>
      <c r="F658" s="12"/>
      <c r="G658" s="12"/>
      <c r="H658" s="2"/>
      <c r="I658" s="12"/>
      <c r="J658" s="12"/>
      <c r="K658" s="12"/>
      <c r="L658" s="12"/>
      <c r="M658" s="12"/>
      <c r="N658" s="12"/>
      <c r="O658" s="12"/>
      <c r="P658" s="12"/>
      <c r="Q658" s="12"/>
      <c r="R658" s="12"/>
      <c r="S658" s="12"/>
      <c r="T658" s="12"/>
      <c r="U658" s="12"/>
      <c r="V658" s="12"/>
      <c r="W658" s="12"/>
      <c r="X658" s="12"/>
      <c r="Y658" s="12"/>
      <c r="Z658" s="12"/>
      <c r="AA658" s="12"/>
    </row>
    <row r="659">
      <c r="A659" s="12"/>
      <c r="B659" s="12"/>
      <c r="C659" s="12"/>
      <c r="D659" s="12"/>
      <c r="E659" s="12"/>
      <c r="F659" s="12"/>
      <c r="G659" s="12"/>
      <c r="H659" s="2"/>
      <c r="I659" s="12"/>
      <c r="J659" s="12"/>
      <c r="K659" s="12"/>
      <c r="L659" s="12"/>
      <c r="M659" s="12"/>
      <c r="N659" s="12"/>
      <c r="O659" s="12"/>
      <c r="P659" s="12"/>
      <c r="Q659" s="12"/>
      <c r="R659" s="12"/>
      <c r="S659" s="12"/>
      <c r="T659" s="12"/>
      <c r="U659" s="12"/>
      <c r="V659" s="12"/>
      <c r="W659" s="12"/>
      <c r="X659" s="12"/>
      <c r="Y659" s="12"/>
      <c r="Z659" s="12"/>
      <c r="AA659" s="12"/>
    </row>
    <row r="660">
      <c r="A660" s="12"/>
      <c r="B660" s="12"/>
      <c r="C660" s="12"/>
      <c r="D660" s="12"/>
      <c r="E660" s="12"/>
      <c r="F660" s="12"/>
      <c r="G660" s="12"/>
      <c r="H660" s="2"/>
      <c r="I660" s="12"/>
      <c r="J660" s="12"/>
      <c r="K660" s="12"/>
      <c r="L660" s="12"/>
      <c r="M660" s="12"/>
      <c r="N660" s="12"/>
      <c r="O660" s="12"/>
      <c r="P660" s="12"/>
      <c r="Q660" s="12"/>
      <c r="R660" s="12"/>
      <c r="S660" s="12"/>
      <c r="T660" s="12"/>
      <c r="U660" s="12"/>
      <c r="V660" s="12"/>
      <c r="W660" s="12"/>
      <c r="X660" s="12"/>
      <c r="Y660" s="12"/>
      <c r="Z660" s="12"/>
      <c r="AA660" s="12"/>
    </row>
    <row r="661">
      <c r="A661" s="12"/>
      <c r="B661" s="12"/>
      <c r="C661" s="12"/>
      <c r="D661" s="12"/>
      <c r="E661" s="12"/>
      <c r="F661" s="12"/>
      <c r="G661" s="12"/>
      <c r="H661" s="2"/>
      <c r="I661" s="12"/>
      <c r="J661" s="12"/>
      <c r="K661" s="12"/>
      <c r="L661" s="12"/>
      <c r="M661" s="12"/>
      <c r="N661" s="12"/>
      <c r="O661" s="12"/>
      <c r="P661" s="12"/>
      <c r="Q661" s="12"/>
      <c r="R661" s="12"/>
      <c r="S661" s="12"/>
      <c r="T661" s="12"/>
      <c r="U661" s="12"/>
      <c r="V661" s="12"/>
      <c r="W661" s="12"/>
      <c r="X661" s="12"/>
      <c r="Y661" s="12"/>
      <c r="Z661" s="12"/>
      <c r="AA661" s="12"/>
    </row>
    <row r="662">
      <c r="A662" s="12"/>
      <c r="B662" s="12"/>
      <c r="C662" s="12"/>
      <c r="D662" s="12"/>
      <c r="E662" s="12"/>
      <c r="F662" s="12"/>
      <c r="G662" s="12"/>
      <c r="H662" s="2"/>
      <c r="I662" s="12"/>
      <c r="J662" s="12"/>
      <c r="K662" s="12"/>
      <c r="L662" s="12"/>
      <c r="M662" s="12"/>
      <c r="N662" s="12"/>
      <c r="O662" s="12"/>
      <c r="P662" s="12"/>
      <c r="Q662" s="12"/>
      <c r="R662" s="12"/>
      <c r="S662" s="12"/>
      <c r="T662" s="12"/>
      <c r="U662" s="12"/>
      <c r="V662" s="12"/>
      <c r="W662" s="12"/>
      <c r="X662" s="12"/>
      <c r="Y662" s="12"/>
      <c r="Z662" s="12"/>
      <c r="AA662" s="12"/>
    </row>
    <row r="663">
      <c r="A663" s="12"/>
      <c r="B663" s="12"/>
      <c r="C663" s="12"/>
      <c r="D663" s="12"/>
      <c r="E663" s="12"/>
      <c r="F663" s="12"/>
      <c r="G663" s="12"/>
      <c r="H663" s="2"/>
      <c r="I663" s="12"/>
      <c r="J663" s="12"/>
      <c r="K663" s="12"/>
      <c r="L663" s="12"/>
      <c r="M663" s="12"/>
      <c r="N663" s="12"/>
      <c r="O663" s="12"/>
      <c r="P663" s="12"/>
      <c r="Q663" s="12"/>
      <c r="R663" s="12"/>
      <c r="S663" s="12"/>
      <c r="T663" s="12"/>
      <c r="U663" s="12"/>
      <c r="V663" s="12"/>
      <c r="W663" s="12"/>
      <c r="X663" s="12"/>
      <c r="Y663" s="12"/>
      <c r="Z663" s="12"/>
      <c r="AA663" s="12"/>
    </row>
    <row r="664">
      <c r="A664" s="12"/>
      <c r="B664" s="12"/>
      <c r="C664" s="12"/>
      <c r="D664" s="12"/>
      <c r="E664" s="12"/>
      <c r="F664" s="12"/>
      <c r="G664" s="12"/>
      <c r="H664" s="2"/>
      <c r="I664" s="12"/>
      <c r="J664" s="12"/>
      <c r="K664" s="12"/>
      <c r="L664" s="12"/>
      <c r="M664" s="12"/>
      <c r="N664" s="12"/>
      <c r="O664" s="12"/>
      <c r="P664" s="12"/>
      <c r="Q664" s="12"/>
      <c r="R664" s="12"/>
      <c r="S664" s="12"/>
      <c r="T664" s="12"/>
      <c r="U664" s="12"/>
      <c r="V664" s="12"/>
      <c r="W664" s="12"/>
      <c r="X664" s="12"/>
      <c r="Y664" s="12"/>
      <c r="Z664" s="12"/>
      <c r="AA664" s="12"/>
    </row>
    <row r="665">
      <c r="A665" s="12"/>
      <c r="B665" s="12"/>
      <c r="C665" s="12"/>
      <c r="D665" s="12"/>
      <c r="E665" s="12"/>
      <c r="F665" s="12"/>
      <c r="G665" s="12"/>
      <c r="H665" s="2"/>
      <c r="I665" s="12"/>
      <c r="J665" s="12"/>
      <c r="K665" s="12"/>
      <c r="L665" s="12"/>
      <c r="M665" s="12"/>
      <c r="N665" s="12"/>
      <c r="O665" s="12"/>
      <c r="P665" s="12"/>
      <c r="Q665" s="12"/>
      <c r="R665" s="12"/>
      <c r="S665" s="12"/>
      <c r="T665" s="12"/>
      <c r="U665" s="12"/>
      <c r="V665" s="12"/>
      <c r="W665" s="12"/>
      <c r="X665" s="12"/>
      <c r="Y665" s="12"/>
      <c r="Z665" s="12"/>
      <c r="AA665" s="12"/>
    </row>
    <row r="666">
      <c r="A666" s="12"/>
      <c r="B666" s="12"/>
      <c r="C666" s="12"/>
      <c r="D666" s="12"/>
      <c r="E666" s="12"/>
      <c r="F666" s="12"/>
      <c r="G666" s="12"/>
      <c r="H666" s="2"/>
      <c r="I666" s="12"/>
      <c r="J666" s="12"/>
      <c r="K666" s="12"/>
      <c r="L666" s="12"/>
      <c r="M666" s="12"/>
      <c r="N666" s="12"/>
      <c r="O666" s="12"/>
      <c r="P666" s="12"/>
      <c r="Q666" s="12"/>
      <c r="R666" s="12"/>
      <c r="S666" s="12"/>
      <c r="T666" s="12"/>
      <c r="U666" s="12"/>
      <c r="V666" s="12"/>
      <c r="W666" s="12"/>
      <c r="X666" s="12"/>
      <c r="Y666" s="12"/>
      <c r="Z666" s="12"/>
      <c r="AA666" s="12"/>
    </row>
    <row r="667">
      <c r="A667" s="12"/>
      <c r="B667" s="12"/>
      <c r="C667" s="12"/>
      <c r="D667" s="12"/>
      <c r="E667" s="12"/>
      <c r="F667" s="12"/>
      <c r="G667" s="12"/>
      <c r="H667" s="2"/>
      <c r="I667" s="12"/>
      <c r="J667" s="12"/>
      <c r="K667" s="12"/>
      <c r="L667" s="12"/>
      <c r="M667" s="12"/>
      <c r="N667" s="12"/>
      <c r="O667" s="12"/>
      <c r="P667" s="12"/>
      <c r="Q667" s="12"/>
      <c r="R667" s="12"/>
      <c r="S667" s="12"/>
      <c r="T667" s="12"/>
      <c r="U667" s="12"/>
      <c r="V667" s="12"/>
      <c r="W667" s="12"/>
      <c r="X667" s="12"/>
      <c r="Y667" s="12"/>
      <c r="Z667" s="12"/>
      <c r="AA667" s="12"/>
    </row>
    <row r="668">
      <c r="A668" s="12"/>
      <c r="B668" s="12"/>
      <c r="C668" s="12"/>
      <c r="D668" s="12"/>
      <c r="E668" s="12"/>
      <c r="F668" s="12"/>
      <c r="G668" s="12"/>
      <c r="H668" s="2"/>
      <c r="I668" s="12"/>
      <c r="J668" s="12"/>
      <c r="K668" s="12"/>
      <c r="L668" s="12"/>
      <c r="M668" s="12"/>
      <c r="N668" s="12"/>
      <c r="O668" s="12"/>
      <c r="P668" s="12"/>
      <c r="Q668" s="12"/>
      <c r="R668" s="12"/>
      <c r="S668" s="12"/>
      <c r="T668" s="12"/>
      <c r="U668" s="12"/>
      <c r="V668" s="12"/>
      <c r="W668" s="12"/>
      <c r="X668" s="12"/>
      <c r="Y668" s="12"/>
      <c r="Z668" s="12"/>
      <c r="AA668" s="12"/>
    </row>
    <row r="669">
      <c r="A669" s="12"/>
      <c r="B669" s="12"/>
      <c r="C669" s="12"/>
      <c r="D669" s="12"/>
      <c r="E669" s="12"/>
      <c r="F669" s="12"/>
      <c r="G669" s="12"/>
      <c r="H669" s="2"/>
      <c r="I669" s="12"/>
      <c r="J669" s="12"/>
      <c r="K669" s="12"/>
      <c r="L669" s="12"/>
      <c r="M669" s="12"/>
      <c r="N669" s="12"/>
      <c r="O669" s="12"/>
      <c r="P669" s="12"/>
      <c r="Q669" s="12"/>
      <c r="R669" s="12"/>
      <c r="S669" s="12"/>
      <c r="T669" s="12"/>
      <c r="U669" s="12"/>
      <c r="V669" s="12"/>
      <c r="W669" s="12"/>
      <c r="X669" s="12"/>
      <c r="Y669" s="12"/>
      <c r="Z669" s="12"/>
      <c r="AA669" s="12"/>
    </row>
    <row r="670">
      <c r="A670" s="12"/>
      <c r="B670" s="12"/>
      <c r="C670" s="12"/>
      <c r="D670" s="12"/>
      <c r="E670" s="12"/>
      <c r="F670" s="12"/>
      <c r="G670" s="12"/>
      <c r="H670" s="2"/>
      <c r="I670" s="12"/>
      <c r="J670" s="12"/>
      <c r="K670" s="12"/>
      <c r="L670" s="12"/>
      <c r="M670" s="12"/>
      <c r="N670" s="12"/>
      <c r="O670" s="12"/>
      <c r="P670" s="12"/>
      <c r="Q670" s="12"/>
      <c r="R670" s="12"/>
      <c r="S670" s="12"/>
      <c r="T670" s="12"/>
      <c r="U670" s="12"/>
      <c r="V670" s="12"/>
      <c r="W670" s="12"/>
      <c r="X670" s="12"/>
      <c r="Y670" s="12"/>
      <c r="Z670" s="12"/>
      <c r="AA670" s="12"/>
    </row>
    <row r="671">
      <c r="A671" s="12"/>
      <c r="B671" s="12"/>
      <c r="C671" s="12"/>
      <c r="D671" s="12"/>
      <c r="E671" s="12"/>
      <c r="F671" s="12"/>
      <c r="G671" s="12"/>
      <c r="H671" s="2"/>
      <c r="I671" s="12"/>
      <c r="J671" s="12"/>
      <c r="K671" s="12"/>
      <c r="L671" s="12"/>
      <c r="M671" s="12"/>
      <c r="N671" s="12"/>
      <c r="O671" s="12"/>
      <c r="P671" s="12"/>
      <c r="Q671" s="12"/>
      <c r="R671" s="12"/>
      <c r="S671" s="12"/>
      <c r="T671" s="12"/>
      <c r="U671" s="12"/>
      <c r="V671" s="12"/>
      <c r="W671" s="12"/>
      <c r="X671" s="12"/>
      <c r="Y671" s="12"/>
      <c r="Z671" s="12"/>
      <c r="AA671" s="12"/>
    </row>
    <row r="672">
      <c r="A672" s="12"/>
      <c r="B672" s="12"/>
      <c r="C672" s="12"/>
      <c r="D672" s="12"/>
      <c r="E672" s="12"/>
      <c r="F672" s="12"/>
      <c r="G672" s="12"/>
      <c r="H672" s="2"/>
      <c r="I672" s="12"/>
      <c r="J672" s="12"/>
      <c r="K672" s="12"/>
      <c r="L672" s="12"/>
      <c r="M672" s="12"/>
      <c r="N672" s="12"/>
      <c r="O672" s="12"/>
      <c r="P672" s="12"/>
      <c r="Q672" s="12"/>
      <c r="R672" s="12"/>
      <c r="S672" s="12"/>
      <c r="T672" s="12"/>
      <c r="U672" s="12"/>
      <c r="V672" s="12"/>
      <c r="W672" s="12"/>
      <c r="X672" s="12"/>
      <c r="Y672" s="12"/>
      <c r="Z672" s="12"/>
      <c r="AA672" s="12"/>
    </row>
    <row r="673">
      <c r="A673" s="12"/>
      <c r="B673" s="12"/>
      <c r="C673" s="12"/>
      <c r="D673" s="12"/>
      <c r="E673" s="12"/>
      <c r="F673" s="12"/>
      <c r="G673" s="12"/>
      <c r="H673" s="2"/>
      <c r="I673" s="12"/>
      <c r="J673" s="12"/>
      <c r="K673" s="12"/>
      <c r="L673" s="12"/>
      <c r="M673" s="12"/>
      <c r="N673" s="12"/>
      <c r="O673" s="12"/>
      <c r="P673" s="12"/>
      <c r="Q673" s="12"/>
      <c r="R673" s="12"/>
      <c r="S673" s="12"/>
      <c r="T673" s="12"/>
      <c r="U673" s="12"/>
      <c r="V673" s="12"/>
      <c r="W673" s="12"/>
      <c r="X673" s="12"/>
      <c r="Y673" s="12"/>
      <c r="Z673" s="12"/>
      <c r="AA673" s="12"/>
    </row>
    <row r="674">
      <c r="A674" s="12"/>
      <c r="B674" s="12"/>
      <c r="C674" s="12"/>
      <c r="D674" s="12"/>
      <c r="E674" s="12"/>
      <c r="F674" s="12"/>
      <c r="G674" s="12"/>
      <c r="H674" s="2"/>
      <c r="I674" s="12"/>
      <c r="J674" s="12"/>
      <c r="K674" s="12"/>
      <c r="L674" s="12"/>
      <c r="M674" s="12"/>
      <c r="N674" s="12"/>
      <c r="O674" s="12"/>
      <c r="P674" s="12"/>
      <c r="Q674" s="12"/>
      <c r="R674" s="12"/>
      <c r="S674" s="12"/>
      <c r="T674" s="12"/>
      <c r="U674" s="12"/>
      <c r="V674" s="12"/>
      <c r="W674" s="12"/>
      <c r="X674" s="12"/>
      <c r="Y674" s="12"/>
      <c r="Z674" s="12"/>
      <c r="AA674" s="12"/>
    </row>
    <row r="675">
      <c r="A675" s="12"/>
      <c r="B675" s="12"/>
      <c r="C675" s="12"/>
      <c r="D675" s="12"/>
      <c r="E675" s="12"/>
      <c r="F675" s="12"/>
      <c r="G675" s="12"/>
      <c r="H675" s="2"/>
      <c r="I675" s="12"/>
      <c r="J675" s="12"/>
      <c r="K675" s="12"/>
      <c r="L675" s="12"/>
      <c r="M675" s="12"/>
      <c r="N675" s="12"/>
      <c r="O675" s="12"/>
      <c r="P675" s="12"/>
      <c r="Q675" s="12"/>
      <c r="R675" s="12"/>
      <c r="S675" s="12"/>
      <c r="T675" s="12"/>
      <c r="U675" s="12"/>
      <c r="V675" s="12"/>
      <c r="W675" s="12"/>
      <c r="X675" s="12"/>
      <c r="Y675" s="12"/>
      <c r="Z675" s="12"/>
      <c r="AA675" s="12"/>
    </row>
    <row r="676">
      <c r="A676" s="12"/>
      <c r="B676" s="12"/>
      <c r="C676" s="12"/>
      <c r="D676" s="12"/>
      <c r="E676" s="12"/>
      <c r="F676" s="12"/>
      <c r="G676" s="12"/>
      <c r="H676" s="2"/>
      <c r="I676" s="12"/>
      <c r="J676" s="12"/>
      <c r="K676" s="12"/>
      <c r="L676" s="12"/>
      <c r="M676" s="12"/>
      <c r="N676" s="12"/>
      <c r="O676" s="12"/>
      <c r="P676" s="12"/>
      <c r="Q676" s="12"/>
      <c r="R676" s="12"/>
      <c r="S676" s="12"/>
      <c r="T676" s="12"/>
      <c r="U676" s="12"/>
      <c r="V676" s="12"/>
      <c r="W676" s="12"/>
      <c r="X676" s="12"/>
      <c r="Y676" s="12"/>
      <c r="Z676" s="12"/>
      <c r="AA676" s="12"/>
    </row>
    <row r="677">
      <c r="A677" s="12"/>
      <c r="B677" s="12"/>
      <c r="C677" s="12"/>
      <c r="D677" s="12"/>
      <c r="E677" s="12"/>
      <c r="F677" s="12"/>
      <c r="G677" s="12"/>
      <c r="H677" s="2"/>
      <c r="I677" s="12"/>
      <c r="J677" s="12"/>
      <c r="K677" s="12"/>
      <c r="L677" s="12"/>
      <c r="M677" s="12"/>
      <c r="N677" s="12"/>
      <c r="O677" s="12"/>
      <c r="P677" s="12"/>
      <c r="Q677" s="12"/>
      <c r="R677" s="12"/>
      <c r="S677" s="12"/>
      <c r="T677" s="12"/>
      <c r="U677" s="12"/>
      <c r="V677" s="12"/>
      <c r="W677" s="12"/>
      <c r="X677" s="12"/>
      <c r="Y677" s="12"/>
      <c r="Z677" s="12"/>
      <c r="AA677" s="12"/>
    </row>
    <row r="678">
      <c r="A678" s="12"/>
      <c r="B678" s="12"/>
      <c r="C678" s="12"/>
      <c r="D678" s="12"/>
      <c r="E678" s="12"/>
      <c r="F678" s="12"/>
      <c r="G678" s="12"/>
      <c r="H678" s="2"/>
      <c r="I678" s="12"/>
      <c r="J678" s="12"/>
      <c r="K678" s="12"/>
      <c r="L678" s="12"/>
      <c r="M678" s="12"/>
      <c r="N678" s="12"/>
      <c r="O678" s="12"/>
      <c r="P678" s="12"/>
      <c r="Q678" s="12"/>
      <c r="R678" s="12"/>
      <c r="S678" s="12"/>
      <c r="T678" s="12"/>
      <c r="U678" s="12"/>
      <c r="V678" s="12"/>
      <c r="W678" s="12"/>
      <c r="X678" s="12"/>
      <c r="Y678" s="12"/>
      <c r="Z678" s="12"/>
      <c r="AA678" s="12"/>
    </row>
    <row r="679">
      <c r="A679" s="12"/>
      <c r="B679" s="12"/>
      <c r="C679" s="12"/>
      <c r="D679" s="12"/>
      <c r="E679" s="12"/>
      <c r="F679" s="12"/>
      <c r="G679" s="12"/>
      <c r="H679" s="2"/>
      <c r="I679" s="12"/>
      <c r="J679" s="12"/>
      <c r="K679" s="12"/>
      <c r="L679" s="12"/>
      <c r="M679" s="12"/>
      <c r="N679" s="12"/>
      <c r="O679" s="12"/>
      <c r="P679" s="12"/>
      <c r="Q679" s="12"/>
      <c r="R679" s="12"/>
      <c r="S679" s="12"/>
      <c r="T679" s="12"/>
      <c r="U679" s="12"/>
      <c r="V679" s="12"/>
      <c r="W679" s="12"/>
      <c r="X679" s="12"/>
      <c r="Y679" s="12"/>
      <c r="Z679" s="12"/>
      <c r="AA679" s="12"/>
    </row>
    <row r="680">
      <c r="A680" s="12"/>
      <c r="B680" s="12"/>
      <c r="C680" s="12"/>
      <c r="D680" s="12"/>
      <c r="E680" s="12"/>
      <c r="F680" s="12"/>
      <c r="G680" s="12"/>
      <c r="H680" s="2"/>
      <c r="I680" s="12"/>
      <c r="J680" s="12"/>
      <c r="K680" s="12"/>
      <c r="L680" s="12"/>
      <c r="M680" s="12"/>
      <c r="N680" s="12"/>
      <c r="O680" s="12"/>
      <c r="P680" s="12"/>
      <c r="Q680" s="12"/>
      <c r="R680" s="12"/>
      <c r="S680" s="12"/>
      <c r="T680" s="12"/>
      <c r="U680" s="12"/>
      <c r="V680" s="12"/>
      <c r="W680" s="12"/>
      <c r="X680" s="12"/>
      <c r="Y680" s="12"/>
      <c r="Z680" s="12"/>
      <c r="AA680" s="12"/>
    </row>
    <row r="681">
      <c r="A681" s="12"/>
      <c r="B681" s="12"/>
      <c r="C681" s="12"/>
      <c r="D681" s="12"/>
      <c r="E681" s="12"/>
      <c r="F681" s="12"/>
      <c r="G681" s="12"/>
      <c r="H681" s="2"/>
      <c r="I681" s="12"/>
      <c r="J681" s="12"/>
      <c r="K681" s="12"/>
      <c r="L681" s="12"/>
      <c r="M681" s="12"/>
      <c r="N681" s="12"/>
      <c r="O681" s="12"/>
      <c r="P681" s="12"/>
      <c r="Q681" s="12"/>
      <c r="R681" s="12"/>
      <c r="S681" s="12"/>
      <c r="T681" s="12"/>
      <c r="U681" s="12"/>
      <c r="V681" s="12"/>
      <c r="W681" s="12"/>
      <c r="X681" s="12"/>
      <c r="Y681" s="12"/>
      <c r="Z681" s="12"/>
      <c r="AA681" s="12"/>
    </row>
    <row r="682">
      <c r="A682" s="12"/>
      <c r="B682" s="12"/>
      <c r="C682" s="12"/>
      <c r="D682" s="12"/>
      <c r="E682" s="12"/>
      <c r="F682" s="12"/>
      <c r="G682" s="12"/>
      <c r="H682" s="2"/>
      <c r="I682" s="12"/>
      <c r="J682" s="12"/>
      <c r="K682" s="12"/>
      <c r="L682" s="12"/>
      <c r="M682" s="12"/>
      <c r="N682" s="12"/>
      <c r="O682" s="12"/>
      <c r="P682" s="12"/>
      <c r="Q682" s="12"/>
      <c r="R682" s="12"/>
      <c r="S682" s="12"/>
      <c r="T682" s="12"/>
      <c r="U682" s="12"/>
      <c r="V682" s="12"/>
      <c r="W682" s="12"/>
      <c r="X682" s="12"/>
      <c r="Y682" s="12"/>
      <c r="Z682" s="12"/>
      <c r="AA682" s="12"/>
    </row>
    <row r="683">
      <c r="A683" s="12"/>
      <c r="B683" s="12"/>
      <c r="C683" s="12"/>
      <c r="D683" s="12"/>
      <c r="E683" s="12"/>
      <c r="F683" s="12"/>
      <c r="G683" s="12"/>
      <c r="H683" s="2"/>
      <c r="I683" s="12"/>
      <c r="J683" s="12"/>
      <c r="K683" s="12"/>
      <c r="L683" s="12"/>
      <c r="M683" s="12"/>
      <c r="N683" s="12"/>
      <c r="O683" s="12"/>
      <c r="P683" s="12"/>
      <c r="Q683" s="12"/>
      <c r="R683" s="12"/>
      <c r="S683" s="12"/>
      <c r="T683" s="12"/>
      <c r="U683" s="12"/>
      <c r="V683" s="12"/>
      <c r="W683" s="12"/>
      <c r="X683" s="12"/>
      <c r="Y683" s="12"/>
      <c r="Z683" s="12"/>
      <c r="AA683" s="12"/>
    </row>
    <row r="684">
      <c r="A684" s="12"/>
      <c r="B684" s="12"/>
      <c r="C684" s="12"/>
      <c r="D684" s="12"/>
      <c r="E684" s="12"/>
      <c r="F684" s="12"/>
      <c r="G684" s="12"/>
      <c r="H684" s="2"/>
      <c r="I684" s="12"/>
      <c r="J684" s="12"/>
      <c r="K684" s="12"/>
      <c r="L684" s="12"/>
      <c r="M684" s="12"/>
      <c r="N684" s="12"/>
      <c r="O684" s="12"/>
      <c r="P684" s="12"/>
      <c r="Q684" s="12"/>
      <c r="R684" s="12"/>
      <c r="S684" s="12"/>
      <c r="T684" s="12"/>
      <c r="U684" s="12"/>
      <c r="V684" s="12"/>
      <c r="W684" s="12"/>
      <c r="X684" s="12"/>
      <c r="Y684" s="12"/>
      <c r="Z684" s="12"/>
      <c r="AA684" s="12"/>
    </row>
    <row r="685">
      <c r="A685" s="12"/>
      <c r="B685" s="12"/>
      <c r="C685" s="12"/>
      <c r="D685" s="12"/>
      <c r="E685" s="12"/>
      <c r="F685" s="12"/>
      <c r="G685" s="12"/>
      <c r="H685" s="2"/>
      <c r="I685" s="12"/>
      <c r="J685" s="12"/>
      <c r="K685" s="12"/>
      <c r="L685" s="12"/>
      <c r="M685" s="12"/>
      <c r="N685" s="12"/>
      <c r="O685" s="12"/>
      <c r="P685" s="12"/>
      <c r="Q685" s="12"/>
      <c r="R685" s="12"/>
      <c r="S685" s="12"/>
      <c r="T685" s="12"/>
      <c r="U685" s="12"/>
      <c r="V685" s="12"/>
      <c r="W685" s="12"/>
      <c r="X685" s="12"/>
      <c r="Y685" s="12"/>
      <c r="Z685" s="12"/>
      <c r="AA685" s="12"/>
    </row>
    <row r="686">
      <c r="A686" s="12"/>
      <c r="B686" s="12"/>
      <c r="C686" s="12"/>
      <c r="D686" s="12"/>
      <c r="E686" s="12"/>
      <c r="F686" s="12"/>
      <c r="G686" s="12"/>
      <c r="H686" s="2"/>
      <c r="I686" s="12"/>
      <c r="J686" s="12"/>
      <c r="K686" s="12"/>
      <c r="L686" s="12"/>
      <c r="M686" s="12"/>
      <c r="N686" s="12"/>
      <c r="O686" s="12"/>
      <c r="P686" s="12"/>
      <c r="Q686" s="12"/>
      <c r="R686" s="12"/>
      <c r="S686" s="12"/>
      <c r="T686" s="12"/>
      <c r="U686" s="12"/>
      <c r="V686" s="12"/>
      <c r="W686" s="12"/>
      <c r="X686" s="12"/>
      <c r="Y686" s="12"/>
      <c r="Z686" s="12"/>
      <c r="AA686" s="12"/>
    </row>
    <row r="687">
      <c r="A687" s="12"/>
      <c r="B687" s="12"/>
      <c r="C687" s="12"/>
      <c r="D687" s="12"/>
      <c r="E687" s="12"/>
      <c r="F687" s="12"/>
      <c r="G687" s="12"/>
      <c r="H687" s="2"/>
      <c r="I687" s="12"/>
      <c r="J687" s="12"/>
      <c r="K687" s="12"/>
      <c r="L687" s="12"/>
      <c r="M687" s="12"/>
      <c r="N687" s="12"/>
      <c r="O687" s="12"/>
      <c r="P687" s="12"/>
      <c r="Q687" s="12"/>
      <c r="R687" s="12"/>
      <c r="S687" s="12"/>
      <c r="T687" s="12"/>
      <c r="U687" s="12"/>
      <c r="V687" s="12"/>
      <c r="W687" s="12"/>
      <c r="X687" s="12"/>
      <c r="Y687" s="12"/>
      <c r="Z687" s="12"/>
      <c r="AA687" s="12"/>
    </row>
    <row r="688">
      <c r="A688" s="12"/>
      <c r="B688" s="12"/>
      <c r="C688" s="12"/>
      <c r="D688" s="12"/>
      <c r="E688" s="12"/>
      <c r="F688" s="12"/>
      <c r="G688" s="12"/>
      <c r="H688" s="2"/>
      <c r="I688" s="12"/>
      <c r="J688" s="12"/>
      <c r="K688" s="12"/>
      <c r="L688" s="12"/>
      <c r="M688" s="12"/>
      <c r="N688" s="12"/>
      <c r="O688" s="12"/>
      <c r="P688" s="12"/>
      <c r="Q688" s="12"/>
      <c r="R688" s="12"/>
      <c r="S688" s="12"/>
      <c r="T688" s="12"/>
      <c r="U688" s="12"/>
      <c r="V688" s="12"/>
      <c r="W688" s="12"/>
      <c r="X688" s="12"/>
      <c r="Y688" s="12"/>
      <c r="Z688" s="12"/>
      <c r="AA688" s="12"/>
    </row>
    <row r="689">
      <c r="A689" s="12"/>
      <c r="B689" s="12"/>
      <c r="C689" s="12"/>
      <c r="D689" s="12"/>
      <c r="E689" s="12"/>
      <c r="F689" s="12"/>
      <c r="G689" s="12"/>
      <c r="H689" s="2"/>
      <c r="I689" s="12"/>
      <c r="J689" s="12"/>
      <c r="K689" s="12"/>
      <c r="L689" s="12"/>
      <c r="M689" s="12"/>
      <c r="N689" s="12"/>
      <c r="O689" s="12"/>
      <c r="P689" s="12"/>
      <c r="Q689" s="12"/>
      <c r="R689" s="12"/>
      <c r="S689" s="12"/>
      <c r="T689" s="12"/>
      <c r="U689" s="12"/>
      <c r="V689" s="12"/>
      <c r="W689" s="12"/>
      <c r="X689" s="12"/>
      <c r="Y689" s="12"/>
      <c r="Z689" s="12"/>
      <c r="AA689" s="12"/>
    </row>
    <row r="690">
      <c r="A690" s="12"/>
      <c r="B690" s="12"/>
      <c r="C690" s="12"/>
      <c r="D690" s="12"/>
      <c r="E690" s="12"/>
      <c r="F690" s="12"/>
      <c r="G690" s="12"/>
      <c r="H690" s="2"/>
      <c r="I690" s="12"/>
      <c r="J690" s="12"/>
      <c r="K690" s="12"/>
      <c r="L690" s="12"/>
      <c r="M690" s="12"/>
      <c r="N690" s="12"/>
      <c r="O690" s="12"/>
      <c r="P690" s="12"/>
      <c r="Q690" s="12"/>
      <c r="R690" s="12"/>
      <c r="S690" s="12"/>
      <c r="T690" s="12"/>
      <c r="U690" s="12"/>
      <c r="V690" s="12"/>
      <c r="W690" s="12"/>
      <c r="X690" s="12"/>
      <c r="Y690" s="12"/>
      <c r="Z690" s="12"/>
      <c r="AA690" s="12"/>
    </row>
    <row r="691">
      <c r="A691" s="12"/>
      <c r="B691" s="12"/>
      <c r="C691" s="12"/>
      <c r="D691" s="12"/>
      <c r="E691" s="12"/>
      <c r="F691" s="12"/>
      <c r="G691" s="12"/>
      <c r="H691" s="2"/>
      <c r="I691" s="12"/>
      <c r="J691" s="12"/>
      <c r="K691" s="12"/>
      <c r="L691" s="12"/>
      <c r="M691" s="12"/>
      <c r="N691" s="12"/>
      <c r="O691" s="12"/>
      <c r="P691" s="12"/>
      <c r="Q691" s="12"/>
      <c r="R691" s="12"/>
      <c r="S691" s="12"/>
      <c r="T691" s="12"/>
      <c r="U691" s="12"/>
      <c r="V691" s="12"/>
      <c r="W691" s="12"/>
      <c r="X691" s="12"/>
      <c r="Y691" s="12"/>
      <c r="Z691" s="12"/>
      <c r="AA691" s="12"/>
    </row>
    <row r="692">
      <c r="A692" s="12"/>
      <c r="B692" s="12"/>
      <c r="C692" s="12"/>
      <c r="D692" s="12"/>
      <c r="E692" s="12"/>
      <c r="F692" s="12"/>
      <c r="G692" s="12"/>
      <c r="H692" s="2"/>
      <c r="I692" s="12"/>
      <c r="J692" s="12"/>
      <c r="K692" s="12"/>
      <c r="L692" s="12"/>
      <c r="M692" s="12"/>
      <c r="N692" s="12"/>
      <c r="O692" s="12"/>
      <c r="P692" s="12"/>
      <c r="Q692" s="12"/>
      <c r="R692" s="12"/>
      <c r="S692" s="12"/>
      <c r="T692" s="12"/>
      <c r="U692" s="12"/>
      <c r="V692" s="12"/>
      <c r="W692" s="12"/>
      <c r="X692" s="12"/>
      <c r="Y692" s="12"/>
      <c r="Z692" s="12"/>
      <c r="AA692" s="12"/>
    </row>
    <row r="693">
      <c r="A693" s="12"/>
      <c r="B693" s="12"/>
      <c r="C693" s="12"/>
      <c r="D693" s="12"/>
      <c r="E693" s="12"/>
      <c r="F693" s="12"/>
      <c r="G693" s="12"/>
      <c r="H693" s="2"/>
      <c r="I693" s="12"/>
      <c r="J693" s="12"/>
      <c r="K693" s="12"/>
      <c r="L693" s="12"/>
      <c r="M693" s="12"/>
      <c r="N693" s="12"/>
      <c r="O693" s="12"/>
      <c r="P693" s="12"/>
      <c r="Q693" s="12"/>
      <c r="R693" s="12"/>
      <c r="S693" s="12"/>
      <c r="T693" s="12"/>
      <c r="U693" s="12"/>
      <c r="V693" s="12"/>
      <c r="W693" s="12"/>
      <c r="X693" s="12"/>
      <c r="Y693" s="12"/>
      <c r="Z693" s="12"/>
      <c r="AA693" s="12"/>
    </row>
    <row r="694">
      <c r="A694" s="12"/>
      <c r="B694" s="12"/>
      <c r="C694" s="12"/>
      <c r="D694" s="12"/>
      <c r="E694" s="12"/>
      <c r="F694" s="12"/>
      <c r="G694" s="12"/>
      <c r="H694" s="2"/>
      <c r="I694" s="12"/>
      <c r="J694" s="12"/>
      <c r="K694" s="12"/>
      <c r="L694" s="12"/>
      <c r="M694" s="12"/>
      <c r="N694" s="12"/>
      <c r="O694" s="12"/>
      <c r="P694" s="12"/>
      <c r="Q694" s="12"/>
      <c r="R694" s="12"/>
      <c r="S694" s="12"/>
      <c r="T694" s="12"/>
      <c r="U694" s="12"/>
      <c r="V694" s="12"/>
      <c r="W694" s="12"/>
      <c r="X694" s="12"/>
      <c r="Y694" s="12"/>
      <c r="Z694" s="12"/>
      <c r="AA694" s="12"/>
    </row>
    <row r="695">
      <c r="A695" s="12"/>
      <c r="B695" s="12"/>
      <c r="C695" s="12"/>
      <c r="D695" s="12"/>
      <c r="E695" s="12"/>
      <c r="F695" s="12"/>
      <c r="G695" s="12"/>
      <c r="H695" s="2"/>
      <c r="I695" s="12"/>
      <c r="J695" s="12"/>
      <c r="K695" s="12"/>
      <c r="L695" s="12"/>
      <c r="M695" s="12"/>
      <c r="N695" s="12"/>
      <c r="O695" s="12"/>
      <c r="P695" s="12"/>
      <c r="Q695" s="12"/>
      <c r="R695" s="12"/>
      <c r="S695" s="12"/>
      <c r="T695" s="12"/>
      <c r="U695" s="12"/>
      <c r="V695" s="12"/>
      <c r="W695" s="12"/>
      <c r="X695" s="12"/>
      <c r="Y695" s="12"/>
      <c r="Z695" s="12"/>
      <c r="AA695" s="12"/>
    </row>
    <row r="696">
      <c r="A696" s="12"/>
      <c r="B696" s="12"/>
      <c r="C696" s="12"/>
      <c r="D696" s="12"/>
      <c r="E696" s="12"/>
      <c r="F696" s="12"/>
      <c r="G696" s="12"/>
      <c r="H696" s="2"/>
      <c r="I696" s="12"/>
      <c r="J696" s="12"/>
      <c r="K696" s="12"/>
      <c r="L696" s="12"/>
      <c r="M696" s="12"/>
      <c r="N696" s="12"/>
      <c r="O696" s="12"/>
      <c r="P696" s="12"/>
      <c r="Q696" s="12"/>
      <c r="R696" s="12"/>
      <c r="S696" s="12"/>
      <c r="T696" s="12"/>
      <c r="U696" s="12"/>
      <c r="V696" s="12"/>
      <c r="W696" s="12"/>
      <c r="X696" s="12"/>
      <c r="Y696" s="12"/>
      <c r="Z696" s="12"/>
      <c r="AA696" s="12"/>
    </row>
    <row r="697">
      <c r="A697" s="12"/>
      <c r="B697" s="12"/>
      <c r="C697" s="12"/>
      <c r="D697" s="12"/>
      <c r="E697" s="12"/>
      <c r="F697" s="12"/>
      <c r="G697" s="12"/>
      <c r="H697" s="2"/>
      <c r="I697" s="12"/>
      <c r="J697" s="12"/>
      <c r="K697" s="12"/>
      <c r="L697" s="12"/>
      <c r="M697" s="12"/>
      <c r="N697" s="12"/>
      <c r="O697" s="12"/>
      <c r="P697" s="12"/>
      <c r="Q697" s="12"/>
      <c r="R697" s="12"/>
      <c r="S697" s="12"/>
      <c r="T697" s="12"/>
      <c r="U697" s="12"/>
      <c r="V697" s="12"/>
      <c r="W697" s="12"/>
      <c r="X697" s="12"/>
      <c r="Y697" s="12"/>
      <c r="Z697" s="12"/>
      <c r="AA697" s="12"/>
    </row>
    <row r="698">
      <c r="A698" s="12"/>
      <c r="B698" s="12"/>
      <c r="C698" s="12"/>
      <c r="D698" s="12"/>
      <c r="E698" s="12"/>
      <c r="F698" s="12"/>
      <c r="G698" s="12"/>
      <c r="H698" s="2"/>
      <c r="I698" s="12"/>
      <c r="J698" s="12"/>
      <c r="K698" s="12"/>
      <c r="L698" s="12"/>
      <c r="M698" s="12"/>
      <c r="N698" s="12"/>
      <c r="O698" s="12"/>
      <c r="P698" s="12"/>
      <c r="Q698" s="12"/>
      <c r="R698" s="12"/>
      <c r="S698" s="12"/>
      <c r="T698" s="12"/>
      <c r="U698" s="12"/>
      <c r="V698" s="12"/>
      <c r="W698" s="12"/>
      <c r="X698" s="12"/>
      <c r="Y698" s="12"/>
      <c r="Z698" s="12"/>
      <c r="AA698" s="12"/>
    </row>
    <row r="699">
      <c r="A699" s="12"/>
      <c r="B699" s="12"/>
      <c r="C699" s="12"/>
      <c r="D699" s="12"/>
      <c r="E699" s="12"/>
      <c r="F699" s="12"/>
      <c r="G699" s="12"/>
      <c r="H699" s="2"/>
      <c r="I699" s="12"/>
      <c r="J699" s="12"/>
      <c r="K699" s="12"/>
      <c r="L699" s="12"/>
      <c r="M699" s="12"/>
      <c r="N699" s="12"/>
      <c r="O699" s="12"/>
      <c r="P699" s="12"/>
      <c r="Q699" s="12"/>
      <c r="R699" s="12"/>
      <c r="S699" s="12"/>
      <c r="T699" s="12"/>
      <c r="U699" s="12"/>
      <c r="V699" s="12"/>
      <c r="W699" s="12"/>
      <c r="X699" s="12"/>
      <c r="Y699" s="12"/>
      <c r="Z699" s="12"/>
      <c r="AA699" s="12"/>
    </row>
    <row r="700">
      <c r="A700" s="12"/>
      <c r="B700" s="12"/>
      <c r="C700" s="12"/>
      <c r="D700" s="12"/>
      <c r="E700" s="12"/>
      <c r="F700" s="12"/>
      <c r="G700" s="12"/>
      <c r="H700" s="2"/>
      <c r="I700" s="12"/>
      <c r="J700" s="12"/>
      <c r="K700" s="12"/>
      <c r="L700" s="12"/>
      <c r="M700" s="12"/>
      <c r="N700" s="12"/>
      <c r="O700" s="12"/>
      <c r="P700" s="12"/>
      <c r="Q700" s="12"/>
      <c r="R700" s="12"/>
      <c r="S700" s="12"/>
      <c r="T700" s="12"/>
      <c r="U700" s="12"/>
      <c r="V700" s="12"/>
      <c r="W700" s="12"/>
      <c r="X700" s="12"/>
      <c r="Y700" s="12"/>
      <c r="Z700" s="12"/>
      <c r="AA700" s="12"/>
    </row>
    <row r="701">
      <c r="A701" s="12"/>
      <c r="B701" s="12"/>
      <c r="C701" s="12"/>
      <c r="D701" s="12"/>
      <c r="E701" s="12"/>
      <c r="F701" s="12"/>
      <c r="G701" s="12"/>
      <c r="H701" s="2"/>
      <c r="I701" s="12"/>
      <c r="J701" s="12"/>
      <c r="K701" s="12"/>
      <c r="L701" s="12"/>
      <c r="M701" s="12"/>
      <c r="N701" s="12"/>
      <c r="O701" s="12"/>
      <c r="P701" s="12"/>
      <c r="Q701" s="12"/>
      <c r="R701" s="12"/>
      <c r="S701" s="12"/>
      <c r="T701" s="12"/>
      <c r="U701" s="12"/>
      <c r="V701" s="12"/>
      <c r="W701" s="12"/>
      <c r="X701" s="12"/>
      <c r="Y701" s="12"/>
      <c r="Z701" s="12"/>
      <c r="AA701" s="12"/>
    </row>
    <row r="702">
      <c r="A702" s="12"/>
      <c r="B702" s="12"/>
      <c r="C702" s="12"/>
      <c r="D702" s="12"/>
      <c r="E702" s="12"/>
      <c r="F702" s="12"/>
      <c r="G702" s="12"/>
      <c r="H702" s="2"/>
      <c r="I702" s="12"/>
      <c r="J702" s="12"/>
      <c r="K702" s="12"/>
      <c r="L702" s="12"/>
      <c r="M702" s="12"/>
      <c r="N702" s="12"/>
      <c r="O702" s="12"/>
      <c r="P702" s="12"/>
      <c r="Q702" s="12"/>
      <c r="R702" s="12"/>
      <c r="S702" s="12"/>
      <c r="T702" s="12"/>
      <c r="U702" s="12"/>
      <c r="V702" s="12"/>
      <c r="W702" s="12"/>
      <c r="X702" s="12"/>
      <c r="Y702" s="12"/>
      <c r="Z702" s="12"/>
      <c r="AA702" s="12"/>
    </row>
    <row r="703">
      <c r="A703" s="12"/>
      <c r="B703" s="12"/>
      <c r="C703" s="12"/>
      <c r="D703" s="12"/>
      <c r="E703" s="12"/>
      <c r="F703" s="12"/>
      <c r="G703" s="12"/>
      <c r="H703" s="2"/>
      <c r="I703" s="12"/>
      <c r="J703" s="12"/>
      <c r="K703" s="12"/>
      <c r="L703" s="12"/>
      <c r="M703" s="12"/>
      <c r="N703" s="12"/>
      <c r="O703" s="12"/>
      <c r="P703" s="12"/>
      <c r="Q703" s="12"/>
      <c r="R703" s="12"/>
      <c r="S703" s="12"/>
      <c r="T703" s="12"/>
      <c r="U703" s="12"/>
      <c r="V703" s="12"/>
      <c r="W703" s="12"/>
      <c r="X703" s="12"/>
      <c r="Y703" s="12"/>
      <c r="Z703" s="12"/>
      <c r="AA703" s="12"/>
    </row>
    <row r="704">
      <c r="A704" s="12"/>
      <c r="B704" s="12"/>
      <c r="C704" s="12"/>
      <c r="D704" s="12"/>
      <c r="E704" s="12"/>
      <c r="F704" s="12"/>
      <c r="G704" s="12"/>
      <c r="H704" s="2"/>
      <c r="I704" s="12"/>
      <c r="J704" s="12"/>
      <c r="K704" s="12"/>
      <c r="L704" s="12"/>
      <c r="M704" s="12"/>
      <c r="N704" s="12"/>
      <c r="O704" s="12"/>
      <c r="P704" s="12"/>
      <c r="Q704" s="12"/>
      <c r="R704" s="12"/>
      <c r="S704" s="12"/>
      <c r="T704" s="12"/>
      <c r="U704" s="12"/>
      <c r="V704" s="12"/>
      <c r="W704" s="12"/>
      <c r="X704" s="12"/>
      <c r="Y704" s="12"/>
      <c r="Z704" s="12"/>
      <c r="AA704" s="12"/>
    </row>
    <row r="705">
      <c r="A705" s="12"/>
      <c r="B705" s="12"/>
      <c r="C705" s="12"/>
      <c r="D705" s="12"/>
      <c r="E705" s="12"/>
      <c r="F705" s="12"/>
      <c r="G705" s="12"/>
      <c r="H705" s="2"/>
      <c r="I705" s="12"/>
      <c r="J705" s="12"/>
      <c r="K705" s="12"/>
      <c r="L705" s="12"/>
      <c r="M705" s="12"/>
      <c r="N705" s="12"/>
      <c r="O705" s="12"/>
      <c r="P705" s="12"/>
      <c r="Q705" s="12"/>
      <c r="R705" s="12"/>
      <c r="S705" s="12"/>
      <c r="T705" s="12"/>
      <c r="U705" s="12"/>
      <c r="V705" s="12"/>
      <c r="W705" s="12"/>
      <c r="X705" s="12"/>
      <c r="Y705" s="12"/>
      <c r="Z705" s="12"/>
      <c r="AA705" s="12"/>
    </row>
    <row r="706">
      <c r="A706" s="12"/>
      <c r="B706" s="12"/>
      <c r="C706" s="12"/>
      <c r="D706" s="12"/>
      <c r="E706" s="12"/>
      <c r="F706" s="12"/>
      <c r="G706" s="12"/>
      <c r="H706" s="2"/>
      <c r="I706" s="12"/>
      <c r="J706" s="12"/>
      <c r="K706" s="12"/>
      <c r="L706" s="12"/>
      <c r="M706" s="12"/>
      <c r="N706" s="12"/>
      <c r="O706" s="12"/>
      <c r="P706" s="12"/>
      <c r="Q706" s="12"/>
      <c r="R706" s="12"/>
      <c r="S706" s="12"/>
      <c r="T706" s="12"/>
      <c r="U706" s="12"/>
      <c r="V706" s="12"/>
      <c r="W706" s="12"/>
      <c r="X706" s="12"/>
      <c r="Y706" s="12"/>
      <c r="Z706" s="12"/>
      <c r="AA706" s="12"/>
    </row>
    <row r="707">
      <c r="A707" s="12"/>
      <c r="B707" s="12"/>
      <c r="C707" s="12"/>
      <c r="D707" s="12"/>
      <c r="E707" s="12"/>
      <c r="F707" s="12"/>
      <c r="G707" s="12"/>
      <c r="H707" s="2"/>
      <c r="I707" s="12"/>
      <c r="J707" s="12"/>
      <c r="K707" s="12"/>
      <c r="L707" s="12"/>
      <c r="M707" s="12"/>
      <c r="N707" s="12"/>
      <c r="O707" s="12"/>
      <c r="P707" s="12"/>
      <c r="Q707" s="12"/>
      <c r="R707" s="12"/>
      <c r="S707" s="12"/>
      <c r="T707" s="12"/>
      <c r="U707" s="12"/>
      <c r="V707" s="12"/>
      <c r="W707" s="12"/>
      <c r="X707" s="12"/>
      <c r="Y707" s="12"/>
      <c r="Z707" s="12"/>
      <c r="AA707" s="12"/>
    </row>
    <row r="708">
      <c r="A708" s="12"/>
      <c r="B708" s="12"/>
      <c r="C708" s="12"/>
      <c r="D708" s="12"/>
      <c r="E708" s="12"/>
      <c r="F708" s="12"/>
      <c r="G708" s="12"/>
      <c r="H708" s="2"/>
      <c r="I708" s="12"/>
      <c r="J708" s="12"/>
      <c r="K708" s="12"/>
      <c r="L708" s="12"/>
      <c r="M708" s="12"/>
      <c r="N708" s="12"/>
      <c r="O708" s="12"/>
      <c r="P708" s="12"/>
      <c r="Q708" s="12"/>
      <c r="R708" s="12"/>
      <c r="S708" s="12"/>
      <c r="T708" s="12"/>
      <c r="U708" s="12"/>
      <c r="V708" s="12"/>
      <c r="W708" s="12"/>
      <c r="X708" s="12"/>
      <c r="Y708" s="12"/>
      <c r="Z708" s="12"/>
      <c r="AA708" s="12"/>
    </row>
    <row r="709">
      <c r="A709" s="12"/>
      <c r="B709" s="12"/>
      <c r="C709" s="12"/>
      <c r="D709" s="12"/>
      <c r="E709" s="12"/>
      <c r="F709" s="12"/>
      <c r="G709" s="12"/>
      <c r="H709" s="2"/>
      <c r="I709" s="12"/>
      <c r="J709" s="12"/>
      <c r="K709" s="12"/>
      <c r="L709" s="12"/>
      <c r="M709" s="12"/>
      <c r="N709" s="12"/>
      <c r="O709" s="12"/>
      <c r="P709" s="12"/>
      <c r="Q709" s="12"/>
      <c r="R709" s="12"/>
      <c r="S709" s="12"/>
      <c r="T709" s="12"/>
      <c r="U709" s="12"/>
      <c r="V709" s="12"/>
      <c r="W709" s="12"/>
      <c r="X709" s="12"/>
      <c r="Y709" s="12"/>
      <c r="Z709" s="12"/>
      <c r="AA709" s="12"/>
    </row>
    <row r="710">
      <c r="A710" s="12"/>
      <c r="B710" s="12"/>
      <c r="C710" s="12"/>
      <c r="D710" s="12"/>
      <c r="E710" s="12"/>
      <c r="F710" s="12"/>
      <c r="G710" s="12"/>
      <c r="H710" s="2"/>
      <c r="I710" s="12"/>
      <c r="J710" s="12"/>
      <c r="K710" s="12"/>
      <c r="L710" s="12"/>
      <c r="M710" s="12"/>
      <c r="N710" s="12"/>
      <c r="O710" s="12"/>
      <c r="P710" s="12"/>
      <c r="Q710" s="12"/>
      <c r="R710" s="12"/>
      <c r="S710" s="12"/>
      <c r="T710" s="12"/>
      <c r="U710" s="12"/>
      <c r="V710" s="12"/>
      <c r="W710" s="12"/>
      <c r="X710" s="12"/>
      <c r="Y710" s="12"/>
      <c r="Z710" s="12"/>
      <c r="AA710" s="12"/>
    </row>
    <row r="711">
      <c r="A711" s="12"/>
      <c r="B711" s="12"/>
      <c r="C711" s="12"/>
      <c r="D711" s="12"/>
      <c r="E711" s="12"/>
      <c r="F711" s="12"/>
      <c r="G711" s="12"/>
      <c r="H711" s="2"/>
      <c r="I711" s="12"/>
      <c r="J711" s="12"/>
      <c r="K711" s="12"/>
      <c r="L711" s="12"/>
      <c r="M711" s="12"/>
      <c r="N711" s="12"/>
      <c r="O711" s="12"/>
      <c r="P711" s="12"/>
      <c r="Q711" s="12"/>
      <c r="R711" s="12"/>
      <c r="S711" s="12"/>
      <c r="T711" s="12"/>
      <c r="U711" s="12"/>
      <c r="V711" s="12"/>
      <c r="W711" s="12"/>
      <c r="X711" s="12"/>
      <c r="Y711" s="12"/>
      <c r="Z711" s="12"/>
      <c r="AA711" s="12"/>
    </row>
    <row r="712">
      <c r="A712" s="12"/>
      <c r="B712" s="12"/>
      <c r="C712" s="12"/>
      <c r="D712" s="12"/>
      <c r="E712" s="12"/>
      <c r="F712" s="12"/>
      <c r="G712" s="12"/>
      <c r="H712" s="2"/>
      <c r="I712" s="12"/>
      <c r="J712" s="12"/>
      <c r="K712" s="12"/>
      <c r="L712" s="12"/>
      <c r="M712" s="12"/>
      <c r="N712" s="12"/>
      <c r="O712" s="12"/>
      <c r="P712" s="12"/>
      <c r="Q712" s="12"/>
      <c r="R712" s="12"/>
      <c r="S712" s="12"/>
      <c r="T712" s="12"/>
      <c r="U712" s="12"/>
      <c r="V712" s="12"/>
      <c r="W712" s="12"/>
      <c r="X712" s="12"/>
      <c r="Y712" s="12"/>
      <c r="Z712" s="12"/>
      <c r="AA712" s="12"/>
    </row>
    <row r="713">
      <c r="A713" s="12"/>
      <c r="B713" s="12"/>
      <c r="C713" s="12"/>
      <c r="D713" s="12"/>
      <c r="E713" s="12"/>
      <c r="F713" s="12"/>
      <c r="G713" s="12"/>
      <c r="H713" s="2"/>
      <c r="I713" s="12"/>
      <c r="J713" s="12"/>
      <c r="K713" s="12"/>
      <c r="L713" s="12"/>
      <c r="M713" s="12"/>
      <c r="N713" s="12"/>
      <c r="O713" s="12"/>
      <c r="P713" s="12"/>
      <c r="Q713" s="12"/>
      <c r="R713" s="12"/>
      <c r="S713" s="12"/>
      <c r="T713" s="12"/>
      <c r="U713" s="12"/>
      <c r="V713" s="12"/>
      <c r="W713" s="12"/>
      <c r="X713" s="12"/>
      <c r="Y713" s="12"/>
      <c r="Z713" s="12"/>
      <c r="AA713" s="12"/>
    </row>
    <row r="714">
      <c r="A714" s="12"/>
      <c r="B714" s="12"/>
      <c r="C714" s="12"/>
      <c r="D714" s="12"/>
      <c r="E714" s="12"/>
      <c r="F714" s="12"/>
      <c r="G714" s="12"/>
      <c r="H714" s="2"/>
      <c r="I714" s="12"/>
      <c r="J714" s="12"/>
      <c r="K714" s="12"/>
      <c r="L714" s="12"/>
      <c r="M714" s="12"/>
      <c r="N714" s="12"/>
      <c r="O714" s="12"/>
      <c r="P714" s="12"/>
      <c r="Q714" s="12"/>
      <c r="R714" s="12"/>
      <c r="S714" s="12"/>
      <c r="T714" s="12"/>
      <c r="U714" s="12"/>
      <c r="V714" s="12"/>
      <c r="W714" s="12"/>
      <c r="X714" s="12"/>
      <c r="Y714" s="12"/>
      <c r="Z714" s="12"/>
      <c r="AA714" s="12"/>
    </row>
    <row r="715">
      <c r="A715" s="12"/>
      <c r="B715" s="12"/>
      <c r="C715" s="12"/>
      <c r="D715" s="12"/>
      <c r="E715" s="12"/>
      <c r="F715" s="12"/>
      <c r="G715" s="12"/>
      <c r="H715" s="2"/>
      <c r="I715" s="12"/>
      <c r="J715" s="12"/>
      <c r="K715" s="12"/>
      <c r="L715" s="12"/>
      <c r="M715" s="12"/>
      <c r="N715" s="12"/>
      <c r="O715" s="12"/>
      <c r="P715" s="12"/>
      <c r="Q715" s="12"/>
      <c r="R715" s="12"/>
      <c r="S715" s="12"/>
      <c r="T715" s="12"/>
      <c r="U715" s="12"/>
      <c r="V715" s="12"/>
      <c r="W715" s="12"/>
      <c r="X715" s="12"/>
      <c r="Y715" s="12"/>
      <c r="Z715" s="12"/>
      <c r="AA715" s="12"/>
    </row>
    <row r="716">
      <c r="A716" s="12"/>
      <c r="B716" s="12"/>
      <c r="C716" s="12"/>
      <c r="D716" s="12"/>
      <c r="E716" s="12"/>
      <c r="F716" s="12"/>
      <c r="G716" s="12"/>
      <c r="H716" s="2"/>
      <c r="I716" s="12"/>
      <c r="J716" s="12"/>
      <c r="K716" s="12"/>
      <c r="L716" s="12"/>
      <c r="M716" s="12"/>
      <c r="N716" s="12"/>
      <c r="O716" s="12"/>
      <c r="P716" s="12"/>
      <c r="Q716" s="12"/>
      <c r="R716" s="12"/>
      <c r="S716" s="12"/>
      <c r="T716" s="12"/>
      <c r="U716" s="12"/>
      <c r="V716" s="12"/>
      <c r="W716" s="12"/>
      <c r="X716" s="12"/>
      <c r="Y716" s="12"/>
      <c r="Z716" s="12"/>
      <c r="AA716" s="12"/>
    </row>
    <row r="717">
      <c r="A717" s="12"/>
      <c r="B717" s="12"/>
      <c r="C717" s="12"/>
      <c r="D717" s="12"/>
      <c r="E717" s="12"/>
      <c r="F717" s="12"/>
      <c r="G717" s="12"/>
      <c r="H717" s="2"/>
      <c r="I717" s="12"/>
      <c r="J717" s="12"/>
      <c r="K717" s="12"/>
      <c r="L717" s="12"/>
      <c r="M717" s="12"/>
      <c r="N717" s="12"/>
      <c r="O717" s="12"/>
      <c r="P717" s="12"/>
      <c r="Q717" s="12"/>
      <c r="R717" s="12"/>
      <c r="S717" s="12"/>
      <c r="T717" s="12"/>
      <c r="U717" s="12"/>
      <c r="V717" s="12"/>
      <c r="W717" s="12"/>
      <c r="X717" s="12"/>
      <c r="Y717" s="12"/>
      <c r="Z717" s="12"/>
      <c r="AA717" s="12"/>
    </row>
    <row r="718">
      <c r="A718" s="12"/>
      <c r="B718" s="12"/>
      <c r="C718" s="12"/>
      <c r="D718" s="12"/>
      <c r="E718" s="12"/>
      <c r="F718" s="12"/>
      <c r="G718" s="12"/>
      <c r="H718" s="2"/>
      <c r="I718" s="12"/>
      <c r="J718" s="12"/>
      <c r="K718" s="12"/>
      <c r="L718" s="12"/>
      <c r="M718" s="12"/>
      <c r="N718" s="12"/>
      <c r="O718" s="12"/>
      <c r="P718" s="12"/>
      <c r="Q718" s="12"/>
      <c r="R718" s="12"/>
      <c r="S718" s="12"/>
      <c r="T718" s="12"/>
      <c r="U718" s="12"/>
      <c r="V718" s="12"/>
      <c r="W718" s="12"/>
      <c r="X718" s="12"/>
      <c r="Y718" s="12"/>
      <c r="Z718" s="12"/>
      <c r="AA718" s="12"/>
    </row>
    <row r="719">
      <c r="A719" s="12"/>
      <c r="B719" s="12"/>
      <c r="C719" s="12"/>
      <c r="D719" s="12"/>
      <c r="E719" s="12"/>
      <c r="F719" s="12"/>
      <c r="G719" s="12"/>
      <c r="H719" s="2"/>
      <c r="I719" s="12"/>
      <c r="J719" s="12"/>
      <c r="K719" s="12"/>
      <c r="L719" s="12"/>
      <c r="M719" s="12"/>
      <c r="N719" s="12"/>
      <c r="O719" s="12"/>
      <c r="P719" s="12"/>
      <c r="Q719" s="12"/>
      <c r="R719" s="12"/>
      <c r="S719" s="12"/>
      <c r="T719" s="12"/>
      <c r="U719" s="12"/>
      <c r="V719" s="12"/>
      <c r="W719" s="12"/>
      <c r="X719" s="12"/>
      <c r="Y719" s="12"/>
      <c r="Z719" s="12"/>
      <c r="AA719" s="12"/>
    </row>
    <row r="720">
      <c r="A720" s="12"/>
      <c r="B720" s="12"/>
      <c r="C720" s="12"/>
      <c r="D720" s="12"/>
      <c r="E720" s="12"/>
      <c r="F720" s="12"/>
      <c r="G720" s="12"/>
      <c r="H720" s="2"/>
      <c r="I720" s="12"/>
      <c r="J720" s="12"/>
      <c r="K720" s="12"/>
      <c r="L720" s="12"/>
      <c r="M720" s="12"/>
      <c r="N720" s="12"/>
      <c r="O720" s="12"/>
      <c r="P720" s="12"/>
      <c r="Q720" s="12"/>
      <c r="R720" s="12"/>
      <c r="S720" s="12"/>
      <c r="T720" s="12"/>
      <c r="U720" s="12"/>
      <c r="V720" s="12"/>
      <c r="W720" s="12"/>
      <c r="X720" s="12"/>
      <c r="Y720" s="12"/>
      <c r="Z720" s="12"/>
      <c r="AA720" s="12"/>
    </row>
    <row r="721">
      <c r="A721" s="12"/>
      <c r="B721" s="12"/>
      <c r="C721" s="12"/>
      <c r="D721" s="12"/>
      <c r="E721" s="12"/>
      <c r="F721" s="12"/>
      <c r="G721" s="12"/>
      <c r="H721" s="2"/>
      <c r="I721" s="12"/>
      <c r="J721" s="12"/>
      <c r="K721" s="12"/>
      <c r="L721" s="12"/>
      <c r="M721" s="12"/>
      <c r="N721" s="12"/>
      <c r="O721" s="12"/>
      <c r="P721" s="12"/>
      <c r="Q721" s="12"/>
      <c r="R721" s="12"/>
      <c r="S721" s="12"/>
      <c r="T721" s="12"/>
      <c r="U721" s="12"/>
      <c r="V721" s="12"/>
      <c r="W721" s="12"/>
      <c r="X721" s="12"/>
      <c r="Y721" s="12"/>
      <c r="Z721" s="12"/>
      <c r="AA721" s="12"/>
    </row>
    <row r="722">
      <c r="A722" s="12"/>
      <c r="B722" s="12"/>
      <c r="C722" s="12"/>
      <c r="D722" s="12"/>
      <c r="E722" s="12"/>
      <c r="F722" s="12"/>
      <c r="G722" s="12"/>
      <c r="H722" s="2"/>
      <c r="I722" s="12"/>
      <c r="J722" s="12"/>
      <c r="K722" s="12"/>
      <c r="L722" s="12"/>
      <c r="M722" s="12"/>
      <c r="N722" s="12"/>
      <c r="O722" s="12"/>
      <c r="P722" s="12"/>
      <c r="Q722" s="12"/>
      <c r="R722" s="12"/>
      <c r="S722" s="12"/>
      <c r="T722" s="12"/>
      <c r="U722" s="12"/>
      <c r="V722" s="12"/>
      <c r="W722" s="12"/>
      <c r="X722" s="12"/>
      <c r="Y722" s="12"/>
      <c r="Z722" s="12"/>
      <c r="AA722" s="12"/>
    </row>
    <row r="723">
      <c r="A723" s="12"/>
      <c r="B723" s="12"/>
      <c r="C723" s="12"/>
      <c r="D723" s="12"/>
      <c r="E723" s="12"/>
      <c r="F723" s="12"/>
      <c r="G723" s="12"/>
      <c r="H723" s="2"/>
      <c r="I723" s="12"/>
      <c r="J723" s="12"/>
      <c r="K723" s="12"/>
      <c r="L723" s="12"/>
      <c r="M723" s="12"/>
      <c r="N723" s="12"/>
      <c r="O723" s="12"/>
      <c r="P723" s="12"/>
      <c r="Q723" s="12"/>
      <c r="R723" s="12"/>
      <c r="S723" s="12"/>
      <c r="T723" s="12"/>
      <c r="U723" s="12"/>
      <c r="V723" s="12"/>
      <c r="W723" s="12"/>
      <c r="X723" s="12"/>
      <c r="Y723" s="12"/>
      <c r="Z723" s="12"/>
      <c r="AA723" s="12"/>
    </row>
    <row r="724">
      <c r="A724" s="12"/>
      <c r="B724" s="12"/>
      <c r="C724" s="12"/>
      <c r="D724" s="12"/>
      <c r="E724" s="12"/>
      <c r="F724" s="12"/>
      <c r="G724" s="12"/>
      <c r="H724" s="2"/>
      <c r="I724" s="12"/>
      <c r="J724" s="12"/>
      <c r="K724" s="12"/>
      <c r="L724" s="12"/>
      <c r="M724" s="12"/>
      <c r="N724" s="12"/>
      <c r="O724" s="12"/>
      <c r="P724" s="12"/>
      <c r="Q724" s="12"/>
      <c r="R724" s="12"/>
      <c r="S724" s="12"/>
      <c r="T724" s="12"/>
      <c r="U724" s="12"/>
      <c r="V724" s="12"/>
      <c r="W724" s="12"/>
      <c r="X724" s="12"/>
      <c r="Y724" s="12"/>
      <c r="Z724" s="12"/>
      <c r="AA724" s="12"/>
    </row>
    <row r="725">
      <c r="A725" s="12"/>
      <c r="B725" s="12"/>
      <c r="C725" s="12"/>
      <c r="D725" s="12"/>
      <c r="E725" s="12"/>
      <c r="F725" s="12"/>
      <c r="G725" s="12"/>
      <c r="H725" s="2"/>
      <c r="I725" s="12"/>
      <c r="J725" s="12"/>
      <c r="K725" s="12"/>
      <c r="L725" s="12"/>
      <c r="M725" s="12"/>
      <c r="N725" s="12"/>
      <c r="O725" s="12"/>
      <c r="P725" s="12"/>
      <c r="Q725" s="12"/>
      <c r="R725" s="12"/>
      <c r="S725" s="12"/>
      <c r="T725" s="12"/>
      <c r="U725" s="12"/>
      <c r="V725" s="12"/>
      <c r="W725" s="12"/>
      <c r="X725" s="12"/>
      <c r="Y725" s="12"/>
      <c r="Z725" s="12"/>
      <c r="AA725" s="12"/>
    </row>
    <row r="726">
      <c r="A726" s="12"/>
      <c r="B726" s="12"/>
      <c r="C726" s="12"/>
      <c r="D726" s="12"/>
      <c r="E726" s="12"/>
      <c r="F726" s="12"/>
      <c r="G726" s="12"/>
      <c r="H726" s="2"/>
      <c r="I726" s="12"/>
      <c r="J726" s="12"/>
      <c r="K726" s="12"/>
      <c r="L726" s="12"/>
      <c r="M726" s="12"/>
      <c r="N726" s="12"/>
      <c r="O726" s="12"/>
      <c r="P726" s="12"/>
      <c r="Q726" s="12"/>
      <c r="R726" s="12"/>
      <c r="S726" s="12"/>
      <c r="T726" s="12"/>
      <c r="U726" s="12"/>
      <c r="V726" s="12"/>
      <c r="W726" s="12"/>
      <c r="X726" s="12"/>
      <c r="Y726" s="12"/>
      <c r="Z726" s="12"/>
      <c r="AA726" s="12"/>
    </row>
    <row r="727">
      <c r="A727" s="12"/>
      <c r="B727" s="12"/>
      <c r="C727" s="12"/>
      <c r="D727" s="12"/>
      <c r="E727" s="12"/>
      <c r="F727" s="12"/>
      <c r="G727" s="12"/>
      <c r="H727" s="2"/>
      <c r="I727" s="12"/>
      <c r="J727" s="12"/>
      <c r="K727" s="12"/>
      <c r="L727" s="12"/>
      <c r="M727" s="12"/>
      <c r="N727" s="12"/>
      <c r="O727" s="12"/>
      <c r="P727" s="12"/>
      <c r="Q727" s="12"/>
      <c r="R727" s="12"/>
      <c r="S727" s="12"/>
      <c r="T727" s="12"/>
      <c r="U727" s="12"/>
      <c r="V727" s="12"/>
      <c r="W727" s="12"/>
      <c r="X727" s="12"/>
      <c r="Y727" s="12"/>
      <c r="Z727" s="12"/>
      <c r="AA727" s="12"/>
    </row>
    <row r="728">
      <c r="A728" s="12"/>
      <c r="B728" s="12"/>
      <c r="C728" s="12"/>
      <c r="D728" s="12"/>
      <c r="E728" s="12"/>
      <c r="F728" s="12"/>
      <c r="G728" s="12"/>
      <c r="H728" s="2"/>
      <c r="I728" s="12"/>
      <c r="J728" s="12"/>
      <c r="K728" s="12"/>
      <c r="L728" s="12"/>
      <c r="M728" s="12"/>
      <c r="N728" s="12"/>
      <c r="O728" s="12"/>
      <c r="P728" s="12"/>
      <c r="Q728" s="12"/>
      <c r="R728" s="12"/>
      <c r="S728" s="12"/>
      <c r="T728" s="12"/>
      <c r="U728" s="12"/>
      <c r="V728" s="12"/>
      <c r="W728" s="12"/>
      <c r="X728" s="12"/>
      <c r="Y728" s="12"/>
      <c r="Z728" s="12"/>
      <c r="AA728" s="12"/>
    </row>
    <row r="729">
      <c r="A729" s="12"/>
      <c r="B729" s="12"/>
      <c r="C729" s="12"/>
      <c r="D729" s="12"/>
      <c r="E729" s="12"/>
      <c r="F729" s="12"/>
      <c r="G729" s="12"/>
      <c r="H729" s="2"/>
      <c r="I729" s="12"/>
      <c r="J729" s="12"/>
      <c r="K729" s="12"/>
      <c r="L729" s="12"/>
      <c r="M729" s="12"/>
      <c r="N729" s="12"/>
      <c r="O729" s="12"/>
      <c r="P729" s="12"/>
      <c r="Q729" s="12"/>
      <c r="R729" s="12"/>
      <c r="S729" s="12"/>
      <c r="T729" s="12"/>
      <c r="U729" s="12"/>
      <c r="V729" s="12"/>
      <c r="W729" s="12"/>
      <c r="X729" s="12"/>
      <c r="Y729" s="12"/>
      <c r="Z729" s="12"/>
      <c r="AA729" s="12"/>
    </row>
    <row r="730">
      <c r="A730" s="12"/>
      <c r="B730" s="12"/>
      <c r="C730" s="12"/>
      <c r="D730" s="12"/>
      <c r="E730" s="12"/>
      <c r="F730" s="12"/>
      <c r="G730" s="12"/>
      <c r="H730" s="2"/>
      <c r="I730" s="12"/>
      <c r="J730" s="12"/>
      <c r="K730" s="12"/>
      <c r="L730" s="12"/>
      <c r="M730" s="12"/>
      <c r="N730" s="12"/>
      <c r="O730" s="12"/>
      <c r="P730" s="12"/>
      <c r="Q730" s="12"/>
      <c r="R730" s="12"/>
      <c r="S730" s="12"/>
      <c r="T730" s="12"/>
      <c r="U730" s="12"/>
      <c r="V730" s="12"/>
      <c r="W730" s="12"/>
      <c r="X730" s="12"/>
      <c r="Y730" s="12"/>
      <c r="Z730" s="12"/>
      <c r="AA730" s="12"/>
    </row>
    <row r="731">
      <c r="A731" s="12"/>
      <c r="B731" s="12"/>
      <c r="C731" s="12"/>
      <c r="D731" s="12"/>
      <c r="E731" s="12"/>
      <c r="F731" s="12"/>
      <c r="G731" s="12"/>
      <c r="H731" s="2"/>
      <c r="I731" s="12"/>
      <c r="J731" s="12"/>
      <c r="K731" s="12"/>
      <c r="L731" s="12"/>
      <c r="M731" s="12"/>
      <c r="N731" s="12"/>
      <c r="O731" s="12"/>
      <c r="P731" s="12"/>
      <c r="Q731" s="12"/>
      <c r="R731" s="12"/>
      <c r="S731" s="12"/>
      <c r="T731" s="12"/>
      <c r="U731" s="12"/>
      <c r="V731" s="12"/>
      <c r="W731" s="12"/>
      <c r="X731" s="12"/>
      <c r="Y731" s="12"/>
      <c r="Z731" s="12"/>
      <c r="AA731" s="12"/>
    </row>
    <row r="732">
      <c r="A732" s="12"/>
      <c r="B732" s="12"/>
      <c r="C732" s="12"/>
      <c r="D732" s="12"/>
      <c r="E732" s="12"/>
      <c r="F732" s="12"/>
      <c r="G732" s="12"/>
      <c r="H732" s="2"/>
      <c r="I732" s="12"/>
      <c r="J732" s="12"/>
      <c r="K732" s="12"/>
      <c r="L732" s="12"/>
      <c r="M732" s="12"/>
      <c r="N732" s="12"/>
      <c r="O732" s="12"/>
      <c r="P732" s="12"/>
      <c r="Q732" s="12"/>
      <c r="R732" s="12"/>
      <c r="S732" s="12"/>
      <c r="T732" s="12"/>
      <c r="U732" s="12"/>
      <c r="V732" s="12"/>
      <c r="W732" s="12"/>
      <c r="X732" s="12"/>
      <c r="Y732" s="12"/>
      <c r="Z732" s="12"/>
      <c r="AA732" s="12"/>
    </row>
    <row r="733">
      <c r="A733" s="12"/>
      <c r="B733" s="12"/>
      <c r="C733" s="12"/>
      <c r="D733" s="12"/>
      <c r="E733" s="12"/>
      <c r="F733" s="12"/>
      <c r="G733" s="12"/>
      <c r="H733" s="2"/>
      <c r="I733" s="12"/>
      <c r="J733" s="12"/>
      <c r="K733" s="12"/>
      <c r="L733" s="12"/>
      <c r="M733" s="12"/>
      <c r="N733" s="12"/>
      <c r="O733" s="12"/>
      <c r="P733" s="12"/>
      <c r="Q733" s="12"/>
      <c r="R733" s="12"/>
      <c r="S733" s="12"/>
      <c r="T733" s="12"/>
      <c r="U733" s="12"/>
      <c r="V733" s="12"/>
      <c r="W733" s="12"/>
      <c r="X733" s="12"/>
      <c r="Y733" s="12"/>
      <c r="Z733" s="12"/>
      <c r="AA733" s="12"/>
    </row>
    <row r="734">
      <c r="A734" s="12"/>
      <c r="B734" s="12"/>
      <c r="C734" s="12"/>
      <c r="D734" s="12"/>
      <c r="E734" s="12"/>
      <c r="F734" s="12"/>
      <c r="G734" s="12"/>
      <c r="H734" s="2"/>
      <c r="I734" s="12"/>
      <c r="J734" s="12"/>
      <c r="K734" s="12"/>
      <c r="L734" s="12"/>
      <c r="M734" s="12"/>
      <c r="N734" s="12"/>
      <c r="O734" s="12"/>
      <c r="P734" s="12"/>
      <c r="Q734" s="12"/>
      <c r="R734" s="12"/>
      <c r="S734" s="12"/>
      <c r="T734" s="12"/>
      <c r="U734" s="12"/>
      <c r="V734" s="12"/>
      <c r="W734" s="12"/>
      <c r="X734" s="12"/>
      <c r="Y734" s="12"/>
      <c r="Z734" s="12"/>
      <c r="AA734" s="12"/>
    </row>
    <row r="735">
      <c r="A735" s="12"/>
      <c r="B735" s="12"/>
      <c r="C735" s="12"/>
      <c r="D735" s="12"/>
      <c r="E735" s="12"/>
      <c r="F735" s="12"/>
      <c r="G735" s="12"/>
      <c r="H735" s="2"/>
      <c r="I735" s="12"/>
      <c r="J735" s="12"/>
      <c r="K735" s="12"/>
      <c r="L735" s="12"/>
      <c r="M735" s="12"/>
      <c r="N735" s="12"/>
      <c r="O735" s="12"/>
      <c r="P735" s="12"/>
      <c r="Q735" s="12"/>
      <c r="R735" s="12"/>
      <c r="S735" s="12"/>
      <c r="T735" s="12"/>
      <c r="U735" s="12"/>
      <c r="V735" s="12"/>
      <c r="W735" s="12"/>
      <c r="X735" s="12"/>
      <c r="Y735" s="12"/>
      <c r="Z735" s="12"/>
      <c r="AA735" s="12"/>
    </row>
    <row r="736">
      <c r="A736" s="12"/>
      <c r="B736" s="12"/>
      <c r="C736" s="12"/>
      <c r="D736" s="12"/>
      <c r="E736" s="12"/>
      <c r="F736" s="12"/>
      <c r="G736" s="12"/>
      <c r="H736" s="2"/>
      <c r="I736" s="12"/>
      <c r="J736" s="12"/>
      <c r="K736" s="12"/>
      <c r="L736" s="12"/>
      <c r="M736" s="12"/>
      <c r="N736" s="12"/>
      <c r="O736" s="12"/>
      <c r="P736" s="12"/>
      <c r="Q736" s="12"/>
      <c r="R736" s="12"/>
      <c r="S736" s="12"/>
      <c r="T736" s="12"/>
      <c r="U736" s="12"/>
      <c r="V736" s="12"/>
      <c r="W736" s="12"/>
      <c r="X736" s="12"/>
      <c r="Y736" s="12"/>
      <c r="Z736" s="12"/>
      <c r="AA736" s="12"/>
    </row>
    <row r="737">
      <c r="A737" s="12"/>
      <c r="B737" s="12"/>
      <c r="C737" s="12"/>
      <c r="D737" s="12"/>
      <c r="E737" s="12"/>
      <c r="F737" s="12"/>
      <c r="G737" s="12"/>
      <c r="H737" s="2"/>
      <c r="I737" s="12"/>
      <c r="J737" s="12"/>
      <c r="K737" s="12"/>
      <c r="L737" s="12"/>
      <c r="M737" s="12"/>
      <c r="N737" s="12"/>
      <c r="O737" s="12"/>
      <c r="P737" s="12"/>
      <c r="Q737" s="12"/>
      <c r="R737" s="12"/>
      <c r="S737" s="12"/>
      <c r="T737" s="12"/>
      <c r="U737" s="12"/>
      <c r="V737" s="12"/>
      <c r="W737" s="12"/>
      <c r="X737" s="12"/>
      <c r="Y737" s="12"/>
      <c r="Z737" s="12"/>
      <c r="AA737" s="12"/>
    </row>
    <row r="738">
      <c r="A738" s="12"/>
      <c r="B738" s="12"/>
      <c r="C738" s="12"/>
      <c r="D738" s="12"/>
      <c r="E738" s="12"/>
      <c r="F738" s="12"/>
      <c r="G738" s="12"/>
      <c r="H738" s="2"/>
      <c r="I738" s="12"/>
      <c r="J738" s="12"/>
      <c r="K738" s="12"/>
      <c r="L738" s="12"/>
      <c r="M738" s="12"/>
      <c r="N738" s="12"/>
      <c r="O738" s="12"/>
      <c r="P738" s="12"/>
      <c r="Q738" s="12"/>
      <c r="R738" s="12"/>
      <c r="S738" s="12"/>
      <c r="T738" s="12"/>
      <c r="U738" s="12"/>
      <c r="V738" s="12"/>
      <c r="W738" s="12"/>
      <c r="X738" s="12"/>
      <c r="Y738" s="12"/>
      <c r="Z738" s="12"/>
      <c r="AA738" s="12"/>
    </row>
    <row r="739">
      <c r="A739" s="12"/>
      <c r="B739" s="12"/>
      <c r="C739" s="12"/>
      <c r="D739" s="12"/>
      <c r="E739" s="12"/>
      <c r="F739" s="12"/>
      <c r="G739" s="12"/>
      <c r="H739" s="2"/>
      <c r="I739" s="12"/>
      <c r="J739" s="12"/>
      <c r="K739" s="12"/>
      <c r="L739" s="12"/>
      <c r="M739" s="12"/>
      <c r="N739" s="12"/>
      <c r="O739" s="12"/>
      <c r="P739" s="12"/>
      <c r="Q739" s="12"/>
      <c r="R739" s="12"/>
      <c r="S739" s="12"/>
      <c r="T739" s="12"/>
      <c r="U739" s="12"/>
      <c r="V739" s="12"/>
      <c r="W739" s="12"/>
      <c r="X739" s="12"/>
      <c r="Y739" s="12"/>
      <c r="Z739" s="12"/>
      <c r="AA739" s="12"/>
    </row>
    <row r="740">
      <c r="A740" s="12"/>
      <c r="B740" s="12"/>
      <c r="C740" s="12"/>
      <c r="D740" s="12"/>
      <c r="E740" s="12"/>
      <c r="F740" s="12"/>
      <c r="G740" s="12"/>
      <c r="H740" s="2"/>
      <c r="I740" s="12"/>
      <c r="J740" s="12"/>
      <c r="K740" s="12"/>
      <c r="L740" s="12"/>
      <c r="M740" s="12"/>
      <c r="N740" s="12"/>
      <c r="O740" s="12"/>
      <c r="P740" s="12"/>
      <c r="Q740" s="12"/>
      <c r="R740" s="12"/>
      <c r="S740" s="12"/>
      <c r="T740" s="12"/>
      <c r="U740" s="12"/>
      <c r="V740" s="12"/>
      <c r="W740" s="12"/>
      <c r="X740" s="12"/>
      <c r="Y740" s="12"/>
      <c r="Z740" s="12"/>
      <c r="AA740" s="12"/>
    </row>
    <row r="741">
      <c r="A741" s="12"/>
      <c r="B741" s="12"/>
      <c r="C741" s="12"/>
      <c r="D741" s="12"/>
      <c r="E741" s="12"/>
      <c r="F741" s="12"/>
      <c r="G741" s="12"/>
      <c r="H741" s="2"/>
      <c r="I741" s="12"/>
      <c r="J741" s="12"/>
      <c r="K741" s="12"/>
      <c r="L741" s="12"/>
      <c r="M741" s="12"/>
      <c r="N741" s="12"/>
      <c r="O741" s="12"/>
      <c r="P741" s="12"/>
      <c r="Q741" s="12"/>
      <c r="R741" s="12"/>
      <c r="S741" s="12"/>
      <c r="T741" s="12"/>
      <c r="U741" s="12"/>
      <c r="V741" s="12"/>
      <c r="W741" s="12"/>
      <c r="X741" s="12"/>
      <c r="Y741" s="12"/>
      <c r="Z741" s="12"/>
      <c r="AA741" s="12"/>
    </row>
    <row r="742">
      <c r="A742" s="12"/>
      <c r="B742" s="12"/>
      <c r="C742" s="12"/>
      <c r="D742" s="12"/>
      <c r="E742" s="12"/>
      <c r="F742" s="12"/>
      <c r="G742" s="12"/>
      <c r="H742" s="2"/>
      <c r="I742" s="12"/>
      <c r="J742" s="12"/>
      <c r="K742" s="12"/>
      <c r="L742" s="12"/>
      <c r="M742" s="12"/>
      <c r="N742" s="12"/>
      <c r="O742" s="12"/>
      <c r="P742" s="12"/>
      <c r="Q742" s="12"/>
      <c r="R742" s="12"/>
      <c r="S742" s="12"/>
      <c r="T742" s="12"/>
      <c r="U742" s="12"/>
      <c r="V742" s="12"/>
      <c r="W742" s="12"/>
      <c r="X742" s="12"/>
      <c r="Y742" s="12"/>
      <c r="Z742" s="12"/>
      <c r="AA742" s="12"/>
    </row>
    <row r="743">
      <c r="A743" s="12"/>
      <c r="B743" s="12"/>
      <c r="C743" s="12"/>
      <c r="D743" s="12"/>
      <c r="E743" s="12"/>
      <c r="F743" s="12"/>
      <c r="G743" s="12"/>
      <c r="H743" s="2"/>
      <c r="I743" s="12"/>
      <c r="J743" s="12"/>
      <c r="K743" s="12"/>
      <c r="L743" s="12"/>
      <c r="M743" s="12"/>
      <c r="N743" s="12"/>
      <c r="O743" s="12"/>
      <c r="P743" s="12"/>
      <c r="Q743" s="12"/>
      <c r="R743" s="12"/>
      <c r="S743" s="12"/>
      <c r="T743" s="12"/>
      <c r="U743" s="12"/>
      <c r="V743" s="12"/>
      <c r="W743" s="12"/>
      <c r="X743" s="12"/>
      <c r="Y743" s="12"/>
      <c r="Z743" s="12"/>
      <c r="AA743" s="12"/>
    </row>
    <row r="744">
      <c r="A744" s="12"/>
      <c r="B744" s="12"/>
      <c r="C744" s="12"/>
      <c r="D744" s="12"/>
      <c r="E744" s="12"/>
      <c r="F744" s="12"/>
      <c r="G744" s="12"/>
      <c r="H744" s="2"/>
      <c r="I744" s="12"/>
      <c r="J744" s="12"/>
      <c r="K744" s="12"/>
      <c r="L744" s="12"/>
      <c r="M744" s="12"/>
      <c r="N744" s="12"/>
      <c r="O744" s="12"/>
      <c r="P744" s="12"/>
      <c r="Q744" s="12"/>
      <c r="R744" s="12"/>
      <c r="S744" s="12"/>
      <c r="T744" s="12"/>
      <c r="U744" s="12"/>
      <c r="V744" s="12"/>
      <c r="W744" s="12"/>
      <c r="X744" s="12"/>
      <c r="Y744" s="12"/>
      <c r="Z744" s="12"/>
      <c r="AA744" s="12"/>
    </row>
    <row r="745">
      <c r="A745" s="12"/>
      <c r="B745" s="12"/>
      <c r="C745" s="12"/>
      <c r="D745" s="12"/>
      <c r="E745" s="12"/>
      <c r="F745" s="12"/>
      <c r="G745" s="12"/>
      <c r="H745" s="2"/>
      <c r="I745" s="12"/>
      <c r="J745" s="12"/>
      <c r="K745" s="12"/>
      <c r="L745" s="12"/>
      <c r="M745" s="12"/>
      <c r="N745" s="12"/>
      <c r="O745" s="12"/>
      <c r="P745" s="12"/>
      <c r="Q745" s="12"/>
      <c r="R745" s="12"/>
      <c r="S745" s="12"/>
      <c r="T745" s="12"/>
      <c r="U745" s="12"/>
      <c r="V745" s="12"/>
      <c r="W745" s="12"/>
      <c r="X745" s="12"/>
      <c r="Y745" s="12"/>
      <c r="Z745" s="12"/>
      <c r="AA745" s="12"/>
    </row>
    <row r="746">
      <c r="A746" s="12"/>
      <c r="B746" s="12"/>
      <c r="C746" s="12"/>
      <c r="D746" s="12"/>
      <c r="E746" s="12"/>
      <c r="F746" s="12"/>
      <c r="G746" s="12"/>
      <c r="H746" s="2"/>
      <c r="I746" s="12"/>
      <c r="J746" s="12"/>
      <c r="K746" s="12"/>
      <c r="L746" s="12"/>
      <c r="M746" s="12"/>
      <c r="N746" s="12"/>
      <c r="O746" s="12"/>
      <c r="P746" s="12"/>
      <c r="Q746" s="12"/>
      <c r="R746" s="12"/>
      <c r="S746" s="12"/>
      <c r="T746" s="12"/>
      <c r="U746" s="12"/>
      <c r="V746" s="12"/>
      <c r="W746" s="12"/>
      <c r="X746" s="12"/>
      <c r="Y746" s="12"/>
      <c r="Z746" s="12"/>
      <c r="AA746" s="12"/>
    </row>
    <row r="747">
      <c r="A747" s="12"/>
      <c r="B747" s="12"/>
      <c r="C747" s="12"/>
      <c r="D747" s="12"/>
      <c r="E747" s="12"/>
      <c r="F747" s="12"/>
      <c r="G747" s="12"/>
      <c r="H747" s="2"/>
      <c r="I747" s="12"/>
      <c r="J747" s="12"/>
      <c r="K747" s="12"/>
      <c r="L747" s="12"/>
      <c r="M747" s="12"/>
      <c r="N747" s="12"/>
      <c r="O747" s="12"/>
      <c r="P747" s="12"/>
      <c r="Q747" s="12"/>
      <c r="R747" s="12"/>
      <c r="S747" s="12"/>
      <c r="T747" s="12"/>
      <c r="U747" s="12"/>
      <c r="V747" s="12"/>
      <c r="W747" s="12"/>
      <c r="X747" s="12"/>
      <c r="Y747" s="12"/>
      <c r="Z747" s="12"/>
      <c r="AA747" s="12"/>
    </row>
    <row r="748">
      <c r="A748" s="12"/>
      <c r="B748" s="12"/>
      <c r="C748" s="12"/>
      <c r="D748" s="12"/>
      <c r="E748" s="12"/>
      <c r="F748" s="12"/>
      <c r="G748" s="12"/>
      <c r="H748" s="2"/>
      <c r="I748" s="12"/>
      <c r="J748" s="12"/>
      <c r="K748" s="12"/>
      <c r="L748" s="12"/>
      <c r="M748" s="12"/>
      <c r="N748" s="12"/>
      <c r="O748" s="12"/>
      <c r="P748" s="12"/>
      <c r="Q748" s="12"/>
      <c r="R748" s="12"/>
      <c r="S748" s="12"/>
      <c r="T748" s="12"/>
      <c r="U748" s="12"/>
      <c r="V748" s="12"/>
      <c r="W748" s="12"/>
      <c r="X748" s="12"/>
      <c r="Y748" s="12"/>
      <c r="Z748" s="12"/>
      <c r="AA748" s="12"/>
    </row>
    <row r="749">
      <c r="A749" s="12"/>
      <c r="B749" s="12"/>
      <c r="C749" s="12"/>
      <c r="D749" s="12"/>
      <c r="E749" s="12"/>
      <c r="F749" s="12"/>
      <c r="G749" s="12"/>
      <c r="H749" s="2"/>
      <c r="I749" s="12"/>
      <c r="J749" s="12"/>
      <c r="K749" s="12"/>
      <c r="L749" s="12"/>
      <c r="M749" s="12"/>
      <c r="N749" s="12"/>
      <c r="O749" s="12"/>
      <c r="P749" s="12"/>
      <c r="Q749" s="12"/>
      <c r="R749" s="12"/>
      <c r="S749" s="12"/>
      <c r="T749" s="12"/>
      <c r="U749" s="12"/>
      <c r="V749" s="12"/>
      <c r="W749" s="12"/>
      <c r="X749" s="12"/>
      <c r="Y749" s="12"/>
      <c r="Z749" s="12"/>
      <c r="AA749" s="12"/>
    </row>
    <row r="750">
      <c r="A750" s="12"/>
      <c r="B750" s="12"/>
      <c r="C750" s="12"/>
      <c r="D750" s="12"/>
      <c r="E750" s="12"/>
      <c r="F750" s="12"/>
      <c r="G750" s="12"/>
      <c r="H750" s="2"/>
      <c r="I750" s="12"/>
      <c r="J750" s="12"/>
      <c r="K750" s="12"/>
      <c r="L750" s="12"/>
      <c r="M750" s="12"/>
      <c r="N750" s="12"/>
      <c r="O750" s="12"/>
      <c r="P750" s="12"/>
      <c r="Q750" s="12"/>
      <c r="R750" s="12"/>
      <c r="S750" s="12"/>
      <c r="T750" s="12"/>
      <c r="U750" s="12"/>
      <c r="V750" s="12"/>
      <c r="W750" s="12"/>
      <c r="X750" s="12"/>
      <c r="Y750" s="12"/>
      <c r="Z750" s="12"/>
      <c r="AA750" s="12"/>
    </row>
    <row r="751">
      <c r="A751" s="12"/>
      <c r="B751" s="12"/>
      <c r="C751" s="12"/>
      <c r="D751" s="12"/>
      <c r="E751" s="12"/>
      <c r="F751" s="12"/>
      <c r="G751" s="12"/>
      <c r="H751" s="2"/>
      <c r="I751" s="12"/>
      <c r="J751" s="12"/>
      <c r="K751" s="12"/>
      <c r="L751" s="12"/>
      <c r="M751" s="12"/>
      <c r="N751" s="12"/>
      <c r="O751" s="12"/>
      <c r="P751" s="12"/>
      <c r="Q751" s="12"/>
      <c r="R751" s="12"/>
      <c r="S751" s="12"/>
      <c r="T751" s="12"/>
      <c r="U751" s="12"/>
      <c r="V751" s="12"/>
      <c r="W751" s="12"/>
      <c r="X751" s="12"/>
      <c r="Y751" s="12"/>
      <c r="Z751" s="12"/>
      <c r="AA751" s="12"/>
    </row>
    <row r="752">
      <c r="A752" s="12"/>
      <c r="B752" s="12"/>
      <c r="C752" s="12"/>
      <c r="D752" s="12"/>
      <c r="E752" s="12"/>
      <c r="F752" s="12"/>
      <c r="G752" s="12"/>
      <c r="H752" s="2"/>
      <c r="I752" s="12"/>
      <c r="J752" s="12"/>
      <c r="K752" s="12"/>
      <c r="L752" s="12"/>
      <c r="M752" s="12"/>
      <c r="N752" s="12"/>
      <c r="O752" s="12"/>
      <c r="P752" s="12"/>
      <c r="Q752" s="12"/>
      <c r="R752" s="12"/>
      <c r="S752" s="12"/>
      <c r="T752" s="12"/>
      <c r="U752" s="12"/>
      <c r="V752" s="12"/>
      <c r="W752" s="12"/>
      <c r="X752" s="12"/>
      <c r="Y752" s="12"/>
      <c r="Z752" s="12"/>
      <c r="AA752" s="12"/>
    </row>
    <row r="753">
      <c r="A753" s="12"/>
      <c r="B753" s="12"/>
      <c r="C753" s="12"/>
      <c r="D753" s="12"/>
      <c r="E753" s="12"/>
      <c r="F753" s="12"/>
      <c r="G753" s="12"/>
      <c r="H753" s="2"/>
      <c r="I753" s="12"/>
      <c r="J753" s="12"/>
      <c r="K753" s="12"/>
      <c r="L753" s="12"/>
      <c r="M753" s="12"/>
      <c r="N753" s="12"/>
      <c r="O753" s="12"/>
      <c r="P753" s="12"/>
      <c r="Q753" s="12"/>
      <c r="R753" s="12"/>
      <c r="S753" s="12"/>
      <c r="T753" s="12"/>
      <c r="U753" s="12"/>
      <c r="V753" s="12"/>
      <c r="W753" s="12"/>
      <c r="X753" s="12"/>
      <c r="Y753" s="12"/>
      <c r="Z753" s="12"/>
      <c r="AA753" s="12"/>
    </row>
    <row r="754">
      <c r="A754" s="12"/>
      <c r="B754" s="12"/>
      <c r="C754" s="12"/>
      <c r="D754" s="12"/>
      <c r="E754" s="12"/>
      <c r="F754" s="12"/>
      <c r="G754" s="12"/>
      <c r="H754" s="2"/>
      <c r="I754" s="12"/>
      <c r="J754" s="12"/>
      <c r="K754" s="12"/>
      <c r="L754" s="12"/>
      <c r="M754" s="12"/>
      <c r="N754" s="12"/>
      <c r="O754" s="12"/>
      <c r="P754" s="12"/>
      <c r="Q754" s="12"/>
      <c r="R754" s="12"/>
      <c r="S754" s="12"/>
      <c r="T754" s="12"/>
      <c r="U754" s="12"/>
      <c r="V754" s="12"/>
      <c r="W754" s="12"/>
      <c r="X754" s="12"/>
      <c r="Y754" s="12"/>
      <c r="Z754" s="12"/>
      <c r="AA754" s="12"/>
    </row>
    <row r="755">
      <c r="A755" s="12"/>
      <c r="B755" s="12"/>
      <c r="C755" s="12"/>
      <c r="D755" s="12"/>
      <c r="E755" s="12"/>
      <c r="F755" s="12"/>
      <c r="G755" s="12"/>
      <c r="H755" s="2"/>
      <c r="I755" s="12"/>
      <c r="J755" s="12"/>
      <c r="K755" s="12"/>
      <c r="L755" s="12"/>
      <c r="M755" s="12"/>
      <c r="N755" s="12"/>
      <c r="O755" s="12"/>
      <c r="P755" s="12"/>
      <c r="Q755" s="12"/>
      <c r="R755" s="12"/>
      <c r="S755" s="12"/>
      <c r="T755" s="12"/>
      <c r="U755" s="12"/>
      <c r="V755" s="12"/>
      <c r="W755" s="12"/>
      <c r="X755" s="12"/>
      <c r="Y755" s="12"/>
      <c r="Z755" s="12"/>
      <c r="AA755" s="12"/>
    </row>
    <row r="756">
      <c r="A756" s="12"/>
      <c r="B756" s="12"/>
      <c r="C756" s="12"/>
      <c r="D756" s="12"/>
      <c r="E756" s="12"/>
      <c r="F756" s="12"/>
      <c r="G756" s="12"/>
      <c r="H756" s="2"/>
      <c r="I756" s="12"/>
      <c r="J756" s="12"/>
      <c r="K756" s="12"/>
      <c r="L756" s="12"/>
      <c r="M756" s="12"/>
      <c r="N756" s="12"/>
      <c r="O756" s="12"/>
      <c r="P756" s="12"/>
      <c r="Q756" s="12"/>
      <c r="R756" s="12"/>
      <c r="S756" s="12"/>
      <c r="T756" s="12"/>
      <c r="U756" s="12"/>
      <c r="V756" s="12"/>
      <c r="W756" s="12"/>
      <c r="X756" s="12"/>
      <c r="Y756" s="12"/>
      <c r="Z756" s="12"/>
      <c r="AA756" s="12"/>
    </row>
    <row r="757">
      <c r="A757" s="12"/>
      <c r="B757" s="12"/>
      <c r="C757" s="12"/>
      <c r="D757" s="12"/>
      <c r="E757" s="12"/>
      <c r="F757" s="12"/>
      <c r="G757" s="12"/>
      <c r="H757" s="2"/>
      <c r="I757" s="12"/>
      <c r="J757" s="12"/>
      <c r="K757" s="12"/>
      <c r="L757" s="12"/>
      <c r="M757" s="12"/>
      <c r="N757" s="12"/>
      <c r="O757" s="12"/>
      <c r="P757" s="12"/>
      <c r="Q757" s="12"/>
      <c r="R757" s="12"/>
      <c r="S757" s="12"/>
      <c r="T757" s="12"/>
      <c r="U757" s="12"/>
      <c r="V757" s="12"/>
      <c r="W757" s="12"/>
      <c r="X757" s="12"/>
      <c r="Y757" s="12"/>
      <c r="Z757" s="12"/>
      <c r="AA757" s="12"/>
    </row>
    <row r="758">
      <c r="A758" s="12"/>
      <c r="B758" s="12"/>
      <c r="C758" s="12"/>
      <c r="D758" s="12"/>
      <c r="E758" s="12"/>
      <c r="F758" s="12"/>
      <c r="G758" s="12"/>
      <c r="H758" s="2"/>
      <c r="I758" s="12"/>
      <c r="J758" s="12"/>
      <c r="K758" s="12"/>
      <c r="L758" s="12"/>
      <c r="M758" s="12"/>
      <c r="N758" s="12"/>
      <c r="O758" s="12"/>
      <c r="P758" s="12"/>
      <c r="Q758" s="12"/>
      <c r="R758" s="12"/>
      <c r="S758" s="12"/>
      <c r="T758" s="12"/>
      <c r="U758" s="12"/>
      <c r="V758" s="12"/>
      <c r="W758" s="12"/>
      <c r="X758" s="12"/>
      <c r="Y758" s="12"/>
      <c r="Z758" s="12"/>
      <c r="AA758" s="12"/>
    </row>
    <row r="759">
      <c r="A759" s="12"/>
      <c r="B759" s="12"/>
      <c r="C759" s="12"/>
      <c r="D759" s="12"/>
      <c r="E759" s="12"/>
      <c r="F759" s="12"/>
      <c r="G759" s="12"/>
      <c r="H759" s="2"/>
      <c r="I759" s="12"/>
      <c r="J759" s="12"/>
      <c r="K759" s="12"/>
      <c r="L759" s="12"/>
      <c r="M759" s="12"/>
      <c r="N759" s="12"/>
      <c r="O759" s="12"/>
      <c r="P759" s="12"/>
      <c r="Q759" s="12"/>
      <c r="R759" s="12"/>
      <c r="S759" s="12"/>
      <c r="T759" s="12"/>
      <c r="U759" s="12"/>
      <c r="V759" s="12"/>
      <c r="W759" s="12"/>
      <c r="X759" s="12"/>
      <c r="Y759" s="12"/>
      <c r="Z759" s="12"/>
      <c r="AA759" s="12"/>
    </row>
    <row r="760">
      <c r="A760" s="12"/>
      <c r="B760" s="12"/>
      <c r="C760" s="12"/>
      <c r="D760" s="12"/>
      <c r="E760" s="12"/>
      <c r="F760" s="12"/>
      <c r="G760" s="12"/>
      <c r="H760" s="2"/>
      <c r="I760" s="12"/>
      <c r="J760" s="12"/>
      <c r="K760" s="12"/>
      <c r="L760" s="12"/>
      <c r="M760" s="12"/>
      <c r="N760" s="12"/>
      <c r="O760" s="12"/>
      <c r="P760" s="12"/>
      <c r="Q760" s="12"/>
      <c r="R760" s="12"/>
      <c r="S760" s="12"/>
      <c r="T760" s="12"/>
      <c r="U760" s="12"/>
      <c r="V760" s="12"/>
      <c r="W760" s="12"/>
      <c r="X760" s="12"/>
      <c r="Y760" s="12"/>
      <c r="Z760" s="12"/>
      <c r="AA760" s="12"/>
    </row>
    <row r="761">
      <c r="A761" s="12"/>
      <c r="B761" s="12"/>
      <c r="C761" s="12"/>
      <c r="D761" s="12"/>
      <c r="E761" s="12"/>
      <c r="F761" s="12"/>
      <c r="G761" s="12"/>
      <c r="H761" s="2"/>
      <c r="I761" s="12"/>
      <c r="J761" s="12"/>
      <c r="K761" s="12"/>
      <c r="L761" s="12"/>
      <c r="M761" s="12"/>
      <c r="N761" s="12"/>
      <c r="O761" s="12"/>
      <c r="P761" s="12"/>
      <c r="Q761" s="12"/>
      <c r="R761" s="12"/>
      <c r="S761" s="12"/>
      <c r="T761" s="12"/>
      <c r="U761" s="12"/>
      <c r="V761" s="12"/>
      <c r="W761" s="12"/>
      <c r="X761" s="12"/>
      <c r="Y761" s="12"/>
      <c r="Z761" s="12"/>
      <c r="AA761" s="12"/>
    </row>
    <row r="762">
      <c r="A762" s="12"/>
      <c r="B762" s="12"/>
      <c r="C762" s="12"/>
      <c r="D762" s="12"/>
      <c r="E762" s="12"/>
      <c r="F762" s="12"/>
      <c r="G762" s="12"/>
      <c r="H762" s="2"/>
      <c r="I762" s="12"/>
      <c r="J762" s="12"/>
      <c r="K762" s="12"/>
      <c r="L762" s="12"/>
      <c r="M762" s="12"/>
      <c r="N762" s="12"/>
      <c r="O762" s="12"/>
      <c r="P762" s="12"/>
      <c r="Q762" s="12"/>
      <c r="R762" s="12"/>
      <c r="S762" s="12"/>
      <c r="T762" s="12"/>
      <c r="U762" s="12"/>
      <c r="V762" s="12"/>
      <c r="W762" s="12"/>
      <c r="X762" s="12"/>
      <c r="Y762" s="12"/>
      <c r="Z762" s="12"/>
      <c r="AA762" s="12"/>
    </row>
    <row r="763">
      <c r="A763" s="12"/>
      <c r="B763" s="12"/>
      <c r="C763" s="12"/>
      <c r="D763" s="12"/>
      <c r="E763" s="12"/>
      <c r="F763" s="12"/>
      <c r="G763" s="12"/>
      <c r="H763" s="2"/>
      <c r="I763" s="12"/>
      <c r="J763" s="12"/>
      <c r="K763" s="12"/>
      <c r="L763" s="12"/>
      <c r="M763" s="12"/>
      <c r="N763" s="12"/>
      <c r="O763" s="12"/>
      <c r="P763" s="12"/>
      <c r="Q763" s="12"/>
      <c r="R763" s="12"/>
      <c r="S763" s="12"/>
      <c r="T763" s="12"/>
      <c r="U763" s="12"/>
      <c r="V763" s="12"/>
      <c r="W763" s="12"/>
      <c r="X763" s="12"/>
      <c r="Y763" s="12"/>
      <c r="Z763" s="12"/>
      <c r="AA763" s="12"/>
    </row>
    <row r="764">
      <c r="A764" s="12"/>
      <c r="B764" s="12"/>
      <c r="C764" s="12"/>
      <c r="D764" s="12"/>
      <c r="E764" s="12"/>
      <c r="F764" s="12"/>
      <c r="G764" s="12"/>
      <c r="H764" s="2"/>
      <c r="I764" s="12"/>
      <c r="J764" s="12"/>
      <c r="K764" s="12"/>
      <c r="L764" s="12"/>
      <c r="M764" s="12"/>
      <c r="N764" s="12"/>
      <c r="O764" s="12"/>
      <c r="P764" s="12"/>
      <c r="Q764" s="12"/>
      <c r="R764" s="12"/>
      <c r="S764" s="12"/>
      <c r="T764" s="12"/>
      <c r="U764" s="12"/>
      <c r="V764" s="12"/>
      <c r="W764" s="12"/>
      <c r="X764" s="12"/>
      <c r="Y764" s="12"/>
      <c r="Z764" s="12"/>
      <c r="AA764" s="12"/>
    </row>
    <row r="765">
      <c r="A765" s="12"/>
      <c r="B765" s="12"/>
      <c r="C765" s="12"/>
      <c r="D765" s="12"/>
      <c r="E765" s="12"/>
      <c r="F765" s="12"/>
      <c r="G765" s="12"/>
      <c r="H765" s="2"/>
      <c r="I765" s="12"/>
      <c r="J765" s="12"/>
      <c r="K765" s="12"/>
      <c r="L765" s="12"/>
      <c r="M765" s="12"/>
      <c r="N765" s="12"/>
      <c r="O765" s="12"/>
      <c r="P765" s="12"/>
      <c r="Q765" s="12"/>
      <c r="R765" s="12"/>
      <c r="S765" s="12"/>
      <c r="T765" s="12"/>
      <c r="U765" s="12"/>
      <c r="V765" s="12"/>
      <c r="W765" s="12"/>
      <c r="X765" s="12"/>
      <c r="Y765" s="12"/>
      <c r="Z765" s="12"/>
      <c r="AA765" s="12"/>
    </row>
    <row r="766">
      <c r="A766" s="12"/>
      <c r="B766" s="12"/>
      <c r="C766" s="12"/>
      <c r="D766" s="12"/>
      <c r="E766" s="12"/>
      <c r="F766" s="12"/>
      <c r="G766" s="12"/>
      <c r="H766" s="2"/>
      <c r="I766" s="12"/>
      <c r="J766" s="12"/>
      <c r="K766" s="12"/>
      <c r="L766" s="12"/>
      <c r="M766" s="12"/>
      <c r="N766" s="12"/>
      <c r="O766" s="12"/>
      <c r="P766" s="12"/>
      <c r="Q766" s="12"/>
      <c r="R766" s="12"/>
      <c r="S766" s="12"/>
      <c r="T766" s="12"/>
      <c r="U766" s="12"/>
      <c r="V766" s="12"/>
      <c r="W766" s="12"/>
      <c r="X766" s="12"/>
      <c r="Y766" s="12"/>
      <c r="Z766" s="12"/>
      <c r="AA766" s="12"/>
    </row>
    <row r="767">
      <c r="A767" s="12"/>
      <c r="B767" s="12"/>
      <c r="C767" s="12"/>
      <c r="D767" s="12"/>
      <c r="E767" s="12"/>
      <c r="F767" s="12"/>
      <c r="G767" s="12"/>
      <c r="H767" s="2"/>
      <c r="I767" s="12"/>
      <c r="J767" s="12"/>
      <c r="K767" s="12"/>
      <c r="L767" s="12"/>
      <c r="M767" s="12"/>
      <c r="N767" s="12"/>
      <c r="O767" s="12"/>
      <c r="P767" s="12"/>
      <c r="Q767" s="12"/>
      <c r="R767" s="12"/>
      <c r="S767" s="12"/>
      <c r="T767" s="12"/>
      <c r="U767" s="12"/>
      <c r="V767" s="12"/>
      <c r="W767" s="12"/>
      <c r="X767" s="12"/>
      <c r="Y767" s="12"/>
      <c r="Z767" s="12"/>
      <c r="AA767" s="12"/>
    </row>
    <row r="768">
      <c r="A768" s="12"/>
      <c r="B768" s="12"/>
      <c r="C768" s="12"/>
      <c r="D768" s="12"/>
      <c r="E768" s="12"/>
      <c r="F768" s="12"/>
      <c r="G768" s="12"/>
      <c r="H768" s="2"/>
      <c r="I768" s="12"/>
      <c r="J768" s="12"/>
      <c r="K768" s="12"/>
      <c r="L768" s="12"/>
      <c r="M768" s="12"/>
      <c r="N768" s="12"/>
      <c r="O768" s="12"/>
      <c r="P768" s="12"/>
      <c r="Q768" s="12"/>
      <c r="R768" s="12"/>
      <c r="S768" s="12"/>
      <c r="T768" s="12"/>
      <c r="U768" s="12"/>
      <c r="V768" s="12"/>
      <c r="W768" s="12"/>
      <c r="X768" s="12"/>
      <c r="Y768" s="12"/>
      <c r="Z768" s="12"/>
      <c r="AA768" s="12"/>
    </row>
    <row r="769">
      <c r="A769" s="12"/>
      <c r="B769" s="12"/>
      <c r="C769" s="12"/>
      <c r="D769" s="12"/>
      <c r="E769" s="12"/>
      <c r="F769" s="12"/>
      <c r="G769" s="12"/>
      <c r="H769" s="2"/>
      <c r="I769" s="12"/>
      <c r="J769" s="12"/>
      <c r="K769" s="12"/>
      <c r="L769" s="12"/>
      <c r="M769" s="12"/>
      <c r="N769" s="12"/>
      <c r="O769" s="12"/>
      <c r="P769" s="12"/>
      <c r="Q769" s="12"/>
      <c r="R769" s="12"/>
      <c r="S769" s="12"/>
      <c r="T769" s="12"/>
      <c r="U769" s="12"/>
      <c r="V769" s="12"/>
      <c r="W769" s="12"/>
      <c r="X769" s="12"/>
      <c r="Y769" s="12"/>
      <c r="Z769" s="12"/>
      <c r="AA769" s="12"/>
    </row>
    <row r="770">
      <c r="A770" s="12"/>
      <c r="B770" s="12"/>
      <c r="C770" s="12"/>
      <c r="D770" s="12"/>
      <c r="E770" s="12"/>
      <c r="F770" s="12"/>
      <c r="G770" s="12"/>
      <c r="H770" s="2"/>
      <c r="I770" s="12"/>
      <c r="J770" s="12"/>
      <c r="K770" s="12"/>
      <c r="L770" s="12"/>
      <c r="M770" s="12"/>
      <c r="N770" s="12"/>
      <c r="O770" s="12"/>
      <c r="P770" s="12"/>
      <c r="Q770" s="12"/>
      <c r="R770" s="12"/>
      <c r="S770" s="12"/>
      <c r="T770" s="12"/>
      <c r="U770" s="12"/>
      <c r="V770" s="12"/>
      <c r="W770" s="12"/>
      <c r="X770" s="12"/>
      <c r="Y770" s="12"/>
      <c r="Z770" s="12"/>
      <c r="AA770" s="12"/>
    </row>
    <row r="771">
      <c r="A771" s="12"/>
      <c r="B771" s="12"/>
      <c r="C771" s="12"/>
      <c r="D771" s="12"/>
      <c r="E771" s="12"/>
      <c r="F771" s="12"/>
      <c r="G771" s="12"/>
      <c r="H771" s="2"/>
      <c r="I771" s="12"/>
      <c r="J771" s="12"/>
      <c r="K771" s="12"/>
      <c r="L771" s="12"/>
      <c r="M771" s="12"/>
      <c r="N771" s="12"/>
      <c r="O771" s="12"/>
      <c r="P771" s="12"/>
      <c r="Q771" s="12"/>
      <c r="R771" s="12"/>
      <c r="S771" s="12"/>
      <c r="T771" s="12"/>
      <c r="U771" s="12"/>
      <c r="V771" s="12"/>
      <c r="W771" s="12"/>
      <c r="X771" s="12"/>
      <c r="Y771" s="12"/>
      <c r="Z771" s="12"/>
      <c r="AA771" s="12"/>
    </row>
    <row r="772">
      <c r="A772" s="12"/>
      <c r="B772" s="12"/>
      <c r="C772" s="12"/>
      <c r="D772" s="12"/>
      <c r="E772" s="12"/>
      <c r="F772" s="12"/>
      <c r="G772" s="12"/>
      <c r="H772" s="2"/>
      <c r="I772" s="12"/>
      <c r="J772" s="12"/>
      <c r="K772" s="12"/>
      <c r="L772" s="12"/>
      <c r="M772" s="12"/>
      <c r="N772" s="12"/>
      <c r="O772" s="12"/>
      <c r="P772" s="12"/>
      <c r="Q772" s="12"/>
      <c r="R772" s="12"/>
      <c r="S772" s="12"/>
      <c r="T772" s="12"/>
      <c r="U772" s="12"/>
      <c r="V772" s="12"/>
      <c r="W772" s="12"/>
      <c r="X772" s="12"/>
      <c r="Y772" s="12"/>
      <c r="Z772" s="12"/>
      <c r="AA772" s="12"/>
    </row>
    <row r="773">
      <c r="A773" s="12"/>
      <c r="B773" s="12"/>
      <c r="C773" s="12"/>
      <c r="D773" s="12"/>
      <c r="E773" s="12"/>
      <c r="F773" s="12"/>
      <c r="G773" s="12"/>
      <c r="H773" s="2"/>
      <c r="I773" s="12"/>
      <c r="J773" s="12"/>
      <c r="K773" s="12"/>
      <c r="L773" s="12"/>
      <c r="M773" s="12"/>
      <c r="N773" s="12"/>
      <c r="O773" s="12"/>
      <c r="P773" s="12"/>
      <c r="Q773" s="12"/>
      <c r="R773" s="12"/>
      <c r="S773" s="12"/>
      <c r="T773" s="12"/>
      <c r="U773" s="12"/>
      <c r="V773" s="12"/>
      <c r="W773" s="12"/>
      <c r="X773" s="12"/>
      <c r="Y773" s="12"/>
      <c r="Z773" s="12"/>
      <c r="AA773" s="12"/>
    </row>
    <row r="774">
      <c r="A774" s="12"/>
      <c r="B774" s="12"/>
      <c r="C774" s="12"/>
      <c r="D774" s="12"/>
      <c r="E774" s="12"/>
      <c r="F774" s="12"/>
      <c r="G774" s="12"/>
      <c r="H774" s="2"/>
      <c r="I774" s="12"/>
      <c r="J774" s="12"/>
      <c r="K774" s="12"/>
      <c r="L774" s="12"/>
      <c r="M774" s="12"/>
      <c r="N774" s="12"/>
      <c r="O774" s="12"/>
      <c r="P774" s="12"/>
      <c r="Q774" s="12"/>
      <c r="R774" s="12"/>
      <c r="S774" s="12"/>
      <c r="T774" s="12"/>
      <c r="U774" s="12"/>
      <c r="V774" s="12"/>
      <c r="W774" s="12"/>
      <c r="X774" s="12"/>
      <c r="Y774" s="12"/>
      <c r="Z774" s="12"/>
      <c r="AA774" s="12"/>
    </row>
    <row r="775">
      <c r="A775" s="12"/>
      <c r="B775" s="12"/>
      <c r="C775" s="12"/>
      <c r="D775" s="12"/>
      <c r="E775" s="12"/>
      <c r="F775" s="12"/>
      <c r="G775" s="12"/>
      <c r="H775" s="2"/>
      <c r="I775" s="12"/>
      <c r="J775" s="12"/>
      <c r="K775" s="12"/>
      <c r="L775" s="12"/>
      <c r="M775" s="12"/>
      <c r="N775" s="12"/>
      <c r="O775" s="12"/>
      <c r="P775" s="12"/>
      <c r="Q775" s="12"/>
      <c r="R775" s="12"/>
      <c r="S775" s="12"/>
      <c r="T775" s="12"/>
      <c r="U775" s="12"/>
      <c r="V775" s="12"/>
      <c r="W775" s="12"/>
      <c r="X775" s="12"/>
      <c r="Y775" s="12"/>
      <c r="Z775" s="12"/>
      <c r="AA775" s="12"/>
    </row>
    <row r="776">
      <c r="A776" s="12"/>
      <c r="B776" s="12"/>
      <c r="C776" s="12"/>
      <c r="D776" s="12"/>
      <c r="E776" s="12"/>
      <c r="F776" s="12"/>
      <c r="G776" s="12"/>
      <c r="H776" s="2"/>
      <c r="I776" s="12"/>
      <c r="J776" s="12"/>
      <c r="K776" s="12"/>
      <c r="L776" s="12"/>
      <c r="M776" s="12"/>
      <c r="N776" s="12"/>
      <c r="O776" s="12"/>
      <c r="P776" s="12"/>
      <c r="Q776" s="12"/>
      <c r="R776" s="12"/>
      <c r="S776" s="12"/>
      <c r="T776" s="12"/>
      <c r="U776" s="12"/>
      <c r="V776" s="12"/>
      <c r="W776" s="12"/>
      <c r="X776" s="12"/>
      <c r="Y776" s="12"/>
      <c r="Z776" s="12"/>
      <c r="AA776" s="12"/>
    </row>
    <row r="777">
      <c r="A777" s="12"/>
      <c r="B777" s="12"/>
      <c r="C777" s="12"/>
      <c r="D777" s="12"/>
      <c r="E777" s="12"/>
      <c r="F777" s="12"/>
      <c r="G777" s="12"/>
      <c r="H777" s="2"/>
      <c r="I777" s="12"/>
      <c r="J777" s="12"/>
      <c r="K777" s="12"/>
      <c r="L777" s="12"/>
      <c r="M777" s="12"/>
      <c r="N777" s="12"/>
      <c r="O777" s="12"/>
      <c r="P777" s="12"/>
      <c r="Q777" s="12"/>
      <c r="R777" s="12"/>
      <c r="S777" s="12"/>
      <c r="T777" s="12"/>
      <c r="U777" s="12"/>
      <c r="V777" s="12"/>
      <c r="W777" s="12"/>
      <c r="X777" s="12"/>
      <c r="Y777" s="12"/>
      <c r="Z777" s="12"/>
      <c r="AA777" s="12"/>
    </row>
    <row r="778">
      <c r="A778" s="12"/>
      <c r="B778" s="12"/>
      <c r="C778" s="12"/>
      <c r="D778" s="12"/>
      <c r="E778" s="12"/>
      <c r="F778" s="12"/>
      <c r="G778" s="12"/>
      <c r="H778" s="2"/>
      <c r="I778" s="12"/>
      <c r="J778" s="12"/>
      <c r="K778" s="12"/>
      <c r="L778" s="12"/>
      <c r="M778" s="12"/>
      <c r="N778" s="12"/>
      <c r="O778" s="12"/>
      <c r="P778" s="12"/>
      <c r="Q778" s="12"/>
      <c r="R778" s="12"/>
      <c r="S778" s="12"/>
      <c r="T778" s="12"/>
      <c r="U778" s="12"/>
      <c r="V778" s="12"/>
      <c r="W778" s="12"/>
      <c r="X778" s="12"/>
      <c r="Y778" s="12"/>
      <c r="Z778" s="12"/>
      <c r="AA778" s="12"/>
    </row>
    <row r="779">
      <c r="A779" s="12"/>
      <c r="B779" s="12"/>
      <c r="C779" s="12"/>
      <c r="D779" s="12"/>
      <c r="E779" s="12"/>
      <c r="F779" s="12"/>
      <c r="G779" s="12"/>
      <c r="H779" s="2"/>
      <c r="I779" s="12"/>
      <c r="J779" s="12"/>
      <c r="K779" s="12"/>
      <c r="L779" s="12"/>
      <c r="M779" s="12"/>
      <c r="N779" s="12"/>
      <c r="O779" s="12"/>
      <c r="P779" s="12"/>
      <c r="Q779" s="12"/>
      <c r="R779" s="12"/>
      <c r="S779" s="12"/>
      <c r="T779" s="12"/>
      <c r="U779" s="12"/>
      <c r="V779" s="12"/>
      <c r="W779" s="12"/>
      <c r="X779" s="12"/>
      <c r="Y779" s="12"/>
      <c r="Z779" s="12"/>
      <c r="AA779" s="12"/>
    </row>
    <row r="780">
      <c r="A780" s="12"/>
      <c r="B780" s="12"/>
      <c r="C780" s="12"/>
      <c r="D780" s="12"/>
      <c r="E780" s="12"/>
      <c r="F780" s="12"/>
      <c r="G780" s="12"/>
      <c r="H780" s="2"/>
      <c r="I780" s="12"/>
      <c r="J780" s="12"/>
      <c r="K780" s="12"/>
      <c r="L780" s="12"/>
      <c r="M780" s="12"/>
      <c r="N780" s="12"/>
      <c r="O780" s="12"/>
      <c r="P780" s="12"/>
      <c r="Q780" s="12"/>
      <c r="R780" s="12"/>
      <c r="S780" s="12"/>
      <c r="T780" s="12"/>
      <c r="U780" s="12"/>
      <c r="V780" s="12"/>
      <c r="W780" s="12"/>
      <c r="X780" s="12"/>
      <c r="Y780" s="12"/>
      <c r="Z780" s="12"/>
      <c r="AA780" s="12"/>
    </row>
    <row r="781">
      <c r="A781" s="12"/>
      <c r="B781" s="12"/>
      <c r="C781" s="12"/>
      <c r="D781" s="12"/>
      <c r="E781" s="12"/>
      <c r="F781" s="12"/>
      <c r="G781" s="12"/>
      <c r="H781" s="2"/>
      <c r="I781" s="12"/>
      <c r="J781" s="12"/>
      <c r="K781" s="12"/>
      <c r="L781" s="12"/>
      <c r="M781" s="12"/>
      <c r="N781" s="12"/>
      <c r="O781" s="12"/>
      <c r="P781" s="12"/>
      <c r="Q781" s="12"/>
      <c r="R781" s="12"/>
      <c r="S781" s="12"/>
      <c r="T781" s="12"/>
      <c r="U781" s="12"/>
      <c r="V781" s="12"/>
      <c r="W781" s="12"/>
      <c r="X781" s="12"/>
      <c r="Y781" s="12"/>
      <c r="Z781" s="12"/>
      <c r="AA781" s="12"/>
    </row>
    <row r="782">
      <c r="A782" s="12"/>
      <c r="B782" s="12"/>
      <c r="C782" s="12"/>
      <c r="D782" s="12"/>
      <c r="E782" s="12"/>
      <c r="F782" s="12"/>
      <c r="G782" s="12"/>
      <c r="H782" s="2"/>
      <c r="I782" s="12"/>
      <c r="J782" s="12"/>
      <c r="K782" s="12"/>
      <c r="L782" s="12"/>
      <c r="M782" s="12"/>
      <c r="N782" s="12"/>
      <c r="O782" s="12"/>
      <c r="P782" s="12"/>
      <c r="Q782" s="12"/>
      <c r="R782" s="12"/>
      <c r="S782" s="12"/>
      <c r="T782" s="12"/>
      <c r="U782" s="12"/>
      <c r="V782" s="12"/>
      <c r="W782" s="12"/>
      <c r="X782" s="12"/>
      <c r="Y782" s="12"/>
      <c r="Z782" s="12"/>
      <c r="AA782" s="12"/>
    </row>
    <row r="783">
      <c r="A783" s="12"/>
      <c r="B783" s="12"/>
      <c r="C783" s="12"/>
      <c r="D783" s="12"/>
      <c r="E783" s="12"/>
      <c r="F783" s="12"/>
      <c r="G783" s="12"/>
      <c r="H783" s="2"/>
      <c r="I783" s="12"/>
      <c r="J783" s="12"/>
      <c r="K783" s="12"/>
      <c r="L783" s="12"/>
      <c r="M783" s="12"/>
      <c r="N783" s="12"/>
      <c r="O783" s="12"/>
      <c r="P783" s="12"/>
      <c r="Q783" s="12"/>
      <c r="R783" s="12"/>
      <c r="S783" s="12"/>
      <c r="T783" s="12"/>
      <c r="U783" s="12"/>
      <c r="V783" s="12"/>
      <c r="W783" s="12"/>
      <c r="X783" s="12"/>
      <c r="Y783" s="12"/>
      <c r="Z783" s="12"/>
      <c r="AA783" s="12"/>
    </row>
    <row r="784">
      <c r="A784" s="12"/>
      <c r="B784" s="12"/>
      <c r="C784" s="12"/>
      <c r="D784" s="12"/>
      <c r="E784" s="12"/>
      <c r="F784" s="12"/>
      <c r="G784" s="12"/>
      <c r="H784" s="2"/>
      <c r="I784" s="12"/>
      <c r="J784" s="12"/>
      <c r="K784" s="12"/>
      <c r="L784" s="12"/>
      <c r="M784" s="12"/>
      <c r="N784" s="12"/>
      <c r="O784" s="12"/>
      <c r="P784" s="12"/>
      <c r="Q784" s="12"/>
      <c r="R784" s="12"/>
      <c r="S784" s="12"/>
      <c r="T784" s="12"/>
      <c r="U784" s="12"/>
      <c r="V784" s="12"/>
      <c r="W784" s="12"/>
      <c r="X784" s="12"/>
      <c r="Y784" s="12"/>
      <c r="Z784" s="12"/>
      <c r="AA784" s="12"/>
    </row>
    <row r="785">
      <c r="A785" s="12"/>
      <c r="B785" s="12"/>
      <c r="C785" s="12"/>
      <c r="D785" s="12"/>
      <c r="E785" s="12"/>
      <c r="F785" s="12"/>
      <c r="G785" s="12"/>
      <c r="H785" s="2"/>
      <c r="I785" s="12"/>
      <c r="J785" s="12"/>
      <c r="K785" s="12"/>
      <c r="L785" s="12"/>
      <c r="M785" s="12"/>
      <c r="N785" s="12"/>
      <c r="O785" s="12"/>
      <c r="P785" s="12"/>
      <c r="Q785" s="12"/>
      <c r="R785" s="12"/>
      <c r="S785" s="12"/>
      <c r="T785" s="12"/>
      <c r="U785" s="12"/>
      <c r="V785" s="12"/>
      <c r="W785" s="12"/>
      <c r="X785" s="12"/>
      <c r="Y785" s="12"/>
      <c r="Z785" s="12"/>
      <c r="AA785" s="12"/>
    </row>
    <row r="786">
      <c r="A786" s="12"/>
      <c r="B786" s="12"/>
      <c r="C786" s="12"/>
      <c r="D786" s="12"/>
      <c r="E786" s="12"/>
      <c r="F786" s="12"/>
      <c r="G786" s="12"/>
      <c r="H786" s="2"/>
      <c r="I786" s="12"/>
      <c r="J786" s="12"/>
      <c r="K786" s="12"/>
      <c r="L786" s="12"/>
      <c r="M786" s="12"/>
      <c r="N786" s="12"/>
      <c r="O786" s="12"/>
      <c r="P786" s="12"/>
      <c r="Q786" s="12"/>
      <c r="R786" s="12"/>
      <c r="S786" s="12"/>
      <c r="T786" s="12"/>
      <c r="U786" s="12"/>
      <c r="V786" s="12"/>
      <c r="W786" s="12"/>
      <c r="X786" s="12"/>
      <c r="Y786" s="12"/>
      <c r="Z786" s="12"/>
      <c r="AA786" s="12"/>
    </row>
    <row r="787">
      <c r="A787" s="12"/>
      <c r="B787" s="12"/>
      <c r="C787" s="12"/>
      <c r="D787" s="12"/>
      <c r="E787" s="12"/>
      <c r="F787" s="12"/>
      <c r="G787" s="12"/>
      <c r="H787" s="2"/>
      <c r="I787" s="12"/>
      <c r="J787" s="12"/>
      <c r="K787" s="12"/>
      <c r="L787" s="12"/>
      <c r="M787" s="12"/>
      <c r="N787" s="12"/>
      <c r="O787" s="12"/>
      <c r="P787" s="12"/>
      <c r="Q787" s="12"/>
      <c r="R787" s="12"/>
      <c r="S787" s="12"/>
      <c r="T787" s="12"/>
      <c r="U787" s="12"/>
      <c r="V787" s="12"/>
      <c r="W787" s="12"/>
      <c r="X787" s="12"/>
      <c r="Y787" s="12"/>
      <c r="Z787" s="12"/>
      <c r="AA787" s="12"/>
    </row>
    <row r="788">
      <c r="A788" s="12"/>
      <c r="B788" s="12"/>
      <c r="C788" s="12"/>
      <c r="D788" s="12"/>
      <c r="E788" s="12"/>
      <c r="F788" s="12"/>
      <c r="G788" s="12"/>
      <c r="H788" s="2"/>
      <c r="I788" s="12"/>
      <c r="J788" s="12"/>
      <c r="K788" s="12"/>
      <c r="L788" s="12"/>
      <c r="M788" s="12"/>
      <c r="N788" s="12"/>
      <c r="O788" s="12"/>
      <c r="P788" s="12"/>
      <c r="Q788" s="12"/>
      <c r="R788" s="12"/>
      <c r="S788" s="12"/>
      <c r="T788" s="12"/>
      <c r="U788" s="12"/>
      <c r="V788" s="12"/>
      <c r="W788" s="12"/>
      <c r="X788" s="12"/>
      <c r="Y788" s="12"/>
      <c r="Z788" s="12"/>
      <c r="AA788" s="12"/>
    </row>
    <row r="789">
      <c r="A789" s="12"/>
      <c r="B789" s="12"/>
      <c r="C789" s="12"/>
      <c r="D789" s="12"/>
      <c r="E789" s="12"/>
      <c r="F789" s="12"/>
      <c r="G789" s="12"/>
      <c r="H789" s="2"/>
      <c r="I789" s="12"/>
      <c r="J789" s="12"/>
      <c r="K789" s="12"/>
      <c r="L789" s="12"/>
      <c r="M789" s="12"/>
      <c r="N789" s="12"/>
      <c r="O789" s="12"/>
      <c r="P789" s="12"/>
      <c r="Q789" s="12"/>
      <c r="R789" s="12"/>
      <c r="S789" s="12"/>
      <c r="T789" s="12"/>
      <c r="U789" s="12"/>
      <c r="V789" s="12"/>
      <c r="W789" s="12"/>
      <c r="X789" s="12"/>
      <c r="Y789" s="12"/>
      <c r="Z789" s="12"/>
      <c r="AA789" s="12"/>
    </row>
    <row r="790">
      <c r="A790" s="12"/>
      <c r="B790" s="12"/>
      <c r="C790" s="12"/>
      <c r="D790" s="12"/>
      <c r="E790" s="12"/>
      <c r="F790" s="12"/>
      <c r="G790" s="12"/>
      <c r="H790" s="2"/>
      <c r="I790" s="12"/>
      <c r="J790" s="12"/>
      <c r="K790" s="12"/>
      <c r="L790" s="12"/>
      <c r="M790" s="12"/>
      <c r="N790" s="12"/>
      <c r="O790" s="12"/>
      <c r="P790" s="12"/>
      <c r="Q790" s="12"/>
      <c r="R790" s="12"/>
      <c r="S790" s="12"/>
      <c r="T790" s="12"/>
      <c r="U790" s="12"/>
      <c r="V790" s="12"/>
      <c r="W790" s="12"/>
      <c r="X790" s="12"/>
      <c r="Y790" s="12"/>
      <c r="Z790" s="12"/>
      <c r="AA790" s="12"/>
    </row>
    <row r="791">
      <c r="A791" s="12"/>
      <c r="B791" s="12"/>
      <c r="C791" s="12"/>
      <c r="D791" s="12"/>
      <c r="E791" s="12"/>
      <c r="F791" s="12"/>
      <c r="G791" s="12"/>
      <c r="H791" s="2"/>
      <c r="I791" s="12"/>
      <c r="J791" s="12"/>
      <c r="K791" s="12"/>
      <c r="L791" s="12"/>
      <c r="M791" s="12"/>
      <c r="N791" s="12"/>
      <c r="O791" s="12"/>
      <c r="P791" s="12"/>
      <c r="Q791" s="12"/>
      <c r="R791" s="12"/>
      <c r="S791" s="12"/>
      <c r="T791" s="12"/>
      <c r="U791" s="12"/>
      <c r="V791" s="12"/>
      <c r="W791" s="12"/>
      <c r="X791" s="12"/>
      <c r="Y791" s="12"/>
      <c r="Z791" s="12"/>
      <c r="AA791" s="12"/>
    </row>
    <row r="792">
      <c r="A792" s="12"/>
      <c r="B792" s="12"/>
      <c r="C792" s="12"/>
      <c r="D792" s="12"/>
      <c r="E792" s="12"/>
      <c r="F792" s="12"/>
      <c r="G792" s="12"/>
      <c r="H792" s="2"/>
      <c r="I792" s="12"/>
      <c r="J792" s="12"/>
      <c r="K792" s="12"/>
      <c r="L792" s="12"/>
      <c r="M792" s="12"/>
      <c r="N792" s="12"/>
      <c r="O792" s="12"/>
      <c r="P792" s="12"/>
      <c r="Q792" s="12"/>
      <c r="R792" s="12"/>
      <c r="S792" s="12"/>
      <c r="T792" s="12"/>
      <c r="U792" s="12"/>
      <c r="V792" s="12"/>
      <c r="W792" s="12"/>
      <c r="X792" s="12"/>
      <c r="Y792" s="12"/>
      <c r="Z792" s="12"/>
      <c r="AA792" s="12"/>
    </row>
    <row r="793">
      <c r="A793" s="12"/>
      <c r="B793" s="12"/>
      <c r="C793" s="12"/>
      <c r="D793" s="12"/>
      <c r="E793" s="12"/>
      <c r="F793" s="12"/>
      <c r="G793" s="12"/>
      <c r="H793" s="2"/>
      <c r="I793" s="12"/>
      <c r="J793" s="12"/>
      <c r="K793" s="12"/>
      <c r="L793" s="12"/>
      <c r="M793" s="12"/>
      <c r="N793" s="12"/>
      <c r="O793" s="12"/>
      <c r="P793" s="12"/>
      <c r="Q793" s="12"/>
      <c r="R793" s="12"/>
      <c r="S793" s="12"/>
      <c r="T793" s="12"/>
      <c r="U793" s="12"/>
      <c r="V793" s="12"/>
      <c r="W793" s="12"/>
      <c r="X793" s="12"/>
      <c r="Y793" s="12"/>
      <c r="Z793" s="12"/>
      <c r="AA793" s="12"/>
    </row>
    <row r="794">
      <c r="A794" s="12"/>
      <c r="B794" s="12"/>
      <c r="C794" s="12"/>
      <c r="D794" s="12"/>
      <c r="E794" s="12"/>
      <c r="F794" s="12"/>
      <c r="G794" s="12"/>
      <c r="H794" s="2"/>
      <c r="I794" s="12"/>
      <c r="J794" s="12"/>
      <c r="K794" s="12"/>
      <c r="L794" s="12"/>
      <c r="M794" s="12"/>
      <c r="N794" s="12"/>
      <c r="O794" s="12"/>
      <c r="P794" s="12"/>
      <c r="Q794" s="12"/>
      <c r="R794" s="12"/>
      <c r="S794" s="12"/>
      <c r="T794" s="12"/>
      <c r="U794" s="12"/>
      <c r="V794" s="12"/>
      <c r="W794" s="12"/>
      <c r="X794" s="12"/>
      <c r="Y794" s="12"/>
      <c r="Z794" s="12"/>
      <c r="AA794" s="12"/>
    </row>
    <row r="795">
      <c r="A795" s="12"/>
      <c r="B795" s="12"/>
      <c r="C795" s="12"/>
      <c r="D795" s="12"/>
      <c r="E795" s="12"/>
      <c r="F795" s="12"/>
      <c r="G795" s="12"/>
      <c r="H795" s="2"/>
      <c r="I795" s="12"/>
      <c r="J795" s="12"/>
      <c r="K795" s="12"/>
      <c r="L795" s="12"/>
      <c r="M795" s="12"/>
      <c r="N795" s="12"/>
      <c r="O795" s="12"/>
      <c r="P795" s="12"/>
      <c r="Q795" s="12"/>
      <c r="R795" s="12"/>
      <c r="S795" s="12"/>
      <c r="T795" s="12"/>
      <c r="U795" s="12"/>
      <c r="V795" s="12"/>
      <c r="W795" s="12"/>
      <c r="X795" s="12"/>
      <c r="Y795" s="12"/>
      <c r="Z795" s="12"/>
      <c r="AA795" s="12"/>
    </row>
    <row r="796">
      <c r="A796" s="12"/>
      <c r="B796" s="12"/>
      <c r="C796" s="12"/>
      <c r="D796" s="12"/>
      <c r="E796" s="12"/>
      <c r="F796" s="12"/>
      <c r="G796" s="12"/>
      <c r="H796" s="2"/>
      <c r="I796" s="12"/>
      <c r="J796" s="12"/>
      <c r="K796" s="12"/>
      <c r="L796" s="12"/>
      <c r="M796" s="12"/>
      <c r="N796" s="12"/>
      <c r="O796" s="12"/>
      <c r="P796" s="12"/>
      <c r="Q796" s="12"/>
      <c r="R796" s="12"/>
      <c r="S796" s="12"/>
      <c r="T796" s="12"/>
      <c r="U796" s="12"/>
      <c r="V796" s="12"/>
      <c r="W796" s="12"/>
      <c r="X796" s="12"/>
      <c r="Y796" s="12"/>
      <c r="Z796" s="12"/>
      <c r="AA796" s="12"/>
    </row>
    <row r="797">
      <c r="A797" s="12"/>
      <c r="B797" s="12"/>
      <c r="C797" s="12"/>
      <c r="D797" s="12"/>
      <c r="E797" s="12"/>
      <c r="F797" s="12"/>
      <c r="G797" s="12"/>
      <c r="H797" s="2"/>
      <c r="I797" s="12"/>
      <c r="J797" s="12"/>
      <c r="K797" s="12"/>
      <c r="L797" s="12"/>
      <c r="M797" s="12"/>
      <c r="N797" s="12"/>
      <c r="O797" s="12"/>
      <c r="P797" s="12"/>
      <c r="Q797" s="12"/>
      <c r="R797" s="12"/>
      <c r="S797" s="12"/>
      <c r="T797" s="12"/>
      <c r="U797" s="12"/>
      <c r="V797" s="12"/>
      <c r="W797" s="12"/>
      <c r="X797" s="12"/>
      <c r="Y797" s="12"/>
      <c r="Z797" s="12"/>
      <c r="AA797" s="12"/>
    </row>
    <row r="798">
      <c r="A798" s="12"/>
      <c r="B798" s="12"/>
      <c r="C798" s="12"/>
      <c r="D798" s="12"/>
      <c r="E798" s="12"/>
      <c r="F798" s="12"/>
      <c r="G798" s="12"/>
      <c r="H798" s="2"/>
      <c r="I798" s="12"/>
      <c r="J798" s="12"/>
      <c r="K798" s="12"/>
      <c r="L798" s="12"/>
      <c r="M798" s="12"/>
      <c r="N798" s="12"/>
      <c r="O798" s="12"/>
      <c r="P798" s="12"/>
      <c r="Q798" s="12"/>
      <c r="R798" s="12"/>
      <c r="S798" s="12"/>
      <c r="T798" s="12"/>
      <c r="U798" s="12"/>
      <c r="V798" s="12"/>
      <c r="W798" s="12"/>
      <c r="X798" s="12"/>
      <c r="Y798" s="12"/>
      <c r="Z798" s="12"/>
      <c r="AA798" s="12"/>
    </row>
    <row r="799">
      <c r="A799" s="12"/>
      <c r="B799" s="12"/>
      <c r="C799" s="12"/>
      <c r="D799" s="12"/>
      <c r="E799" s="12"/>
      <c r="F799" s="12"/>
      <c r="G799" s="12"/>
      <c r="H799" s="2"/>
      <c r="I799" s="12"/>
      <c r="J799" s="12"/>
      <c r="K799" s="12"/>
      <c r="L799" s="12"/>
      <c r="M799" s="12"/>
      <c r="N799" s="12"/>
      <c r="O799" s="12"/>
      <c r="P799" s="12"/>
      <c r="Q799" s="12"/>
      <c r="R799" s="12"/>
      <c r="S799" s="12"/>
      <c r="T799" s="12"/>
      <c r="U799" s="12"/>
      <c r="V799" s="12"/>
      <c r="W799" s="12"/>
      <c r="X799" s="12"/>
      <c r="Y799" s="12"/>
      <c r="Z799" s="12"/>
      <c r="AA799" s="12"/>
    </row>
    <row r="800">
      <c r="A800" s="12"/>
      <c r="B800" s="12"/>
      <c r="C800" s="12"/>
      <c r="D800" s="12"/>
      <c r="E800" s="12"/>
      <c r="F800" s="12"/>
      <c r="G800" s="12"/>
      <c r="H800" s="2"/>
      <c r="I800" s="12"/>
      <c r="J800" s="12"/>
      <c r="K800" s="12"/>
      <c r="L800" s="12"/>
      <c r="M800" s="12"/>
      <c r="N800" s="12"/>
      <c r="O800" s="12"/>
      <c r="P800" s="12"/>
      <c r="Q800" s="12"/>
      <c r="R800" s="12"/>
      <c r="S800" s="12"/>
      <c r="T800" s="12"/>
      <c r="U800" s="12"/>
      <c r="V800" s="12"/>
      <c r="W800" s="12"/>
      <c r="X800" s="12"/>
      <c r="Y800" s="12"/>
      <c r="Z800" s="12"/>
      <c r="AA800" s="12"/>
    </row>
    <row r="801">
      <c r="A801" s="12"/>
      <c r="B801" s="12"/>
      <c r="C801" s="12"/>
      <c r="D801" s="12"/>
      <c r="E801" s="12"/>
      <c r="F801" s="12"/>
      <c r="G801" s="12"/>
      <c r="H801" s="2"/>
      <c r="I801" s="12"/>
      <c r="J801" s="12"/>
      <c r="K801" s="12"/>
      <c r="L801" s="12"/>
      <c r="M801" s="12"/>
      <c r="N801" s="12"/>
      <c r="O801" s="12"/>
      <c r="P801" s="12"/>
      <c r="Q801" s="12"/>
      <c r="R801" s="12"/>
      <c r="S801" s="12"/>
      <c r="T801" s="12"/>
      <c r="U801" s="12"/>
      <c r="V801" s="12"/>
      <c r="W801" s="12"/>
      <c r="X801" s="12"/>
      <c r="Y801" s="12"/>
      <c r="Z801" s="12"/>
      <c r="AA801" s="12"/>
    </row>
    <row r="802">
      <c r="A802" s="12"/>
      <c r="B802" s="12"/>
      <c r="C802" s="12"/>
      <c r="D802" s="12"/>
      <c r="E802" s="12"/>
      <c r="F802" s="12"/>
      <c r="G802" s="12"/>
      <c r="H802" s="2"/>
      <c r="I802" s="12"/>
      <c r="J802" s="12"/>
      <c r="K802" s="12"/>
      <c r="L802" s="12"/>
      <c r="M802" s="12"/>
      <c r="N802" s="12"/>
      <c r="O802" s="12"/>
      <c r="P802" s="12"/>
      <c r="Q802" s="12"/>
      <c r="R802" s="12"/>
      <c r="S802" s="12"/>
      <c r="T802" s="12"/>
      <c r="U802" s="12"/>
      <c r="V802" s="12"/>
      <c r="W802" s="12"/>
      <c r="X802" s="12"/>
      <c r="Y802" s="12"/>
      <c r="Z802" s="12"/>
      <c r="AA802" s="12"/>
    </row>
    <row r="803">
      <c r="A803" s="12"/>
      <c r="B803" s="12"/>
      <c r="C803" s="12"/>
      <c r="D803" s="12"/>
      <c r="E803" s="12"/>
      <c r="F803" s="12"/>
      <c r="G803" s="12"/>
      <c r="H803" s="2"/>
      <c r="I803" s="12"/>
      <c r="J803" s="12"/>
      <c r="K803" s="12"/>
      <c r="L803" s="12"/>
      <c r="M803" s="12"/>
      <c r="N803" s="12"/>
      <c r="O803" s="12"/>
      <c r="P803" s="12"/>
      <c r="Q803" s="12"/>
      <c r="R803" s="12"/>
      <c r="S803" s="12"/>
      <c r="T803" s="12"/>
      <c r="U803" s="12"/>
      <c r="V803" s="12"/>
      <c r="W803" s="12"/>
      <c r="X803" s="12"/>
      <c r="Y803" s="12"/>
      <c r="Z803" s="12"/>
      <c r="AA803" s="12"/>
    </row>
    <row r="804">
      <c r="A804" s="12"/>
      <c r="B804" s="12"/>
      <c r="C804" s="12"/>
      <c r="D804" s="12"/>
      <c r="E804" s="12"/>
      <c r="F804" s="12"/>
      <c r="G804" s="12"/>
      <c r="H804" s="2"/>
      <c r="I804" s="12"/>
      <c r="J804" s="12"/>
      <c r="K804" s="12"/>
      <c r="L804" s="12"/>
      <c r="M804" s="12"/>
      <c r="N804" s="12"/>
      <c r="O804" s="12"/>
      <c r="P804" s="12"/>
      <c r="Q804" s="12"/>
      <c r="R804" s="12"/>
      <c r="S804" s="12"/>
      <c r="T804" s="12"/>
      <c r="U804" s="12"/>
      <c r="V804" s="12"/>
      <c r="W804" s="12"/>
      <c r="X804" s="12"/>
      <c r="Y804" s="12"/>
      <c r="Z804" s="12"/>
      <c r="AA804" s="12"/>
    </row>
    <row r="805">
      <c r="A805" s="12"/>
      <c r="B805" s="12"/>
      <c r="C805" s="12"/>
      <c r="D805" s="12"/>
      <c r="E805" s="12"/>
      <c r="F805" s="12"/>
      <c r="G805" s="12"/>
      <c r="H805" s="2"/>
      <c r="I805" s="12"/>
      <c r="J805" s="12"/>
      <c r="K805" s="12"/>
      <c r="L805" s="12"/>
      <c r="M805" s="12"/>
      <c r="N805" s="12"/>
      <c r="O805" s="12"/>
      <c r="P805" s="12"/>
      <c r="Q805" s="12"/>
      <c r="R805" s="12"/>
      <c r="S805" s="12"/>
      <c r="T805" s="12"/>
      <c r="U805" s="12"/>
      <c r="V805" s="12"/>
      <c r="W805" s="12"/>
      <c r="X805" s="12"/>
      <c r="Y805" s="12"/>
      <c r="Z805" s="12"/>
      <c r="AA805" s="12"/>
    </row>
    <row r="806">
      <c r="A806" s="12"/>
      <c r="B806" s="12"/>
      <c r="C806" s="12"/>
      <c r="D806" s="12"/>
      <c r="E806" s="12"/>
      <c r="F806" s="12"/>
      <c r="G806" s="12"/>
      <c r="H806" s="2"/>
      <c r="I806" s="12"/>
      <c r="J806" s="12"/>
      <c r="K806" s="12"/>
      <c r="L806" s="12"/>
      <c r="M806" s="12"/>
      <c r="N806" s="12"/>
      <c r="O806" s="12"/>
      <c r="P806" s="12"/>
      <c r="Q806" s="12"/>
      <c r="R806" s="12"/>
      <c r="S806" s="12"/>
      <c r="T806" s="12"/>
      <c r="U806" s="12"/>
      <c r="V806" s="12"/>
      <c r="W806" s="12"/>
      <c r="X806" s="12"/>
      <c r="Y806" s="12"/>
      <c r="Z806" s="12"/>
      <c r="AA806" s="12"/>
    </row>
    <row r="807">
      <c r="A807" s="12"/>
      <c r="B807" s="12"/>
      <c r="C807" s="12"/>
      <c r="D807" s="12"/>
      <c r="E807" s="12"/>
      <c r="F807" s="12"/>
      <c r="G807" s="12"/>
      <c r="H807" s="2"/>
      <c r="I807" s="12"/>
      <c r="J807" s="12"/>
      <c r="K807" s="12"/>
      <c r="L807" s="12"/>
      <c r="M807" s="12"/>
      <c r="N807" s="12"/>
      <c r="O807" s="12"/>
      <c r="P807" s="12"/>
      <c r="Q807" s="12"/>
      <c r="R807" s="12"/>
      <c r="S807" s="12"/>
      <c r="T807" s="12"/>
      <c r="U807" s="12"/>
      <c r="V807" s="12"/>
      <c r="W807" s="12"/>
      <c r="X807" s="12"/>
      <c r="Y807" s="12"/>
      <c r="Z807" s="12"/>
      <c r="AA807" s="12"/>
    </row>
    <row r="808">
      <c r="A808" s="12"/>
      <c r="B808" s="12"/>
      <c r="C808" s="12"/>
      <c r="D808" s="12"/>
      <c r="E808" s="12"/>
      <c r="F808" s="12"/>
      <c r="G808" s="12"/>
      <c r="H808" s="2"/>
      <c r="I808" s="12"/>
      <c r="J808" s="12"/>
      <c r="K808" s="12"/>
      <c r="L808" s="12"/>
      <c r="M808" s="12"/>
      <c r="N808" s="12"/>
      <c r="O808" s="12"/>
      <c r="P808" s="12"/>
      <c r="Q808" s="12"/>
      <c r="R808" s="12"/>
      <c r="S808" s="12"/>
      <c r="T808" s="12"/>
      <c r="U808" s="12"/>
      <c r="V808" s="12"/>
      <c r="W808" s="12"/>
      <c r="X808" s="12"/>
      <c r="Y808" s="12"/>
      <c r="Z808" s="12"/>
      <c r="AA808" s="12"/>
    </row>
    <row r="809">
      <c r="A809" s="12"/>
      <c r="B809" s="12"/>
      <c r="C809" s="12"/>
      <c r="D809" s="12"/>
      <c r="E809" s="12"/>
      <c r="F809" s="12"/>
      <c r="G809" s="12"/>
      <c r="H809" s="2"/>
      <c r="I809" s="12"/>
      <c r="J809" s="12"/>
      <c r="K809" s="12"/>
      <c r="L809" s="12"/>
      <c r="M809" s="12"/>
      <c r="N809" s="12"/>
      <c r="O809" s="12"/>
      <c r="P809" s="12"/>
      <c r="Q809" s="12"/>
      <c r="R809" s="12"/>
      <c r="S809" s="12"/>
      <c r="T809" s="12"/>
      <c r="U809" s="12"/>
      <c r="V809" s="12"/>
      <c r="W809" s="12"/>
      <c r="X809" s="12"/>
      <c r="Y809" s="12"/>
      <c r="Z809" s="12"/>
      <c r="AA809" s="12"/>
    </row>
    <row r="810">
      <c r="A810" s="12"/>
      <c r="B810" s="12"/>
      <c r="C810" s="12"/>
      <c r="D810" s="12"/>
      <c r="E810" s="12"/>
      <c r="F810" s="12"/>
      <c r="G810" s="12"/>
      <c r="H810" s="2"/>
      <c r="I810" s="12"/>
      <c r="J810" s="12"/>
      <c r="K810" s="12"/>
      <c r="L810" s="12"/>
      <c r="M810" s="12"/>
      <c r="N810" s="12"/>
      <c r="O810" s="12"/>
      <c r="P810" s="12"/>
      <c r="Q810" s="12"/>
      <c r="R810" s="12"/>
      <c r="S810" s="12"/>
      <c r="T810" s="12"/>
      <c r="U810" s="12"/>
      <c r="V810" s="12"/>
      <c r="W810" s="12"/>
      <c r="X810" s="12"/>
      <c r="Y810" s="12"/>
      <c r="Z810" s="12"/>
      <c r="AA810" s="12"/>
    </row>
    <row r="811">
      <c r="A811" s="12"/>
      <c r="B811" s="12"/>
      <c r="C811" s="12"/>
      <c r="D811" s="12"/>
      <c r="E811" s="12"/>
      <c r="F811" s="12"/>
      <c r="G811" s="12"/>
      <c r="H811" s="2"/>
      <c r="I811" s="12"/>
      <c r="J811" s="12"/>
      <c r="K811" s="12"/>
      <c r="L811" s="12"/>
      <c r="M811" s="12"/>
      <c r="N811" s="12"/>
      <c r="O811" s="12"/>
      <c r="P811" s="12"/>
      <c r="Q811" s="12"/>
      <c r="R811" s="12"/>
      <c r="S811" s="12"/>
      <c r="T811" s="12"/>
      <c r="U811" s="12"/>
      <c r="V811" s="12"/>
      <c r="W811" s="12"/>
      <c r="X811" s="12"/>
      <c r="Y811" s="12"/>
      <c r="Z811" s="12"/>
      <c r="AA811" s="12"/>
    </row>
    <row r="812">
      <c r="A812" s="12"/>
      <c r="B812" s="12"/>
      <c r="C812" s="12"/>
      <c r="D812" s="12"/>
      <c r="E812" s="12"/>
      <c r="F812" s="12"/>
      <c r="G812" s="12"/>
      <c r="H812" s="2"/>
      <c r="I812" s="12"/>
      <c r="J812" s="12"/>
      <c r="K812" s="12"/>
      <c r="L812" s="12"/>
      <c r="M812" s="12"/>
      <c r="N812" s="12"/>
      <c r="O812" s="12"/>
      <c r="P812" s="12"/>
      <c r="Q812" s="12"/>
      <c r="R812" s="12"/>
      <c r="S812" s="12"/>
      <c r="T812" s="12"/>
      <c r="U812" s="12"/>
      <c r="V812" s="12"/>
      <c r="W812" s="12"/>
      <c r="X812" s="12"/>
      <c r="Y812" s="12"/>
      <c r="Z812" s="12"/>
      <c r="AA812" s="12"/>
    </row>
    <row r="813">
      <c r="A813" s="12"/>
      <c r="B813" s="12"/>
      <c r="C813" s="12"/>
      <c r="D813" s="12"/>
      <c r="E813" s="12"/>
      <c r="F813" s="12"/>
      <c r="G813" s="12"/>
      <c r="H813" s="2"/>
      <c r="I813" s="12"/>
      <c r="J813" s="12"/>
      <c r="K813" s="12"/>
      <c r="L813" s="12"/>
      <c r="M813" s="12"/>
      <c r="N813" s="12"/>
      <c r="O813" s="12"/>
      <c r="P813" s="12"/>
      <c r="Q813" s="12"/>
      <c r="R813" s="12"/>
      <c r="S813" s="12"/>
      <c r="T813" s="12"/>
      <c r="U813" s="12"/>
      <c r="V813" s="12"/>
      <c r="W813" s="12"/>
      <c r="X813" s="12"/>
      <c r="Y813" s="12"/>
      <c r="Z813" s="12"/>
      <c r="AA813" s="12"/>
    </row>
    <row r="814">
      <c r="A814" s="12"/>
      <c r="B814" s="12"/>
      <c r="C814" s="12"/>
      <c r="D814" s="12"/>
      <c r="E814" s="12"/>
      <c r="F814" s="12"/>
      <c r="G814" s="12"/>
      <c r="H814" s="2"/>
      <c r="I814" s="12"/>
      <c r="J814" s="12"/>
      <c r="K814" s="12"/>
      <c r="L814" s="12"/>
      <c r="M814" s="12"/>
      <c r="N814" s="12"/>
      <c r="O814" s="12"/>
      <c r="P814" s="12"/>
      <c r="Q814" s="12"/>
      <c r="R814" s="12"/>
      <c r="S814" s="12"/>
      <c r="T814" s="12"/>
      <c r="U814" s="12"/>
      <c r="V814" s="12"/>
      <c r="W814" s="12"/>
      <c r="X814" s="12"/>
      <c r="Y814" s="12"/>
      <c r="Z814" s="12"/>
      <c r="AA814" s="12"/>
    </row>
    <row r="815">
      <c r="A815" s="12"/>
      <c r="B815" s="12"/>
      <c r="C815" s="12"/>
      <c r="D815" s="12"/>
      <c r="E815" s="12"/>
      <c r="F815" s="12"/>
      <c r="G815" s="12"/>
      <c r="H815" s="2"/>
      <c r="I815" s="12"/>
      <c r="J815" s="12"/>
      <c r="K815" s="12"/>
      <c r="L815" s="12"/>
      <c r="M815" s="12"/>
      <c r="N815" s="12"/>
      <c r="O815" s="12"/>
      <c r="P815" s="12"/>
      <c r="Q815" s="12"/>
      <c r="R815" s="12"/>
      <c r="S815" s="12"/>
      <c r="T815" s="12"/>
      <c r="U815" s="12"/>
      <c r="V815" s="12"/>
      <c r="W815" s="12"/>
      <c r="X815" s="12"/>
      <c r="Y815" s="12"/>
      <c r="Z815" s="12"/>
      <c r="AA815" s="12"/>
    </row>
    <row r="816">
      <c r="A816" s="12"/>
      <c r="B816" s="12"/>
      <c r="C816" s="12"/>
      <c r="D816" s="12"/>
      <c r="E816" s="12"/>
      <c r="F816" s="12"/>
      <c r="G816" s="12"/>
      <c r="H816" s="2"/>
      <c r="I816" s="12"/>
      <c r="J816" s="12"/>
      <c r="K816" s="12"/>
      <c r="L816" s="12"/>
      <c r="M816" s="12"/>
      <c r="N816" s="12"/>
      <c r="O816" s="12"/>
      <c r="P816" s="12"/>
      <c r="Q816" s="12"/>
      <c r="R816" s="12"/>
      <c r="S816" s="12"/>
      <c r="T816" s="12"/>
      <c r="U816" s="12"/>
      <c r="V816" s="12"/>
      <c r="W816" s="12"/>
      <c r="X816" s="12"/>
      <c r="Y816" s="12"/>
      <c r="Z816" s="12"/>
      <c r="AA816" s="12"/>
    </row>
    <row r="817">
      <c r="A817" s="12"/>
      <c r="B817" s="12"/>
      <c r="C817" s="12"/>
      <c r="D817" s="12"/>
      <c r="E817" s="12"/>
      <c r="F817" s="12"/>
      <c r="G817" s="12"/>
      <c r="H817" s="2"/>
      <c r="I817" s="12"/>
      <c r="J817" s="12"/>
      <c r="K817" s="12"/>
      <c r="L817" s="12"/>
      <c r="M817" s="12"/>
      <c r="N817" s="12"/>
      <c r="O817" s="12"/>
      <c r="P817" s="12"/>
      <c r="Q817" s="12"/>
      <c r="R817" s="12"/>
      <c r="S817" s="12"/>
      <c r="T817" s="12"/>
      <c r="U817" s="12"/>
      <c r="V817" s="12"/>
      <c r="W817" s="12"/>
      <c r="X817" s="12"/>
      <c r="Y817" s="12"/>
      <c r="Z817" s="12"/>
      <c r="AA817" s="12"/>
    </row>
    <row r="818">
      <c r="A818" s="12"/>
      <c r="B818" s="12"/>
      <c r="C818" s="12"/>
      <c r="D818" s="12"/>
      <c r="E818" s="12"/>
      <c r="F818" s="12"/>
      <c r="G818" s="12"/>
      <c r="H818" s="2"/>
      <c r="I818" s="12"/>
      <c r="J818" s="12"/>
      <c r="K818" s="12"/>
      <c r="L818" s="12"/>
      <c r="M818" s="12"/>
      <c r="N818" s="12"/>
      <c r="O818" s="12"/>
      <c r="P818" s="12"/>
      <c r="Q818" s="12"/>
      <c r="R818" s="12"/>
      <c r="S818" s="12"/>
      <c r="T818" s="12"/>
      <c r="U818" s="12"/>
      <c r="V818" s="12"/>
      <c r="W818" s="12"/>
      <c r="X818" s="12"/>
      <c r="Y818" s="12"/>
      <c r="Z818" s="12"/>
      <c r="AA818" s="12"/>
    </row>
    <row r="819">
      <c r="A819" s="12"/>
      <c r="B819" s="12"/>
      <c r="C819" s="12"/>
      <c r="D819" s="12"/>
      <c r="E819" s="12"/>
      <c r="F819" s="12"/>
      <c r="G819" s="12"/>
      <c r="H819" s="2"/>
      <c r="I819" s="12"/>
      <c r="J819" s="12"/>
      <c r="K819" s="12"/>
      <c r="L819" s="12"/>
      <c r="M819" s="12"/>
      <c r="N819" s="12"/>
      <c r="O819" s="12"/>
      <c r="P819" s="12"/>
      <c r="Q819" s="12"/>
      <c r="R819" s="12"/>
      <c r="S819" s="12"/>
      <c r="T819" s="12"/>
      <c r="U819" s="12"/>
      <c r="V819" s="12"/>
      <c r="W819" s="12"/>
      <c r="X819" s="12"/>
      <c r="Y819" s="12"/>
      <c r="Z819" s="12"/>
      <c r="AA819" s="12"/>
    </row>
    <row r="820">
      <c r="A820" s="12"/>
      <c r="B820" s="12"/>
      <c r="C820" s="12"/>
      <c r="D820" s="12"/>
      <c r="E820" s="12"/>
      <c r="F820" s="12"/>
      <c r="G820" s="12"/>
      <c r="H820" s="2"/>
      <c r="I820" s="12"/>
      <c r="J820" s="12"/>
      <c r="K820" s="12"/>
      <c r="L820" s="12"/>
      <c r="M820" s="12"/>
      <c r="N820" s="12"/>
      <c r="O820" s="12"/>
      <c r="P820" s="12"/>
      <c r="Q820" s="12"/>
      <c r="R820" s="12"/>
      <c r="S820" s="12"/>
      <c r="T820" s="12"/>
      <c r="U820" s="12"/>
      <c r="V820" s="12"/>
      <c r="W820" s="12"/>
      <c r="X820" s="12"/>
      <c r="Y820" s="12"/>
      <c r="Z820" s="12"/>
      <c r="AA820" s="12"/>
    </row>
    <row r="821">
      <c r="A821" s="12"/>
      <c r="B821" s="12"/>
      <c r="C821" s="12"/>
      <c r="D821" s="12"/>
      <c r="E821" s="12"/>
      <c r="F821" s="12"/>
      <c r="G821" s="12"/>
      <c r="H821" s="2"/>
      <c r="I821" s="12"/>
      <c r="J821" s="12"/>
      <c r="K821" s="12"/>
      <c r="L821" s="12"/>
      <c r="M821" s="12"/>
      <c r="N821" s="12"/>
      <c r="O821" s="12"/>
      <c r="P821" s="12"/>
      <c r="Q821" s="12"/>
      <c r="R821" s="12"/>
      <c r="S821" s="12"/>
      <c r="T821" s="12"/>
      <c r="U821" s="12"/>
      <c r="V821" s="12"/>
      <c r="W821" s="12"/>
      <c r="X821" s="12"/>
      <c r="Y821" s="12"/>
      <c r="Z821" s="12"/>
      <c r="AA821" s="12"/>
    </row>
    <row r="822">
      <c r="A822" s="12"/>
      <c r="B822" s="12"/>
      <c r="C822" s="12"/>
      <c r="D822" s="12"/>
      <c r="E822" s="12"/>
      <c r="F822" s="12"/>
      <c r="G822" s="12"/>
      <c r="H822" s="2"/>
      <c r="I822" s="12"/>
      <c r="J822" s="12"/>
      <c r="K822" s="12"/>
      <c r="L822" s="12"/>
      <c r="M822" s="12"/>
      <c r="N822" s="12"/>
      <c r="O822" s="12"/>
      <c r="P822" s="12"/>
      <c r="Q822" s="12"/>
      <c r="R822" s="12"/>
      <c r="S822" s="12"/>
      <c r="T822" s="12"/>
      <c r="U822" s="12"/>
      <c r="V822" s="12"/>
      <c r="W822" s="12"/>
      <c r="X822" s="12"/>
      <c r="Y822" s="12"/>
      <c r="Z822" s="12"/>
      <c r="AA822" s="12"/>
    </row>
    <row r="823">
      <c r="A823" s="12"/>
      <c r="B823" s="12"/>
      <c r="C823" s="12"/>
      <c r="D823" s="12"/>
      <c r="E823" s="12"/>
      <c r="F823" s="12"/>
      <c r="G823" s="12"/>
      <c r="H823" s="2"/>
      <c r="I823" s="12"/>
      <c r="J823" s="12"/>
      <c r="K823" s="12"/>
      <c r="L823" s="12"/>
      <c r="M823" s="12"/>
      <c r="N823" s="12"/>
      <c r="O823" s="12"/>
      <c r="P823" s="12"/>
      <c r="Q823" s="12"/>
      <c r="R823" s="12"/>
      <c r="S823" s="12"/>
      <c r="T823" s="12"/>
      <c r="U823" s="12"/>
      <c r="V823" s="12"/>
      <c r="W823" s="12"/>
      <c r="X823" s="12"/>
      <c r="Y823" s="12"/>
      <c r="Z823" s="12"/>
      <c r="AA823" s="12"/>
    </row>
    <row r="824">
      <c r="A824" s="12"/>
      <c r="B824" s="12"/>
      <c r="C824" s="12"/>
      <c r="D824" s="12"/>
      <c r="E824" s="12"/>
      <c r="F824" s="12"/>
      <c r="G824" s="12"/>
      <c r="H824" s="2"/>
      <c r="I824" s="12"/>
      <c r="J824" s="12"/>
      <c r="K824" s="12"/>
      <c r="L824" s="12"/>
      <c r="M824" s="12"/>
      <c r="N824" s="12"/>
      <c r="O824" s="12"/>
      <c r="P824" s="12"/>
      <c r="Q824" s="12"/>
      <c r="R824" s="12"/>
      <c r="S824" s="12"/>
      <c r="T824" s="12"/>
      <c r="U824" s="12"/>
      <c r="V824" s="12"/>
      <c r="W824" s="12"/>
      <c r="X824" s="12"/>
      <c r="Y824" s="12"/>
      <c r="Z824" s="12"/>
      <c r="AA824" s="12"/>
    </row>
    <row r="825">
      <c r="A825" s="12"/>
      <c r="B825" s="12"/>
      <c r="C825" s="12"/>
      <c r="D825" s="12"/>
      <c r="E825" s="12"/>
      <c r="F825" s="12"/>
      <c r="G825" s="12"/>
      <c r="H825" s="2"/>
      <c r="I825" s="12"/>
      <c r="J825" s="12"/>
      <c r="K825" s="12"/>
      <c r="L825" s="12"/>
      <c r="M825" s="12"/>
      <c r="N825" s="12"/>
      <c r="O825" s="12"/>
      <c r="P825" s="12"/>
      <c r="Q825" s="12"/>
      <c r="R825" s="12"/>
      <c r="S825" s="12"/>
      <c r="T825" s="12"/>
      <c r="U825" s="12"/>
      <c r="V825" s="12"/>
      <c r="W825" s="12"/>
      <c r="X825" s="12"/>
      <c r="Y825" s="12"/>
      <c r="Z825" s="12"/>
      <c r="AA825" s="12"/>
    </row>
    <row r="826">
      <c r="A826" s="12"/>
      <c r="B826" s="12"/>
      <c r="C826" s="12"/>
      <c r="D826" s="12"/>
      <c r="E826" s="12"/>
      <c r="F826" s="12"/>
      <c r="G826" s="12"/>
      <c r="H826" s="2"/>
      <c r="I826" s="12"/>
      <c r="J826" s="12"/>
      <c r="K826" s="12"/>
      <c r="L826" s="12"/>
      <c r="M826" s="12"/>
      <c r="N826" s="12"/>
      <c r="O826" s="12"/>
      <c r="P826" s="12"/>
      <c r="Q826" s="12"/>
      <c r="R826" s="12"/>
      <c r="S826" s="12"/>
      <c r="T826" s="12"/>
      <c r="U826" s="12"/>
      <c r="V826" s="12"/>
      <c r="W826" s="12"/>
      <c r="X826" s="12"/>
      <c r="Y826" s="12"/>
      <c r="Z826" s="12"/>
      <c r="AA826" s="12"/>
    </row>
    <row r="827">
      <c r="A827" s="12"/>
      <c r="B827" s="12"/>
      <c r="C827" s="12"/>
      <c r="D827" s="12"/>
      <c r="E827" s="12"/>
      <c r="F827" s="12"/>
      <c r="G827" s="12"/>
      <c r="H827" s="2"/>
      <c r="I827" s="12"/>
      <c r="J827" s="12"/>
      <c r="K827" s="12"/>
      <c r="L827" s="12"/>
      <c r="M827" s="12"/>
      <c r="N827" s="12"/>
      <c r="O827" s="12"/>
      <c r="P827" s="12"/>
      <c r="Q827" s="12"/>
      <c r="R827" s="12"/>
      <c r="S827" s="12"/>
      <c r="T827" s="12"/>
      <c r="U827" s="12"/>
      <c r="V827" s="12"/>
      <c r="W827" s="12"/>
      <c r="X827" s="12"/>
      <c r="Y827" s="12"/>
      <c r="Z827" s="12"/>
      <c r="AA827" s="12"/>
    </row>
    <row r="828">
      <c r="A828" s="12"/>
      <c r="B828" s="12"/>
      <c r="C828" s="12"/>
      <c r="D828" s="12"/>
      <c r="E828" s="12"/>
      <c r="F828" s="12"/>
      <c r="G828" s="12"/>
      <c r="H828" s="2"/>
      <c r="I828" s="12"/>
      <c r="J828" s="12"/>
      <c r="K828" s="12"/>
      <c r="L828" s="12"/>
      <c r="M828" s="12"/>
      <c r="N828" s="12"/>
      <c r="O828" s="12"/>
      <c r="P828" s="12"/>
      <c r="Q828" s="12"/>
      <c r="R828" s="12"/>
      <c r="S828" s="12"/>
      <c r="T828" s="12"/>
      <c r="U828" s="12"/>
      <c r="V828" s="12"/>
      <c r="W828" s="12"/>
      <c r="X828" s="12"/>
      <c r="Y828" s="12"/>
      <c r="Z828" s="12"/>
      <c r="AA828" s="12"/>
    </row>
    <row r="829">
      <c r="A829" s="12"/>
      <c r="B829" s="12"/>
      <c r="C829" s="12"/>
      <c r="D829" s="12"/>
      <c r="E829" s="12"/>
      <c r="F829" s="12"/>
      <c r="G829" s="12"/>
      <c r="H829" s="2"/>
      <c r="I829" s="12"/>
      <c r="J829" s="12"/>
      <c r="K829" s="12"/>
      <c r="L829" s="12"/>
      <c r="M829" s="12"/>
      <c r="N829" s="12"/>
      <c r="O829" s="12"/>
      <c r="P829" s="12"/>
      <c r="Q829" s="12"/>
      <c r="R829" s="12"/>
      <c r="S829" s="12"/>
      <c r="T829" s="12"/>
      <c r="U829" s="12"/>
      <c r="V829" s="12"/>
      <c r="W829" s="12"/>
      <c r="X829" s="12"/>
      <c r="Y829" s="12"/>
      <c r="Z829" s="12"/>
      <c r="AA829" s="12"/>
    </row>
    <row r="830">
      <c r="A830" s="12"/>
      <c r="B830" s="12"/>
      <c r="C830" s="12"/>
      <c r="D830" s="12"/>
      <c r="E830" s="12"/>
      <c r="F830" s="12"/>
      <c r="G830" s="12"/>
      <c r="H830" s="2"/>
      <c r="I830" s="12"/>
      <c r="J830" s="12"/>
      <c r="K830" s="12"/>
      <c r="L830" s="12"/>
      <c r="M830" s="12"/>
      <c r="N830" s="12"/>
      <c r="O830" s="12"/>
      <c r="P830" s="12"/>
      <c r="Q830" s="12"/>
      <c r="R830" s="12"/>
      <c r="S830" s="12"/>
      <c r="T830" s="12"/>
      <c r="U830" s="12"/>
      <c r="V830" s="12"/>
      <c r="W830" s="12"/>
      <c r="X830" s="12"/>
      <c r="Y830" s="12"/>
      <c r="Z830" s="12"/>
      <c r="AA830" s="12"/>
    </row>
    <row r="831">
      <c r="A831" s="12"/>
      <c r="B831" s="12"/>
      <c r="C831" s="12"/>
      <c r="D831" s="12"/>
      <c r="E831" s="12"/>
      <c r="F831" s="12"/>
      <c r="G831" s="12"/>
      <c r="H831" s="2"/>
      <c r="I831" s="12"/>
      <c r="J831" s="12"/>
      <c r="K831" s="12"/>
      <c r="L831" s="12"/>
      <c r="M831" s="12"/>
      <c r="N831" s="12"/>
      <c r="O831" s="12"/>
      <c r="P831" s="12"/>
      <c r="Q831" s="12"/>
      <c r="R831" s="12"/>
      <c r="S831" s="12"/>
      <c r="T831" s="12"/>
      <c r="U831" s="12"/>
      <c r="V831" s="12"/>
      <c r="W831" s="12"/>
      <c r="X831" s="12"/>
      <c r="Y831" s="12"/>
      <c r="Z831" s="12"/>
      <c r="AA831" s="12"/>
    </row>
    <row r="832">
      <c r="A832" s="12"/>
      <c r="B832" s="12"/>
      <c r="C832" s="12"/>
      <c r="D832" s="12"/>
      <c r="E832" s="12"/>
      <c r="F832" s="12"/>
      <c r="G832" s="12"/>
      <c r="H832" s="2"/>
      <c r="I832" s="12"/>
      <c r="J832" s="12"/>
      <c r="K832" s="12"/>
      <c r="L832" s="12"/>
      <c r="M832" s="12"/>
      <c r="N832" s="12"/>
      <c r="O832" s="12"/>
      <c r="P832" s="12"/>
      <c r="Q832" s="12"/>
      <c r="R832" s="12"/>
      <c r="S832" s="12"/>
      <c r="T832" s="12"/>
      <c r="U832" s="12"/>
      <c r="V832" s="12"/>
      <c r="W832" s="12"/>
      <c r="X832" s="12"/>
      <c r="Y832" s="12"/>
      <c r="Z832" s="12"/>
      <c r="AA832" s="12"/>
    </row>
    <row r="833">
      <c r="A833" s="12"/>
      <c r="B833" s="12"/>
      <c r="C833" s="12"/>
      <c r="D833" s="12"/>
      <c r="E833" s="12"/>
      <c r="F833" s="12"/>
      <c r="G833" s="12"/>
      <c r="H833" s="2"/>
      <c r="I833" s="12"/>
      <c r="J833" s="12"/>
      <c r="K833" s="12"/>
      <c r="L833" s="12"/>
      <c r="M833" s="12"/>
      <c r="N833" s="12"/>
      <c r="O833" s="12"/>
      <c r="P833" s="12"/>
      <c r="Q833" s="12"/>
      <c r="R833" s="12"/>
      <c r="S833" s="12"/>
      <c r="T833" s="12"/>
      <c r="U833" s="12"/>
      <c r="V833" s="12"/>
      <c r="W833" s="12"/>
      <c r="X833" s="12"/>
      <c r="Y833" s="12"/>
      <c r="Z833" s="12"/>
      <c r="AA833" s="12"/>
    </row>
    <row r="834">
      <c r="A834" s="12"/>
      <c r="B834" s="12"/>
      <c r="C834" s="12"/>
      <c r="D834" s="12"/>
      <c r="E834" s="12"/>
      <c r="F834" s="12"/>
      <c r="G834" s="12"/>
      <c r="H834" s="2"/>
      <c r="I834" s="12"/>
      <c r="J834" s="12"/>
      <c r="K834" s="12"/>
      <c r="L834" s="12"/>
      <c r="M834" s="12"/>
      <c r="N834" s="12"/>
      <c r="O834" s="12"/>
      <c r="P834" s="12"/>
      <c r="Q834" s="12"/>
      <c r="R834" s="12"/>
      <c r="S834" s="12"/>
      <c r="T834" s="12"/>
      <c r="U834" s="12"/>
      <c r="V834" s="12"/>
      <c r="W834" s="12"/>
      <c r="X834" s="12"/>
      <c r="Y834" s="12"/>
      <c r="Z834" s="12"/>
      <c r="AA834" s="12"/>
    </row>
    <row r="835">
      <c r="A835" s="12"/>
      <c r="B835" s="12"/>
      <c r="C835" s="12"/>
      <c r="D835" s="12"/>
      <c r="E835" s="12"/>
      <c r="F835" s="12"/>
      <c r="G835" s="12"/>
      <c r="H835" s="2"/>
      <c r="I835" s="12"/>
      <c r="J835" s="12"/>
      <c r="K835" s="12"/>
      <c r="L835" s="12"/>
      <c r="M835" s="12"/>
      <c r="N835" s="12"/>
      <c r="O835" s="12"/>
      <c r="P835" s="12"/>
      <c r="Q835" s="12"/>
      <c r="R835" s="12"/>
      <c r="S835" s="12"/>
      <c r="T835" s="12"/>
      <c r="U835" s="12"/>
      <c r="V835" s="12"/>
      <c r="W835" s="12"/>
      <c r="X835" s="12"/>
      <c r="Y835" s="12"/>
      <c r="Z835" s="12"/>
      <c r="AA835" s="12"/>
    </row>
    <row r="836">
      <c r="A836" s="12"/>
      <c r="B836" s="12"/>
      <c r="C836" s="12"/>
      <c r="D836" s="12"/>
      <c r="E836" s="12"/>
      <c r="F836" s="12"/>
      <c r="G836" s="12"/>
      <c r="H836" s="2"/>
      <c r="I836" s="12"/>
      <c r="J836" s="12"/>
      <c r="K836" s="12"/>
      <c r="L836" s="12"/>
      <c r="M836" s="12"/>
      <c r="N836" s="12"/>
      <c r="O836" s="12"/>
      <c r="P836" s="12"/>
      <c r="Q836" s="12"/>
      <c r="R836" s="12"/>
      <c r="S836" s="12"/>
      <c r="T836" s="12"/>
      <c r="U836" s="12"/>
      <c r="V836" s="12"/>
      <c r="W836" s="12"/>
      <c r="X836" s="12"/>
      <c r="Y836" s="12"/>
      <c r="Z836" s="12"/>
      <c r="AA836" s="12"/>
    </row>
    <row r="837">
      <c r="A837" s="12"/>
      <c r="B837" s="12"/>
      <c r="C837" s="12"/>
      <c r="D837" s="12"/>
      <c r="E837" s="12"/>
      <c r="F837" s="12"/>
      <c r="G837" s="12"/>
      <c r="H837" s="2"/>
      <c r="I837" s="12"/>
      <c r="J837" s="12"/>
      <c r="K837" s="12"/>
      <c r="L837" s="12"/>
      <c r="M837" s="12"/>
      <c r="N837" s="12"/>
      <c r="O837" s="12"/>
      <c r="P837" s="12"/>
      <c r="Q837" s="12"/>
      <c r="R837" s="12"/>
      <c r="S837" s="12"/>
      <c r="T837" s="12"/>
      <c r="U837" s="12"/>
      <c r="V837" s="12"/>
      <c r="W837" s="12"/>
      <c r="X837" s="12"/>
      <c r="Y837" s="12"/>
      <c r="Z837" s="12"/>
      <c r="AA837" s="12"/>
    </row>
    <row r="838">
      <c r="A838" s="12"/>
      <c r="B838" s="12"/>
      <c r="C838" s="12"/>
      <c r="D838" s="12"/>
      <c r="E838" s="12"/>
      <c r="F838" s="12"/>
      <c r="G838" s="12"/>
      <c r="H838" s="2"/>
      <c r="I838" s="12"/>
      <c r="J838" s="12"/>
      <c r="K838" s="12"/>
      <c r="L838" s="12"/>
      <c r="M838" s="12"/>
      <c r="N838" s="12"/>
      <c r="O838" s="12"/>
      <c r="P838" s="12"/>
      <c r="Q838" s="12"/>
      <c r="R838" s="12"/>
      <c r="S838" s="12"/>
      <c r="T838" s="12"/>
      <c r="U838" s="12"/>
      <c r="V838" s="12"/>
      <c r="W838" s="12"/>
      <c r="X838" s="12"/>
      <c r="Y838" s="12"/>
      <c r="Z838" s="12"/>
      <c r="AA838" s="12"/>
    </row>
    <row r="839">
      <c r="A839" s="12"/>
      <c r="B839" s="12"/>
      <c r="C839" s="12"/>
      <c r="D839" s="12"/>
      <c r="E839" s="12"/>
      <c r="F839" s="12"/>
      <c r="G839" s="12"/>
      <c r="H839" s="2"/>
      <c r="I839" s="12"/>
      <c r="J839" s="12"/>
      <c r="K839" s="12"/>
      <c r="L839" s="12"/>
      <c r="M839" s="12"/>
      <c r="N839" s="12"/>
      <c r="O839" s="12"/>
      <c r="P839" s="12"/>
      <c r="Q839" s="12"/>
      <c r="R839" s="12"/>
      <c r="S839" s="12"/>
      <c r="T839" s="12"/>
      <c r="U839" s="12"/>
      <c r="V839" s="12"/>
      <c r="W839" s="12"/>
      <c r="X839" s="12"/>
      <c r="Y839" s="12"/>
      <c r="Z839" s="12"/>
      <c r="AA839" s="12"/>
    </row>
    <row r="840">
      <c r="A840" s="12"/>
      <c r="B840" s="12"/>
      <c r="C840" s="12"/>
      <c r="D840" s="12"/>
      <c r="E840" s="12"/>
      <c r="F840" s="12"/>
      <c r="G840" s="12"/>
      <c r="H840" s="2"/>
      <c r="I840" s="12"/>
      <c r="J840" s="12"/>
      <c r="K840" s="12"/>
      <c r="L840" s="12"/>
      <c r="M840" s="12"/>
      <c r="N840" s="12"/>
      <c r="O840" s="12"/>
      <c r="P840" s="12"/>
      <c r="Q840" s="12"/>
      <c r="R840" s="12"/>
      <c r="S840" s="12"/>
      <c r="T840" s="12"/>
      <c r="U840" s="12"/>
      <c r="V840" s="12"/>
      <c r="W840" s="12"/>
      <c r="X840" s="12"/>
      <c r="Y840" s="12"/>
      <c r="Z840" s="12"/>
      <c r="AA840" s="12"/>
    </row>
    <row r="841">
      <c r="A841" s="12"/>
      <c r="B841" s="12"/>
      <c r="C841" s="12"/>
      <c r="D841" s="12"/>
      <c r="E841" s="12"/>
      <c r="F841" s="12"/>
      <c r="G841" s="12"/>
      <c r="H841" s="2"/>
      <c r="I841" s="12"/>
      <c r="J841" s="12"/>
      <c r="K841" s="12"/>
      <c r="L841" s="12"/>
      <c r="M841" s="12"/>
      <c r="N841" s="12"/>
      <c r="O841" s="12"/>
      <c r="P841" s="12"/>
      <c r="Q841" s="12"/>
      <c r="R841" s="12"/>
      <c r="S841" s="12"/>
      <c r="T841" s="12"/>
      <c r="U841" s="12"/>
      <c r="V841" s="12"/>
      <c r="W841" s="12"/>
      <c r="X841" s="12"/>
      <c r="Y841" s="12"/>
      <c r="Z841" s="12"/>
      <c r="AA841" s="12"/>
    </row>
    <row r="842">
      <c r="A842" s="12"/>
      <c r="B842" s="12"/>
      <c r="C842" s="12"/>
      <c r="D842" s="12"/>
      <c r="E842" s="12"/>
      <c r="F842" s="12"/>
      <c r="G842" s="12"/>
      <c r="H842" s="2"/>
      <c r="I842" s="12"/>
      <c r="J842" s="12"/>
      <c r="K842" s="12"/>
      <c r="L842" s="12"/>
      <c r="M842" s="12"/>
      <c r="N842" s="12"/>
      <c r="O842" s="12"/>
      <c r="P842" s="12"/>
      <c r="Q842" s="12"/>
      <c r="R842" s="12"/>
      <c r="S842" s="12"/>
      <c r="T842" s="12"/>
      <c r="U842" s="12"/>
      <c r="V842" s="12"/>
      <c r="W842" s="12"/>
      <c r="X842" s="12"/>
      <c r="Y842" s="12"/>
      <c r="Z842" s="12"/>
      <c r="AA842" s="12"/>
    </row>
    <row r="843">
      <c r="A843" s="12"/>
      <c r="B843" s="12"/>
      <c r="C843" s="12"/>
      <c r="D843" s="12"/>
      <c r="E843" s="12"/>
      <c r="F843" s="12"/>
      <c r="G843" s="12"/>
      <c r="H843" s="2"/>
      <c r="I843" s="12"/>
      <c r="J843" s="12"/>
      <c r="K843" s="12"/>
      <c r="L843" s="12"/>
      <c r="M843" s="12"/>
      <c r="N843" s="12"/>
      <c r="O843" s="12"/>
      <c r="P843" s="12"/>
      <c r="Q843" s="12"/>
      <c r="R843" s="12"/>
      <c r="S843" s="12"/>
      <c r="T843" s="12"/>
      <c r="U843" s="12"/>
      <c r="V843" s="12"/>
      <c r="W843" s="12"/>
      <c r="X843" s="12"/>
      <c r="Y843" s="12"/>
      <c r="Z843" s="12"/>
      <c r="AA843" s="12"/>
    </row>
    <row r="844">
      <c r="A844" s="12"/>
      <c r="B844" s="12"/>
      <c r="C844" s="12"/>
      <c r="D844" s="12"/>
      <c r="E844" s="12"/>
      <c r="F844" s="12"/>
      <c r="G844" s="12"/>
      <c r="H844" s="2"/>
      <c r="I844" s="12"/>
      <c r="J844" s="12"/>
      <c r="K844" s="12"/>
      <c r="L844" s="12"/>
      <c r="M844" s="12"/>
      <c r="N844" s="12"/>
      <c r="O844" s="12"/>
      <c r="P844" s="12"/>
      <c r="Q844" s="12"/>
      <c r="R844" s="12"/>
      <c r="S844" s="12"/>
      <c r="T844" s="12"/>
      <c r="U844" s="12"/>
      <c r="V844" s="12"/>
      <c r="W844" s="12"/>
      <c r="X844" s="12"/>
      <c r="Y844" s="12"/>
      <c r="Z844" s="12"/>
      <c r="AA844" s="12"/>
    </row>
    <row r="845">
      <c r="A845" s="12"/>
      <c r="B845" s="12"/>
      <c r="C845" s="12"/>
      <c r="D845" s="12"/>
      <c r="E845" s="12"/>
      <c r="F845" s="12"/>
      <c r="G845" s="12"/>
      <c r="H845" s="2"/>
      <c r="I845" s="12"/>
      <c r="J845" s="12"/>
      <c r="K845" s="12"/>
      <c r="L845" s="12"/>
      <c r="M845" s="12"/>
      <c r="N845" s="12"/>
      <c r="O845" s="12"/>
      <c r="P845" s="12"/>
      <c r="Q845" s="12"/>
      <c r="R845" s="12"/>
      <c r="S845" s="12"/>
      <c r="T845" s="12"/>
      <c r="U845" s="12"/>
      <c r="V845" s="12"/>
      <c r="W845" s="12"/>
      <c r="X845" s="12"/>
      <c r="Y845" s="12"/>
      <c r="Z845" s="12"/>
      <c r="AA845" s="12"/>
    </row>
    <row r="846">
      <c r="A846" s="12"/>
      <c r="B846" s="12"/>
      <c r="C846" s="12"/>
      <c r="D846" s="12"/>
      <c r="E846" s="12"/>
      <c r="F846" s="12"/>
      <c r="G846" s="12"/>
      <c r="H846" s="2"/>
      <c r="I846" s="12"/>
      <c r="J846" s="12"/>
      <c r="K846" s="12"/>
      <c r="L846" s="12"/>
      <c r="M846" s="12"/>
      <c r="N846" s="12"/>
      <c r="O846" s="12"/>
      <c r="P846" s="12"/>
      <c r="Q846" s="12"/>
      <c r="R846" s="12"/>
      <c r="S846" s="12"/>
      <c r="T846" s="12"/>
      <c r="U846" s="12"/>
      <c r="V846" s="12"/>
      <c r="W846" s="12"/>
      <c r="X846" s="12"/>
      <c r="Y846" s="12"/>
      <c r="Z846" s="12"/>
      <c r="AA846" s="12"/>
    </row>
    <row r="847">
      <c r="A847" s="12"/>
      <c r="B847" s="12"/>
      <c r="C847" s="12"/>
      <c r="D847" s="12"/>
      <c r="E847" s="12"/>
      <c r="F847" s="12"/>
      <c r="G847" s="12"/>
      <c r="H847" s="2"/>
      <c r="I847" s="12"/>
      <c r="J847" s="12"/>
      <c r="K847" s="12"/>
      <c r="L847" s="12"/>
      <c r="M847" s="12"/>
      <c r="N847" s="12"/>
      <c r="O847" s="12"/>
      <c r="P847" s="12"/>
      <c r="Q847" s="12"/>
      <c r="R847" s="12"/>
      <c r="S847" s="12"/>
      <c r="T847" s="12"/>
      <c r="U847" s="12"/>
      <c r="V847" s="12"/>
      <c r="W847" s="12"/>
      <c r="X847" s="12"/>
      <c r="Y847" s="12"/>
      <c r="Z847" s="12"/>
      <c r="AA847" s="12"/>
    </row>
    <row r="848">
      <c r="A848" s="12"/>
      <c r="B848" s="12"/>
      <c r="C848" s="12"/>
      <c r="D848" s="12"/>
      <c r="E848" s="12"/>
      <c r="F848" s="12"/>
      <c r="G848" s="12"/>
      <c r="H848" s="2"/>
      <c r="I848" s="12"/>
      <c r="J848" s="12"/>
      <c r="K848" s="12"/>
      <c r="L848" s="12"/>
      <c r="M848" s="12"/>
      <c r="N848" s="12"/>
      <c r="O848" s="12"/>
      <c r="P848" s="12"/>
      <c r="Q848" s="12"/>
      <c r="R848" s="12"/>
      <c r="S848" s="12"/>
      <c r="T848" s="12"/>
      <c r="U848" s="12"/>
      <c r="V848" s="12"/>
      <c r="W848" s="12"/>
      <c r="X848" s="12"/>
      <c r="Y848" s="12"/>
      <c r="Z848" s="12"/>
      <c r="AA848" s="12"/>
    </row>
    <row r="849">
      <c r="A849" s="12"/>
      <c r="B849" s="12"/>
      <c r="C849" s="12"/>
      <c r="D849" s="12"/>
      <c r="E849" s="12"/>
      <c r="F849" s="12"/>
      <c r="G849" s="12"/>
      <c r="H849" s="2"/>
      <c r="I849" s="12"/>
      <c r="J849" s="12"/>
      <c r="K849" s="12"/>
      <c r="L849" s="12"/>
      <c r="M849" s="12"/>
      <c r="N849" s="12"/>
      <c r="O849" s="12"/>
      <c r="P849" s="12"/>
      <c r="Q849" s="12"/>
      <c r="R849" s="12"/>
      <c r="S849" s="12"/>
      <c r="T849" s="12"/>
      <c r="U849" s="12"/>
      <c r="V849" s="12"/>
      <c r="W849" s="12"/>
      <c r="X849" s="12"/>
      <c r="Y849" s="12"/>
      <c r="Z849" s="12"/>
      <c r="AA849" s="12"/>
    </row>
    <row r="850">
      <c r="A850" s="12"/>
      <c r="B850" s="12"/>
      <c r="C850" s="12"/>
      <c r="D850" s="12"/>
      <c r="E850" s="12"/>
      <c r="F850" s="12"/>
      <c r="G850" s="12"/>
      <c r="H850" s="2"/>
      <c r="I850" s="12"/>
      <c r="J850" s="12"/>
      <c r="K850" s="12"/>
      <c r="L850" s="12"/>
      <c r="M850" s="12"/>
      <c r="N850" s="12"/>
      <c r="O850" s="12"/>
      <c r="P850" s="12"/>
      <c r="Q850" s="12"/>
      <c r="R850" s="12"/>
      <c r="S850" s="12"/>
      <c r="T850" s="12"/>
      <c r="U850" s="12"/>
      <c r="V850" s="12"/>
      <c r="W850" s="12"/>
      <c r="X850" s="12"/>
      <c r="Y850" s="12"/>
      <c r="Z850" s="12"/>
      <c r="AA850" s="12"/>
    </row>
    <row r="851">
      <c r="A851" s="12"/>
      <c r="B851" s="12"/>
      <c r="C851" s="12"/>
      <c r="D851" s="12"/>
      <c r="E851" s="12"/>
      <c r="F851" s="12"/>
      <c r="G851" s="12"/>
      <c r="H851" s="2"/>
      <c r="I851" s="12"/>
      <c r="J851" s="12"/>
      <c r="K851" s="12"/>
      <c r="L851" s="12"/>
      <c r="M851" s="12"/>
      <c r="N851" s="12"/>
      <c r="O851" s="12"/>
      <c r="P851" s="12"/>
      <c r="Q851" s="12"/>
      <c r="R851" s="12"/>
      <c r="S851" s="12"/>
      <c r="T851" s="12"/>
      <c r="U851" s="12"/>
      <c r="V851" s="12"/>
      <c r="W851" s="12"/>
      <c r="X851" s="12"/>
      <c r="Y851" s="12"/>
      <c r="Z851" s="12"/>
      <c r="AA851" s="12"/>
    </row>
    <row r="852">
      <c r="A852" s="12"/>
      <c r="B852" s="12"/>
      <c r="C852" s="12"/>
      <c r="D852" s="12"/>
      <c r="E852" s="12"/>
      <c r="F852" s="12"/>
      <c r="G852" s="12"/>
      <c r="H852" s="2"/>
      <c r="I852" s="12"/>
      <c r="J852" s="12"/>
      <c r="K852" s="12"/>
      <c r="L852" s="12"/>
      <c r="M852" s="12"/>
      <c r="N852" s="12"/>
      <c r="O852" s="12"/>
      <c r="P852" s="12"/>
      <c r="Q852" s="12"/>
      <c r="R852" s="12"/>
      <c r="S852" s="12"/>
      <c r="T852" s="12"/>
      <c r="U852" s="12"/>
      <c r="V852" s="12"/>
      <c r="W852" s="12"/>
      <c r="X852" s="12"/>
      <c r="Y852" s="12"/>
      <c r="Z852" s="12"/>
      <c r="AA852" s="12"/>
    </row>
    <row r="853">
      <c r="A853" s="12"/>
      <c r="B853" s="12"/>
      <c r="C853" s="12"/>
      <c r="D853" s="12"/>
      <c r="E853" s="12"/>
      <c r="F853" s="12"/>
      <c r="G853" s="12"/>
      <c r="H853" s="2"/>
      <c r="I853" s="12"/>
      <c r="J853" s="12"/>
      <c r="K853" s="12"/>
      <c r="L853" s="12"/>
      <c r="M853" s="12"/>
      <c r="N853" s="12"/>
      <c r="O853" s="12"/>
      <c r="P853" s="12"/>
      <c r="Q853" s="12"/>
      <c r="R853" s="12"/>
      <c r="S853" s="12"/>
      <c r="T853" s="12"/>
      <c r="U853" s="12"/>
      <c r="V853" s="12"/>
      <c r="W853" s="12"/>
      <c r="X853" s="12"/>
      <c r="Y853" s="12"/>
      <c r="Z853" s="12"/>
      <c r="AA853" s="12"/>
    </row>
    <row r="854">
      <c r="A854" s="12"/>
      <c r="B854" s="12"/>
      <c r="C854" s="12"/>
      <c r="D854" s="12"/>
      <c r="E854" s="12"/>
      <c r="F854" s="12"/>
      <c r="G854" s="12"/>
      <c r="H854" s="2"/>
      <c r="I854" s="12"/>
      <c r="J854" s="12"/>
      <c r="K854" s="12"/>
      <c r="L854" s="12"/>
      <c r="M854" s="12"/>
      <c r="N854" s="12"/>
      <c r="O854" s="12"/>
      <c r="P854" s="12"/>
      <c r="Q854" s="12"/>
      <c r="R854" s="12"/>
      <c r="S854" s="12"/>
      <c r="T854" s="12"/>
      <c r="U854" s="12"/>
      <c r="V854" s="12"/>
      <c r="W854" s="12"/>
      <c r="X854" s="12"/>
      <c r="Y854" s="12"/>
      <c r="Z854" s="12"/>
      <c r="AA854" s="12"/>
    </row>
    <row r="855">
      <c r="A855" s="12"/>
      <c r="B855" s="12"/>
      <c r="C855" s="12"/>
      <c r="D855" s="12"/>
      <c r="E855" s="12"/>
      <c r="F855" s="12"/>
      <c r="G855" s="12"/>
      <c r="H855" s="2"/>
      <c r="I855" s="12"/>
      <c r="J855" s="12"/>
      <c r="K855" s="12"/>
      <c r="L855" s="12"/>
      <c r="M855" s="12"/>
      <c r="N855" s="12"/>
      <c r="O855" s="12"/>
      <c r="P855" s="12"/>
      <c r="Q855" s="12"/>
      <c r="R855" s="12"/>
      <c r="S855" s="12"/>
      <c r="T855" s="12"/>
      <c r="U855" s="12"/>
      <c r="V855" s="12"/>
      <c r="W855" s="12"/>
      <c r="X855" s="12"/>
      <c r="Y855" s="12"/>
      <c r="Z855" s="12"/>
      <c r="AA855" s="12"/>
    </row>
    <row r="856">
      <c r="A856" s="12"/>
      <c r="B856" s="12"/>
      <c r="C856" s="12"/>
      <c r="D856" s="12"/>
      <c r="E856" s="12"/>
      <c r="F856" s="12"/>
      <c r="G856" s="12"/>
      <c r="H856" s="2"/>
      <c r="I856" s="12"/>
      <c r="J856" s="12"/>
      <c r="K856" s="12"/>
      <c r="L856" s="12"/>
      <c r="M856" s="12"/>
      <c r="N856" s="12"/>
      <c r="O856" s="12"/>
      <c r="P856" s="12"/>
      <c r="Q856" s="12"/>
      <c r="R856" s="12"/>
      <c r="S856" s="12"/>
      <c r="T856" s="12"/>
      <c r="U856" s="12"/>
      <c r="V856" s="12"/>
      <c r="W856" s="12"/>
      <c r="X856" s="12"/>
      <c r="Y856" s="12"/>
      <c r="Z856" s="12"/>
      <c r="AA856" s="12"/>
    </row>
    <row r="857">
      <c r="A857" s="12"/>
      <c r="B857" s="12"/>
      <c r="C857" s="12"/>
      <c r="D857" s="12"/>
      <c r="E857" s="12"/>
      <c r="F857" s="12"/>
      <c r="G857" s="12"/>
      <c r="H857" s="2"/>
      <c r="I857" s="12"/>
      <c r="J857" s="12"/>
      <c r="K857" s="12"/>
      <c r="L857" s="12"/>
      <c r="M857" s="12"/>
      <c r="N857" s="12"/>
      <c r="O857" s="12"/>
      <c r="P857" s="12"/>
      <c r="Q857" s="12"/>
      <c r="R857" s="12"/>
      <c r="S857" s="12"/>
      <c r="T857" s="12"/>
      <c r="U857" s="12"/>
      <c r="V857" s="12"/>
      <c r="W857" s="12"/>
      <c r="X857" s="12"/>
      <c r="Y857" s="12"/>
      <c r="Z857" s="12"/>
      <c r="AA857" s="12"/>
    </row>
    <row r="858">
      <c r="A858" s="12"/>
      <c r="B858" s="12"/>
      <c r="C858" s="12"/>
      <c r="D858" s="12"/>
      <c r="E858" s="12"/>
      <c r="F858" s="12"/>
      <c r="G858" s="12"/>
      <c r="H858" s="2"/>
      <c r="I858" s="12"/>
      <c r="J858" s="12"/>
      <c r="K858" s="12"/>
      <c r="L858" s="12"/>
      <c r="M858" s="12"/>
      <c r="N858" s="12"/>
      <c r="O858" s="12"/>
      <c r="P858" s="12"/>
      <c r="Q858" s="12"/>
      <c r="R858" s="12"/>
      <c r="S858" s="12"/>
      <c r="T858" s="12"/>
      <c r="U858" s="12"/>
      <c r="V858" s="12"/>
      <c r="W858" s="12"/>
      <c r="X858" s="12"/>
      <c r="Y858" s="12"/>
      <c r="Z858" s="12"/>
      <c r="AA858" s="12"/>
    </row>
    <row r="859">
      <c r="A859" s="12"/>
      <c r="B859" s="12"/>
      <c r="C859" s="12"/>
      <c r="D859" s="12"/>
      <c r="E859" s="12"/>
      <c r="F859" s="12"/>
      <c r="G859" s="12"/>
      <c r="H859" s="2"/>
      <c r="I859" s="12"/>
      <c r="J859" s="12"/>
      <c r="K859" s="12"/>
      <c r="L859" s="12"/>
      <c r="M859" s="12"/>
      <c r="N859" s="12"/>
      <c r="O859" s="12"/>
      <c r="P859" s="12"/>
      <c r="Q859" s="12"/>
      <c r="R859" s="12"/>
      <c r="S859" s="12"/>
      <c r="T859" s="12"/>
      <c r="U859" s="12"/>
      <c r="V859" s="12"/>
      <c r="W859" s="12"/>
      <c r="X859" s="12"/>
      <c r="Y859" s="12"/>
      <c r="Z859" s="12"/>
      <c r="AA859" s="12"/>
    </row>
    <row r="860">
      <c r="A860" s="12"/>
      <c r="B860" s="12"/>
      <c r="C860" s="12"/>
      <c r="D860" s="12"/>
      <c r="E860" s="12"/>
      <c r="F860" s="12"/>
      <c r="G860" s="12"/>
      <c r="H860" s="2"/>
      <c r="I860" s="12"/>
      <c r="J860" s="12"/>
      <c r="K860" s="12"/>
      <c r="L860" s="12"/>
      <c r="M860" s="12"/>
      <c r="N860" s="12"/>
      <c r="O860" s="12"/>
      <c r="P860" s="12"/>
      <c r="Q860" s="12"/>
      <c r="R860" s="12"/>
      <c r="S860" s="12"/>
      <c r="T860" s="12"/>
      <c r="U860" s="12"/>
      <c r="V860" s="12"/>
      <c r="W860" s="12"/>
      <c r="X860" s="12"/>
      <c r="Y860" s="12"/>
      <c r="Z860" s="12"/>
      <c r="AA860" s="12"/>
    </row>
    <row r="861">
      <c r="A861" s="12"/>
      <c r="B861" s="12"/>
      <c r="C861" s="12"/>
      <c r="D861" s="12"/>
      <c r="E861" s="12"/>
      <c r="F861" s="12"/>
      <c r="G861" s="12"/>
      <c r="H861" s="2"/>
      <c r="I861" s="12"/>
      <c r="J861" s="12"/>
      <c r="K861" s="12"/>
      <c r="L861" s="12"/>
      <c r="M861" s="12"/>
      <c r="N861" s="12"/>
      <c r="O861" s="12"/>
      <c r="P861" s="12"/>
      <c r="Q861" s="12"/>
      <c r="R861" s="12"/>
      <c r="S861" s="12"/>
      <c r="T861" s="12"/>
      <c r="U861" s="12"/>
      <c r="V861" s="12"/>
      <c r="W861" s="12"/>
      <c r="X861" s="12"/>
      <c r="Y861" s="12"/>
      <c r="Z861" s="12"/>
      <c r="AA861" s="12"/>
    </row>
    <row r="862">
      <c r="A862" s="12"/>
      <c r="B862" s="12"/>
      <c r="C862" s="12"/>
      <c r="D862" s="12"/>
      <c r="E862" s="12"/>
      <c r="F862" s="12"/>
      <c r="G862" s="12"/>
      <c r="H862" s="2"/>
      <c r="I862" s="12"/>
      <c r="J862" s="12"/>
      <c r="K862" s="12"/>
      <c r="L862" s="12"/>
      <c r="M862" s="12"/>
      <c r="N862" s="12"/>
      <c r="O862" s="12"/>
      <c r="P862" s="12"/>
      <c r="Q862" s="12"/>
      <c r="R862" s="12"/>
      <c r="S862" s="12"/>
      <c r="T862" s="12"/>
      <c r="U862" s="12"/>
      <c r="V862" s="12"/>
      <c r="W862" s="12"/>
      <c r="X862" s="12"/>
      <c r="Y862" s="12"/>
      <c r="Z862" s="12"/>
      <c r="AA862" s="12"/>
    </row>
    <row r="863">
      <c r="A863" s="12"/>
      <c r="B863" s="12"/>
      <c r="C863" s="12"/>
      <c r="D863" s="12"/>
      <c r="E863" s="12"/>
      <c r="F863" s="12"/>
      <c r="G863" s="12"/>
      <c r="H863" s="2"/>
      <c r="I863" s="12"/>
      <c r="J863" s="12"/>
      <c r="K863" s="12"/>
      <c r="L863" s="12"/>
      <c r="M863" s="12"/>
      <c r="N863" s="12"/>
      <c r="O863" s="12"/>
      <c r="P863" s="12"/>
      <c r="Q863" s="12"/>
      <c r="R863" s="12"/>
      <c r="S863" s="12"/>
      <c r="T863" s="12"/>
      <c r="U863" s="12"/>
      <c r="V863" s="12"/>
      <c r="W863" s="12"/>
      <c r="X863" s="12"/>
      <c r="Y863" s="12"/>
      <c r="Z863" s="12"/>
      <c r="AA863" s="12"/>
    </row>
    <row r="864">
      <c r="A864" s="12"/>
      <c r="B864" s="12"/>
      <c r="C864" s="12"/>
      <c r="D864" s="12"/>
      <c r="E864" s="12"/>
      <c r="F864" s="12"/>
      <c r="G864" s="12"/>
      <c r="H864" s="2"/>
      <c r="I864" s="12"/>
      <c r="J864" s="12"/>
      <c r="K864" s="12"/>
      <c r="L864" s="12"/>
      <c r="M864" s="12"/>
      <c r="N864" s="12"/>
      <c r="O864" s="12"/>
      <c r="P864" s="12"/>
      <c r="Q864" s="12"/>
      <c r="R864" s="12"/>
      <c r="S864" s="12"/>
      <c r="T864" s="12"/>
      <c r="U864" s="12"/>
      <c r="V864" s="12"/>
      <c r="W864" s="12"/>
      <c r="X864" s="12"/>
      <c r="Y864" s="12"/>
      <c r="Z864" s="12"/>
      <c r="AA864" s="12"/>
    </row>
    <row r="865">
      <c r="A865" s="12"/>
      <c r="B865" s="12"/>
      <c r="C865" s="12"/>
      <c r="D865" s="12"/>
      <c r="E865" s="12"/>
      <c r="F865" s="12"/>
      <c r="G865" s="12"/>
      <c r="H865" s="2"/>
      <c r="I865" s="12"/>
      <c r="J865" s="12"/>
      <c r="K865" s="12"/>
      <c r="L865" s="12"/>
      <c r="M865" s="12"/>
      <c r="N865" s="12"/>
      <c r="O865" s="12"/>
      <c r="P865" s="12"/>
      <c r="Q865" s="12"/>
      <c r="R865" s="12"/>
      <c r="S865" s="12"/>
      <c r="T865" s="12"/>
      <c r="U865" s="12"/>
      <c r="V865" s="12"/>
      <c r="W865" s="12"/>
      <c r="X865" s="12"/>
      <c r="Y865" s="12"/>
      <c r="Z865" s="12"/>
      <c r="AA865" s="12"/>
    </row>
    <row r="866">
      <c r="A866" s="12"/>
      <c r="B866" s="12"/>
      <c r="C866" s="12"/>
      <c r="D866" s="12"/>
      <c r="E866" s="12"/>
      <c r="F866" s="12"/>
      <c r="G866" s="12"/>
      <c r="H866" s="2"/>
      <c r="I866" s="12"/>
      <c r="J866" s="12"/>
      <c r="K866" s="12"/>
      <c r="L866" s="12"/>
      <c r="M866" s="12"/>
      <c r="N866" s="12"/>
      <c r="O866" s="12"/>
      <c r="P866" s="12"/>
      <c r="Q866" s="12"/>
      <c r="R866" s="12"/>
      <c r="S866" s="12"/>
      <c r="T866" s="12"/>
      <c r="U866" s="12"/>
      <c r="V866" s="12"/>
      <c r="W866" s="12"/>
      <c r="X866" s="12"/>
      <c r="Y866" s="12"/>
      <c r="Z866" s="12"/>
      <c r="AA866" s="12"/>
    </row>
    <row r="867">
      <c r="A867" s="12"/>
      <c r="B867" s="12"/>
      <c r="C867" s="12"/>
      <c r="D867" s="12"/>
      <c r="E867" s="12"/>
      <c r="F867" s="12"/>
      <c r="G867" s="12"/>
      <c r="H867" s="2"/>
      <c r="I867" s="12"/>
      <c r="J867" s="12"/>
      <c r="K867" s="12"/>
      <c r="L867" s="12"/>
      <c r="M867" s="12"/>
      <c r="N867" s="12"/>
      <c r="O867" s="12"/>
      <c r="P867" s="12"/>
      <c r="Q867" s="12"/>
      <c r="R867" s="12"/>
      <c r="S867" s="12"/>
      <c r="T867" s="12"/>
      <c r="U867" s="12"/>
      <c r="V867" s="12"/>
      <c r="W867" s="12"/>
      <c r="X867" s="12"/>
      <c r="Y867" s="12"/>
      <c r="Z867" s="12"/>
      <c r="AA867" s="12"/>
    </row>
    <row r="868">
      <c r="A868" s="12"/>
      <c r="B868" s="12"/>
      <c r="C868" s="12"/>
      <c r="D868" s="12"/>
      <c r="E868" s="12"/>
      <c r="F868" s="12"/>
      <c r="G868" s="12"/>
      <c r="H868" s="2"/>
      <c r="I868" s="12"/>
      <c r="J868" s="12"/>
      <c r="K868" s="12"/>
      <c r="L868" s="12"/>
      <c r="M868" s="12"/>
      <c r="N868" s="12"/>
      <c r="O868" s="12"/>
      <c r="P868" s="12"/>
      <c r="Q868" s="12"/>
      <c r="R868" s="12"/>
      <c r="S868" s="12"/>
      <c r="T868" s="12"/>
      <c r="U868" s="12"/>
      <c r="V868" s="12"/>
      <c r="W868" s="12"/>
      <c r="X868" s="12"/>
      <c r="Y868" s="12"/>
      <c r="Z868" s="12"/>
      <c r="AA868" s="12"/>
    </row>
    <row r="869">
      <c r="A869" s="12"/>
      <c r="B869" s="12"/>
      <c r="C869" s="12"/>
      <c r="D869" s="12"/>
      <c r="E869" s="12"/>
      <c r="F869" s="12"/>
      <c r="G869" s="12"/>
      <c r="H869" s="2"/>
      <c r="I869" s="12"/>
      <c r="J869" s="12"/>
      <c r="K869" s="12"/>
      <c r="L869" s="12"/>
      <c r="M869" s="12"/>
      <c r="N869" s="12"/>
      <c r="O869" s="12"/>
      <c r="P869" s="12"/>
      <c r="Q869" s="12"/>
      <c r="R869" s="12"/>
      <c r="S869" s="12"/>
      <c r="T869" s="12"/>
      <c r="U869" s="12"/>
      <c r="V869" s="12"/>
      <c r="W869" s="12"/>
      <c r="X869" s="12"/>
      <c r="Y869" s="12"/>
      <c r="Z869" s="12"/>
      <c r="AA869" s="12"/>
    </row>
    <row r="870">
      <c r="A870" s="12"/>
      <c r="B870" s="12"/>
      <c r="C870" s="12"/>
      <c r="D870" s="12"/>
      <c r="E870" s="12"/>
      <c r="F870" s="12"/>
      <c r="G870" s="12"/>
      <c r="H870" s="2"/>
      <c r="I870" s="12"/>
      <c r="J870" s="12"/>
      <c r="K870" s="12"/>
      <c r="L870" s="12"/>
      <c r="M870" s="12"/>
      <c r="N870" s="12"/>
      <c r="O870" s="12"/>
      <c r="P870" s="12"/>
      <c r="Q870" s="12"/>
      <c r="R870" s="12"/>
      <c r="S870" s="12"/>
      <c r="T870" s="12"/>
      <c r="U870" s="12"/>
      <c r="V870" s="12"/>
      <c r="W870" s="12"/>
      <c r="X870" s="12"/>
      <c r="Y870" s="12"/>
      <c r="Z870" s="12"/>
      <c r="AA870" s="12"/>
    </row>
    <row r="871">
      <c r="A871" s="12"/>
      <c r="B871" s="12"/>
      <c r="C871" s="12"/>
      <c r="D871" s="12"/>
      <c r="E871" s="12"/>
      <c r="F871" s="12"/>
      <c r="G871" s="12"/>
      <c r="H871" s="2"/>
      <c r="I871" s="12"/>
      <c r="J871" s="12"/>
      <c r="K871" s="12"/>
      <c r="L871" s="12"/>
      <c r="M871" s="12"/>
      <c r="N871" s="12"/>
      <c r="O871" s="12"/>
      <c r="P871" s="12"/>
      <c r="Q871" s="12"/>
      <c r="R871" s="12"/>
      <c r="S871" s="12"/>
      <c r="T871" s="12"/>
      <c r="U871" s="12"/>
      <c r="V871" s="12"/>
      <c r="W871" s="12"/>
      <c r="X871" s="12"/>
      <c r="Y871" s="12"/>
      <c r="Z871" s="12"/>
      <c r="AA871" s="12"/>
    </row>
    <row r="872">
      <c r="A872" s="12"/>
      <c r="B872" s="12"/>
      <c r="C872" s="12"/>
      <c r="D872" s="12"/>
      <c r="E872" s="12"/>
      <c r="F872" s="12"/>
      <c r="G872" s="12"/>
      <c r="H872" s="2"/>
      <c r="I872" s="12"/>
      <c r="J872" s="12"/>
      <c r="K872" s="12"/>
      <c r="L872" s="12"/>
      <c r="M872" s="12"/>
      <c r="N872" s="12"/>
      <c r="O872" s="12"/>
      <c r="P872" s="12"/>
      <c r="Q872" s="12"/>
      <c r="R872" s="12"/>
      <c r="S872" s="12"/>
      <c r="T872" s="12"/>
      <c r="U872" s="12"/>
      <c r="V872" s="12"/>
      <c r="W872" s="12"/>
      <c r="X872" s="12"/>
      <c r="Y872" s="12"/>
      <c r="Z872" s="12"/>
      <c r="AA872" s="12"/>
    </row>
    <row r="873">
      <c r="A873" s="12"/>
      <c r="B873" s="12"/>
      <c r="C873" s="12"/>
      <c r="D873" s="12"/>
      <c r="E873" s="12"/>
      <c r="F873" s="12"/>
      <c r="G873" s="12"/>
      <c r="H873" s="2"/>
      <c r="I873" s="12"/>
      <c r="J873" s="12"/>
      <c r="K873" s="12"/>
      <c r="L873" s="12"/>
      <c r="M873" s="12"/>
      <c r="N873" s="12"/>
      <c r="O873" s="12"/>
      <c r="P873" s="12"/>
      <c r="Q873" s="12"/>
      <c r="R873" s="12"/>
      <c r="S873" s="12"/>
      <c r="T873" s="12"/>
      <c r="U873" s="12"/>
      <c r="V873" s="12"/>
      <c r="W873" s="12"/>
      <c r="X873" s="12"/>
      <c r="Y873" s="12"/>
      <c r="Z873" s="12"/>
      <c r="AA873" s="12"/>
    </row>
    <row r="874">
      <c r="A874" s="12"/>
      <c r="B874" s="12"/>
      <c r="C874" s="12"/>
      <c r="D874" s="12"/>
      <c r="E874" s="12"/>
      <c r="F874" s="12"/>
      <c r="G874" s="12"/>
      <c r="H874" s="2"/>
      <c r="I874" s="12"/>
      <c r="J874" s="12"/>
      <c r="K874" s="12"/>
      <c r="L874" s="12"/>
      <c r="M874" s="12"/>
      <c r="N874" s="12"/>
      <c r="O874" s="12"/>
      <c r="P874" s="12"/>
      <c r="Q874" s="12"/>
      <c r="R874" s="12"/>
      <c r="S874" s="12"/>
      <c r="T874" s="12"/>
      <c r="U874" s="12"/>
      <c r="V874" s="12"/>
      <c r="W874" s="12"/>
      <c r="X874" s="12"/>
      <c r="Y874" s="12"/>
      <c r="Z874" s="12"/>
      <c r="AA874" s="12"/>
    </row>
    <row r="875">
      <c r="A875" s="12"/>
      <c r="B875" s="12"/>
      <c r="C875" s="12"/>
      <c r="D875" s="12"/>
      <c r="E875" s="12"/>
      <c r="F875" s="12"/>
      <c r="G875" s="12"/>
      <c r="H875" s="2"/>
      <c r="I875" s="12"/>
      <c r="J875" s="12"/>
      <c r="K875" s="12"/>
      <c r="L875" s="12"/>
      <c r="M875" s="12"/>
      <c r="N875" s="12"/>
      <c r="O875" s="12"/>
      <c r="P875" s="12"/>
      <c r="Q875" s="12"/>
      <c r="R875" s="12"/>
      <c r="S875" s="12"/>
      <c r="T875" s="12"/>
      <c r="U875" s="12"/>
      <c r="V875" s="12"/>
      <c r="W875" s="12"/>
      <c r="X875" s="12"/>
      <c r="Y875" s="12"/>
      <c r="Z875" s="12"/>
      <c r="AA875" s="12"/>
    </row>
    <row r="876">
      <c r="A876" s="12"/>
      <c r="B876" s="12"/>
      <c r="C876" s="12"/>
      <c r="D876" s="12"/>
      <c r="E876" s="12"/>
      <c r="F876" s="12"/>
      <c r="G876" s="12"/>
      <c r="H876" s="2"/>
      <c r="I876" s="12"/>
      <c r="J876" s="12"/>
      <c r="K876" s="12"/>
      <c r="L876" s="12"/>
      <c r="M876" s="12"/>
      <c r="N876" s="12"/>
      <c r="O876" s="12"/>
      <c r="P876" s="12"/>
      <c r="Q876" s="12"/>
      <c r="R876" s="12"/>
      <c r="S876" s="12"/>
      <c r="T876" s="12"/>
      <c r="U876" s="12"/>
      <c r="V876" s="12"/>
      <c r="W876" s="12"/>
      <c r="X876" s="12"/>
      <c r="Y876" s="12"/>
      <c r="Z876" s="12"/>
      <c r="AA876" s="12"/>
    </row>
    <row r="877">
      <c r="A877" s="12"/>
      <c r="B877" s="12"/>
      <c r="C877" s="12"/>
      <c r="D877" s="12"/>
      <c r="E877" s="12"/>
      <c r="F877" s="12"/>
      <c r="G877" s="12"/>
      <c r="H877" s="2"/>
      <c r="I877" s="12"/>
      <c r="J877" s="12"/>
      <c r="K877" s="12"/>
      <c r="L877" s="12"/>
      <c r="M877" s="12"/>
      <c r="N877" s="12"/>
      <c r="O877" s="12"/>
      <c r="P877" s="12"/>
      <c r="Q877" s="12"/>
      <c r="R877" s="12"/>
      <c r="S877" s="12"/>
      <c r="T877" s="12"/>
      <c r="U877" s="12"/>
      <c r="V877" s="12"/>
      <c r="W877" s="12"/>
      <c r="X877" s="12"/>
      <c r="Y877" s="12"/>
      <c r="Z877" s="12"/>
      <c r="AA877" s="12"/>
    </row>
    <row r="878">
      <c r="A878" s="12"/>
      <c r="B878" s="12"/>
      <c r="C878" s="12"/>
      <c r="D878" s="12"/>
      <c r="E878" s="12"/>
      <c r="F878" s="12"/>
      <c r="G878" s="12"/>
      <c r="H878" s="2"/>
      <c r="I878" s="12"/>
      <c r="J878" s="12"/>
      <c r="K878" s="12"/>
      <c r="L878" s="12"/>
      <c r="M878" s="12"/>
      <c r="N878" s="12"/>
      <c r="O878" s="12"/>
      <c r="P878" s="12"/>
      <c r="Q878" s="12"/>
      <c r="R878" s="12"/>
      <c r="S878" s="12"/>
      <c r="T878" s="12"/>
      <c r="U878" s="12"/>
      <c r="V878" s="12"/>
      <c r="W878" s="12"/>
      <c r="X878" s="12"/>
      <c r="Y878" s="12"/>
      <c r="Z878" s="12"/>
      <c r="AA878" s="12"/>
    </row>
    <row r="879">
      <c r="A879" s="12"/>
      <c r="B879" s="12"/>
      <c r="C879" s="12"/>
      <c r="D879" s="12"/>
      <c r="E879" s="12"/>
      <c r="F879" s="12"/>
      <c r="G879" s="12"/>
      <c r="H879" s="2"/>
      <c r="I879" s="12"/>
      <c r="J879" s="12"/>
      <c r="K879" s="12"/>
      <c r="L879" s="12"/>
      <c r="M879" s="12"/>
      <c r="N879" s="12"/>
      <c r="O879" s="12"/>
      <c r="P879" s="12"/>
      <c r="Q879" s="12"/>
      <c r="R879" s="12"/>
      <c r="S879" s="12"/>
      <c r="T879" s="12"/>
      <c r="U879" s="12"/>
      <c r="V879" s="12"/>
      <c r="W879" s="12"/>
      <c r="X879" s="12"/>
      <c r="Y879" s="12"/>
      <c r="Z879" s="12"/>
      <c r="AA879" s="12"/>
    </row>
    <row r="880">
      <c r="A880" s="12"/>
      <c r="B880" s="12"/>
      <c r="C880" s="12"/>
      <c r="D880" s="12"/>
      <c r="E880" s="12"/>
      <c r="F880" s="12"/>
      <c r="G880" s="12"/>
      <c r="H880" s="2"/>
      <c r="I880" s="12"/>
      <c r="J880" s="12"/>
      <c r="K880" s="12"/>
      <c r="L880" s="12"/>
      <c r="M880" s="12"/>
      <c r="N880" s="12"/>
      <c r="O880" s="12"/>
      <c r="P880" s="12"/>
      <c r="Q880" s="12"/>
      <c r="R880" s="12"/>
      <c r="S880" s="12"/>
      <c r="T880" s="12"/>
      <c r="U880" s="12"/>
      <c r="V880" s="12"/>
      <c r="W880" s="12"/>
      <c r="X880" s="12"/>
      <c r="Y880" s="12"/>
      <c r="Z880" s="12"/>
      <c r="AA880" s="12"/>
    </row>
    <row r="881">
      <c r="A881" s="12"/>
      <c r="B881" s="12"/>
      <c r="C881" s="12"/>
      <c r="D881" s="12"/>
      <c r="E881" s="12"/>
      <c r="F881" s="12"/>
      <c r="G881" s="12"/>
      <c r="H881" s="2"/>
      <c r="I881" s="12"/>
      <c r="J881" s="12"/>
      <c r="K881" s="12"/>
      <c r="L881" s="12"/>
      <c r="M881" s="12"/>
      <c r="N881" s="12"/>
      <c r="O881" s="12"/>
      <c r="P881" s="12"/>
      <c r="Q881" s="12"/>
      <c r="R881" s="12"/>
      <c r="S881" s="12"/>
      <c r="T881" s="12"/>
      <c r="U881" s="12"/>
      <c r="V881" s="12"/>
      <c r="W881" s="12"/>
      <c r="X881" s="12"/>
      <c r="Y881" s="12"/>
      <c r="Z881" s="12"/>
      <c r="AA881" s="12"/>
    </row>
    <row r="882">
      <c r="A882" s="12"/>
      <c r="B882" s="12"/>
      <c r="C882" s="12"/>
      <c r="D882" s="12"/>
      <c r="E882" s="12"/>
      <c r="F882" s="12"/>
      <c r="G882" s="12"/>
      <c r="H882" s="2"/>
      <c r="I882" s="12"/>
      <c r="J882" s="12"/>
      <c r="K882" s="12"/>
      <c r="L882" s="12"/>
      <c r="M882" s="12"/>
      <c r="N882" s="12"/>
      <c r="O882" s="12"/>
      <c r="P882" s="12"/>
      <c r="Q882" s="12"/>
      <c r="R882" s="12"/>
      <c r="S882" s="12"/>
      <c r="T882" s="12"/>
      <c r="U882" s="12"/>
      <c r="V882" s="12"/>
      <c r="W882" s="12"/>
      <c r="X882" s="12"/>
      <c r="Y882" s="12"/>
      <c r="Z882" s="12"/>
      <c r="AA882" s="12"/>
    </row>
    <row r="883">
      <c r="A883" s="12"/>
      <c r="B883" s="12"/>
      <c r="C883" s="12"/>
      <c r="D883" s="12"/>
      <c r="E883" s="12"/>
      <c r="F883" s="12"/>
      <c r="G883" s="12"/>
      <c r="H883" s="2"/>
      <c r="I883" s="12"/>
      <c r="J883" s="12"/>
      <c r="K883" s="12"/>
      <c r="L883" s="12"/>
      <c r="M883" s="12"/>
      <c r="N883" s="12"/>
      <c r="O883" s="12"/>
      <c r="P883" s="12"/>
      <c r="Q883" s="12"/>
      <c r="R883" s="12"/>
      <c r="S883" s="12"/>
      <c r="T883" s="12"/>
      <c r="U883" s="12"/>
      <c r="V883" s="12"/>
      <c r="W883" s="12"/>
      <c r="X883" s="12"/>
      <c r="Y883" s="12"/>
      <c r="Z883" s="12"/>
      <c r="AA883" s="12"/>
    </row>
    <row r="884">
      <c r="A884" s="12"/>
      <c r="B884" s="12"/>
      <c r="C884" s="12"/>
      <c r="D884" s="12"/>
      <c r="E884" s="12"/>
      <c r="F884" s="12"/>
      <c r="G884" s="12"/>
      <c r="H884" s="2"/>
      <c r="I884" s="12"/>
      <c r="J884" s="12"/>
      <c r="K884" s="12"/>
      <c r="L884" s="12"/>
      <c r="M884" s="12"/>
      <c r="N884" s="12"/>
      <c r="O884" s="12"/>
      <c r="P884" s="12"/>
      <c r="Q884" s="12"/>
      <c r="R884" s="12"/>
      <c r="S884" s="12"/>
      <c r="T884" s="12"/>
      <c r="U884" s="12"/>
      <c r="V884" s="12"/>
      <c r="W884" s="12"/>
      <c r="X884" s="12"/>
      <c r="Y884" s="12"/>
      <c r="Z884" s="12"/>
      <c r="AA884" s="12"/>
    </row>
    <row r="885">
      <c r="A885" s="12"/>
      <c r="B885" s="12"/>
      <c r="C885" s="12"/>
      <c r="D885" s="12"/>
      <c r="E885" s="12"/>
      <c r="F885" s="12"/>
      <c r="G885" s="12"/>
      <c r="H885" s="2"/>
      <c r="I885" s="12"/>
      <c r="J885" s="12"/>
      <c r="K885" s="12"/>
      <c r="L885" s="12"/>
      <c r="M885" s="12"/>
      <c r="N885" s="12"/>
      <c r="O885" s="12"/>
      <c r="P885" s="12"/>
      <c r="Q885" s="12"/>
      <c r="R885" s="12"/>
      <c r="S885" s="12"/>
      <c r="T885" s="12"/>
      <c r="U885" s="12"/>
      <c r="V885" s="12"/>
      <c r="W885" s="12"/>
      <c r="X885" s="12"/>
      <c r="Y885" s="12"/>
      <c r="Z885" s="12"/>
      <c r="AA885" s="12"/>
    </row>
    <row r="886">
      <c r="A886" s="12"/>
      <c r="B886" s="12"/>
      <c r="C886" s="12"/>
      <c r="D886" s="12"/>
      <c r="E886" s="12"/>
      <c r="F886" s="12"/>
      <c r="G886" s="12"/>
      <c r="H886" s="2"/>
      <c r="I886" s="12"/>
      <c r="J886" s="12"/>
      <c r="K886" s="12"/>
      <c r="L886" s="12"/>
      <c r="M886" s="12"/>
      <c r="N886" s="12"/>
      <c r="O886" s="12"/>
      <c r="P886" s="12"/>
      <c r="Q886" s="12"/>
      <c r="R886" s="12"/>
      <c r="S886" s="12"/>
      <c r="T886" s="12"/>
      <c r="U886" s="12"/>
      <c r="V886" s="12"/>
      <c r="W886" s="12"/>
      <c r="X886" s="12"/>
      <c r="Y886" s="12"/>
      <c r="Z886" s="12"/>
      <c r="AA886" s="12"/>
    </row>
    <row r="887">
      <c r="A887" s="12"/>
      <c r="B887" s="12"/>
      <c r="C887" s="12"/>
      <c r="D887" s="12"/>
      <c r="E887" s="12"/>
      <c r="F887" s="12"/>
      <c r="G887" s="12"/>
      <c r="H887" s="2"/>
      <c r="I887" s="12"/>
      <c r="J887" s="12"/>
      <c r="K887" s="12"/>
      <c r="L887" s="12"/>
      <c r="M887" s="12"/>
      <c r="N887" s="12"/>
      <c r="O887" s="12"/>
      <c r="P887" s="12"/>
      <c r="Q887" s="12"/>
      <c r="R887" s="12"/>
      <c r="S887" s="12"/>
      <c r="T887" s="12"/>
      <c r="U887" s="12"/>
      <c r="V887" s="12"/>
      <c r="W887" s="12"/>
      <c r="X887" s="12"/>
      <c r="Y887" s="12"/>
      <c r="Z887" s="12"/>
      <c r="AA887" s="12"/>
    </row>
    <row r="888">
      <c r="A888" s="12"/>
      <c r="B888" s="12"/>
      <c r="C888" s="12"/>
      <c r="D888" s="12"/>
      <c r="E888" s="12"/>
      <c r="F888" s="12"/>
      <c r="G888" s="12"/>
      <c r="H888" s="2"/>
      <c r="I888" s="12"/>
      <c r="J888" s="12"/>
      <c r="K888" s="12"/>
      <c r="L888" s="12"/>
      <c r="M888" s="12"/>
      <c r="N888" s="12"/>
      <c r="O888" s="12"/>
      <c r="P888" s="12"/>
      <c r="Q888" s="12"/>
      <c r="R888" s="12"/>
      <c r="S888" s="12"/>
      <c r="T888" s="12"/>
      <c r="U888" s="12"/>
      <c r="V888" s="12"/>
      <c r="W888" s="12"/>
      <c r="X888" s="12"/>
      <c r="Y888" s="12"/>
      <c r="Z888" s="12"/>
      <c r="AA888" s="12"/>
    </row>
    <row r="889">
      <c r="A889" s="12"/>
      <c r="B889" s="12"/>
      <c r="C889" s="12"/>
      <c r="D889" s="12"/>
      <c r="E889" s="12"/>
      <c r="F889" s="12"/>
      <c r="G889" s="12"/>
      <c r="H889" s="2"/>
      <c r="I889" s="12"/>
      <c r="J889" s="12"/>
      <c r="K889" s="12"/>
      <c r="L889" s="12"/>
      <c r="M889" s="12"/>
      <c r="N889" s="12"/>
      <c r="O889" s="12"/>
      <c r="P889" s="12"/>
      <c r="Q889" s="12"/>
      <c r="R889" s="12"/>
      <c r="S889" s="12"/>
      <c r="T889" s="12"/>
      <c r="U889" s="12"/>
      <c r="V889" s="12"/>
      <c r="W889" s="12"/>
      <c r="X889" s="12"/>
      <c r="Y889" s="12"/>
      <c r="Z889" s="12"/>
      <c r="AA889" s="12"/>
    </row>
    <row r="890">
      <c r="A890" s="12"/>
      <c r="B890" s="12"/>
      <c r="C890" s="12"/>
      <c r="D890" s="12"/>
      <c r="E890" s="12"/>
      <c r="F890" s="12"/>
      <c r="G890" s="12"/>
      <c r="H890" s="2"/>
      <c r="I890" s="12"/>
      <c r="J890" s="12"/>
      <c r="K890" s="12"/>
      <c r="L890" s="12"/>
      <c r="M890" s="12"/>
      <c r="N890" s="12"/>
      <c r="O890" s="12"/>
      <c r="P890" s="12"/>
      <c r="Q890" s="12"/>
      <c r="R890" s="12"/>
      <c r="S890" s="12"/>
      <c r="T890" s="12"/>
      <c r="U890" s="12"/>
      <c r="V890" s="12"/>
      <c r="W890" s="12"/>
      <c r="X890" s="12"/>
      <c r="Y890" s="12"/>
      <c r="Z890" s="12"/>
      <c r="AA890" s="12"/>
    </row>
    <row r="891">
      <c r="A891" s="12"/>
      <c r="B891" s="12"/>
      <c r="C891" s="12"/>
      <c r="D891" s="12"/>
      <c r="E891" s="12"/>
      <c r="F891" s="12"/>
      <c r="G891" s="12"/>
      <c r="H891" s="2"/>
      <c r="I891" s="12"/>
      <c r="J891" s="12"/>
      <c r="K891" s="12"/>
      <c r="L891" s="12"/>
      <c r="M891" s="12"/>
      <c r="N891" s="12"/>
      <c r="O891" s="12"/>
      <c r="P891" s="12"/>
      <c r="Q891" s="12"/>
      <c r="R891" s="12"/>
      <c r="S891" s="12"/>
      <c r="T891" s="12"/>
      <c r="U891" s="12"/>
      <c r="V891" s="12"/>
      <c r="W891" s="12"/>
      <c r="X891" s="12"/>
      <c r="Y891" s="12"/>
      <c r="Z891" s="12"/>
      <c r="AA891" s="12"/>
    </row>
    <row r="892">
      <c r="A892" s="12"/>
      <c r="B892" s="12"/>
      <c r="C892" s="12"/>
      <c r="D892" s="12"/>
      <c r="E892" s="12"/>
      <c r="F892" s="12"/>
      <c r="G892" s="12"/>
      <c r="H892" s="2"/>
      <c r="I892" s="12"/>
      <c r="J892" s="12"/>
      <c r="K892" s="12"/>
      <c r="L892" s="12"/>
      <c r="M892" s="12"/>
      <c r="N892" s="12"/>
      <c r="O892" s="12"/>
      <c r="P892" s="12"/>
      <c r="Q892" s="12"/>
      <c r="R892" s="12"/>
      <c r="S892" s="12"/>
      <c r="T892" s="12"/>
      <c r="U892" s="12"/>
      <c r="V892" s="12"/>
      <c r="W892" s="12"/>
      <c r="X892" s="12"/>
      <c r="Y892" s="12"/>
      <c r="Z892" s="12"/>
      <c r="AA892" s="12"/>
    </row>
    <row r="893">
      <c r="A893" s="12"/>
      <c r="B893" s="12"/>
      <c r="C893" s="12"/>
      <c r="D893" s="12"/>
      <c r="E893" s="12"/>
      <c r="F893" s="12"/>
      <c r="G893" s="12"/>
      <c r="H893" s="2"/>
      <c r="I893" s="12"/>
      <c r="J893" s="12"/>
      <c r="K893" s="12"/>
      <c r="L893" s="12"/>
      <c r="M893" s="12"/>
      <c r="N893" s="12"/>
      <c r="O893" s="12"/>
      <c r="P893" s="12"/>
      <c r="Q893" s="12"/>
      <c r="R893" s="12"/>
      <c r="S893" s="12"/>
      <c r="T893" s="12"/>
      <c r="U893" s="12"/>
      <c r="V893" s="12"/>
      <c r="W893" s="12"/>
      <c r="X893" s="12"/>
      <c r="Y893" s="12"/>
      <c r="Z893" s="12"/>
      <c r="AA893" s="12"/>
    </row>
    <row r="894">
      <c r="A894" s="12"/>
      <c r="B894" s="12"/>
      <c r="C894" s="12"/>
      <c r="D894" s="12"/>
      <c r="E894" s="12"/>
      <c r="F894" s="12"/>
      <c r="G894" s="12"/>
      <c r="H894" s="2"/>
      <c r="I894" s="12"/>
      <c r="J894" s="12"/>
      <c r="K894" s="12"/>
      <c r="L894" s="12"/>
      <c r="M894" s="12"/>
      <c r="N894" s="12"/>
      <c r="O894" s="12"/>
      <c r="P894" s="12"/>
      <c r="Q894" s="12"/>
      <c r="R894" s="12"/>
      <c r="S894" s="12"/>
      <c r="T894" s="12"/>
      <c r="U894" s="12"/>
      <c r="V894" s="12"/>
      <c r="W894" s="12"/>
      <c r="X894" s="12"/>
      <c r="Y894" s="12"/>
      <c r="Z894" s="12"/>
      <c r="AA894" s="12"/>
    </row>
    <row r="895">
      <c r="A895" s="12"/>
      <c r="B895" s="12"/>
      <c r="C895" s="12"/>
      <c r="D895" s="12"/>
      <c r="E895" s="12"/>
      <c r="F895" s="12"/>
      <c r="G895" s="12"/>
      <c r="H895" s="2"/>
      <c r="I895" s="12"/>
      <c r="J895" s="12"/>
      <c r="K895" s="12"/>
      <c r="L895" s="12"/>
      <c r="M895" s="12"/>
      <c r="N895" s="12"/>
      <c r="O895" s="12"/>
      <c r="P895" s="12"/>
      <c r="Q895" s="12"/>
      <c r="R895" s="12"/>
      <c r="S895" s="12"/>
      <c r="T895" s="12"/>
      <c r="U895" s="12"/>
      <c r="V895" s="12"/>
      <c r="W895" s="12"/>
      <c r="X895" s="12"/>
      <c r="Y895" s="12"/>
      <c r="Z895" s="12"/>
      <c r="AA895" s="12"/>
    </row>
    <row r="896">
      <c r="A896" s="12"/>
      <c r="B896" s="12"/>
      <c r="C896" s="12"/>
      <c r="D896" s="12"/>
      <c r="E896" s="12"/>
      <c r="F896" s="12"/>
      <c r="G896" s="12"/>
      <c r="H896" s="2"/>
      <c r="I896" s="12"/>
      <c r="J896" s="12"/>
      <c r="K896" s="12"/>
      <c r="L896" s="12"/>
      <c r="M896" s="12"/>
      <c r="N896" s="12"/>
      <c r="O896" s="12"/>
      <c r="P896" s="12"/>
      <c r="Q896" s="12"/>
      <c r="R896" s="12"/>
      <c r="S896" s="12"/>
      <c r="T896" s="12"/>
      <c r="U896" s="12"/>
      <c r="V896" s="12"/>
      <c r="W896" s="12"/>
      <c r="X896" s="12"/>
      <c r="Y896" s="12"/>
      <c r="Z896" s="12"/>
      <c r="AA896" s="12"/>
    </row>
    <row r="897">
      <c r="A897" s="12"/>
      <c r="B897" s="12"/>
      <c r="C897" s="12"/>
      <c r="D897" s="12"/>
      <c r="E897" s="12"/>
      <c r="F897" s="12"/>
      <c r="G897" s="12"/>
      <c r="H897" s="2"/>
      <c r="I897" s="12"/>
      <c r="J897" s="12"/>
      <c r="K897" s="12"/>
      <c r="L897" s="12"/>
      <c r="M897" s="12"/>
      <c r="N897" s="12"/>
      <c r="O897" s="12"/>
      <c r="P897" s="12"/>
      <c r="Q897" s="12"/>
      <c r="R897" s="12"/>
      <c r="S897" s="12"/>
      <c r="T897" s="12"/>
      <c r="U897" s="12"/>
      <c r="V897" s="12"/>
      <c r="W897" s="12"/>
      <c r="X897" s="12"/>
      <c r="Y897" s="12"/>
      <c r="Z897" s="12"/>
      <c r="AA897" s="12"/>
    </row>
    <row r="898">
      <c r="A898" s="12"/>
      <c r="B898" s="12"/>
      <c r="C898" s="12"/>
      <c r="D898" s="12"/>
      <c r="E898" s="12"/>
      <c r="F898" s="12"/>
      <c r="G898" s="12"/>
      <c r="H898" s="2"/>
      <c r="I898" s="12"/>
      <c r="J898" s="12"/>
      <c r="K898" s="12"/>
      <c r="L898" s="12"/>
      <c r="M898" s="12"/>
      <c r="N898" s="12"/>
      <c r="O898" s="12"/>
      <c r="P898" s="12"/>
      <c r="Q898" s="12"/>
      <c r="R898" s="12"/>
      <c r="S898" s="12"/>
      <c r="T898" s="12"/>
      <c r="U898" s="12"/>
      <c r="V898" s="12"/>
      <c r="W898" s="12"/>
      <c r="X898" s="12"/>
      <c r="Y898" s="12"/>
      <c r="Z898" s="12"/>
      <c r="AA898" s="12"/>
    </row>
    <row r="899">
      <c r="A899" s="12"/>
      <c r="B899" s="12"/>
      <c r="C899" s="12"/>
      <c r="D899" s="12"/>
      <c r="E899" s="12"/>
      <c r="F899" s="12"/>
      <c r="G899" s="12"/>
      <c r="H899" s="2"/>
      <c r="I899" s="12"/>
      <c r="J899" s="12"/>
      <c r="K899" s="12"/>
      <c r="L899" s="12"/>
      <c r="M899" s="12"/>
      <c r="N899" s="12"/>
      <c r="O899" s="12"/>
      <c r="P899" s="12"/>
      <c r="Q899" s="12"/>
      <c r="R899" s="12"/>
      <c r="S899" s="12"/>
      <c r="T899" s="12"/>
      <c r="U899" s="12"/>
      <c r="V899" s="12"/>
      <c r="W899" s="12"/>
      <c r="X899" s="12"/>
      <c r="Y899" s="12"/>
      <c r="Z899" s="12"/>
      <c r="AA899" s="12"/>
    </row>
    <row r="900">
      <c r="A900" s="12"/>
      <c r="B900" s="12"/>
      <c r="C900" s="12"/>
      <c r="D900" s="12"/>
      <c r="E900" s="12"/>
      <c r="F900" s="12"/>
      <c r="G900" s="12"/>
      <c r="H900" s="2"/>
      <c r="I900" s="12"/>
      <c r="J900" s="12"/>
      <c r="K900" s="12"/>
      <c r="L900" s="12"/>
      <c r="M900" s="12"/>
      <c r="N900" s="12"/>
      <c r="O900" s="12"/>
      <c r="P900" s="12"/>
      <c r="Q900" s="12"/>
      <c r="R900" s="12"/>
      <c r="S900" s="12"/>
      <c r="T900" s="12"/>
      <c r="U900" s="12"/>
      <c r="V900" s="12"/>
      <c r="W900" s="12"/>
      <c r="X900" s="12"/>
      <c r="Y900" s="12"/>
      <c r="Z900" s="12"/>
      <c r="AA900" s="12"/>
    </row>
    <row r="901">
      <c r="A901" s="12"/>
      <c r="B901" s="12"/>
      <c r="C901" s="12"/>
      <c r="D901" s="12"/>
      <c r="E901" s="12"/>
      <c r="F901" s="12"/>
      <c r="G901" s="12"/>
      <c r="H901" s="2"/>
      <c r="I901" s="12"/>
      <c r="J901" s="12"/>
      <c r="K901" s="12"/>
      <c r="L901" s="12"/>
      <c r="M901" s="12"/>
      <c r="N901" s="12"/>
      <c r="O901" s="12"/>
      <c r="P901" s="12"/>
      <c r="Q901" s="12"/>
      <c r="R901" s="12"/>
      <c r="S901" s="12"/>
      <c r="T901" s="12"/>
      <c r="U901" s="12"/>
      <c r="V901" s="12"/>
      <c r="W901" s="12"/>
      <c r="X901" s="12"/>
      <c r="Y901" s="12"/>
      <c r="Z901" s="12"/>
      <c r="AA901" s="12"/>
    </row>
    <row r="902">
      <c r="A902" s="12"/>
      <c r="B902" s="12"/>
      <c r="C902" s="12"/>
      <c r="D902" s="12"/>
      <c r="E902" s="12"/>
      <c r="F902" s="12"/>
      <c r="G902" s="12"/>
      <c r="H902" s="2"/>
      <c r="I902" s="12"/>
      <c r="J902" s="12"/>
      <c r="K902" s="12"/>
      <c r="L902" s="12"/>
      <c r="M902" s="12"/>
      <c r="N902" s="12"/>
      <c r="O902" s="12"/>
      <c r="P902" s="12"/>
      <c r="Q902" s="12"/>
      <c r="R902" s="12"/>
      <c r="S902" s="12"/>
      <c r="T902" s="12"/>
      <c r="U902" s="12"/>
      <c r="V902" s="12"/>
      <c r="W902" s="12"/>
      <c r="X902" s="12"/>
      <c r="Y902" s="12"/>
      <c r="Z902" s="12"/>
      <c r="AA902" s="12"/>
    </row>
    <row r="903">
      <c r="A903" s="12"/>
      <c r="B903" s="12"/>
      <c r="C903" s="12"/>
      <c r="D903" s="12"/>
      <c r="E903" s="12"/>
      <c r="F903" s="12"/>
      <c r="G903" s="12"/>
      <c r="H903" s="2"/>
      <c r="I903" s="12"/>
      <c r="J903" s="12"/>
      <c r="K903" s="12"/>
      <c r="L903" s="12"/>
      <c r="M903" s="12"/>
      <c r="N903" s="12"/>
      <c r="O903" s="12"/>
      <c r="P903" s="12"/>
      <c r="Q903" s="12"/>
      <c r="R903" s="12"/>
      <c r="S903" s="12"/>
      <c r="T903" s="12"/>
      <c r="U903" s="12"/>
      <c r="V903" s="12"/>
      <c r="W903" s="12"/>
      <c r="X903" s="12"/>
      <c r="Y903" s="12"/>
      <c r="Z903" s="12"/>
      <c r="AA903" s="12"/>
    </row>
    <row r="904">
      <c r="A904" s="12"/>
      <c r="B904" s="12"/>
      <c r="C904" s="12"/>
      <c r="D904" s="12"/>
      <c r="E904" s="12"/>
      <c r="F904" s="12"/>
      <c r="G904" s="12"/>
      <c r="H904" s="2"/>
      <c r="I904" s="12"/>
      <c r="J904" s="12"/>
      <c r="K904" s="12"/>
      <c r="L904" s="12"/>
      <c r="M904" s="12"/>
      <c r="N904" s="12"/>
      <c r="O904" s="12"/>
      <c r="P904" s="12"/>
      <c r="Q904" s="12"/>
      <c r="R904" s="12"/>
      <c r="S904" s="12"/>
      <c r="T904" s="12"/>
      <c r="U904" s="12"/>
      <c r="V904" s="12"/>
      <c r="W904" s="12"/>
      <c r="X904" s="12"/>
      <c r="Y904" s="12"/>
      <c r="Z904" s="12"/>
      <c r="AA904" s="12"/>
    </row>
    <row r="905">
      <c r="A905" s="12"/>
      <c r="B905" s="12"/>
      <c r="C905" s="12"/>
      <c r="D905" s="12"/>
      <c r="E905" s="12"/>
      <c r="F905" s="12"/>
      <c r="G905" s="12"/>
      <c r="H905" s="2"/>
      <c r="I905" s="12"/>
      <c r="J905" s="12"/>
      <c r="K905" s="12"/>
      <c r="L905" s="12"/>
      <c r="M905" s="12"/>
      <c r="N905" s="12"/>
      <c r="O905" s="12"/>
      <c r="P905" s="12"/>
      <c r="Q905" s="12"/>
      <c r="R905" s="12"/>
      <c r="S905" s="12"/>
      <c r="T905" s="12"/>
      <c r="U905" s="12"/>
      <c r="V905" s="12"/>
      <c r="W905" s="12"/>
      <c r="X905" s="12"/>
      <c r="Y905" s="12"/>
      <c r="Z905" s="12"/>
      <c r="AA905" s="12"/>
    </row>
    <row r="906">
      <c r="A906" s="12"/>
      <c r="B906" s="12"/>
      <c r="C906" s="12"/>
      <c r="D906" s="12"/>
      <c r="E906" s="12"/>
      <c r="F906" s="12"/>
      <c r="G906" s="12"/>
      <c r="H906" s="2"/>
      <c r="I906" s="12"/>
      <c r="J906" s="12"/>
      <c r="K906" s="12"/>
      <c r="L906" s="12"/>
      <c r="M906" s="12"/>
      <c r="N906" s="12"/>
      <c r="O906" s="12"/>
      <c r="P906" s="12"/>
      <c r="Q906" s="12"/>
      <c r="R906" s="12"/>
      <c r="S906" s="12"/>
      <c r="T906" s="12"/>
      <c r="U906" s="12"/>
      <c r="V906" s="12"/>
      <c r="W906" s="12"/>
      <c r="X906" s="12"/>
      <c r="Y906" s="12"/>
      <c r="Z906" s="12"/>
      <c r="AA906" s="12"/>
    </row>
    <row r="907">
      <c r="A907" s="12"/>
      <c r="B907" s="12"/>
      <c r="C907" s="12"/>
      <c r="D907" s="12"/>
      <c r="E907" s="12"/>
      <c r="F907" s="12"/>
      <c r="G907" s="12"/>
      <c r="H907" s="2"/>
      <c r="I907" s="12"/>
      <c r="J907" s="12"/>
      <c r="K907" s="12"/>
      <c r="L907" s="12"/>
      <c r="M907" s="12"/>
      <c r="N907" s="12"/>
      <c r="O907" s="12"/>
      <c r="P907" s="12"/>
      <c r="Q907" s="12"/>
      <c r="R907" s="12"/>
      <c r="S907" s="12"/>
      <c r="T907" s="12"/>
      <c r="U907" s="12"/>
      <c r="V907" s="12"/>
      <c r="W907" s="12"/>
      <c r="X907" s="12"/>
      <c r="Y907" s="12"/>
      <c r="Z907" s="12"/>
      <c r="AA907" s="12"/>
    </row>
    <row r="908">
      <c r="A908" s="12"/>
      <c r="B908" s="12"/>
      <c r="C908" s="12"/>
      <c r="D908" s="12"/>
      <c r="E908" s="12"/>
      <c r="F908" s="12"/>
      <c r="G908" s="12"/>
      <c r="H908" s="2"/>
      <c r="I908" s="12"/>
      <c r="J908" s="12"/>
      <c r="K908" s="12"/>
      <c r="L908" s="12"/>
      <c r="M908" s="12"/>
      <c r="N908" s="12"/>
      <c r="O908" s="12"/>
      <c r="P908" s="12"/>
      <c r="Q908" s="12"/>
      <c r="R908" s="12"/>
      <c r="S908" s="12"/>
      <c r="T908" s="12"/>
      <c r="U908" s="12"/>
      <c r="V908" s="12"/>
      <c r="W908" s="12"/>
      <c r="X908" s="12"/>
      <c r="Y908" s="12"/>
      <c r="Z908" s="12"/>
      <c r="AA908" s="12"/>
    </row>
    <row r="909">
      <c r="A909" s="12"/>
      <c r="B909" s="12"/>
      <c r="C909" s="12"/>
      <c r="D909" s="12"/>
      <c r="E909" s="12"/>
      <c r="F909" s="12"/>
      <c r="G909" s="12"/>
      <c r="H909" s="2"/>
      <c r="I909" s="12"/>
      <c r="J909" s="12"/>
      <c r="K909" s="12"/>
      <c r="L909" s="12"/>
      <c r="M909" s="12"/>
      <c r="N909" s="12"/>
      <c r="O909" s="12"/>
      <c r="P909" s="12"/>
      <c r="Q909" s="12"/>
      <c r="R909" s="12"/>
      <c r="S909" s="12"/>
      <c r="T909" s="12"/>
      <c r="U909" s="12"/>
      <c r="V909" s="12"/>
      <c r="W909" s="12"/>
      <c r="X909" s="12"/>
      <c r="Y909" s="12"/>
      <c r="Z909" s="12"/>
      <c r="AA909" s="12"/>
    </row>
    <row r="910">
      <c r="A910" s="12"/>
      <c r="B910" s="12"/>
      <c r="C910" s="12"/>
      <c r="D910" s="12"/>
      <c r="E910" s="12"/>
      <c r="F910" s="12"/>
      <c r="G910" s="12"/>
      <c r="H910" s="2"/>
      <c r="I910" s="12"/>
      <c r="J910" s="12"/>
      <c r="K910" s="12"/>
      <c r="L910" s="12"/>
      <c r="M910" s="12"/>
      <c r="N910" s="12"/>
      <c r="O910" s="12"/>
      <c r="P910" s="12"/>
      <c r="Q910" s="12"/>
      <c r="R910" s="12"/>
      <c r="S910" s="12"/>
      <c r="T910" s="12"/>
      <c r="U910" s="12"/>
      <c r="V910" s="12"/>
      <c r="W910" s="12"/>
      <c r="X910" s="12"/>
      <c r="Y910" s="12"/>
      <c r="Z910" s="12"/>
      <c r="AA910" s="12"/>
    </row>
    <row r="911">
      <c r="A911" s="12"/>
      <c r="B911" s="12"/>
      <c r="C911" s="12"/>
      <c r="D911" s="12"/>
      <c r="E911" s="12"/>
      <c r="F911" s="12"/>
      <c r="G911" s="12"/>
      <c r="H911" s="2"/>
      <c r="I911" s="12"/>
      <c r="J911" s="12"/>
      <c r="K911" s="12"/>
      <c r="L911" s="12"/>
      <c r="M911" s="12"/>
      <c r="N911" s="12"/>
      <c r="O911" s="12"/>
      <c r="P911" s="12"/>
      <c r="Q911" s="12"/>
      <c r="R911" s="12"/>
      <c r="S911" s="12"/>
      <c r="T911" s="12"/>
      <c r="U911" s="12"/>
      <c r="V911" s="12"/>
      <c r="W911" s="12"/>
      <c r="X911" s="12"/>
      <c r="Y911" s="12"/>
      <c r="Z911" s="12"/>
      <c r="AA911" s="12"/>
    </row>
    <row r="912">
      <c r="A912" s="12"/>
      <c r="B912" s="12"/>
      <c r="C912" s="12"/>
      <c r="D912" s="12"/>
      <c r="E912" s="12"/>
      <c r="F912" s="12"/>
      <c r="G912" s="12"/>
      <c r="H912" s="2"/>
      <c r="I912" s="12"/>
      <c r="J912" s="12"/>
      <c r="K912" s="12"/>
      <c r="L912" s="12"/>
      <c r="M912" s="12"/>
      <c r="N912" s="12"/>
      <c r="O912" s="12"/>
      <c r="P912" s="12"/>
      <c r="Q912" s="12"/>
      <c r="R912" s="12"/>
      <c r="S912" s="12"/>
      <c r="T912" s="12"/>
      <c r="U912" s="12"/>
      <c r="V912" s="12"/>
      <c r="W912" s="12"/>
      <c r="X912" s="12"/>
      <c r="Y912" s="12"/>
      <c r="Z912" s="12"/>
      <c r="AA912" s="12"/>
    </row>
    <row r="913">
      <c r="A913" s="12"/>
      <c r="B913" s="12"/>
      <c r="C913" s="12"/>
      <c r="D913" s="12"/>
      <c r="E913" s="12"/>
      <c r="F913" s="12"/>
      <c r="G913" s="12"/>
      <c r="H913" s="2"/>
      <c r="I913" s="12"/>
      <c r="J913" s="12"/>
      <c r="K913" s="12"/>
      <c r="L913" s="12"/>
      <c r="M913" s="12"/>
      <c r="N913" s="12"/>
      <c r="O913" s="12"/>
      <c r="P913" s="12"/>
      <c r="Q913" s="12"/>
      <c r="R913" s="12"/>
      <c r="S913" s="12"/>
      <c r="T913" s="12"/>
      <c r="U913" s="12"/>
      <c r="V913" s="12"/>
      <c r="W913" s="12"/>
      <c r="X913" s="12"/>
      <c r="Y913" s="12"/>
      <c r="Z913" s="12"/>
      <c r="AA913" s="12"/>
    </row>
    <row r="914">
      <c r="A914" s="12"/>
      <c r="B914" s="12"/>
      <c r="C914" s="12"/>
      <c r="D914" s="12"/>
      <c r="E914" s="12"/>
      <c r="F914" s="12"/>
      <c r="G914" s="12"/>
      <c r="H914" s="2"/>
      <c r="I914" s="12"/>
      <c r="J914" s="12"/>
      <c r="K914" s="12"/>
      <c r="L914" s="12"/>
      <c r="M914" s="12"/>
      <c r="N914" s="12"/>
      <c r="O914" s="12"/>
      <c r="P914" s="12"/>
      <c r="Q914" s="12"/>
      <c r="R914" s="12"/>
      <c r="S914" s="12"/>
      <c r="T914" s="12"/>
      <c r="U914" s="12"/>
      <c r="V914" s="12"/>
      <c r="W914" s="12"/>
      <c r="X914" s="12"/>
      <c r="Y914" s="12"/>
      <c r="Z914" s="12"/>
      <c r="AA914" s="12"/>
    </row>
    <row r="915">
      <c r="A915" s="12"/>
      <c r="B915" s="12"/>
      <c r="C915" s="12"/>
      <c r="D915" s="12"/>
      <c r="E915" s="12"/>
      <c r="F915" s="12"/>
      <c r="G915" s="12"/>
      <c r="H915" s="2"/>
      <c r="I915" s="12"/>
      <c r="J915" s="12"/>
      <c r="K915" s="12"/>
      <c r="L915" s="12"/>
      <c r="M915" s="12"/>
      <c r="N915" s="12"/>
      <c r="O915" s="12"/>
      <c r="P915" s="12"/>
      <c r="Q915" s="12"/>
      <c r="R915" s="12"/>
      <c r="S915" s="12"/>
      <c r="T915" s="12"/>
      <c r="U915" s="12"/>
      <c r="V915" s="12"/>
      <c r="W915" s="12"/>
      <c r="X915" s="12"/>
      <c r="Y915" s="12"/>
      <c r="Z915" s="12"/>
      <c r="AA915" s="12"/>
    </row>
    <row r="916">
      <c r="A916" s="12"/>
      <c r="B916" s="12"/>
      <c r="C916" s="12"/>
      <c r="D916" s="12"/>
      <c r="E916" s="12"/>
      <c r="F916" s="12"/>
      <c r="G916" s="12"/>
      <c r="H916" s="2"/>
      <c r="I916" s="12"/>
      <c r="J916" s="12"/>
      <c r="K916" s="12"/>
      <c r="L916" s="12"/>
      <c r="M916" s="12"/>
      <c r="N916" s="12"/>
      <c r="O916" s="12"/>
      <c r="P916" s="12"/>
      <c r="Q916" s="12"/>
      <c r="R916" s="12"/>
      <c r="S916" s="12"/>
      <c r="T916" s="12"/>
      <c r="U916" s="12"/>
      <c r="V916" s="12"/>
      <c r="W916" s="12"/>
      <c r="X916" s="12"/>
      <c r="Y916" s="12"/>
      <c r="Z916" s="12"/>
      <c r="AA916" s="12"/>
    </row>
    <row r="917">
      <c r="A917" s="12"/>
      <c r="B917" s="12"/>
      <c r="C917" s="12"/>
      <c r="D917" s="12"/>
      <c r="E917" s="12"/>
      <c r="F917" s="12"/>
      <c r="G917" s="12"/>
      <c r="H917" s="2"/>
      <c r="I917" s="12"/>
      <c r="J917" s="12"/>
      <c r="K917" s="12"/>
      <c r="L917" s="12"/>
      <c r="M917" s="12"/>
      <c r="N917" s="12"/>
      <c r="O917" s="12"/>
      <c r="P917" s="12"/>
      <c r="Q917" s="12"/>
      <c r="R917" s="12"/>
      <c r="S917" s="12"/>
      <c r="T917" s="12"/>
      <c r="U917" s="12"/>
      <c r="V917" s="12"/>
      <c r="W917" s="12"/>
      <c r="X917" s="12"/>
      <c r="Y917" s="12"/>
      <c r="Z917" s="12"/>
      <c r="AA917" s="12"/>
    </row>
    <row r="918">
      <c r="A918" s="12"/>
      <c r="B918" s="12"/>
      <c r="C918" s="12"/>
      <c r="D918" s="12"/>
      <c r="E918" s="12"/>
      <c r="F918" s="12"/>
      <c r="G918" s="12"/>
      <c r="H918" s="2"/>
      <c r="I918" s="12"/>
      <c r="J918" s="12"/>
      <c r="K918" s="12"/>
      <c r="L918" s="12"/>
      <c r="M918" s="12"/>
      <c r="N918" s="12"/>
      <c r="O918" s="12"/>
      <c r="P918" s="12"/>
      <c r="Q918" s="12"/>
      <c r="R918" s="12"/>
      <c r="S918" s="12"/>
      <c r="T918" s="12"/>
      <c r="U918" s="12"/>
      <c r="V918" s="12"/>
      <c r="W918" s="12"/>
      <c r="X918" s="12"/>
      <c r="Y918" s="12"/>
      <c r="Z918" s="12"/>
      <c r="AA918" s="12"/>
    </row>
    <row r="919">
      <c r="A919" s="12"/>
      <c r="B919" s="12"/>
      <c r="C919" s="12"/>
      <c r="D919" s="12"/>
      <c r="E919" s="12"/>
      <c r="F919" s="12"/>
      <c r="G919" s="12"/>
      <c r="H919" s="2"/>
      <c r="I919" s="12"/>
      <c r="J919" s="12"/>
      <c r="K919" s="12"/>
      <c r="L919" s="12"/>
      <c r="M919" s="12"/>
      <c r="N919" s="12"/>
      <c r="O919" s="12"/>
      <c r="P919" s="12"/>
      <c r="Q919" s="12"/>
      <c r="R919" s="12"/>
      <c r="S919" s="12"/>
      <c r="T919" s="12"/>
      <c r="U919" s="12"/>
      <c r="V919" s="12"/>
      <c r="W919" s="12"/>
      <c r="X919" s="12"/>
      <c r="Y919" s="12"/>
      <c r="Z919" s="12"/>
      <c r="AA919" s="12"/>
    </row>
    <row r="920">
      <c r="A920" s="12"/>
      <c r="B920" s="12"/>
      <c r="C920" s="12"/>
      <c r="D920" s="12"/>
      <c r="E920" s="12"/>
      <c r="F920" s="12"/>
      <c r="G920" s="12"/>
      <c r="H920" s="2"/>
      <c r="I920" s="12"/>
      <c r="J920" s="12"/>
      <c r="K920" s="12"/>
      <c r="L920" s="12"/>
      <c r="M920" s="12"/>
      <c r="N920" s="12"/>
      <c r="O920" s="12"/>
      <c r="P920" s="12"/>
      <c r="Q920" s="12"/>
      <c r="R920" s="12"/>
      <c r="S920" s="12"/>
      <c r="T920" s="12"/>
      <c r="U920" s="12"/>
      <c r="V920" s="12"/>
      <c r="W920" s="12"/>
      <c r="X920" s="12"/>
      <c r="Y920" s="12"/>
      <c r="Z920" s="12"/>
      <c r="AA920" s="12"/>
    </row>
    <row r="921">
      <c r="A921" s="12"/>
      <c r="B921" s="12"/>
      <c r="C921" s="12"/>
      <c r="D921" s="12"/>
      <c r="E921" s="12"/>
      <c r="F921" s="12"/>
      <c r="G921" s="12"/>
      <c r="H921" s="2"/>
      <c r="I921" s="12"/>
      <c r="J921" s="12"/>
      <c r="K921" s="12"/>
      <c r="L921" s="12"/>
      <c r="M921" s="12"/>
      <c r="N921" s="12"/>
      <c r="O921" s="12"/>
      <c r="P921" s="12"/>
      <c r="Q921" s="12"/>
      <c r="R921" s="12"/>
      <c r="S921" s="12"/>
      <c r="T921" s="12"/>
      <c r="U921" s="12"/>
      <c r="V921" s="12"/>
      <c r="W921" s="12"/>
      <c r="X921" s="12"/>
      <c r="Y921" s="12"/>
      <c r="Z921" s="12"/>
      <c r="AA921" s="12"/>
    </row>
    <row r="922">
      <c r="A922" s="12"/>
      <c r="B922" s="12"/>
      <c r="C922" s="12"/>
      <c r="D922" s="12"/>
      <c r="E922" s="12"/>
      <c r="F922" s="12"/>
      <c r="G922" s="12"/>
      <c r="H922" s="2"/>
      <c r="I922" s="12"/>
      <c r="J922" s="12"/>
      <c r="K922" s="12"/>
      <c r="L922" s="12"/>
      <c r="M922" s="12"/>
      <c r="N922" s="12"/>
      <c r="O922" s="12"/>
      <c r="P922" s="12"/>
      <c r="Q922" s="12"/>
      <c r="R922" s="12"/>
      <c r="S922" s="12"/>
      <c r="T922" s="12"/>
      <c r="U922" s="12"/>
      <c r="V922" s="12"/>
      <c r="W922" s="12"/>
      <c r="X922" s="12"/>
      <c r="Y922" s="12"/>
      <c r="Z922" s="12"/>
      <c r="AA922" s="12"/>
    </row>
    <row r="923">
      <c r="A923" s="12"/>
      <c r="B923" s="12"/>
      <c r="C923" s="12"/>
      <c r="D923" s="12"/>
      <c r="E923" s="12"/>
      <c r="F923" s="12"/>
      <c r="G923" s="12"/>
      <c r="H923" s="2"/>
      <c r="I923" s="12"/>
      <c r="J923" s="12"/>
      <c r="K923" s="12"/>
      <c r="L923" s="12"/>
      <c r="M923" s="12"/>
      <c r="N923" s="12"/>
      <c r="O923" s="12"/>
      <c r="P923" s="12"/>
      <c r="Q923" s="12"/>
      <c r="R923" s="12"/>
      <c r="S923" s="12"/>
      <c r="T923" s="12"/>
      <c r="U923" s="12"/>
      <c r="V923" s="12"/>
      <c r="W923" s="12"/>
      <c r="X923" s="12"/>
      <c r="Y923" s="12"/>
      <c r="Z923" s="12"/>
      <c r="AA923" s="12"/>
    </row>
    <row r="924">
      <c r="A924" s="12"/>
      <c r="B924" s="12"/>
      <c r="C924" s="12"/>
      <c r="D924" s="12"/>
      <c r="E924" s="12"/>
      <c r="F924" s="12"/>
      <c r="G924" s="12"/>
      <c r="H924" s="2"/>
      <c r="I924" s="12"/>
      <c r="J924" s="12"/>
      <c r="K924" s="12"/>
      <c r="L924" s="12"/>
      <c r="M924" s="12"/>
      <c r="N924" s="12"/>
      <c r="O924" s="12"/>
      <c r="P924" s="12"/>
      <c r="Q924" s="12"/>
      <c r="R924" s="12"/>
      <c r="S924" s="12"/>
      <c r="T924" s="12"/>
      <c r="U924" s="12"/>
      <c r="V924" s="12"/>
      <c r="W924" s="12"/>
      <c r="X924" s="12"/>
      <c r="Y924" s="12"/>
      <c r="Z924" s="12"/>
      <c r="AA924" s="12"/>
    </row>
    <row r="925">
      <c r="A925" s="12"/>
      <c r="B925" s="12"/>
      <c r="C925" s="12"/>
      <c r="D925" s="12"/>
      <c r="E925" s="12"/>
      <c r="F925" s="12"/>
      <c r="G925" s="12"/>
      <c r="H925" s="2"/>
      <c r="I925" s="12"/>
      <c r="J925" s="12"/>
      <c r="K925" s="12"/>
      <c r="L925" s="12"/>
      <c r="M925" s="12"/>
      <c r="N925" s="12"/>
      <c r="O925" s="12"/>
      <c r="P925" s="12"/>
      <c r="Q925" s="12"/>
      <c r="R925" s="12"/>
      <c r="S925" s="12"/>
      <c r="T925" s="12"/>
      <c r="U925" s="12"/>
      <c r="V925" s="12"/>
      <c r="W925" s="12"/>
      <c r="X925" s="12"/>
      <c r="Y925" s="12"/>
      <c r="Z925" s="12"/>
      <c r="AA925" s="12"/>
    </row>
    <row r="926">
      <c r="A926" s="12"/>
      <c r="B926" s="12"/>
      <c r="C926" s="12"/>
      <c r="D926" s="12"/>
      <c r="E926" s="12"/>
      <c r="F926" s="12"/>
      <c r="G926" s="12"/>
      <c r="H926" s="2"/>
      <c r="I926" s="12"/>
      <c r="J926" s="12"/>
      <c r="K926" s="12"/>
      <c r="L926" s="12"/>
      <c r="M926" s="12"/>
      <c r="N926" s="12"/>
      <c r="O926" s="12"/>
      <c r="P926" s="12"/>
      <c r="Q926" s="12"/>
      <c r="R926" s="12"/>
      <c r="S926" s="12"/>
      <c r="T926" s="12"/>
      <c r="U926" s="12"/>
      <c r="V926" s="12"/>
      <c r="W926" s="12"/>
      <c r="X926" s="12"/>
      <c r="Y926" s="12"/>
      <c r="Z926" s="12"/>
      <c r="AA926" s="12"/>
    </row>
    <row r="927">
      <c r="A927" s="12"/>
      <c r="B927" s="12"/>
      <c r="C927" s="12"/>
      <c r="D927" s="12"/>
      <c r="E927" s="12"/>
      <c r="F927" s="12"/>
      <c r="G927" s="12"/>
      <c r="H927" s="2"/>
      <c r="I927" s="12"/>
      <c r="J927" s="12"/>
      <c r="K927" s="12"/>
      <c r="L927" s="12"/>
      <c r="M927" s="12"/>
      <c r="N927" s="12"/>
      <c r="O927" s="12"/>
      <c r="P927" s="12"/>
      <c r="Q927" s="12"/>
      <c r="R927" s="12"/>
      <c r="S927" s="12"/>
      <c r="T927" s="12"/>
      <c r="U927" s="12"/>
      <c r="V927" s="12"/>
      <c r="W927" s="12"/>
      <c r="X927" s="12"/>
      <c r="Y927" s="12"/>
      <c r="Z927" s="12"/>
      <c r="AA927" s="12"/>
    </row>
    <row r="928">
      <c r="A928" s="12"/>
      <c r="B928" s="12"/>
      <c r="C928" s="12"/>
      <c r="D928" s="12"/>
      <c r="E928" s="12"/>
      <c r="F928" s="12"/>
      <c r="G928" s="12"/>
      <c r="H928" s="2"/>
      <c r="I928" s="12"/>
      <c r="J928" s="12"/>
      <c r="K928" s="12"/>
      <c r="L928" s="12"/>
      <c r="M928" s="12"/>
      <c r="N928" s="12"/>
      <c r="O928" s="12"/>
      <c r="P928" s="12"/>
      <c r="Q928" s="12"/>
      <c r="R928" s="12"/>
      <c r="S928" s="12"/>
      <c r="T928" s="12"/>
      <c r="U928" s="12"/>
      <c r="V928" s="12"/>
      <c r="W928" s="12"/>
      <c r="X928" s="12"/>
      <c r="Y928" s="12"/>
      <c r="Z928" s="12"/>
      <c r="AA928" s="12"/>
    </row>
    <row r="929">
      <c r="A929" s="12"/>
      <c r="B929" s="12"/>
      <c r="C929" s="12"/>
      <c r="D929" s="12"/>
      <c r="E929" s="12"/>
      <c r="F929" s="12"/>
      <c r="G929" s="12"/>
      <c r="H929" s="2"/>
      <c r="I929" s="12"/>
      <c r="J929" s="12"/>
      <c r="K929" s="12"/>
      <c r="L929" s="12"/>
      <c r="M929" s="12"/>
      <c r="N929" s="12"/>
      <c r="O929" s="12"/>
      <c r="P929" s="12"/>
      <c r="Q929" s="12"/>
      <c r="R929" s="12"/>
      <c r="S929" s="12"/>
      <c r="T929" s="12"/>
      <c r="U929" s="12"/>
      <c r="V929" s="12"/>
      <c r="W929" s="12"/>
      <c r="X929" s="12"/>
      <c r="Y929" s="12"/>
      <c r="Z929" s="12"/>
      <c r="AA929" s="12"/>
    </row>
    <row r="930">
      <c r="A930" s="12"/>
      <c r="B930" s="12"/>
      <c r="C930" s="12"/>
      <c r="D930" s="12"/>
      <c r="E930" s="12"/>
      <c r="F930" s="12"/>
      <c r="G930" s="12"/>
      <c r="H930" s="2"/>
      <c r="I930" s="12"/>
      <c r="J930" s="12"/>
      <c r="K930" s="12"/>
      <c r="L930" s="12"/>
      <c r="M930" s="12"/>
      <c r="N930" s="12"/>
      <c r="O930" s="12"/>
      <c r="P930" s="12"/>
      <c r="Q930" s="12"/>
      <c r="R930" s="12"/>
      <c r="S930" s="12"/>
      <c r="T930" s="12"/>
      <c r="U930" s="12"/>
      <c r="V930" s="12"/>
      <c r="W930" s="12"/>
      <c r="X930" s="12"/>
      <c r="Y930" s="12"/>
      <c r="Z930" s="12"/>
      <c r="AA930" s="12"/>
    </row>
    <row r="931">
      <c r="A931" s="12"/>
      <c r="B931" s="12"/>
      <c r="C931" s="12"/>
      <c r="D931" s="12"/>
      <c r="E931" s="12"/>
      <c r="F931" s="12"/>
      <c r="G931" s="12"/>
      <c r="H931" s="2"/>
      <c r="I931" s="12"/>
      <c r="J931" s="12"/>
      <c r="K931" s="12"/>
      <c r="L931" s="12"/>
      <c r="M931" s="12"/>
      <c r="N931" s="12"/>
      <c r="O931" s="12"/>
      <c r="P931" s="12"/>
      <c r="Q931" s="12"/>
      <c r="R931" s="12"/>
      <c r="S931" s="12"/>
      <c r="T931" s="12"/>
      <c r="U931" s="12"/>
      <c r="V931" s="12"/>
      <c r="W931" s="12"/>
      <c r="X931" s="12"/>
      <c r="Y931" s="12"/>
      <c r="Z931" s="12"/>
      <c r="AA931" s="12"/>
    </row>
    <row r="932">
      <c r="A932" s="12"/>
      <c r="B932" s="12"/>
      <c r="C932" s="12"/>
      <c r="D932" s="12"/>
      <c r="E932" s="12"/>
      <c r="F932" s="12"/>
      <c r="G932" s="12"/>
      <c r="H932" s="2"/>
      <c r="I932" s="12"/>
      <c r="J932" s="12"/>
      <c r="K932" s="12"/>
      <c r="L932" s="12"/>
      <c r="M932" s="12"/>
      <c r="N932" s="12"/>
      <c r="O932" s="12"/>
      <c r="P932" s="12"/>
      <c r="Q932" s="12"/>
      <c r="R932" s="12"/>
      <c r="S932" s="12"/>
      <c r="T932" s="12"/>
      <c r="U932" s="12"/>
      <c r="V932" s="12"/>
      <c r="W932" s="12"/>
      <c r="X932" s="12"/>
      <c r="Y932" s="12"/>
      <c r="Z932" s="12"/>
      <c r="AA932" s="12"/>
    </row>
    <row r="933">
      <c r="A933" s="12"/>
      <c r="B933" s="12"/>
      <c r="C933" s="12"/>
      <c r="D933" s="12"/>
      <c r="E933" s="12"/>
      <c r="F933" s="12"/>
      <c r="G933" s="12"/>
      <c r="H933" s="2"/>
      <c r="I933" s="12"/>
      <c r="J933" s="12"/>
      <c r="K933" s="12"/>
      <c r="L933" s="12"/>
      <c r="M933" s="12"/>
      <c r="N933" s="12"/>
      <c r="O933" s="12"/>
      <c r="P933" s="12"/>
      <c r="Q933" s="12"/>
      <c r="R933" s="12"/>
      <c r="S933" s="12"/>
      <c r="T933" s="12"/>
      <c r="U933" s="12"/>
      <c r="V933" s="12"/>
      <c r="W933" s="12"/>
      <c r="X933" s="12"/>
      <c r="Y933" s="12"/>
      <c r="Z933" s="12"/>
      <c r="AA933" s="12"/>
    </row>
    <row r="934">
      <c r="A934" s="12"/>
      <c r="B934" s="12"/>
      <c r="C934" s="12"/>
      <c r="D934" s="12"/>
      <c r="E934" s="12"/>
      <c r="F934" s="12"/>
      <c r="G934" s="12"/>
      <c r="H934" s="2"/>
      <c r="I934" s="12"/>
      <c r="J934" s="12"/>
      <c r="K934" s="12"/>
      <c r="L934" s="12"/>
      <c r="M934" s="12"/>
      <c r="N934" s="12"/>
      <c r="O934" s="12"/>
      <c r="P934" s="12"/>
      <c r="Q934" s="12"/>
      <c r="R934" s="12"/>
      <c r="S934" s="12"/>
      <c r="T934" s="12"/>
      <c r="U934" s="12"/>
      <c r="V934" s="12"/>
      <c r="W934" s="12"/>
      <c r="X934" s="12"/>
      <c r="Y934" s="12"/>
      <c r="Z934" s="12"/>
      <c r="AA934" s="12"/>
    </row>
    <row r="935">
      <c r="A935" s="12"/>
      <c r="B935" s="12"/>
      <c r="C935" s="12"/>
      <c r="D935" s="12"/>
      <c r="E935" s="12"/>
      <c r="F935" s="12"/>
      <c r="G935" s="12"/>
      <c r="H935" s="2"/>
      <c r="I935" s="12"/>
      <c r="J935" s="12"/>
      <c r="K935" s="12"/>
      <c r="L935" s="12"/>
      <c r="M935" s="12"/>
      <c r="N935" s="12"/>
      <c r="O935" s="12"/>
      <c r="P935" s="12"/>
      <c r="Q935" s="12"/>
      <c r="R935" s="12"/>
      <c r="S935" s="12"/>
      <c r="T935" s="12"/>
      <c r="U935" s="12"/>
      <c r="V935" s="12"/>
      <c r="W935" s="12"/>
      <c r="X935" s="12"/>
      <c r="Y935" s="12"/>
      <c r="Z935" s="12"/>
      <c r="AA935" s="12"/>
    </row>
    <row r="936">
      <c r="A936" s="12"/>
      <c r="B936" s="12"/>
      <c r="C936" s="12"/>
      <c r="D936" s="12"/>
      <c r="E936" s="12"/>
      <c r="F936" s="12"/>
      <c r="G936" s="12"/>
      <c r="H936" s="2"/>
      <c r="I936" s="12"/>
      <c r="J936" s="12"/>
      <c r="K936" s="12"/>
      <c r="L936" s="12"/>
      <c r="M936" s="12"/>
      <c r="N936" s="12"/>
      <c r="O936" s="12"/>
      <c r="P936" s="12"/>
      <c r="Q936" s="12"/>
      <c r="R936" s="12"/>
      <c r="S936" s="12"/>
      <c r="T936" s="12"/>
      <c r="U936" s="12"/>
      <c r="V936" s="12"/>
      <c r="W936" s="12"/>
      <c r="X936" s="12"/>
      <c r="Y936" s="12"/>
      <c r="Z936" s="12"/>
      <c r="AA936" s="12"/>
    </row>
    <row r="937">
      <c r="A937" s="12"/>
      <c r="B937" s="12"/>
      <c r="C937" s="12"/>
      <c r="D937" s="12"/>
      <c r="E937" s="12"/>
      <c r="F937" s="12"/>
      <c r="G937" s="12"/>
      <c r="H937" s="2"/>
      <c r="I937" s="12"/>
      <c r="J937" s="12"/>
      <c r="K937" s="12"/>
      <c r="L937" s="12"/>
      <c r="M937" s="12"/>
      <c r="N937" s="12"/>
      <c r="O937" s="12"/>
      <c r="P937" s="12"/>
      <c r="Q937" s="12"/>
      <c r="R937" s="12"/>
      <c r="S937" s="12"/>
      <c r="T937" s="12"/>
      <c r="U937" s="12"/>
      <c r="V937" s="12"/>
      <c r="W937" s="12"/>
      <c r="X937" s="12"/>
      <c r="Y937" s="12"/>
      <c r="Z937" s="12"/>
      <c r="AA937" s="12"/>
    </row>
    <row r="938">
      <c r="A938" s="12"/>
      <c r="B938" s="12"/>
      <c r="C938" s="12"/>
      <c r="D938" s="12"/>
      <c r="E938" s="12"/>
      <c r="F938" s="12"/>
      <c r="G938" s="12"/>
      <c r="H938" s="2"/>
      <c r="I938" s="12"/>
      <c r="J938" s="12"/>
      <c r="K938" s="12"/>
      <c r="L938" s="12"/>
      <c r="M938" s="12"/>
      <c r="N938" s="12"/>
      <c r="O938" s="12"/>
      <c r="P938" s="12"/>
      <c r="Q938" s="12"/>
      <c r="R938" s="12"/>
      <c r="S938" s="12"/>
      <c r="T938" s="12"/>
      <c r="U938" s="12"/>
      <c r="V938" s="12"/>
      <c r="W938" s="12"/>
      <c r="X938" s="12"/>
      <c r="Y938" s="12"/>
      <c r="Z938" s="12"/>
      <c r="AA938" s="12"/>
    </row>
    <row r="939">
      <c r="A939" s="12"/>
      <c r="B939" s="12"/>
      <c r="C939" s="12"/>
      <c r="D939" s="12"/>
      <c r="E939" s="12"/>
      <c r="F939" s="12"/>
      <c r="G939" s="12"/>
      <c r="H939" s="2"/>
      <c r="I939" s="12"/>
      <c r="J939" s="12"/>
      <c r="K939" s="12"/>
      <c r="L939" s="12"/>
      <c r="M939" s="12"/>
      <c r="N939" s="12"/>
      <c r="O939" s="12"/>
      <c r="P939" s="12"/>
      <c r="Q939" s="12"/>
      <c r="R939" s="12"/>
      <c r="S939" s="12"/>
      <c r="T939" s="12"/>
      <c r="U939" s="12"/>
      <c r="V939" s="12"/>
      <c r="W939" s="12"/>
      <c r="X939" s="12"/>
      <c r="Y939" s="12"/>
      <c r="Z939" s="12"/>
      <c r="AA939" s="12"/>
    </row>
    <row r="940">
      <c r="A940" s="12"/>
      <c r="B940" s="12"/>
      <c r="C940" s="12"/>
      <c r="D940" s="12"/>
      <c r="E940" s="12"/>
      <c r="F940" s="12"/>
      <c r="G940" s="12"/>
      <c r="H940" s="2"/>
      <c r="I940" s="12"/>
      <c r="J940" s="12"/>
      <c r="K940" s="12"/>
      <c r="L940" s="12"/>
      <c r="M940" s="12"/>
      <c r="N940" s="12"/>
      <c r="O940" s="12"/>
      <c r="P940" s="12"/>
      <c r="Q940" s="12"/>
      <c r="R940" s="12"/>
      <c r="S940" s="12"/>
      <c r="T940" s="12"/>
      <c r="U940" s="12"/>
      <c r="V940" s="12"/>
      <c r="W940" s="12"/>
      <c r="X940" s="12"/>
      <c r="Y940" s="12"/>
      <c r="Z940" s="12"/>
      <c r="AA940" s="12"/>
    </row>
    <row r="941">
      <c r="A941" s="12"/>
      <c r="B941" s="12"/>
      <c r="C941" s="12"/>
      <c r="D941" s="12"/>
      <c r="E941" s="12"/>
      <c r="F941" s="12"/>
      <c r="G941" s="12"/>
      <c r="H941" s="2"/>
      <c r="I941" s="12"/>
      <c r="J941" s="12"/>
      <c r="K941" s="12"/>
      <c r="L941" s="12"/>
      <c r="M941" s="12"/>
      <c r="N941" s="12"/>
      <c r="O941" s="12"/>
      <c r="P941" s="12"/>
      <c r="Q941" s="12"/>
      <c r="R941" s="12"/>
      <c r="S941" s="12"/>
      <c r="T941" s="12"/>
      <c r="U941" s="12"/>
      <c r="V941" s="12"/>
      <c r="W941" s="12"/>
      <c r="X941" s="12"/>
      <c r="Y941" s="12"/>
      <c r="Z941" s="12"/>
      <c r="AA941" s="12"/>
    </row>
    <row r="942">
      <c r="A942" s="12"/>
      <c r="B942" s="12"/>
      <c r="C942" s="12"/>
      <c r="D942" s="12"/>
      <c r="E942" s="12"/>
      <c r="F942" s="12"/>
      <c r="G942" s="12"/>
      <c r="H942" s="2"/>
      <c r="I942" s="12"/>
      <c r="J942" s="12"/>
      <c r="K942" s="12"/>
      <c r="L942" s="12"/>
      <c r="M942" s="12"/>
      <c r="N942" s="12"/>
      <c r="O942" s="12"/>
      <c r="P942" s="12"/>
      <c r="Q942" s="12"/>
      <c r="R942" s="12"/>
      <c r="S942" s="12"/>
      <c r="T942" s="12"/>
      <c r="U942" s="12"/>
      <c r="V942" s="12"/>
      <c r="W942" s="12"/>
      <c r="X942" s="12"/>
      <c r="Y942" s="12"/>
      <c r="Z942" s="12"/>
      <c r="AA942" s="12"/>
    </row>
    <row r="943">
      <c r="A943" s="12"/>
      <c r="B943" s="12"/>
      <c r="C943" s="12"/>
      <c r="D943" s="12"/>
      <c r="E943" s="12"/>
      <c r="F943" s="12"/>
      <c r="G943" s="12"/>
      <c r="H943" s="2"/>
      <c r="I943" s="12"/>
      <c r="J943" s="12"/>
      <c r="K943" s="12"/>
      <c r="L943" s="12"/>
      <c r="M943" s="12"/>
      <c r="N943" s="12"/>
      <c r="O943" s="12"/>
      <c r="P943" s="12"/>
      <c r="Q943" s="12"/>
      <c r="R943" s="12"/>
      <c r="S943" s="12"/>
      <c r="T943" s="12"/>
      <c r="U943" s="12"/>
      <c r="V943" s="12"/>
      <c r="W943" s="12"/>
      <c r="X943" s="12"/>
      <c r="Y943" s="12"/>
      <c r="Z943" s="12"/>
      <c r="AA943" s="12"/>
    </row>
    <row r="944">
      <c r="A944" s="12"/>
      <c r="B944" s="12"/>
      <c r="C944" s="12"/>
      <c r="D944" s="12"/>
      <c r="E944" s="12"/>
      <c r="F944" s="12"/>
      <c r="G944" s="12"/>
      <c r="H944" s="2"/>
      <c r="I944" s="12"/>
      <c r="J944" s="12"/>
      <c r="K944" s="12"/>
      <c r="L944" s="12"/>
      <c r="M944" s="12"/>
      <c r="N944" s="12"/>
      <c r="O944" s="12"/>
      <c r="P944" s="12"/>
      <c r="Q944" s="12"/>
      <c r="R944" s="12"/>
      <c r="S944" s="12"/>
      <c r="T944" s="12"/>
      <c r="U944" s="12"/>
      <c r="V944" s="12"/>
      <c r="W944" s="12"/>
      <c r="X944" s="12"/>
      <c r="Y944" s="12"/>
      <c r="Z944" s="12"/>
      <c r="AA944" s="12"/>
    </row>
    <row r="945">
      <c r="A945" s="12"/>
      <c r="B945" s="12"/>
      <c r="C945" s="12"/>
      <c r="D945" s="12"/>
      <c r="E945" s="12"/>
      <c r="F945" s="12"/>
      <c r="G945" s="12"/>
      <c r="H945" s="2"/>
      <c r="I945" s="12"/>
      <c r="J945" s="12"/>
      <c r="K945" s="12"/>
      <c r="L945" s="12"/>
      <c r="M945" s="12"/>
      <c r="N945" s="12"/>
      <c r="O945" s="12"/>
      <c r="P945" s="12"/>
      <c r="Q945" s="12"/>
      <c r="R945" s="12"/>
      <c r="S945" s="12"/>
      <c r="T945" s="12"/>
      <c r="U945" s="12"/>
      <c r="V945" s="12"/>
      <c r="W945" s="12"/>
      <c r="X945" s="12"/>
      <c r="Y945" s="12"/>
      <c r="Z945" s="12"/>
      <c r="AA945" s="12"/>
    </row>
    <row r="946">
      <c r="A946" s="12"/>
      <c r="B946" s="12"/>
      <c r="C946" s="12"/>
      <c r="D946" s="12"/>
      <c r="E946" s="12"/>
      <c r="F946" s="12"/>
      <c r="G946" s="12"/>
      <c r="H946" s="2"/>
      <c r="I946" s="12"/>
      <c r="J946" s="12"/>
      <c r="K946" s="12"/>
      <c r="L946" s="12"/>
      <c r="M946" s="12"/>
      <c r="N946" s="12"/>
      <c r="O946" s="12"/>
      <c r="P946" s="12"/>
      <c r="Q946" s="12"/>
      <c r="R946" s="12"/>
      <c r="S946" s="12"/>
      <c r="T946" s="12"/>
      <c r="U946" s="12"/>
      <c r="V946" s="12"/>
      <c r="W946" s="12"/>
      <c r="X946" s="12"/>
      <c r="Y946" s="12"/>
      <c r="Z946" s="12"/>
      <c r="AA946" s="12"/>
    </row>
    <row r="947">
      <c r="A947" s="12"/>
      <c r="B947" s="12"/>
      <c r="C947" s="12"/>
      <c r="D947" s="12"/>
      <c r="E947" s="12"/>
      <c r="F947" s="12"/>
      <c r="G947" s="12"/>
      <c r="H947" s="2"/>
      <c r="I947" s="12"/>
      <c r="J947" s="12"/>
      <c r="K947" s="12"/>
      <c r="L947" s="12"/>
      <c r="M947" s="12"/>
      <c r="N947" s="12"/>
      <c r="O947" s="12"/>
      <c r="P947" s="12"/>
      <c r="Q947" s="12"/>
      <c r="R947" s="12"/>
      <c r="S947" s="12"/>
      <c r="T947" s="12"/>
      <c r="U947" s="12"/>
      <c r="V947" s="12"/>
      <c r="W947" s="12"/>
      <c r="X947" s="12"/>
      <c r="Y947" s="12"/>
      <c r="Z947" s="12"/>
      <c r="AA947" s="12"/>
    </row>
    <row r="948">
      <c r="A948" s="12"/>
      <c r="B948" s="12"/>
      <c r="C948" s="12"/>
      <c r="D948" s="12"/>
      <c r="E948" s="12"/>
      <c r="F948" s="12"/>
      <c r="G948" s="12"/>
      <c r="H948" s="2"/>
      <c r="I948" s="12"/>
      <c r="J948" s="12"/>
      <c r="K948" s="12"/>
      <c r="L948" s="12"/>
      <c r="M948" s="12"/>
      <c r="N948" s="12"/>
      <c r="O948" s="12"/>
      <c r="P948" s="12"/>
      <c r="Q948" s="12"/>
      <c r="R948" s="12"/>
      <c r="S948" s="12"/>
      <c r="T948" s="12"/>
      <c r="U948" s="12"/>
      <c r="V948" s="12"/>
      <c r="W948" s="12"/>
      <c r="X948" s="12"/>
      <c r="Y948" s="12"/>
      <c r="Z948" s="12"/>
      <c r="AA948" s="12"/>
    </row>
    <row r="949">
      <c r="A949" s="12"/>
      <c r="B949" s="12"/>
      <c r="C949" s="12"/>
      <c r="D949" s="12"/>
      <c r="E949" s="12"/>
      <c r="F949" s="12"/>
      <c r="G949" s="12"/>
      <c r="H949" s="2"/>
      <c r="I949" s="12"/>
      <c r="J949" s="12"/>
      <c r="K949" s="12"/>
      <c r="L949" s="12"/>
      <c r="M949" s="12"/>
      <c r="N949" s="12"/>
      <c r="O949" s="12"/>
      <c r="P949" s="12"/>
      <c r="Q949" s="12"/>
      <c r="R949" s="12"/>
      <c r="S949" s="12"/>
      <c r="T949" s="12"/>
      <c r="U949" s="12"/>
      <c r="V949" s="12"/>
      <c r="W949" s="12"/>
      <c r="X949" s="12"/>
      <c r="Y949" s="12"/>
      <c r="Z949" s="12"/>
      <c r="AA949" s="12"/>
    </row>
    <row r="950">
      <c r="A950" s="12"/>
      <c r="B950" s="12"/>
      <c r="C950" s="12"/>
      <c r="D950" s="12"/>
      <c r="E950" s="12"/>
      <c r="F950" s="12"/>
      <c r="G950" s="12"/>
      <c r="H950" s="2"/>
      <c r="I950" s="12"/>
      <c r="J950" s="12"/>
      <c r="K950" s="12"/>
      <c r="L950" s="12"/>
      <c r="M950" s="12"/>
      <c r="N950" s="12"/>
      <c r="O950" s="12"/>
      <c r="P950" s="12"/>
      <c r="Q950" s="12"/>
      <c r="R950" s="12"/>
      <c r="S950" s="12"/>
      <c r="T950" s="12"/>
      <c r="U950" s="12"/>
      <c r="V950" s="12"/>
      <c r="W950" s="12"/>
      <c r="X950" s="12"/>
      <c r="Y950" s="12"/>
      <c r="Z950" s="12"/>
      <c r="AA950" s="12"/>
    </row>
    <row r="951">
      <c r="A951" s="12"/>
      <c r="B951" s="12"/>
      <c r="C951" s="12"/>
      <c r="D951" s="12"/>
      <c r="E951" s="12"/>
      <c r="F951" s="12"/>
      <c r="G951" s="12"/>
      <c r="H951" s="2"/>
      <c r="I951" s="12"/>
      <c r="J951" s="12"/>
      <c r="K951" s="12"/>
      <c r="L951" s="12"/>
      <c r="M951" s="12"/>
      <c r="N951" s="12"/>
      <c r="O951" s="12"/>
      <c r="P951" s="12"/>
      <c r="Q951" s="12"/>
      <c r="R951" s="12"/>
      <c r="S951" s="12"/>
      <c r="T951" s="12"/>
      <c r="U951" s="12"/>
      <c r="V951" s="12"/>
      <c r="W951" s="12"/>
      <c r="X951" s="12"/>
      <c r="Y951" s="12"/>
      <c r="Z951" s="12"/>
      <c r="AA951" s="12"/>
    </row>
    <row r="952">
      <c r="A952" s="12"/>
      <c r="B952" s="12"/>
      <c r="C952" s="12"/>
      <c r="D952" s="12"/>
      <c r="E952" s="12"/>
      <c r="F952" s="12"/>
      <c r="G952" s="12"/>
      <c r="H952" s="2"/>
      <c r="I952" s="12"/>
      <c r="J952" s="12"/>
      <c r="K952" s="12"/>
      <c r="L952" s="12"/>
      <c r="M952" s="12"/>
      <c r="N952" s="12"/>
      <c r="O952" s="12"/>
      <c r="P952" s="12"/>
      <c r="Q952" s="12"/>
      <c r="R952" s="12"/>
      <c r="S952" s="12"/>
      <c r="T952" s="12"/>
      <c r="U952" s="12"/>
      <c r="V952" s="12"/>
      <c r="W952" s="12"/>
      <c r="X952" s="12"/>
      <c r="Y952" s="12"/>
      <c r="Z952" s="12"/>
      <c r="AA952" s="12"/>
    </row>
    <row r="953">
      <c r="A953" s="12"/>
      <c r="B953" s="12"/>
      <c r="C953" s="12"/>
      <c r="D953" s="12"/>
      <c r="E953" s="12"/>
      <c r="F953" s="12"/>
      <c r="G953" s="12"/>
      <c r="H953" s="2"/>
      <c r="I953" s="12"/>
      <c r="J953" s="12"/>
      <c r="K953" s="12"/>
      <c r="L953" s="12"/>
      <c r="M953" s="12"/>
      <c r="N953" s="12"/>
      <c r="O953" s="12"/>
      <c r="P953" s="12"/>
      <c r="Q953" s="12"/>
      <c r="R953" s="12"/>
      <c r="S953" s="12"/>
      <c r="T953" s="12"/>
      <c r="U953" s="12"/>
      <c r="V953" s="12"/>
      <c r="W953" s="12"/>
      <c r="X953" s="12"/>
      <c r="Y953" s="12"/>
      <c r="Z953" s="12"/>
      <c r="AA953" s="12"/>
    </row>
    <row r="954">
      <c r="A954" s="12"/>
      <c r="B954" s="12"/>
      <c r="C954" s="12"/>
      <c r="D954" s="12"/>
      <c r="E954" s="12"/>
      <c r="F954" s="12"/>
      <c r="G954" s="12"/>
      <c r="H954" s="2"/>
      <c r="I954" s="12"/>
      <c r="J954" s="12"/>
      <c r="K954" s="12"/>
      <c r="L954" s="12"/>
      <c r="M954" s="12"/>
      <c r="N954" s="12"/>
      <c r="O954" s="12"/>
      <c r="P954" s="12"/>
      <c r="Q954" s="12"/>
      <c r="R954" s="12"/>
      <c r="S954" s="12"/>
      <c r="T954" s="12"/>
      <c r="U954" s="12"/>
      <c r="V954" s="12"/>
      <c r="W954" s="12"/>
      <c r="X954" s="12"/>
      <c r="Y954" s="12"/>
      <c r="Z954" s="12"/>
      <c r="AA954" s="12"/>
    </row>
    <row r="955">
      <c r="A955" s="12"/>
      <c r="B955" s="12"/>
      <c r="C955" s="12"/>
      <c r="D955" s="12"/>
      <c r="E955" s="12"/>
      <c r="F955" s="12"/>
      <c r="G955" s="12"/>
      <c r="H955" s="2"/>
      <c r="I955" s="12"/>
      <c r="J955" s="12"/>
      <c r="K955" s="12"/>
      <c r="L955" s="12"/>
      <c r="M955" s="12"/>
      <c r="N955" s="12"/>
      <c r="O955" s="12"/>
      <c r="P955" s="12"/>
      <c r="Q955" s="12"/>
      <c r="R955" s="12"/>
      <c r="S955" s="12"/>
      <c r="T955" s="12"/>
      <c r="U955" s="12"/>
      <c r="V955" s="12"/>
      <c r="W955" s="12"/>
      <c r="X955" s="12"/>
      <c r="Y955" s="12"/>
      <c r="Z955" s="12"/>
      <c r="AA955" s="12"/>
    </row>
    <row r="956">
      <c r="A956" s="12"/>
      <c r="B956" s="12"/>
      <c r="C956" s="12"/>
      <c r="D956" s="12"/>
      <c r="E956" s="12"/>
      <c r="F956" s="12"/>
      <c r="G956" s="12"/>
      <c r="H956" s="2"/>
      <c r="I956" s="12"/>
      <c r="J956" s="12"/>
      <c r="K956" s="12"/>
      <c r="L956" s="12"/>
      <c r="M956" s="12"/>
      <c r="N956" s="12"/>
      <c r="O956" s="12"/>
      <c r="P956" s="12"/>
      <c r="Q956" s="12"/>
      <c r="R956" s="12"/>
      <c r="S956" s="12"/>
      <c r="T956" s="12"/>
      <c r="U956" s="12"/>
      <c r="V956" s="12"/>
      <c r="W956" s="12"/>
      <c r="X956" s="12"/>
      <c r="Y956" s="12"/>
      <c r="Z956" s="12"/>
      <c r="AA956" s="12"/>
    </row>
    <row r="957">
      <c r="A957" s="12"/>
      <c r="B957" s="12"/>
      <c r="C957" s="12"/>
      <c r="D957" s="12"/>
      <c r="E957" s="12"/>
      <c r="F957" s="12"/>
      <c r="G957" s="12"/>
      <c r="H957" s="2"/>
      <c r="I957" s="12"/>
      <c r="J957" s="12"/>
      <c r="K957" s="12"/>
      <c r="L957" s="12"/>
      <c r="M957" s="12"/>
      <c r="N957" s="12"/>
      <c r="O957" s="12"/>
      <c r="P957" s="12"/>
      <c r="Q957" s="12"/>
      <c r="R957" s="12"/>
      <c r="S957" s="12"/>
      <c r="T957" s="12"/>
      <c r="U957" s="12"/>
      <c r="V957" s="12"/>
      <c r="W957" s="12"/>
      <c r="X957" s="12"/>
      <c r="Y957" s="12"/>
      <c r="Z957" s="12"/>
      <c r="AA957" s="12"/>
    </row>
    <row r="958">
      <c r="A958" s="12"/>
      <c r="B958" s="12"/>
      <c r="C958" s="12"/>
      <c r="D958" s="12"/>
      <c r="E958" s="12"/>
      <c r="F958" s="12"/>
      <c r="G958" s="12"/>
      <c r="H958" s="2"/>
      <c r="I958" s="12"/>
      <c r="J958" s="12"/>
      <c r="K958" s="12"/>
      <c r="L958" s="12"/>
      <c r="M958" s="12"/>
      <c r="N958" s="12"/>
      <c r="O958" s="12"/>
      <c r="P958" s="12"/>
      <c r="Q958" s="12"/>
      <c r="R958" s="12"/>
      <c r="S958" s="12"/>
      <c r="T958" s="12"/>
      <c r="U958" s="12"/>
      <c r="V958" s="12"/>
      <c r="W958" s="12"/>
      <c r="X958" s="12"/>
      <c r="Y958" s="12"/>
      <c r="Z958" s="12"/>
      <c r="AA958" s="12"/>
    </row>
    <row r="959">
      <c r="A959" s="12"/>
      <c r="B959" s="12"/>
      <c r="C959" s="12"/>
      <c r="D959" s="12"/>
      <c r="E959" s="12"/>
      <c r="F959" s="12"/>
      <c r="G959" s="12"/>
      <c r="H959" s="2"/>
      <c r="I959" s="12"/>
      <c r="J959" s="12"/>
      <c r="K959" s="12"/>
      <c r="L959" s="12"/>
      <c r="M959" s="12"/>
      <c r="N959" s="12"/>
      <c r="O959" s="12"/>
      <c r="P959" s="12"/>
      <c r="Q959" s="12"/>
      <c r="R959" s="12"/>
      <c r="S959" s="12"/>
      <c r="T959" s="12"/>
      <c r="U959" s="12"/>
      <c r="V959" s="12"/>
      <c r="W959" s="12"/>
      <c r="X959" s="12"/>
      <c r="Y959" s="12"/>
      <c r="Z959" s="12"/>
      <c r="AA959" s="12"/>
    </row>
    <row r="960">
      <c r="A960" s="12"/>
      <c r="B960" s="12"/>
      <c r="C960" s="12"/>
      <c r="D960" s="12"/>
      <c r="E960" s="12"/>
      <c r="F960" s="12"/>
      <c r="G960" s="12"/>
      <c r="H960" s="2"/>
      <c r="I960" s="12"/>
      <c r="J960" s="12"/>
      <c r="K960" s="12"/>
      <c r="L960" s="12"/>
      <c r="M960" s="12"/>
      <c r="N960" s="12"/>
      <c r="O960" s="12"/>
      <c r="P960" s="12"/>
      <c r="Q960" s="12"/>
      <c r="R960" s="12"/>
      <c r="S960" s="12"/>
      <c r="T960" s="12"/>
      <c r="U960" s="12"/>
      <c r="V960" s="12"/>
      <c r="W960" s="12"/>
      <c r="X960" s="12"/>
      <c r="Y960" s="12"/>
      <c r="Z960" s="12"/>
      <c r="AA960" s="12"/>
    </row>
    <row r="961">
      <c r="A961" s="12"/>
      <c r="B961" s="12"/>
      <c r="C961" s="12"/>
      <c r="D961" s="12"/>
      <c r="E961" s="12"/>
      <c r="F961" s="12"/>
      <c r="G961" s="12"/>
      <c r="H961" s="2"/>
      <c r="I961" s="12"/>
      <c r="J961" s="12"/>
      <c r="K961" s="12"/>
      <c r="L961" s="12"/>
      <c r="M961" s="12"/>
      <c r="N961" s="12"/>
      <c r="O961" s="12"/>
      <c r="P961" s="12"/>
      <c r="Q961" s="12"/>
      <c r="R961" s="12"/>
      <c r="S961" s="12"/>
      <c r="T961" s="12"/>
      <c r="U961" s="12"/>
      <c r="V961" s="12"/>
      <c r="W961" s="12"/>
      <c r="X961" s="12"/>
      <c r="Y961" s="12"/>
      <c r="Z961" s="12"/>
      <c r="AA961" s="12"/>
    </row>
    <row r="962">
      <c r="A962" s="12"/>
      <c r="B962" s="12"/>
      <c r="C962" s="12"/>
      <c r="D962" s="12"/>
      <c r="E962" s="12"/>
      <c r="F962" s="12"/>
      <c r="G962" s="12"/>
      <c r="H962" s="2"/>
      <c r="I962" s="12"/>
      <c r="J962" s="12"/>
      <c r="K962" s="12"/>
      <c r="L962" s="12"/>
      <c r="M962" s="12"/>
      <c r="N962" s="12"/>
      <c r="O962" s="12"/>
      <c r="P962" s="12"/>
      <c r="Q962" s="12"/>
      <c r="R962" s="12"/>
      <c r="S962" s="12"/>
      <c r="T962" s="12"/>
      <c r="U962" s="12"/>
      <c r="V962" s="12"/>
      <c r="W962" s="12"/>
      <c r="X962" s="12"/>
      <c r="Y962" s="12"/>
      <c r="Z962" s="12"/>
      <c r="AA962" s="12"/>
    </row>
    <row r="963">
      <c r="A963" s="12"/>
      <c r="B963" s="12"/>
      <c r="C963" s="12"/>
      <c r="D963" s="12"/>
      <c r="E963" s="12"/>
      <c r="F963" s="12"/>
      <c r="G963" s="12"/>
      <c r="H963" s="2"/>
      <c r="I963" s="12"/>
      <c r="J963" s="12"/>
      <c r="K963" s="12"/>
      <c r="L963" s="12"/>
      <c r="M963" s="12"/>
      <c r="N963" s="12"/>
      <c r="O963" s="12"/>
      <c r="P963" s="12"/>
      <c r="Q963" s="12"/>
      <c r="R963" s="12"/>
      <c r="S963" s="12"/>
      <c r="T963" s="12"/>
      <c r="U963" s="12"/>
      <c r="V963" s="12"/>
      <c r="W963" s="12"/>
      <c r="X963" s="12"/>
      <c r="Y963" s="12"/>
      <c r="Z963" s="12"/>
      <c r="AA963" s="12"/>
    </row>
    <row r="964">
      <c r="A964" s="12"/>
      <c r="B964" s="12"/>
      <c r="C964" s="12"/>
      <c r="D964" s="12"/>
      <c r="E964" s="12"/>
      <c r="F964" s="12"/>
      <c r="G964" s="12"/>
      <c r="H964" s="2"/>
      <c r="I964" s="12"/>
      <c r="J964" s="12"/>
      <c r="K964" s="12"/>
      <c r="L964" s="12"/>
      <c r="M964" s="12"/>
      <c r="N964" s="12"/>
      <c r="O964" s="12"/>
      <c r="P964" s="12"/>
      <c r="Q964" s="12"/>
      <c r="R964" s="12"/>
      <c r="S964" s="12"/>
      <c r="T964" s="12"/>
      <c r="U964" s="12"/>
      <c r="V964" s="12"/>
      <c r="W964" s="12"/>
      <c r="X964" s="12"/>
      <c r="Y964" s="12"/>
      <c r="Z964" s="12"/>
      <c r="AA964" s="12"/>
    </row>
    <row r="965">
      <c r="A965" s="12"/>
      <c r="B965" s="12"/>
      <c r="C965" s="12"/>
      <c r="D965" s="12"/>
      <c r="E965" s="12"/>
      <c r="F965" s="12"/>
      <c r="G965" s="12"/>
      <c r="H965" s="2"/>
      <c r="I965" s="12"/>
      <c r="J965" s="12"/>
      <c r="K965" s="12"/>
      <c r="L965" s="12"/>
      <c r="M965" s="12"/>
      <c r="N965" s="12"/>
      <c r="O965" s="12"/>
      <c r="P965" s="12"/>
      <c r="Q965" s="12"/>
      <c r="R965" s="12"/>
      <c r="S965" s="12"/>
      <c r="T965" s="12"/>
      <c r="U965" s="12"/>
      <c r="V965" s="12"/>
      <c r="W965" s="12"/>
      <c r="X965" s="12"/>
      <c r="Y965" s="12"/>
      <c r="Z965" s="12"/>
      <c r="AA965" s="12"/>
    </row>
    <row r="966">
      <c r="A966" s="12"/>
      <c r="B966" s="12"/>
      <c r="C966" s="12"/>
      <c r="D966" s="12"/>
      <c r="E966" s="12"/>
      <c r="F966" s="12"/>
      <c r="G966" s="12"/>
      <c r="H966" s="2"/>
      <c r="I966" s="12"/>
      <c r="J966" s="12"/>
      <c r="K966" s="12"/>
      <c r="L966" s="12"/>
      <c r="M966" s="12"/>
      <c r="N966" s="12"/>
      <c r="O966" s="12"/>
      <c r="P966" s="12"/>
      <c r="Q966" s="12"/>
      <c r="R966" s="12"/>
      <c r="S966" s="12"/>
      <c r="T966" s="12"/>
      <c r="U966" s="12"/>
      <c r="V966" s="12"/>
      <c r="W966" s="12"/>
      <c r="X966" s="12"/>
      <c r="Y966" s="12"/>
      <c r="Z966" s="12"/>
      <c r="AA966" s="12"/>
    </row>
    <row r="967">
      <c r="A967" s="12"/>
      <c r="B967" s="12"/>
      <c r="C967" s="12"/>
      <c r="D967" s="12"/>
      <c r="E967" s="12"/>
      <c r="F967" s="12"/>
      <c r="G967" s="12"/>
      <c r="H967" s="2"/>
      <c r="I967" s="12"/>
      <c r="J967" s="12"/>
      <c r="K967" s="12"/>
      <c r="L967" s="12"/>
      <c r="M967" s="12"/>
      <c r="N967" s="12"/>
      <c r="O967" s="12"/>
      <c r="P967" s="12"/>
      <c r="Q967" s="12"/>
      <c r="R967" s="12"/>
      <c r="S967" s="12"/>
      <c r="T967" s="12"/>
      <c r="U967" s="12"/>
      <c r="V967" s="12"/>
      <c r="W967" s="12"/>
      <c r="X967" s="12"/>
      <c r="Y967" s="12"/>
      <c r="Z967" s="12"/>
      <c r="AA967" s="12"/>
    </row>
    <row r="968">
      <c r="A968" s="12"/>
      <c r="B968" s="12"/>
      <c r="C968" s="12"/>
      <c r="D968" s="12"/>
      <c r="E968" s="12"/>
      <c r="F968" s="12"/>
      <c r="G968" s="12"/>
      <c r="H968" s="2"/>
      <c r="I968" s="12"/>
      <c r="J968" s="12"/>
      <c r="K968" s="12"/>
      <c r="L968" s="12"/>
      <c r="M968" s="12"/>
      <c r="N968" s="12"/>
      <c r="O968" s="12"/>
      <c r="P968" s="12"/>
      <c r="Q968" s="12"/>
      <c r="R968" s="12"/>
      <c r="S968" s="12"/>
      <c r="T968" s="12"/>
      <c r="U968" s="12"/>
      <c r="V968" s="12"/>
      <c r="W968" s="12"/>
      <c r="X968" s="12"/>
      <c r="Y968" s="12"/>
      <c r="Z968" s="12"/>
      <c r="AA968" s="12"/>
    </row>
    <row r="969">
      <c r="A969" s="12"/>
      <c r="B969" s="12"/>
      <c r="C969" s="12"/>
      <c r="D969" s="12"/>
      <c r="E969" s="12"/>
      <c r="F969" s="12"/>
      <c r="G969" s="12"/>
      <c r="H969" s="2"/>
      <c r="I969" s="12"/>
      <c r="J969" s="12"/>
      <c r="K969" s="12"/>
      <c r="L969" s="12"/>
      <c r="M969" s="12"/>
      <c r="N969" s="12"/>
      <c r="O969" s="12"/>
      <c r="P969" s="12"/>
      <c r="Q969" s="12"/>
      <c r="R969" s="12"/>
      <c r="S969" s="12"/>
      <c r="T969" s="12"/>
      <c r="U969" s="12"/>
      <c r="V969" s="12"/>
      <c r="W969" s="12"/>
      <c r="X969" s="12"/>
      <c r="Y969" s="12"/>
      <c r="Z969" s="12"/>
      <c r="AA969" s="12"/>
    </row>
    <row r="970">
      <c r="A970" s="12"/>
      <c r="B970" s="12"/>
      <c r="C970" s="12"/>
      <c r="D970" s="12"/>
      <c r="E970" s="12"/>
      <c r="F970" s="12"/>
      <c r="G970" s="12"/>
      <c r="H970" s="2"/>
      <c r="I970" s="12"/>
      <c r="J970" s="12"/>
      <c r="K970" s="12"/>
      <c r="L970" s="12"/>
      <c r="M970" s="12"/>
      <c r="N970" s="12"/>
      <c r="O970" s="12"/>
      <c r="P970" s="12"/>
      <c r="Q970" s="12"/>
      <c r="R970" s="12"/>
      <c r="S970" s="12"/>
      <c r="T970" s="12"/>
      <c r="U970" s="12"/>
      <c r="V970" s="12"/>
      <c r="W970" s="12"/>
      <c r="X970" s="12"/>
      <c r="Y970" s="12"/>
      <c r="Z970" s="12"/>
      <c r="AA970" s="12"/>
    </row>
    <row r="971">
      <c r="A971" s="12"/>
      <c r="B971" s="12"/>
      <c r="C971" s="12"/>
      <c r="D971" s="12"/>
      <c r="E971" s="12"/>
      <c r="F971" s="12"/>
      <c r="G971" s="12"/>
      <c r="H971" s="2"/>
      <c r="I971" s="12"/>
      <c r="J971" s="12"/>
      <c r="K971" s="12"/>
      <c r="L971" s="12"/>
      <c r="M971" s="12"/>
      <c r="N971" s="12"/>
      <c r="O971" s="12"/>
      <c r="P971" s="12"/>
      <c r="Q971" s="12"/>
      <c r="R971" s="12"/>
      <c r="S971" s="12"/>
      <c r="T971" s="12"/>
      <c r="U971" s="12"/>
      <c r="V971" s="12"/>
      <c r="W971" s="12"/>
      <c r="X971" s="12"/>
      <c r="Y971" s="12"/>
      <c r="Z971" s="12"/>
      <c r="AA971" s="12"/>
    </row>
    <row r="972">
      <c r="A972" s="12"/>
      <c r="B972" s="12"/>
      <c r="C972" s="12"/>
      <c r="D972" s="12"/>
      <c r="E972" s="12"/>
      <c r="F972" s="12"/>
      <c r="G972" s="12"/>
      <c r="H972" s="2"/>
      <c r="I972" s="12"/>
      <c r="J972" s="12"/>
      <c r="K972" s="12"/>
      <c r="L972" s="12"/>
      <c r="M972" s="12"/>
      <c r="N972" s="12"/>
      <c r="O972" s="12"/>
      <c r="P972" s="12"/>
      <c r="Q972" s="12"/>
      <c r="R972" s="12"/>
      <c r="S972" s="12"/>
      <c r="T972" s="12"/>
      <c r="U972" s="12"/>
      <c r="V972" s="12"/>
      <c r="W972" s="12"/>
      <c r="X972" s="12"/>
      <c r="Y972" s="12"/>
      <c r="Z972" s="12"/>
      <c r="AA972" s="12"/>
    </row>
    <row r="973">
      <c r="A973" s="12"/>
      <c r="B973" s="12"/>
      <c r="C973" s="12"/>
      <c r="D973" s="12"/>
      <c r="E973" s="12"/>
      <c r="F973" s="12"/>
      <c r="G973" s="12"/>
      <c r="H973" s="2"/>
      <c r="I973" s="12"/>
      <c r="J973" s="12"/>
      <c r="K973" s="12"/>
      <c r="L973" s="12"/>
      <c r="M973" s="12"/>
      <c r="N973" s="12"/>
      <c r="O973" s="12"/>
      <c r="P973" s="12"/>
      <c r="Q973" s="12"/>
      <c r="R973" s="12"/>
      <c r="S973" s="12"/>
      <c r="T973" s="12"/>
      <c r="U973" s="12"/>
      <c r="V973" s="12"/>
      <c r="W973" s="12"/>
      <c r="X973" s="12"/>
      <c r="Y973" s="12"/>
      <c r="Z973" s="12"/>
      <c r="AA973" s="12"/>
    </row>
    <row r="974">
      <c r="A974" s="12"/>
      <c r="B974" s="12"/>
      <c r="C974" s="12"/>
      <c r="D974" s="12"/>
      <c r="E974" s="12"/>
      <c r="F974" s="12"/>
      <c r="G974" s="12"/>
      <c r="H974" s="2"/>
      <c r="I974" s="12"/>
      <c r="J974" s="12"/>
      <c r="K974" s="12"/>
      <c r="L974" s="12"/>
      <c r="M974" s="12"/>
      <c r="N974" s="12"/>
      <c r="O974" s="12"/>
      <c r="P974" s="12"/>
      <c r="Q974" s="12"/>
      <c r="R974" s="12"/>
      <c r="S974" s="12"/>
      <c r="T974" s="12"/>
      <c r="U974" s="12"/>
      <c r="V974" s="12"/>
      <c r="W974" s="12"/>
      <c r="X974" s="12"/>
      <c r="Y974" s="12"/>
      <c r="Z974" s="12"/>
      <c r="AA974" s="12"/>
    </row>
    <row r="975">
      <c r="A975" s="12"/>
      <c r="B975" s="12"/>
      <c r="C975" s="12"/>
      <c r="D975" s="12"/>
      <c r="E975" s="12"/>
      <c r="F975" s="12"/>
      <c r="G975" s="12"/>
      <c r="H975" s="2"/>
      <c r="I975" s="12"/>
      <c r="J975" s="12"/>
      <c r="K975" s="12"/>
      <c r="L975" s="12"/>
      <c r="M975" s="12"/>
      <c r="N975" s="12"/>
      <c r="O975" s="12"/>
      <c r="P975" s="12"/>
      <c r="Q975" s="12"/>
      <c r="R975" s="12"/>
      <c r="S975" s="12"/>
      <c r="T975" s="12"/>
      <c r="U975" s="12"/>
      <c r="V975" s="12"/>
      <c r="W975" s="12"/>
      <c r="X975" s="12"/>
      <c r="Y975" s="12"/>
      <c r="Z975" s="12"/>
      <c r="AA975" s="12"/>
    </row>
    <row r="976">
      <c r="A976" s="12"/>
      <c r="B976" s="12"/>
      <c r="C976" s="12"/>
      <c r="D976" s="12"/>
      <c r="E976" s="12"/>
      <c r="F976" s="12"/>
      <c r="G976" s="12"/>
      <c r="H976" s="2"/>
      <c r="I976" s="12"/>
      <c r="J976" s="12"/>
      <c r="K976" s="12"/>
      <c r="L976" s="12"/>
      <c r="M976" s="12"/>
      <c r="N976" s="12"/>
      <c r="O976" s="12"/>
      <c r="P976" s="12"/>
      <c r="Q976" s="12"/>
      <c r="R976" s="12"/>
      <c r="S976" s="12"/>
      <c r="T976" s="12"/>
      <c r="U976" s="12"/>
      <c r="V976" s="12"/>
      <c r="W976" s="12"/>
      <c r="X976" s="12"/>
      <c r="Y976" s="12"/>
      <c r="Z976" s="12"/>
      <c r="AA976" s="12"/>
    </row>
    <row r="977">
      <c r="A977" s="12"/>
      <c r="B977" s="12"/>
      <c r="C977" s="12"/>
      <c r="D977" s="12"/>
      <c r="E977" s="12"/>
      <c r="F977" s="12"/>
      <c r="G977" s="12"/>
      <c r="H977" s="2"/>
      <c r="I977" s="12"/>
      <c r="J977" s="12"/>
      <c r="K977" s="12"/>
      <c r="L977" s="12"/>
      <c r="M977" s="12"/>
      <c r="N977" s="12"/>
      <c r="O977" s="12"/>
      <c r="P977" s="12"/>
      <c r="Q977" s="12"/>
      <c r="R977" s="12"/>
      <c r="S977" s="12"/>
      <c r="T977" s="12"/>
      <c r="U977" s="12"/>
      <c r="V977" s="12"/>
      <c r="W977" s="12"/>
      <c r="X977" s="12"/>
      <c r="Y977" s="12"/>
      <c r="Z977" s="12"/>
      <c r="AA977" s="12"/>
    </row>
    <row r="978">
      <c r="A978" s="12"/>
      <c r="B978" s="12"/>
      <c r="C978" s="12"/>
      <c r="D978" s="12"/>
      <c r="E978" s="12"/>
      <c r="F978" s="12"/>
      <c r="G978" s="12"/>
      <c r="H978" s="2"/>
      <c r="I978" s="12"/>
      <c r="J978" s="12"/>
      <c r="K978" s="12"/>
      <c r="L978" s="12"/>
      <c r="M978" s="12"/>
      <c r="N978" s="12"/>
      <c r="O978" s="12"/>
      <c r="P978" s="12"/>
      <c r="Q978" s="12"/>
      <c r="R978" s="12"/>
      <c r="S978" s="12"/>
      <c r="T978" s="12"/>
      <c r="U978" s="12"/>
      <c r="V978" s="12"/>
      <c r="W978" s="12"/>
      <c r="X978" s="12"/>
      <c r="Y978" s="12"/>
      <c r="Z978" s="12"/>
      <c r="AA978" s="12"/>
    </row>
    <row r="979">
      <c r="A979" s="12"/>
      <c r="B979" s="12"/>
      <c r="C979" s="12"/>
      <c r="D979" s="12"/>
      <c r="E979" s="12"/>
      <c r="F979" s="12"/>
      <c r="G979" s="12"/>
      <c r="H979" s="2"/>
      <c r="I979" s="12"/>
      <c r="J979" s="12"/>
      <c r="K979" s="12"/>
      <c r="L979" s="12"/>
      <c r="M979" s="12"/>
      <c r="N979" s="12"/>
      <c r="O979" s="12"/>
      <c r="P979" s="12"/>
      <c r="Q979" s="12"/>
      <c r="R979" s="12"/>
      <c r="S979" s="12"/>
      <c r="T979" s="12"/>
      <c r="U979" s="12"/>
      <c r="V979" s="12"/>
      <c r="W979" s="12"/>
      <c r="X979" s="12"/>
      <c r="Y979" s="12"/>
      <c r="Z979" s="12"/>
      <c r="AA979" s="12"/>
    </row>
    <row r="980">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row>
    <row r="98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row>
    <row r="982">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row>
    <row r="983">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row>
    <row r="984">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row>
    <row r="98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3"/>
    </row>
    <row r="986">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3"/>
    </row>
    <row r="987">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3"/>
    </row>
    <row r="988">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3"/>
    </row>
    <row r="989">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3"/>
    </row>
    <row r="990">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3"/>
    </row>
    <row r="99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3"/>
    </row>
    <row r="992">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3"/>
    </row>
    <row r="993">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3"/>
    </row>
    <row r="994">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3"/>
    </row>
    <row r="99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c r="AA995" s="23"/>
    </row>
    <row r="996">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c r="AA996" s="23"/>
    </row>
    <row r="997">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c r="AA997" s="23"/>
    </row>
    <row r="998">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c r="AA998" s="23"/>
    </row>
    <row r="999">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c r="AA999" s="23"/>
    </row>
  </sheetData>
  <drawing r:id="rId1"/>
  <tableParts count="2">
    <tablePart r:id="rId4"/>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5" width="12.75"/>
    <col customWidth="1" min="10" max="10" width="12.75"/>
  </cols>
  <sheetData>
    <row r="1">
      <c r="A1" s="28" t="s">
        <v>0</v>
      </c>
      <c r="B1" s="28" t="s">
        <v>1</v>
      </c>
      <c r="C1" s="28" t="s">
        <v>2</v>
      </c>
      <c r="D1" s="28" t="s">
        <v>3</v>
      </c>
      <c r="E1" s="28" t="s">
        <v>4</v>
      </c>
      <c r="F1" s="12"/>
      <c r="G1" s="12"/>
      <c r="H1" s="3"/>
      <c r="I1" s="28" t="s">
        <v>5</v>
      </c>
      <c r="J1" s="28" t="s">
        <v>6</v>
      </c>
      <c r="K1" s="28" t="s">
        <v>7</v>
      </c>
      <c r="L1" s="28" t="s">
        <v>4</v>
      </c>
      <c r="M1" s="13"/>
      <c r="N1" s="13"/>
      <c r="O1" s="13"/>
      <c r="P1" s="13"/>
    </row>
    <row r="2">
      <c r="A2" s="29">
        <v>1.0</v>
      </c>
      <c r="B2" s="11" t="s">
        <v>2322</v>
      </c>
      <c r="C2" s="11" t="s">
        <v>2323</v>
      </c>
      <c r="D2" s="11" t="s">
        <v>2324</v>
      </c>
      <c r="E2" s="11" t="s">
        <v>2325</v>
      </c>
      <c r="F2" s="12"/>
      <c r="G2" s="12"/>
      <c r="H2" s="25"/>
      <c r="I2" s="11" t="str">
        <f>IFERROR(__xludf.DUMMYFUNCTION("GOOGLETRANSLATE(B2, ""en"", ""zh"")"),"太极拳中常用的“抵挡”手部动作是什么？")</f>
        <v>太极拳中常用的“抵挡”手部动作是什么？</v>
      </c>
      <c r="J2" s="11" t="str">
        <f>IFERROR(__xludf.DUMMYFUNCTION("GOOGLETRANSLATE(C2, ""en"", ""zh"")"),"A）抓住鸟的尾巴，B）云手，C）推，D）拨开马鬃")</f>
        <v>A）抓住鸟的尾巴，B）云手，C）推，D）拨开马鬃</v>
      </c>
      <c r="K2" s="11" t="str">
        <f>IFERROR(__xludf.DUMMYFUNCTION("GOOGLETRANSLATE(D2, ""en"", ""zh"")"),"A）抓住鸟的尾巴")</f>
        <v>A）抓住鸟的尾巴</v>
      </c>
      <c r="L2" s="11" t="str">
        <f>IFERROR(__xludf.DUMMYFUNCTION("GOOGLETRANSLATE(E2, ""en"", ""zh"")"),"“抓住鸟尾”是太极拳中的一个基本防御动作。")</f>
        <v>“抓住鸟尾”是太极拳中的一个基本防御动作。</v>
      </c>
      <c r="M2" s="13"/>
      <c r="N2" s="13"/>
      <c r="O2" s="13"/>
      <c r="P2" s="13"/>
    </row>
    <row r="3">
      <c r="A3" s="29">
        <v>2.0</v>
      </c>
      <c r="B3" s="11" t="s">
        <v>2326</v>
      </c>
      <c r="C3" s="11" t="s">
        <v>2327</v>
      </c>
      <c r="D3" s="11" t="s">
        <v>2328</v>
      </c>
      <c r="E3" s="11" t="s">
        <v>2329</v>
      </c>
      <c r="F3" s="12"/>
      <c r="G3" s="12"/>
      <c r="H3" s="25"/>
      <c r="I3" s="11" t="str">
        <f>IFERROR(__xludf.DUMMYFUNCTION("GOOGLETRANSLATE(B3, ""en"", ""zh"")"),"在太极拳中，“气”的概念如何最好地描述？")</f>
        <v>在太极拳中，“气”的概念如何最好地描述？</v>
      </c>
      <c r="J3" s="11" t="str">
        <f>IFERROR(__xludf.DUMMYFUNCTION("GOOGLETRANSLATE(C3, ""en"", ""zh"")"),"A) 体能，B) 内能，C) 速度，D) 肌肉记忆")</f>
        <v>A) 体能，B) 内能，C) 速度，D) 肌肉记忆</v>
      </c>
      <c r="K3" s="11" t="str">
        <f>IFERROR(__xludf.DUMMYFUNCTION("GOOGLETRANSLATE(D3, ""en"", ""zh"")"),"B) 内能")</f>
        <v>B) 内能</v>
      </c>
      <c r="L3" s="11" t="str">
        <f>IFERROR(__xludf.DUMMYFUNCTION("GOOGLETRANSLATE(E3, ""en"", ""zh"")"),"气是流经人体的生命能量，是太极拳练习的核心。")</f>
        <v>气是流经人体的生命能量，是太极拳练习的核心。</v>
      </c>
      <c r="M3" s="13"/>
      <c r="N3" s="13"/>
      <c r="O3" s="13"/>
      <c r="P3" s="13"/>
    </row>
    <row r="4">
      <c r="A4" s="29">
        <v>3.0</v>
      </c>
      <c r="B4" s="11" t="s">
        <v>2330</v>
      </c>
      <c r="C4" s="11" t="s">
        <v>2331</v>
      </c>
      <c r="D4" s="11" t="s">
        <v>2332</v>
      </c>
      <c r="E4" s="11" t="s">
        <v>2333</v>
      </c>
      <c r="F4" s="12"/>
      <c r="G4" s="12"/>
      <c r="H4" s="25"/>
      <c r="I4" s="11" t="str">
        <f>IFERROR(__xludf.DUMMYFUNCTION("GOOGLETRANSLATE(B4, ""en"", ""zh"")"),"杨氏太极拳通常练习多少种基本套路？")</f>
        <v>杨氏太极拳通常练习多少种基本套路？</v>
      </c>
      <c r="J4" s="11" t="str">
        <f>IFERROR(__xludf.DUMMYFUNCTION("GOOGLETRANSLATE(C4, ""en"", ""zh"")"),"A) 8，B) 16，C) 24，D) 36")</f>
        <v>A) 8，B) 16，C) 24，D) 36</v>
      </c>
      <c r="K4" s="11" t="str">
        <f>IFERROR(__xludf.DUMMYFUNCTION("GOOGLETRANSLATE(D4, ""en"", ""zh"")"),"C) 24")</f>
        <v>C) 24</v>
      </c>
      <c r="L4" s="11" t="str">
        <f>IFERROR(__xludf.DUMMYFUNCTION("GOOGLETRANSLATE(E4, ""en"", ""zh"")"),"24式是杨氏太极拳中最常见的套路。")</f>
        <v>24式是杨氏太极拳中最常见的套路。</v>
      </c>
      <c r="M4" s="13"/>
      <c r="N4" s="13"/>
      <c r="O4" s="13"/>
      <c r="P4" s="13"/>
    </row>
    <row r="5">
      <c r="A5" s="29">
        <v>4.0</v>
      </c>
      <c r="B5" s="11" t="s">
        <v>2334</v>
      </c>
      <c r="C5" s="11" t="s">
        <v>2335</v>
      </c>
      <c r="D5" s="11" t="s">
        <v>2336</v>
      </c>
      <c r="E5" s="11" t="s">
        <v>2337</v>
      </c>
      <c r="F5" s="12"/>
      <c r="G5" s="12"/>
      <c r="H5" s="25"/>
      <c r="I5" s="11" t="str">
        <f>IFERROR(__xludf.DUMMYFUNCTION("GOOGLETRANSLATE(B5, ""en"", ""zh"")"),"太极拳“推手”练习的主要重点是什么？")</f>
        <v>太极拳“推手”练习的主要重点是什么？</v>
      </c>
      <c r="J5" s="11" t="str">
        <f>IFERROR(__xludf.DUMMYFUNCTION("GOOGLETRANSLATE(C5, ""en"", ""zh"")"),"A) 速度，B) 反应，C) 稳定性和平衡性，D) 力量")</f>
        <v>A) 速度，B) 反应，C) 稳定性和平衡性，D) 力量</v>
      </c>
      <c r="K5" s="11" t="str">
        <f>IFERROR(__xludf.DUMMYFUNCTION("GOOGLETRANSLATE(D5, ""en"", ""zh"")"),"C) 稳定性和平衡性")</f>
        <v>C) 稳定性和平衡性</v>
      </c>
      <c r="L5" s="11" t="str">
        <f>IFERROR(__xludf.DUMMYFUNCTION("GOOGLETRANSLATE(E5, ""en"", ""zh"")"),"推手可以帮助练习者学习平衡和对能量的敏感度。")</f>
        <v>推手可以帮助练习者学习平衡和对能量的敏感度。</v>
      </c>
      <c r="M5" s="13"/>
      <c r="N5" s="12"/>
      <c r="O5" s="13"/>
      <c r="P5" s="13"/>
    </row>
    <row r="6">
      <c r="A6" s="29">
        <v>5.0</v>
      </c>
      <c r="B6" s="11" t="s">
        <v>2338</v>
      </c>
      <c r="C6" s="11" t="s">
        <v>2339</v>
      </c>
      <c r="D6" s="11" t="s">
        <v>2340</v>
      </c>
      <c r="E6" s="11" t="s">
        <v>2341</v>
      </c>
      <c r="F6" s="12"/>
      <c r="G6" s="12"/>
      <c r="H6" s="25"/>
      <c r="I6" s="11" t="str">
        <f>IFERROR(__xludf.DUMMYFUNCTION("GOOGLETRANSLATE(B6, ""en"", ""zh"")"),"太极拳练习中“扎根”的意义是什么？")</f>
        <v>太极拳练习中“扎根”的意义是什么？</v>
      </c>
      <c r="J6" s="11" t="str">
        <f>IFERROR(__xludf.DUMMYFUNCTION("GOOGLETRANSLATE(C6, ""en"", ""zh"")"),"A) 提高柔韧性，B) 保持与地面的稳定接触，C) 提高速度，D) 改善呼吸")</f>
        <v>A) 提高柔韧性，B) 保持与地面的稳定接触，C) 提高速度，D) 改善呼吸</v>
      </c>
      <c r="K6" s="11" t="str">
        <f>IFERROR(__xludf.DUMMYFUNCTION("GOOGLETRANSLATE(D6, ""en"", ""zh"")"),"B) 保持与地面的稳定连接")</f>
        <v>B) 保持与地面的稳定连接</v>
      </c>
      <c r="L6" s="11" t="str">
        <f>IFERROR(__xludf.DUMMYFUNCTION("GOOGLETRANSLATE(E6, ""en"", ""zh"")"),"扎根有助于太极拳练习者保持平衡并抵抗外力。")</f>
        <v>扎根有助于太极拳练习者保持平衡并抵抗外力。</v>
      </c>
      <c r="M6" s="13"/>
      <c r="N6" s="13"/>
      <c r="O6" s="13"/>
      <c r="P6" s="13"/>
    </row>
    <row r="7">
      <c r="A7" s="29">
        <v>6.0</v>
      </c>
      <c r="B7" s="11" t="s">
        <v>2342</v>
      </c>
      <c r="C7" s="11" t="s">
        <v>2343</v>
      </c>
      <c r="D7" s="11" t="s">
        <v>2344</v>
      </c>
      <c r="E7" s="11" t="s">
        <v>2345</v>
      </c>
      <c r="F7" s="12"/>
      <c r="G7" s="12"/>
      <c r="H7" s="25"/>
      <c r="I7" s="11" t="str">
        <f>IFERROR(__xludf.DUMMYFUNCTION("GOOGLETRANSLATE(B7, ""en"", ""zh"")"),"在太极拳中，“屈服”一词指的是什么？")</f>
        <v>在太极拳中，“屈服”一词指的是什么？</v>
      </c>
      <c r="J7" s="11" t="str">
        <f>IFERROR(__xludf.DUMMYFUNCTION("GOOGLETRANSLATE(C7, ""en"", ""zh"")"),"A) 避免冲突，B) 逆势而行，C) 顺势而为，D) 加快速度")</f>
        <v>A) 避免冲突，B) 逆势而行，C) 顺势而为，D) 加快速度</v>
      </c>
      <c r="K7" s="11" t="str">
        <f>IFERROR(__xludf.DUMMYFUNCTION("GOOGLETRANSLATE(D7, ""en"", ""zh"")"),"C）跟随对手的能量")</f>
        <v>C）跟随对手的能量</v>
      </c>
      <c r="L7" s="11" t="str">
        <f>IFERROR(__xludf.DUMMYFUNCTION("GOOGLETRANSLATE(E7, ""en"", ""zh"")"),"屈服可以让练习者毫不费力地改变对手的力量方向。")</f>
        <v>屈服可以让练习者毫不费力地改变对手的力量方向。</v>
      </c>
      <c r="M7" s="13"/>
      <c r="N7" s="13"/>
      <c r="O7" s="13"/>
      <c r="P7" s="13"/>
    </row>
    <row r="8">
      <c r="A8" s="29">
        <v>7.0</v>
      </c>
      <c r="B8" s="11" t="s">
        <v>2346</v>
      </c>
      <c r="C8" s="11" t="s">
        <v>2347</v>
      </c>
      <c r="D8" s="11" t="s">
        <v>2348</v>
      </c>
      <c r="E8" s="11" t="s">
        <v>2349</v>
      </c>
      <c r="F8" s="12"/>
      <c r="G8" s="12"/>
      <c r="H8" s="25"/>
      <c r="I8" s="11" t="str">
        <f>IFERROR(__xludf.DUMMYFUNCTION("GOOGLETRANSLATE(B8, ""en"", ""zh"")"),"以下哪一项不是太极拳的流派？")</f>
        <v>以下哪一项不是太极拳的流派？</v>
      </c>
      <c r="J8" s="11" t="str">
        <f>IFERROR(__xludf.DUMMYFUNCTION("GOOGLETRANSLATE(C8, ""en"", ""zh"")"),"A）杨，B）少林，C）孙，D）吴")</f>
        <v>A）杨，B）少林，C）孙，D）吴</v>
      </c>
      <c r="K8" s="11" t="str">
        <f>IFERROR(__xludf.DUMMYFUNCTION("GOOGLETRANSLATE(D8, ""en"", ""zh"")"),"B) 少林")</f>
        <v>B) 少林</v>
      </c>
      <c r="L8" s="11" t="str">
        <f>IFERROR(__xludf.DUMMYFUNCTION("GOOGLETRANSLATE(E8, ""en"", ""zh"")"),"少林武术是一种与太极拳截然不同的武术风格，它强调内功。")</f>
        <v>少林武术是一种与太极拳截然不同的武术风格，它强调内功。</v>
      </c>
      <c r="M8" s="13"/>
      <c r="N8" s="13"/>
      <c r="O8" s="13"/>
      <c r="P8" s="13"/>
    </row>
    <row r="9">
      <c r="A9" s="29">
        <v>8.0</v>
      </c>
      <c r="B9" s="11" t="s">
        <v>2350</v>
      </c>
      <c r="C9" s="11" t="s">
        <v>2351</v>
      </c>
      <c r="D9" s="11" t="s">
        <v>2352</v>
      </c>
      <c r="E9" s="11" t="s">
        <v>2353</v>
      </c>
      <c r="F9" s="12"/>
      <c r="G9" s="12"/>
      <c r="H9" s="25"/>
      <c r="I9" s="11" t="str">
        <f>IFERROR(__xludf.DUMMYFUNCTION("GOOGLETRANSLATE(B9, ""en"", ""zh"")"),"太极拳中的“下沉”概念包含哪些内容？")</f>
        <v>太极拳中的“下沉”概念包含哪些内容？</v>
      </c>
      <c r="J9" s="11" t="str">
        <f>IFERROR(__xludf.DUMMYFUNCTION("GOOGLETRANSLATE(C9, ""en"", ""zh"")"),"A) 降低重心，B) 减慢动作，C) 扩张胸部，D) 增加足部压力")</f>
        <v>A) 降低重心，B) 减慢动作，C) 扩张胸部，D) 增加足部压力</v>
      </c>
      <c r="K9" s="11" t="str">
        <f>IFERROR(__xludf.DUMMYFUNCTION("GOOGLETRANSLATE(D9, ""en"", ""zh"")"),"A）降低重心")</f>
        <v>A）降低重心</v>
      </c>
      <c r="L9" s="11" t="str">
        <f>IFERROR(__xludf.DUMMYFUNCTION("GOOGLETRANSLATE(E9, ""en"", ""zh"")"),"下沉有助于练习者在运动中保持稳定和平衡。")</f>
        <v>下沉有助于练习者在运动中保持稳定和平衡。</v>
      </c>
      <c r="M9" s="13"/>
      <c r="N9" s="12"/>
      <c r="O9" s="13"/>
      <c r="P9" s="13"/>
    </row>
    <row r="10">
      <c r="A10" s="29">
        <v>9.0</v>
      </c>
      <c r="B10" s="11" t="s">
        <v>2354</v>
      </c>
      <c r="C10" s="11" t="s">
        <v>2355</v>
      </c>
      <c r="D10" s="11" t="s">
        <v>2356</v>
      </c>
      <c r="E10" s="11" t="s">
        <v>2357</v>
      </c>
      <c r="F10" s="12"/>
      <c r="G10" s="12"/>
      <c r="H10" s="25"/>
      <c r="I10" s="11" t="str">
        <f>IFERROR(__xludf.DUMMYFUNCTION("GOOGLETRANSLATE(B10, ""en"", ""zh"")"),"太极拳中，圆周运动的目的是什么？")</f>
        <v>太极拳中，圆周运动的目的是什么？</v>
      </c>
      <c r="J10" s="11" t="str">
        <f>IFERROR(__xludf.DUMMYFUNCTION("GOOGLETRANSLATE(C10, ""en"", ""zh"")"),"A) 提高速度，B) 节省能量，C) 促进流畅运动，D) 增强肌肉力量")</f>
        <v>A) 提高速度，B) 节省能量，C) 促进流畅运动，D) 增强肌肉力量</v>
      </c>
      <c r="K10" s="11" t="str">
        <f>IFERROR(__xludf.DUMMYFUNCTION("GOOGLETRANSLATE(D10, ""en"", ""zh"")"),"C) 促进流体运动")</f>
        <v>C) 促进流体运动</v>
      </c>
      <c r="L10" s="11" t="str">
        <f>IFERROR(__xludf.DUMMYFUNCTION("GOOGLETRANSLATE(E10, ""en"", ""zh"")"),"圆周运动能够使能量平稳传递，不会中断。")</f>
        <v>圆周运动能够使能量平稳传递，不会中断。</v>
      </c>
      <c r="M10" s="13"/>
      <c r="N10" s="13"/>
      <c r="O10" s="13"/>
      <c r="P10" s="13"/>
    </row>
    <row r="11">
      <c r="A11" s="29">
        <v>10.0</v>
      </c>
      <c r="B11" s="11" t="s">
        <v>2358</v>
      </c>
      <c r="C11" s="11" t="s">
        <v>2359</v>
      </c>
      <c r="D11" s="11" t="s">
        <v>2360</v>
      </c>
      <c r="E11" s="11" t="s">
        <v>2361</v>
      </c>
      <c r="F11" s="12"/>
      <c r="G11" s="12"/>
      <c r="H11" s="25"/>
      <c r="I11" s="11" t="str">
        <f>IFERROR(__xludf.DUMMYFUNCTION("GOOGLETRANSLATE(B11, ""en"", ""zh"")"),"太极拳的哪种流派最强调小幅度、近距离的动作？")</f>
        <v>太极拳的哪种流派最强调小幅度、近距离的动作？</v>
      </c>
      <c r="J11" s="11" t="str">
        <f>IFERROR(__xludf.DUMMYFUNCTION("GOOGLETRANSLATE(C11, ""en"", ""zh"")"),"A) 杨，B) 吴，C) 陈，D) 孙")</f>
        <v>A) 杨，B) 吴，C) 陈，D) 孙</v>
      </c>
      <c r="K11" s="11" t="str">
        <f>IFERROR(__xludf.DUMMYFUNCTION("GOOGLETRANSLATE(D11, ""en"", ""zh"")"),"B) 吴")</f>
        <v>B) 吴</v>
      </c>
      <c r="L11" s="11" t="str">
        <f>IFERROR(__xludf.DUMMYFUNCTION("GOOGLETRANSLATE(E11, ""en"", ""zh"")"),"吴式武术注重紧凑的近距离动作和平衡。")</f>
        <v>吴式武术注重紧凑的近距离动作和平衡。</v>
      </c>
      <c r="M11" s="13"/>
      <c r="N11" s="12"/>
      <c r="O11" s="13"/>
      <c r="P11" s="13"/>
    </row>
    <row r="12">
      <c r="A12" s="29">
        <v>11.0</v>
      </c>
      <c r="B12" s="11" t="s">
        <v>2362</v>
      </c>
      <c r="C12" s="11" t="s">
        <v>2363</v>
      </c>
      <c r="D12" s="11" t="s">
        <v>2364</v>
      </c>
      <c r="E12" s="11" t="s">
        <v>2365</v>
      </c>
      <c r="F12" s="12"/>
      <c r="G12" s="12"/>
      <c r="H12" s="25"/>
      <c r="I12" s="11" t="str">
        <f>IFERROR(__xludf.DUMMYFUNCTION("GOOGLETRANSLATE(B12, ""en"", ""zh"")"),"孙式太极拳的特点是什么？")</f>
        <v>孙式太极拳的特点是什么？</v>
      </c>
      <c r="J12" s="11" t="str">
        <f>IFERROR(__xludf.DUMMYFUNCTION("GOOGLETRANSLATE(C12, ""en"", ""zh"")"),"A) 缓慢、均匀的动作，B) 短促、小步，C) 大幅度、大幅度的动作，D) 快速、有力的打击")</f>
        <v>A) 缓慢、均匀的动作，B) 短促、小步，C) 大幅度、大幅度的动作，D) 快速、有力的打击</v>
      </c>
      <c r="K12" s="11" t="str">
        <f>IFERROR(__xludf.DUMMYFUNCTION("GOOGLETRANSLATE(D12, ""en"", ""zh"")"),"B) 短小步骤")</f>
        <v>B) 短小步骤</v>
      </c>
      <c r="L12" s="11" t="str">
        <f>IFERROR(__xludf.DUMMYFUNCTION("GOOGLETRANSLATE(E12, ""en"", ""zh"")"),"孙式强调敏捷性，步幅较小，站姿较高。")</f>
        <v>孙式强调敏捷性，步幅较小，站姿较高。</v>
      </c>
      <c r="M12" s="13"/>
      <c r="N12" s="13"/>
      <c r="O12" s="13"/>
      <c r="P12" s="13"/>
    </row>
    <row r="13">
      <c r="A13" s="29">
        <v>12.0</v>
      </c>
      <c r="B13" s="11" t="s">
        <v>2366</v>
      </c>
      <c r="C13" s="11" t="s">
        <v>2367</v>
      </c>
      <c r="D13" s="11" t="s">
        <v>2368</v>
      </c>
      <c r="E13" s="11" t="s">
        <v>2369</v>
      </c>
      <c r="F13" s="12"/>
      <c r="G13" s="12"/>
      <c r="H13" s="25"/>
      <c r="I13" s="11" t="str">
        <f>IFERROR(__xludf.DUMMYFUNCTION("GOOGLETRANSLATE(B13, ""en"", ""zh"")"),"太极拳的“放松”原则指的是释放哪种类型的紧张？")</f>
        <v>太极拳的“放松”原则指的是释放哪种类型的紧张？</v>
      </c>
      <c r="J13" s="11" t="str">
        <f>IFERROR(__xludf.DUMMYFUNCTION("GOOGLETRANSLATE(C13, ""en"", ""zh"")"),"A) 肌肉，B) 关节，C) 骨骼，D) 情绪")</f>
        <v>A) 肌肉，B) 关节，C) 骨骼，D) 情绪</v>
      </c>
      <c r="K13" s="11" t="str">
        <f>IFERROR(__xludf.DUMMYFUNCTION("GOOGLETRANSLATE(D13, ""en"", ""zh"")"),"A) 肌肉")</f>
        <v>A) 肌肉</v>
      </c>
      <c r="L13" s="11" t="str">
        <f>IFERROR(__xludf.DUMMYFUNCTION("GOOGLETRANSLATE(E13, ""en"", ""zh"")"),"太极拳练习者通过释放肌肉紧张来促进能量自由流动。")</f>
        <v>太极拳练习者通过释放肌肉紧张来促进能量自由流动。</v>
      </c>
      <c r="M13" s="13"/>
      <c r="N13" s="12"/>
      <c r="O13" s="13"/>
      <c r="P13" s="13"/>
    </row>
    <row r="14">
      <c r="A14" s="29">
        <v>13.0</v>
      </c>
      <c r="B14" s="11" t="s">
        <v>2370</v>
      </c>
      <c r="C14" s="11" t="s">
        <v>2371</v>
      </c>
      <c r="D14" s="11" t="s">
        <v>2372</v>
      </c>
      <c r="E14" s="11" t="s">
        <v>2373</v>
      </c>
      <c r="F14" s="12"/>
      <c r="G14" s="12"/>
      <c r="H14" s="25"/>
      <c r="I14" s="11" t="str">
        <f>IFERROR(__xludf.DUMMYFUNCTION("GOOGLETRANSLATE(B14, ""en"", ""zh"")"),"在太极拳中，“双重加重”是什么意思？为什么要避免双重加重？")</f>
        <v>在太极拳中，“双重加重”是什么意思？为什么要避免双重加重？</v>
      </c>
      <c r="J14" s="11" t="str">
        <f>IFERROR(__xludf.DUMMYFUNCTION("GOOGLETRANSLATE(C14, ""en"", ""zh"")"),"A) 双脚重心相同，B) 手臂动作过多，C) 跳跃过高，D) 呼吸急促")</f>
        <v>A) 双脚重心相同，B) 手臂动作过多，C) 跳跃过高，D) 呼吸急促</v>
      </c>
      <c r="K14" s="11" t="str">
        <f>IFERROR(__xludf.DUMMYFUNCTION("GOOGLETRANSLATE(D14, ""en"", ""zh"")"),"A) 双脚承受相同重量")</f>
        <v>A) 双脚承受相同重量</v>
      </c>
      <c r="L14" s="11" t="str">
        <f>IFERROR(__xludf.DUMMYFUNCTION("GOOGLETRANSLATE(E14, ""en"", ""zh"")"),"双重重心会破坏平衡和流畅性，因此练习者会流畅地转移重心。")</f>
        <v>双重重心会破坏平衡和流畅性，因此练习者会流畅地转移重心。</v>
      </c>
      <c r="M14" s="13"/>
      <c r="N14" s="13"/>
      <c r="O14" s="13"/>
      <c r="P14" s="13"/>
    </row>
    <row r="15">
      <c r="A15" s="29">
        <v>14.0</v>
      </c>
      <c r="B15" s="11" t="s">
        <v>2374</v>
      </c>
      <c r="C15" s="11" t="s">
        <v>2375</v>
      </c>
      <c r="D15" s="11" t="s">
        <v>2376</v>
      </c>
      <c r="E15" s="11" t="s">
        <v>2377</v>
      </c>
      <c r="F15" s="12"/>
      <c r="G15" s="12"/>
      <c r="H15" s="25"/>
      <c r="I15" s="11" t="str">
        <f>IFERROR(__xludf.DUMMYFUNCTION("GOOGLETRANSLATE(B15, ""en"", ""zh"")"),"太极拳中最推崇的呼吸技巧是什么？")</f>
        <v>太极拳中最推崇的呼吸技巧是什么？</v>
      </c>
      <c r="J15" s="11" t="str">
        <f>IFERROR(__xludf.DUMMYFUNCTION("GOOGLETRANSLATE(C15, ""en"", ""zh"")"),"A) 快速吸气，B) 腹式呼吸，C) 胸式呼吸，D) 快速呼气")</f>
        <v>A) 快速吸气，B) 腹式呼吸，C) 胸式呼吸，D) 快速呼气</v>
      </c>
      <c r="K15" s="11" t="str">
        <f>IFERROR(__xludf.DUMMYFUNCTION("GOOGLETRANSLATE(D15, ""en"", ""zh"")"),"B）腹式呼吸")</f>
        <v>B）腹式呼吸</v>
      </c>
      <c r="L15" s="11" t="str">
        <f>IFERROR(__xludf.DUMMYFUNCTION("GOOGLETRANSLATE(E15, ""en"", ""zh"")"),"腹式呼吸，或称横膈膜呼吸，有助于太极拳中的平静和能量流动。")</f>
        <v>腹式呼吸，或称横膈膜呼吸，有助于太极拳中的平静和能量流动。</v>
      </c>
      <c r="M15" s="13"/>
      <c r="N15" s="13"/>
      <c r="O15" s="13"/>
      <c r="P15" s="13"/>
    </row>
    <row r="16">
      <c r="A16" s="29">
        <v>15.0</v>
      </c>
      <c r="B16" s="11" t="s">
        <v>2378</v>
      </c>
      <c r="C16" s="11" t="s">
        <v>2379</v>
      </c>
      <c r="D16" s="11" t="s">
        <v>2380</v>
      </c>
      <c r="E16" s="11" t="s">
        <v>2381</v>
      </c>
      <c r="F16" s="12"/>
      <c r="G16" s="12"/>
      <c r="H16" s="25"/>
      <c r="I16" s="11" t="str">
        <f>IFERROR(__xludf.DUMMYFUNCTION("GOOGLETRANSLATE(B16, ""en"", ""zh"")"),"以下哪一项被认为是太极拳练习的主要方面？")</f>
        <v>以下哪一项被认为是太极拳练习的主要方面？</v>
      </c>
      <c r="J16" s="11" t="str">
        <f>IFERROR(__xludf.DUMMYFUNCTION("GOOGLETRANSLATE(C16, ""en"", ""zh"")"),"A) 速度，B) 内功修炼，C) 耐力，D) 力量")</f>
        <v>A) 速度，B) 内功修炼，C) 耐力，D) 力量</v>
      </c>
      <c r="K16" s="11" t="str">
        <f>IFERROR(__xludf.DUMMYFUNCTION("GOOGLETRANSLATE(D16, ""en"", ""zh"")"),"B）内力修炼")</f>
        <v>B）内力修炼</v>
      </c>
      <c r="L16" s="11" t="str">
        <f>IFERROR(__xludf.DUMMYFUNCTION("GOOGLETRANSLATE(E16, ""en"", ""zh"")"),"太极拳注重培养内在能量，而非蛮力。")</f>
        <v>太极拳注重培养内在能量，而非蛮力。</v>
      </c>
      <c r="M16" s="13"/>
      <c r="N16" s="13"/>
      <c r="O16" s="13"/>
      <c r="P16" s="13"/>
    </row>
    <row r="17">
      <c r="A17" s="29">
        <v>16.0</v>
      </c>
      <c r="B17" s="11" t="s">
        <v>2382</v>
      </c>
      <c r="C17" s="11" t="s">
        <v>2383</v>
      </c>
      <c r="D17" s="11" t="s">
        <v>2384</v>
      </c>
      <c r="E17" s="11" t="s">
        <v>2385</v>
      </c>
      <c r="F17" s="12"/>
      <c r="G17" s="12"/>
      <c r="H17" s="25"/>
      <c r="I17" s="11" t="str">
        <f>IFERROR(__xludf.DUMMYFUNCTION("GOOGLETRANSLATE(B17, ""en"", ""zh"")"),"在太极拳中，“推手”练习是如何体现“屈服”的？")</f>
        <v>在太极拳中，“推手”练习是如何体现“屈服”的？</v>
      </c>
      <c r="J17" s="11" t="str">
        <f>IFERROR(__xludf.DUMMYFUNCTION("GOOGLETRANSLATE(C17, ""en"", ""zh"")"),"A) 用力撤退，B) 僵硬移动，C) 吸收并重新定向力，D) 直接阻挡力")</f>
        <v>A) 用力撤退，B) 僵硬移动，C) 吸收并重新定向力，D) 直接阻挡力</v>
      </c>
      <c r="K17" s="11" t="str">
        <f>IFERROR(__xludf.DUMMYFUNCTION("GOOGLETRANSLATE(D17, ""en"", ""zh"")"),"C）吸收和重新定向力")</f>
        <v>C）吸收和重新定向力</v>
      </c>
      <c r="L17" s="11" t="str">
        <f>IFERROR(__xludf.DUMMYFUNCTION("GOOGLETRANSLATE(E17, ""en"", ""zh"")"),"推手技巧中的顺势是指吸收和引导对手的力量。")</f>
        <v>推手技巧中的顺势是指吸收和引导对手的力量。</v>
      </c>
      <c r="M17" s="13"/>
      <c r="N17" s="13"/>
      <c r="O17" s="13"/>
      <c r="P17" s="13"/>
    </row>
    <row r="18">
      <c r="A18" s="29">
        <v>17.0</v>
      </c>
      <c r="B18" s="11" t="s">
        <v>2386</v>
      </c>
      <c r="C18" s="11" t="s">
        <v>2387</v>
      </c>
      <c r="D18" s="11" t="s">
        <v>2388</v>
      </c>
      <c r="E18" s="11" t="s">
        <v>2389</v>
      </c>
      <c r="F18" s="12"/>
      <c r="G18" s="12"/>
      <c r="H18" s="25"/>
      <c r="I18" s="11" t="str">
        <f>IFERROR(__xludf.DUMMYFUNCTION("GOOGLETRANSLATE(B18, ""en"", ""zh"")"),"太极拳的练习目标是协调哪两种力量？")</f>
        <v>太极拳的练习目标是协调哪两种力量？</v>
      </c>
      <c r="J18" s="11" t="str">
        <f>IFERROR(__xludf.DUMMYFUNCTION("GOOGLETRANSLATE(C18, ""en"", ""zh"")"),"A) 火与水，B) 日月，C) 阴阳，D) 地与天")</f>
        <v>A) 火与水，B) 日月，C) 阴阳，D) 地与天</v>
      </c>
      <c r="K18" s="11" t="str">
        <f>IFERROR(__xludf.DUMMYFUNCTION("GOOGLETRANSLATE(D18, ""en"", ""zh"")"),"C) 阴阳")</f>
        <v>C) 阴阳</v>
      </c>
      <c r="L18" s="11" t="str">
        <f>IFERROR(__xludf.DUMMYFUNCTION("GOOGLETRANSLATE(E18, ""en"", ""zh"")"),"阴和阳代表平衡，这是太极哲学的基本概念。")</f>
        <v>阴和阳代表平衡，这是太极哲学的基本概念。</v>
      </c>
      <c r="M18" s="13"/>
      <c r="N18" s="12"/>
      <c r="O18" s="13"/>
      <c r="P18" s="13"/>
    </row>
    <row r="19">
      <c r="A19" s="29">
        <v>18.0</v>
      </c>
      <c r="B19" s="11" t="s">
        <v>2390</v>
      </c>
      <c r="C19" s="11" t="s">
        <v>2391</v>
      </c>
      <c r="D19" s="11" t="s">
        <v>2392</v>
      </c>
      <c r="E19" s="11" t="s">
        <v>2393</v>
      </c>
      <c r="F19" s="12"/>
      <c r="G19" s="12"/>
      <c r="H19" s="25"/>
      <c r="I19" s="11" t="str">
        <f>IFERROR(__xludf.DUMMYFUNCTION("GOOGLETRANSLATE(B19, ""en"", ""zh"")"),"在太极拳练习中，“意念”的重要性体现在哪里？")</f>
        <v>在太极拳练习中，“意念”的重要性体现在哪里？</v>
      </c>
      <c r="J19" s="11" t="str">
        <f>IFERROR(__xludf.DUMMYFUNCTION("GOOGLETRANSLATE(C19, ""en"", ""zh"")"),"A) 保持速度，B) 集中精力和目标，C) 增强力量，D) 提高准确性")</f>
        <v>A) 保持速度，B) 集中精力和目标，C) 增强力量，D) 提高准确性</v>
      </c>
      <c r="K19" s="11" t="str">
        <f>IFERROR(__xludf.DUMMYFUNCTION("GOOGLETRANSLATE(D19, ""en"", ""zh"")"),"B) 集中精力和目标")</f>
        <v>B) 集中精力和目标</v>
      </c>
      <c r="L19" s="11" t="str">
        <f>IFERROR(__xludf.DUMMYFUNCTION("GOOGLETRANSLATE(E19, ""en"", ""zh"")"),"在太极拳动作中，意念有助于引导气，保持精神集中。")</f>
        <v>在太极拳动作中，意念有助于引导气，保持精神集中。</v>
      </c>
      <c r="M19" s="13"/>
      <c r="N19" s="12"/>
      <c r="O19" s="13"/>
      <c r="P19" s="12"/>
    </row>
    <row r="20">
      <c r="A20" s="29">
        <v>19.0</v>
      </c>
      <c r="B20" s="11" t="s">
        <v>2394</v>
      </c>
      <c r="C20" s="11" t="s">
        <v>2395</v>
      </c>
      <c r="D20" s="11" t="s">
        <v>2396</v>
      </c>
      <c r="E20" s="11" t="s">
        <v>2397</v>
      </c>
      <c r="F20" s="12"/>
      <c r="G20" s="12"/>
      <c r="H20" s="25"/>
      <c r="I20" s="11" t="str">
        <f>IFERROR(__xludf.DUMMYFUNCTION("GOOGLETRANSLATE(B20, ""en"", ""zh"")"),"太极拳中的“空步”是什么？")</f>
        <v>太极拳中的“空步”是什么？</v>
      </c>
      <c r="J20" s="11" t="str">
        <f>IFERROR(__xludf.DUMMYFUNCTION("GOOGLETRANSLATE(C20, ""en"", ""zh"")"),"A) 一步，B) 跳，C) 轻盈的一步，D) 快速的一步")</f>
        <v>A) 一步，B) 跳，C) 轻盈的一步，D) 快速的一步</v>
      </c>
      <c r="K20" s="11" t="str">
        <f>IFERROR(__xludf.DUMMYFUNCTION("GOOGLETRANSLATE(D20, ""en"", ""zh"")"),"C) 轻盈的步伐，重量极轻")</f>
        <v>C) 轻盈的步伐，重量极轻</v>
      </c>
      <c r="L20" s="11" t="str">
        <f>IFERROR(__xludf.DUMMYFUNCTION("GOOGLETRANSLATE(E20, ""en"", ""zh"")"),"太极拳中，空步用于平稳地转移重心并保持平衡。")</f>
        <v>太极拳中，空步用于平稳地转移重心并保持平衡。</v>
      </c>
      <c r="M20" s="13"/>
      <c r="N20" s="13"/>
      <c r="O20" s="13"/>
      <c r="P20" s="13"/>
    </row>
    <row r="21">
      <c r="A21" s="29">
        <v>20.0</v>
      </c>
      <c r="B21" s="11" t="s">
        <v>2398</v>
      </c>
      <c r="C21" s="11" t="s">
        <v>2399</v>
      </c>
      <c r="D21" s="11" t="s">
        <v>2400</v>
      </c>
      <c r="E21" s="11" t="s">
        <v>2401</v>
      </c>
      <c r="F21" s="12"/>
      <c r="G21" s="12"/>
      <c r="H21" s="25"/>
      <c r="I21" s="11" t="str">
        <f>IFERROR(__xludf.DUMMYFUNCTION("GOOGLETRANSLATE(B21, ""en"", ""zh"")"),"太极拳经常使用模仿动物的动作。以下哪一项通常不是模仿动物的动作？")</f>
        <v>太极拳经常使用模仿动物的动作。以下哪一项通常不是模仿动物的动作？</v>
      </c>
      <c r="J21" s="11" t="str">
        <f>IFERROR(__xludf.DUMMYFUNCTION("GOOGLETRANSLATE(C21, ""en"", ""zh"")"),"A) 鹤，B) 虎，C) 蛇，D) 象")</f>
        <v>A) 鹤，B) 虎，C) 蛇，D) 象</v>
      </c>
      <c r="K21" s="11" t="str">
        <f>IFERROR(__xludf.DUMMYFUNCTION("GOOGLETRANSLATE(D21, ""en"", ""zh"")"),"D）大象")</f>
        <v>D）大象</v>
      </c>
      <c r="L21" s="11" t="str">
        <f>IFERROR(__xludf.DUMMYFUNCTION("GOOGLETRANSLATE(E21, ""en"", ""zh"")"),"太极拳融合了类似动物的动作，但通常不会使用大象。")</f>
        <v>太极拳融合了类似动物的动作，但通常不会使用大象。</v>
      </c>
      <c r="M21" s="13"/>
      <c r="N21" s="12"/>
      <c r="O21" s="13"/>
      <c r="P21" s="12"/>
    </row>
    <row r="22">
      <c r="A22" s="29">
        <v>21.0</v>
      </c>
      <c r="B22" s="11" t="s">
        <v>2402</v>
      </c>
      <c r="C22" s="11" t="s">
        <v>2403</v>
      </c>
      <c r="D22" s="11" t="s">
        <v>2404</v>
      </c>
      <c r="E22" s="11" t="s">
        <v>2405</v>
      </c>
      <c r="F22" s="12"/>
      <c r="G22" s="12"/>
      <c r="H22" s="25"/>
      <c r="I22" s="11" t="str">
        <f>IFERROR(__xludf.DUMMYFUNCTION("GOOGLETRANSLATE(B22, ""en"", ""zh"")"),"以下哪一项被认为是太极拳最基本的姿势？")</f>
        <v>以下哪一项被认为是太极拳最基本的姿势？</v>
      </c>
      <c r="J22" s="11" t="str">
        <f>IFERROR(__xludf.DUMMYFUNCTION("GOOGLETRANSLATE(C22, ""en"", ""zh"")"),"A）推手，B）马步，C）拨开马鬃，D）金鸡单腿站立")</f>
        <v>A）推手，B）马步，C）拨开马鬃，D）金鸡单腿站立</v>
      </c>
      <c r="K22" s="11" t="str">
        <f>IFERROR(__xludf.DUMMYFUNCTION("GOOGLETRANSLATE(D22, ""en"", ""zh"")"),"B) 马步")</f>
        <v>B) 马步</v>
      </c>
      <c r="L22" s="11" t="str">
        <f>IFERROR(__xludf.DUMMYFUNCTION("GOOGLETRANSLATE(E22, ""en"", ""zh"")"),"马步是太极拳的基础姿势，用于扎根和保持平衡。")</f>
        <v>马步是太极拳的基础姿势，用于扎根和保持平衡。</v>
      </c>
      <c r="M22" s="13"/>
      <c r="N22" s="13"/>
      <c r="O22" s="13"/>
      <c r="P22" s="13"/>
    </row>
    <row r="23">
      <c r="A23" s="29">
        <v>22.0</v>
      </c>
      <c r="B23" s="11" t="s">
        <v>2406</v>
      </c>
      <c r="C23" s="11" t="s">
        <v>2407</v>
      </c>
      <c r="D23" s="11" t="s">
        <v>2408</v>
      </c>
      <c r="E23" s="11" t="s">
        <v>2409</v>
      </c>
      <c r="F23" s="12"/>
      <c r="G23" s="12"/>
      <c r="H23" s="25"/>
      <c r="I23" s="11" t="str">
        <f>IFERROR(__xludf.DUMMYFUNCTION("GOOGLETRANSLATE(B23, ""en"", ""zh"")"),"在太极拳中，保持身体姿势和体态时，重点强调身体的哪个部位？")</f>
        <v>在太极拳中，保持身体姿势和体态时，重点强调身体的哪个部位？</v>
      </c>
      <c r="J23" s="11" t="str">
        <f>IFERROR(__xludf.DUMMYFUNCTION("GOOGLETRANSLATE(C23, ""en"", ""zh"")"),"A) 肩膀，B) 膝盖，C) 脊柱，D) 肘部")</f>
        <v>A) 肩膀，B) 膝盖，C) 脊柱，D) 肘部</v>
      </c>
      <c r="K23" s="11" t="str">
        <f>IFERROR(__xludf.DUMMYFUNCTION("GOOGLETRANSLATE(D23, ""en"", ""zh"")"),"C）脊柱")</f>
        <v>C）脊柱</v>
      </c>
      <c r="L23" s="11" t="str">
        <f>IFERROR(__xludf.DUMMYFUNCTION("GOOGLETRANSLATE(E23, ""en"", ""zh"")"),"太极拳练习过程中，脊柱必须保持笔直，以确保能量顺畅流动。")</f>
        <v>太极拳练习过程中，脊柱必须保持笔直，以确保能量顺畅流动。</v>
      </c>
      <c r="M23" s="13"/>
      <c r="N23" s="12"/>
      <c r="O23" s="13"/>
      <c r="P23" s="13"/>
    </row>
    <row r="24">
      <c r="A24" s="29">
        <v>23.0</v>
      </c>
      <c r="B24" s="11" t="s">
        <v>2410</v>
      </c>
      <c r="C24" s="11" t="s">
        <v>2411</v>
      </c>
      <c r="D24" s="11" t="s">
        <v>2412</v>
      </c>
      <c r="E24" s="11" t="s">
        <v>2413</v>
      </c>
      <c r="F24" s="12"/>
      <c r="G24" s="12"/>
      <c r="H24" s="25"/>
      <c r="I24" s="11" t="str">
        <f>IFERROR(__xludf.DUMMYFUNCTION("GOOGLETRANSLATE(B24, ""en"", ""zh"")"),"太极拳如何促进身体健康？")</f>
        <v>太极拳如何促进身体健康？</v>
      </c>
      <c r="J24" s="11" t="str">
        <f>IFERROR(__xludf.DUMMYFUNCTION("GOOGLETRANSLATE(C24, ""en"", ""zh"")"),"A) 通过提高心肺功能，B) 通过增强关节活动度，C) 通过注重肌肉肥大，D) 通过强调爆发力")</f>
        <v>A) 通过提高心肺功能，B) 通过增强关节活动度，C) 通过注重肌肉肥大，D) 通过强调爆发力</v>
      </c>
      <c r="K24" s="11" t="str">
        <f>IFERROR(__xludf.DUMMYFUNCTION("GOOGLETRANSLATE(D24, ""en"", ""zh"")"),"B) 通过增强关节活动度")</f>
        <v>B) 通过增强关节活动度</v>
      </c>
      <c r="L24" s="11" t="str">
        <f>IFERROR(__xludf.DUMMYFUNCTION("GOOGLETRANSLATE(E24, ""en"", ""zh"")"),"太极拳通过缓慢、可控的动作，有助于提高关节的灵活性和活动能力。")</f>
        <v>太极拳通过缓慢、可控的动作，有助于提高关节的灵活性和活动能力。</v>
      </c>
      <c r="M24" s="13"/>
      <c r="N24" s="13"/>
      <c r="O24" s="13"/>
      <c r="P24" s="13"/>
    </row>
    <row r="25">
      <c r="A25" s="29">
        <v>24.0</v>
      </c>
      <c r="B25" s="11" t="s">
        <v>2414</v>
      </c>
      <c r="C25" s="11" t="s">
        <v>2415</v>
      </c>
      <c r="D25" s="11" t="s">
        <v>2416</v>
      </c>
      <c r="E25" s="11" t="s">
        <v>2417</v>
      </c>
      <c r="F25" s="12"/>
      <c r="G25" s="12"/>
      <c r="H25" s="25"/>
      <c r="I25" s="11" t="str">
        <f>IFERROR(__xludf.DUMMYFUNCTION("GOOGLETRANSLATE(B25, ""en"", ""zh"")"),"太极拳中的“气”主要指的是什么？")</f>
        <v>太极拳中的“气”主要指的是什么？</v>
      </c>
      <c r="J25" s="11" t="str">
        <f>IFERROR(__xludf.DUMMYFUNCTION("GOOGLETRANSLATE(C25, ""en"", ""zh"")"),"A) 肌肉力量，B) 精神专注力，C) 内在能量，D) 体能耐力")</f>
        <v>A) 肌肉力量，B) 精神专注力，C) 内在能量，D) 体能耐力</v>
      </c>
      <c r="K25" s="11" t="str">
        <f>IFERROR(__xludf.DUMMYFUNCTION("GOOGLETRANSLATE(D25, ""en"", ""zh"")"),"C) 内能")</f>
        <v>C) 内能</v>
      </c>
      <c r="L25" s="11" t="str">
        <f>IFERROR(__xludf.DUMMYFUNCTION("GOOGLETRANSLATE(E25, ""en"", ""zh"")"),"在太极拳练习中，“气”是指流遍全身的生命能量或生命力。")</f>
        <v>在太极拳练习中，“气”是指流遍全身的生命能量或生命力。</v>
      </c>
      <c r="M25" s="13"/>
      <c r="N25" s="13"/>
      <c r="O25" s="13"/>
      <c r="P25" s="13"/>
    </row>
    <row r="26">
      <c r="A26" s="29">
        <v>25.0</v>
      </c>
      <c r="B26" s="11" t="s">
        <v>2418</v>
      </c>
      <c r="C26" s="11" t="s">
        <v>2419</v>
      </c>
      <c r="D26" s="11" t="s">
        <v>2420</v>
      </c>
      <c r="E26" s="11" t="s">
        <v>2421</v>
      </c>
      <c r="F26" s="12"/>
      <c r="G26" s="12"/>
      <c r="H26" s="25"/>
      <c r="I26" s="11" t="str">
        <f>IFERROR(__xludf.DUMMYFUNCTION("GOOGLETRANSLATE(B26, ""en"", ""zh"")"),"太极拳中“云手”动作的主要益处是什么？")</f>
        <v>太极拳中“云手”动作的主要益处是什么？</v>
      </c>
      <c r="J26" s="11" t="str">
        <f>IFERROR(__xludf.DUMMYFUNCTION("GOOGLETRANSLATE(C26, ""en"", ""zh"")"),"A) 增强核心力量，B) 改善平衡能力，C) 提高动作流畅性，D) 提高反应时间")</f>
        <v>A) 增强核心力量，B) 改善平衡能力，C) 提高动作流畅性，D) 提高反应时间</v>
      </c>
      <c r="K26" s="11" t="str">
        <f>IFERROR(__xludf.DUMMYFUNCTION("GOOGLETRANSLATE(D26, ""en"", ""zh"")"),"C) 增强动作流畅性")</f>
        <v>C) 增强动作流畅性</v>
      </c>
      <c r="L26" s="11" t="str">
        <f>IFERROR(__xludf.DUMMYFUNCTION("GOOGLETRANSLATE(E26, ""en"", ""zh"")"),"“云手”促进流畅的圆形运动，从而培养灵活性和优雅感。")</f>
        <v>“云手”促进流畅的圆形运动，从而培养灵活性和优雅感。</v>
      </c>
      <c r="M26" s="13"/>
      <c r="N26" s="13"/>
      <c r="O26" s="13"/>
      <c r="P26" s="13"/>
    </row>
    <row r="27">
      <c r="A27" s="29">
        <v>26.0</v>
      </c>
      <c r="B27" s="11" t="s">
        <v>2422</v>
      </c>
      <c r="C27" s="11" t="s">
        <v>2423</v>
      </c>
      <c r="D27" s="11" t="s">
        <v>2424</v>
      </c>
      <c r="E27" s="11" t="s">
        <v>2425</v>
      </c>
      <c r="F27" s="12"/>
      <c r="G27" s="12"/>
      <c r="H27" s="25"/>
      <c r="I27" s="11" t="str">
        <f>IFERROR(__xludf.DUMMYFUNCTION("GOOGLETRANSLATE(B27, ""en"", ""zh"")"),"以下哪项最能描述太极拳中使用的呼吸技巧？")</f>
        <v>以下哪项最能描述太极拳中使用的呼吸技巧？</v>
      </c>
      <c r="J27" s="11" t="str">
        <f>IFERROR(__xludf.DUMMYFUNCTION("GOOGLETRANSLATE(C27, ""en"", ""zh"")"),"A) 快速浅呼吸，B) 屏住呼吸，C) 缓慢深长的腹式呼吸，D) 胸式呼吸")</f>
        <v>A) 快速浅呼吸，B) 屏住呼吸，C) 缓慢深长的腹式呼吸，D) 胸式呼吸</v>
      </c>
      <c r="K27" s="11" t="str">
        <f>IFERROR(__xludf.DUMMYFUNCTION("GOOGLETRANSLATE(D27, ""en"", ""zh"")"),"C) 缓慢、深长的腹式呼吸")</f>
        <v>C) 缓慢、深长的腹式呼吸</v>
      </c>
      <c r="L27" s="11" t="str">
        <f>IFERROR(__xludf.DUMMYFUNCTION("GOOGLETRANSLATE(E27, ""en"", ""zh"")"),"太极拳强调腹式呼吸，以促进放松和能量流动。")</f>
        <v>太极拳强调腹式呼吸，以促进放松和能量流动。</v>
      </c>
      <c r="M27" s="13"/>
      <c r="N27" s="13"/>
      <c r="O27" s="13"/>
      <c r="P27" s="13"/>
    </row>
    <row r="28">
      <c r="A28" s="29">
        <v>27.0</v>
      </c>
      <c r="B28" s="11" t="s">
        <v>2426</v>
      </c>
      <c r="C28" s="11" t="s">
        <v>2427</v>
      </c>
      <c r="D28" s="11" t="s">
        <v>2428</v>
      </c>
      <c r="E28" s="11" t="s">
        <v>2429</v>
      </c>
      <c r="F28" s="12"/>
      <c r="G28" s="12"/>
      <c r="H28" s="25"/>
      <c r="I28" s="11" t="str">
        <f>IFERROR(__xludf.DUMMYFUNCTION("GOOGLETRANSLATE(B28, ""en"", ""zh"")"),"在太极拳中，“中心”或“丹田”有什么意义？")</f>
        <v>在太极拳中，“中心”或“丹田”有什么意义？</v>
      </c>
      <c r="J28" s="11" t="str">
        <f>IFERROR(__xludf.DUMMYFUNCTION("GOOGLETRANSLATE(C28, ""en"", ""zh"")"),"A) 它是与大地接触的点，B) 它是身体的能量储存和平衡点，C) 它是肌肉收缩的区域，D) 它是精神集中的焦点")</f>
        <v>A) 它是与大地接触的点，B) 它是身体的能量储存和平衡点，C) 它是肌肉收缩的区域，D) 它是精神集中的焦点</v>
      </c>
      <c r="K28" s="11" t="str">
        <f>IFERROR(__xludf.DUMMYFUNCTION("GOOGLETRANSLATE(D28, ""en"", ""zh"")"),"B) 它是人体的能量储存和平衡点。")</f>
        <v>B) 它是人体的能量储存和平衡点。</v>
      </c>
      <c r="L28" s="11" t="str">
        <f>IFERROR(__xludf.DUMMYFUNCTION("GOOGLETRANSLATE(E28, ""en"", ""zh"")"),"“丹田”是太极拳练习者集中精力以保持平衡和力量的地方。")</f>
        <v>“丹田”是太极拳练习者集中精力以保持平衡和力量的地方。</v>
      </c>
      <c r="M28" s="13"/>
      <c r="N28" s="13"/>
      <c r="O28" s="13"/>
      <c r="P28" s="12"/>
    </row>
    <row r="29">
      <c r="A29" s="29">
        <v>28.0</v>
      </c>
      <c r="B29" s="11" t="s">
        <v>2430</v>
      </c>
      <c r="C29" s="11" t="s">
        <v>2431</v>
      </c>
      <c r="D29" s="11" t="s">
        <v>2432</v>
      </c>
      <c r="E29" s="11" t="s">
        <v>2433</v>
      </c>
      <c r="F29" s="12"/>
      <c r="G29" s="12"/>
      <c r="H29" s="25"/>
      <c r="I29" s="11" t="str">
        <f>IFERROR(__xludf.DUMMYFUNCTION("GOOGLETRANSLATE(B29, ""en"", ""zh"")"),"太极拳“空手”概念背后的关键原则是什么？")</f>
        <v>太极拳“空手”概念背后的关键原则是什么？</v>
      </c>
      <c r="J29" s="11" t="str">
        <f>IFERROR(__xludf.DUMMYFUNCTION("GOOGLETRANSLATE(C29, ""en"", ""zh"")"),"A）使用外力，B）避免肢体冲突，C）练习轻柔的动作，D）引导内在能量而不具攻击性")</f>
        <v>A）使用外力，B）避免肢体冲突，C）练习轻柔的动作，D）引导内在能量而不具攻击性</v>
      </c>
      <c r="K29" s="11" t="str">
        <f>IFERROR(__xludf.DUMMYFUNCTION("GOOGLETRANSLATE(D29, ""en"", ""zh"")"),"D) 引导内在能量而不诉诸攻击性")</f>
        <v>D) 引导内在能量而不诉诸攻击性</v>
      </c>
      <c r="L29" s="11" t="str">
        <f>IFERROR(__xludf.DUMMYFUNCTION("GOOGLETRANSLATE(E29, ""en"", ""zh"")"),"太极拳中的“空手”概念是指通过流畅的动作来引导和中和能量，而无需使用蛮力。")</f>
        <v>太极拳中的“空手”概念是指通过流畅的动作来引导和中和能量，而无需使用蛮力。</v>
      </c>
      <c r="M29" s="13"/>
      <c r="N29" s="13"/>
      <c r="O29" s="13"/>
      <c r="P29" s="13"/>
    </row>
    <row r="30">
      <c r="A30" s="29">
        <v>29.0</v>
      </c>
      <c r="B30" s="11" t="s">
        <v>2434</v>
      </c>
      <c r="C30" s="11" t="s">
        <v>2435</v>
      </c>
      <c r="D30" s="11" t="s">
        <v>2436</v>
      </c>
      <c r="E30" s="11" t="s">
        <v>2437</v>
      </c>
      <c r="F30" s="12"/>
      <c r="G30" s="12"/>
      <c r="H30" s="25"/>
      <c r="I30" s="11" t="str">
        <f>IFERROR(__xludf.DUMMYFUNCTION("GOOGLETRANSLATE(B30, ""en"", ""zh"")"),"太极拳动作“拨开马鬃”意在象征什么？")</f>
        <v>太极拳动作“拨开马鬃”意在象征什么？</v>
      </c>
      <c r="J30" s="11" t="str">
        <f>IFERROR(__xludf.DUMMYFUNCTION("GOOGLETRANSLATE(C30, ""en"", ""zh"")"),"A) 扩张胸腔，B) 增强力量，C) 提高脊柱灵活性，D) 平衡身体")</f>
        <v>A) 扩张胸腔，B) 增强力量，C) 提高脊柱灵活性，D) 平衡身体</v>
      </c>
      <c r="K30" s="11" t="str">
        <f>IFERROR(__xludf.DUMMYFUNCTION("GOOGLETRANSLATE(D30, ""en"", ""zh"")"),"C）增强脊柱的灵活性")</f>
        <v>C）增强脊柱的灵活性</v>
      </c>
      <c r="L30" s="11" t="str">
        <f>IFERROR(__xludf.DUMMYFUNCTION("GOOGLETRANSLATE(E30, ""en"", ""zh"")"),"拨开马鬃有助于伸展和拉长脊柱，提高活动能力。")</f>
        <v>拨开马鬃有助于伸展和拉长脊柱，提高活动能力。</v>
      </c>
      <c r="M30" s="13"/>
      <c r="N30" s="13"/>
      <c r="O30" s="13"/>
      <c r="P30" s="13"/>
    </row>
    <row r="31">
      <c r="A31" s="29">
        <v>30.0</v>
      </c>
      <c r="B31" s="11" t="s">
        <v>2438</v>
      </c>
      <c r="C31" s="11" t="s">
        <v>2439</v>
      </c>
      <c r="D31" s="11" t="s">
        <v>2440</v>
      </c>
      <c r="E31" s="11" t="s">
        <v>2441</v>
      </c>
      <c r="F31" s="12"/>
      <c r="G31" s="12"/>
      <c r="H31" s="25"/>
      <c r="I31" s="11" t="str">
        <f>IFERROR(__xludf.DUMMYFUNCTION("GOOGLETRANSLATE(B31, ""en"", ""zh"")"),"太极拳初学者通常一节课要持续多久？")</f>
        <v>太极拳初学者通常一节课要持续多久？</v>
      </c>
      <c r="J31" s="11" t="str">
        <f>IFERROR(__xludf.DUMMYFUNCTION("GOOGLETRANSLATE(C31, ""en"", ""zh"")"),"A) 10分钟，B) 20分钟，C) 30分钟，D) 60分钟")</f>
        <v>A) 10分钟，B) 20分钟，C) 30分钟，D) 60分钟</v>
      </c>
      <c r="K31" s="11" t="str">
        <f>IFERROR(__xludf.DUMMYFUNCTION("GOOGLETRANSLATE(D31, ""en"", ""zh"")"),"C) 30分钟")</f>
        <v>C) 30分钟</v>
      </c>
      <c r="L31" s="11" t="str">
        <f>IFERROR(__xludf.DUMMYFUNCTION("GOOGLETRANSLATE(E31, ""en"", ""zh"")"),"30分钟的课程非常适合初学者练习太极拳的基础动作。")</f>
        <v>30分钟的课程非常适合初学者练习太极拳的基础动作。</v>
      </c>
      <c r="M31" s="13"/>
      <c r="N31" s="13"/>
      <c r="O31" s="13"/>
      <c r="P31" s="12"/>
    </row>
    <row r="32">
      <c r="A32" s="29">
        <v>31.0</v>
      </c>
      <c r="B32" s="11" t="s">
        <v>2442</v>
      </c>
      <c r="C32" s="11" t="s">
        <v>2443</v>
      </c>
      <c r="D32" s="11" t="s">
        <v>2444</v>
      </c>
      <c r="E32" s="11" t="s">
        <v>2445</v>
      </c>
      <c r="F32" s="12"/>
      <c r="G32" s="12"/>
      <c r="H32" s="25"/>
      <c r="I32" s="11" t="str">
        <f>IFERROR(__xludf.DUMMYFUNCTION("GOOGLETRANSLATE(B32, ""en"", ""zh"")"),"在太极拳中，防御动作中的“偏转”有什么作用？")</f>
        <v>在太极拳中，防御动作中的“偏转”有什么作用？</v>
      </c>
      <c r="J32" s="11" t="str">
        <f>IFERROR(__xludf.DUMMYFUNCTION("GOOGLETRANSLATE(C32, ""en"", ""zh"")"),"A) 吸收能量，B) 改变力的方向，C) 格挡攻击，D) 快速招架")</f>
        <v>A) 吸收能量，B) 改变力的方向，C) 格挡攻击，D) 快速招架</v>
      </c>
      <c r="K32" s="11" t="str">
        <f>IFERROR(__xludf.DUMMYFUNCTION("GOOGLETRANSLATE(D32, ""en"", ""zh"")"),"B) 改变力的方向")</f>
        <v>B) 改变力的方向</v>
      </c>
      <c r="L32" s="11" t="str">
        <f>IFERROR(__xludf.DUMMYFUNCTION("GOOGLETRANSLATE(E32, ""en"", ""zh"")"),"偏转可以让练习者在不抵抗的情况下改变对手力量的方向。")</f>
        <v>偏转可以让练习者在不抵抗的情况下改变对手力量的方向。</v>
      </c>
      <c r="M32" s="13"/>
      <c r="N32" s="12"/>
      <c r="O32" s="13"/>
      <c r="P32" s="13"/>
    </row>
    <row r="33">
      <c r="A33" s="29">
        <v>32.0</v>
      </c>
      <c r="B33" s="11" t="s">
        <v>2446</v>
      </c>
      <c r="C33" s="11" t="s">
        <v>2447</v>
      </c>
      <c r="D33" s="11" t="s">
        <v>2448</v>
      </c>
      <c r="E33" s="11" t="s">
        <v>2449</v>
      </c>
      <c r="F33" s="12"/>
      <c r="G33" s="12"/>
      <c r="H33" s="25"/>
      <c r="I33" s="11" t="str">
        <f>IFERROR(__xludf.DUMMYFUNCTION("GOOGLETRANSLATE(B33, ""en"", ""zh"")"),"在太极拳中，“推手”在训练过程中起什么作用？")</f>
        <v>在太极拳中，“推手”在训练过程中起什么作用？</v>
      </c>
      <c r="J33" s="11" t="str">
        <f>IFERROR(__xludf.DUMMYFUNCTION("GOOGLETRANSLATE(C33, ""en"", ""zh"")"),"A) 提高耐力，B) 提高速度，C) 培养能量感知能力，D) 发展肌肉力量")</f>
        <v>A) 提高耐力，B) 提高速度，C) 培养能量感知能力，D) 发展肌肉力量</v>
      </c>
      <c r="K33" s="11" t="str">
        <f>IFERROR(__xludf.DUMMYFUNCTION("GOOGLETRANSLATE(D33, ""en"", ""zh"")"),"C) 培养对能量的敏感性")</f>
        <v>C) 培养对能量的敏感性</v>
      </c>
      <c r="L33" s="11" t="str">
        <f>IFERROR(__xludf.DUMMYFUNCTION("GOOGLETRANSLATE(E33, ""en"", ""zh"")"),"推手练习可以增强练习者感受和回应他人能量的能力。")</f>
        <v>推手练习可以增强练习者感受和回应他人能量的能力。</v>
      </c>
      <c r="M33" s="13"/>
      <c r="N33" s="13"/>
      <c r="O33" s="13"/>
      <c r="P33" s="13"/>
    </row>
    <row r="34">
      <c r="A34" s="29">
        <v>33.0</v>
      </c>
      <c r="B34" s="11" t="s">
        <v>2450</v>
      </c>
      <c r="C34" s="11" t="s">
        <v>2451</v>
      </c>
      <c r="D34" s="11" t="s">
        <v>2452</v>
      </c>
      <c r="E34" s="11" t="s">
        <v>2453</v>
      </c>
      <c r="F34" s="12"/>
      <c r="G34" s="12"/>
      <c r="H34" s="25"/>
      <c r="I34" s="11" t="str">
        <f>IFERROR(__xludf.DUMMYFUNCTION("GOOGLETRANSLATE(B34, ""en"", ""zh"")"),"“太极”在中文里字面意思是什么？")</f>
        <v>“太极”在中文里字面意思是什么？</v>
      </c>
      <c r="J34" s="11" t="str">
        <f>IFERROR(__xludf.DUMMYFUNCTION("GOOGLETRANSLATE(C34, ""en"", ""zh"")"),"A) 至高无上，B) 永恒平衡，C) 古老艺术，D) 内心平静")</f>
        <v>A) 至高无上，B) 永恒平衡，C) 古老艺术，D) 内心平静</v>
      </c>
      <c r="K34" s="11" t="str">
        <f>IFERROR(__xludf.DUMMYFUNCTION("GOOGLETRANSLATE(D34, ""en"", ""zh"")"),"A) 至高无上的终极")</f>
        <v>A) 至高无上的终极</v>
      </c>
      <c r="L34" s="11" t="str">
        <f>IFERROR(__xludf.DUMMYFUNCTION("GOOGLETRANSLATE(E34, ""en"", ""zh"")"),"太极拳源于“太极拳”一词，意为“至高无上的终极拳法”。")</f>
        <v>太极拳源于“太极拳”一词，意为“至高无上的终极拳法”。</v>
      </c>
      <c r="M34" s="13"/>
      <c r="N34" s="13"/>
      <c r="O34" s="13"/>
      <c r="P34" s="13"/>
    </row>
    <row r="35">
      <c r="A35" s="29">
        <v>34.0</v>
      </c>
      <c r="B35" s="11" t="s">
        <v>2454</v>
      </c>
      <c r="C35" s="11" t="s">
        <v>2455</v>
      </c>
      <c r="D35" s="11" t="s">
        <v>2456</v>
      </c>
      <c r="E35" s="11" t="s">
        <v>2457</v>
      </c>
      <c r="F35" s="12"/>
      <c r="G35" s="12"/>
      <c r="H35" s="25"/>
      <c r="I35" s="11" t="str">
        <f>IFERROR(__xludf.DUMMYFUNCTION("GOOGLETRANSLATE(B35, ""en"", ""zh"")"),"太极拳练习的主要重点是什么？")</f>
        <v>太极拳练习的主要重点是什么？</v>
      </c>
      <c r="J35" s="11" t="str">
        <f>IFERROR(__xludf.DUMMYFUNCTION("GOOGLETRANSLATE(C35, ""en"", ""zh"")"),"A) 速度和力量，B) 柔韧性和敏捷性，C) 放松和平衡，D) 力量训练")</f>
        <v>A) 速度和力量，B) 柔韧性和敏捷性，C) 放松和平衡，D) 力量训练</v>
      </c>
      <c r="K35" s="11" t="str">
        <f>IFERROR(__xludf.DUMMYFUNCTION("GOOGLETRANSLATE(D35, ""en"", ""zh"")"),"C) 放松与平衡")</f>
        <v>C) 放松与平衡</v>
      </c>
      <c r="L35" s="11" t="str">
        <f>IFERROR(__xludf.DUMMYFUNCTION("GOOGLETRANSLATE(E35, ""en"", ""zh"")"),"太极拳注重通过缓慢的动作来改善放松、平衡和思维清晰度。")</f>
        <v>太极拳注重通过缓慢的动作来改善放松、平衡和思维清晰度。</v>
      </c>
      <c r="M35" s="13"/>
      <c r="N35" s="12"/>
      <c r="O35" s="13"/>
      <c r="P35" s="13"/>
    </row>
    <row r="36">
      <c r="A36" s="29">
        <v>35.0</v>
      </c>
      <c r="B36" s="11" t="s">
        <v>2458</v>
      </c>
      <c r="C36" s="11" t="s">
        <v>2459</v>
      </c>
      <c r="D36" s="11" t="s">
        <v>2460</v>
      </c>
      <c r="E36" s="11" t="s">
        <v>2461</v>
      </c>
      <c r="F36" s="12"/>
      <c r="G36" s="12"/>
      <c r="H36" s="25"/>
      <c r="I36" s="11" t="str">
        <f>IFERROR(__xludf.DUMMYFUNCTION("GOOGLETRANSLATE(B36, ""en"", ""zh"")"),"太极拳动作的主要特点是什么？")</f>
        <v>太极拳动作的主要特点是什么？</v>
      </c>
      <c r="J36" s="11" t="str">
        <f>IFERROR(__xludf.DUMMYFUNCTION("GOOGLETRANSLATE(C36, ""en"", ""zh"")"),"A) 快速而有力，B) 快速但无常，C) 缓慢而谨慎，D) 冲击力强且强烈")</f>
        <v>A) 快速而有力，B) 快速但无常，C) 缓慢而谨慎，D) 冲击力强且强烈</v>
      </c>
      <c r="K36" s="11" t="str">
        <f>IFERROR(__xludf.DUMMYFUNCTION("GOOGLETRANSLATE(D36, ""en"", ""zh"")"),"C) 缓慢而谨慎")</f>
        <v>C) 缓慢而谨慎</v>
      </c>
      <c r="L36" s="11" t="str">
        <f>IFERROR(__xludf.DUMMYFUNCTION("GOOGLETRANSLATE(E36, ""en"", ""zh"")"),"太极拳的动作以缓慢、沉稳、流畅著称。")</f>
        <v>太极拳的动作以缓慢、沉稳、流畅著称。</v>
      </c>
      <c r="M36" s="13"/>
      <c r="N36" s="12"/>
      <c r="O36" s="13"/>
      <c r="P36" s="12"/>
    </row>
    <row r="37">
      <c r="A37" s="29">
        <v>36.0</v>
      </c>
      <c r="B37" s="11" t="s">
        <v>2462</v>
      </c>
      <c r="C37" s="11" t="s">
        <v>2463</v>
      </c>
      <c r="D37" s="11" t="s">
        <v>2464</v>
      </c>
      <c r="E37" s="11" t="s">
        <v>2465</v>
      </c>
      <c r="F37" s="12"/>
      <c r="G37" s="12"/>
      <c r="H37" s="25"/>
      <c r="I37" s="11" t="str">
        <f>IFERROR(__xludf.DUMMYFUNCTION("GOOGLETRANSLATE(B37, ""en"", ""zh"")"),"以下哪项是练习太极拳通常带来的益处？")</f>
        <v>以下哪项是练习太极拳通常带来的益处？</v>
      </c>
      <c r="J37" s="11" t="str">
        <f>IFERROR(__xludf.DUMMYFUNCTION("GOOGLETRANSLATE(C37, ""en"", ""zh"")"),"A) 增强力量，B) 改善心血管健康，C) 改善姿势和平衡，D) 增强柔韧性")</f>
        <v>A) 增强力量，B) 改善心血管健康，C) 改善姿势和平衡，D) 增强柔韧性</v>
      </c>
      <c r="K37" s="11" t="str">
        <f>IFERROR(__xludf.DUMMYFUNCTION("GOOGLETRANSLATE(D37, ""en"", ""zh"")"),"C) 更好的姿势和平衡")</f>
        <v>C) 更好的姿势和平衡</v>
      </c>
      <c r="L37" s="11" t="str">
        <f>IFERROR(__xludf.DUMMYFUNCTION("GOOGLETRANSLATE(E37, ""en"", ""zh"")"),"太极拳尤其有利于改善姿势、平衡和协调能力。")</f>
        <v>太极拳尤其有利于改善姿势、平衡和协调能力。</v>
      </c>
      <c r="M37" s="13"/>
      <c r="N37" s="13"/>
      <c r="O37" s="13"/>
      <c r="P37" s="12"/>
    </row>
    <row r="38">
      <c r="A38" s="29">
        <v>37.0</v>
      </c>
      <c r="B38" s="11" t="s">
        <v>2466</v>
      </c>
      <c r="C38" s="11" t="s">
        <v>2467</v>
      </c>
      <c r="D38" s="11" t="s">
        <v>2468</v>
      </c>
      <c r="E38" s="11" t="s">
        <v>2469</v>
      </c>
      <c r="F38" s="12"/>
      <c r="G38" s="12"/>
      <c r="H38" s="25"/>
      <c r="I38" s="11" t="str">
        <f>IFERROR(__xludf.DUMMYFUNCTION("GOOGLETRANSLATE(B38, ""en"", ""zh"")"),"太极拳通常被当作哪种类型的运动来练习？")</f>
        <v>太极拳通常被当作哪种类型的运动来练习？</v>
      </c>
      <c r="J38" s="11" t="str">
        <f>IFERROR(__xludf.DUMMYFUNCTION("GOOGLETRANSLATE(C38, ""en"", ""zh"")"),"A) 有氧运动，B) 力量训练，C) 柔韧性训练，D) 低冲击心血管运动")</f>
        <v>A) 有氧运动，B) 力量训练，C) 柔韧性训练，D) 低冲击心血管运动</v>
      </c>
      <c r="K38" s="11" t="str">
        <f>IFERROR(__xludf.DUMMYFUNCTION("GOOGLETRANSLATE(D38, ""en"", ""zh"")"),"D) 低强度心血管运动")</f>
        <v>D) 低强度心血管运动</v>
      </c>
      <c r="L38" s="11" t="str">
        <f>IFERROR(__xludf.DUMMYFUNCTION("GOOGLETRANSLATE(E38, ""en"", ""zh"")"),"太极拳被认为是一种低冲击的有氧运动，可以促进心脏健康和增强耐力。")</f>
        <v>太极拳被认为是一种低冲击的有氧运动，可以促进心脏健康和增强耐力。</v>
      </c>
      <c r="M38" s="13"/>
      <c r="N38" s="13"/>
      <c r="O38" s="13"/>
      <c r="P38" s="13"/>
    </row>
    <row r="39">
      <c r="A39" s="29">
        <v>38.0</v>
      </c>
      <c r="B39" s="11" t="s">
        <v>2470</v>
      </c>
      <c r="C39" s="11" t="s">
        <v>2471</v>
      </c>
      <c r="D39" s="11" t="s">
        <v>2472</v>
      </c>
      <c r="E39" s="11" t="s">
        <v>2473</v>
      </c>
      <c r="F39" s="12"/>
      <c r="G39" s="12"/>
      <c r="H39" s="25"/>
      <c r="I39" s="11" t="str">
        <f>IFERROR(__xludf.DUMMYFUNCTION("GOOGLETRANSLATE(B39, ""en"", ""zh"")"),"太极拳中动作序列最复杂的拳法叫什么名字？")</f>
        <v>太极拳中动作序列最复杂的拳法叫什么名字？</v>
      </c>
      <c r="J39" s="11" t="str">
        <f>IFERROR(__xludf.DUMMYFUNCTION("GOOGLETRANSLATE(C39, ""en"", ""zh"")"),"A) 短式，B) 长式，C) 剑式，D) 扇式")</f>
        <v>A) 短式，B) 长式，C) 剑式，D) 扇式</v>
      </c>
      <c r="K39" s="11" t="str">
        <f>IFERROR(__xludf.DUMMYFUNCTION("GOOGLETRANSLATE(D39, ""en"", ""zh"")"),"B) 长篇")</f>
        <v>B) 长篇</v>
      </c>
      <c r="L39" s="11" t="str">
        <f>IFERROR(__xludf.DUMMYFUNCTION("GOOGLETRANSLATE(E39, ""en"", ""zh"")"),"太极拳长套路是一套完整的动作序列，涵盖了各种技巧和原理。")</f>
        <v>太极拳长套路是一套完整的动作序列，涵盖了各种技巧和原理。</v>
      </c>
      <c r="M39" s="13"/>
      <c r="N39" s="13"/>
      <c r="O39" s="13"/>
      <c r="P39" s="13"/>
    </row>
    <row r="40">
      <c r="A40" s="29">
        <v>39.0</v>
      </c>
      <c r="B40" s="11" t="s">
        <v>2474</v>
      </c>
      <c r="C40" s="11" t="s">
        <v>2475</v>
      </c>
      <c r="D40" s="11" t="s">
        <v>2476</v>
      </c>
      <c r="E40" s="11" t="s">
        <v>2477</v>
      </c>
      <c r="F40" s="12"/>
      <c r="G40" s="12"/>
      <c r="H40" s="25"/>
      <c r="I40" s="11" t="str">
        <f>IFERROR(__xludf.DUMMYFUNCTION("GOOGLETRANSLATE(B40, ""en"", ""zh"")"),"下列哪种动物通常与太极拳联系在一起？")</f>
        <v>下列哪种动物通常与太极拳联系在一起？</v>
      </c>
      <c r="J40" s="11" t="str">
        <f>IFERROR(__xludf.DUMMYFUNCTION("GOOGLETRANSLATE(C40, ""en"", ""zh"")"),"A) 虎，B) 鹤，C) 龙，D) 蛇")</f>
        <v>A) 虎，B) 鹤，C) 龙，D) 蛇</v>
      </c>
      <c r="K40" s="11" t="str">
        <f>IFERROR(__xludf.DUMMYFUNCTION("GOOGLETRANSLATE(D40, ""en"", ""zh"")"),"B) 起重机")</f>
        <v>B) 起重机</v>
      </c>
      <c r="L40" s="11" t="str">
        <f>IFERROR(__xludf.DUMMYFUNCTION("GOOGLETRANSLATE(E40, ""en"", ""zh"")"),"鹤象征着平衡与优雅，这两者在太极拳动作中经常体现出来。")</f>
        <v>鹤象征着平衡与优雅，这两者在太极拳动作中经常体现出来。</v>
      </c>
      <c r="M40" s="13"/>
      <c r="N40" s="13"/>
      <c r="O40" s="13"/>
      <c r="P40" s="12"/>
    </row>
    <row r="41">
      <c r="A41" s="29">
        <v>40.0</v>
      </c>
      <c r="B41" s="11" t="s">
        <v>2478</v>
      </c>
      <c r="C41" s="11" t="s">
        <v>2479</v>
      </c>
      <c r="D41" s="11" t="s">
        <v>2480</v>
      </c>
      <c r="E41" s="11" t="s">
        <v>2481</v>
      </c>
      <c r="F41" s="12"/>
      <c r="G41" s="12"/>
      <c r="H41" s="25"/>
      <c r="I41" s="11" t="str">
        <f>IFERROR(__xludf.DUMMYFUNCTION("GOOGLETRANSLATE(B41, ""en"", ""zh"")"),"以下哪项是太极拳的关键原则？")</f>
        <v>以下哪项是太极拳的关键原则？</v>
      </c>
      <c r="J41" s="11" t="str">
        <f>IFERROR(__xludf.DUMMYFUNCTION("GOOGLETRANSLATE(C41, ""en"", ""zh"")"),"A) 阴阳，B) 道与德，C) 五行，D) 黄金法则")</f>
        <v>A) 阴阳，B) 道与德，C) 五行，D) 黄金法则</v>
      </c>
      <c r="K41" s="11" t="str">
        <f>IFERROR(__xludf.DUMMYFUNCTION("GOOGLETRANSLATE(D41, ""en"", ""zh"")"),"A) 阴阳")</f>
        <v>A) 阴阳</v>
      </c>
      <c r="L41" s="11" t="str">
        <f>IFERROR(__xludf.DUMMYFUNCTION("GOOGLETRANSLATE(E41, ""en"", ""zh"")"),"阴阳的概念是太极拳的核心，代表着生活和运动中对立面的平衡。")</f>
        <v>阴阳的概念是太极拳的核心，代表着生活和运动中对立面的平衡。</v>
      </c>
      <c r="M41" s="13"/>
      <c r="N41" s="12"/>
      <c r="O41" s="13"/>
      <c r="P41" s="12"/>
    </row>
    <row r="42">
      <c r="A42" s="29">
        <v>41.0</v>
      </c>
      <c r="B42" s="11" t="s">
        <v>2482</v>
      </c>
      <c r="C42" s="11" t="s">
        <v>2483</v>
      </c>
      <c r="D42" s="11" t="s">
        <v>2484</v>
      </c>
      <c r="E42" s="11" t="s">
        <v>2485</v>
      </c>
      <c r="F42" s="12"/>
      <c r="G42" s="12"/>
      <c r="H42" s="25"/>
      <c r="I42" s="11" t="str">
        <f>IFERROR(__xludf.DUMMYFUNCTION("GOOGLETRANSLATE(B42, ""en"", ""zh"")"),"太极拳中的“气”有何意义？")</f>
        <v>太极拳中的“气”有何意义？</v>
      </c>
      <c r="J42" s="11" t="str">
        <f>IFERROR(__xludf.DUMMYFUNCTION("GOOGLETRANSLATE(C42, ""en"", ""zh"")"),"A) 精神，B) 能量，C) 呼吸，D) 专注")</f>
        <v>A) 精神，B) 能量，C) 呼吸，D) 专注</v>
      </c>
      <c r="K42" s="11" t="str">
        <f>IFERROR(__xludf.DUMMYFUNCTION("GOOGLETRANSLATE(D42, ""en"", ""zh"")"),"B) 能量")</f>
        <v>B) 能量</v>
      </c>
      <c r="L42" s="11" t="str">
        <f>IFERROR(__xludf.DUMMYFUNCTION("GOOGLETRANSLATE(E42, ""en"", ""zh"")"),"在太极拳中，“气”指的是流经身体的生命能量，练习者的目标是培养和平衡这种能量。")</f>
        <v>在太极拳中，“气”指的是流经身体的生命能量，练习者的目标是培养和平衡这种能量。</v>
      </c>
      <c r="M42" s="13"/>
      <c r="N42" s="13"/>
      <c r="O42" s="13"/>
      <c r="P42" s="12"/>
    </row>
    <row r="43">
      <c r="A43" s="29">
        <v>42.0</v>
      </c>
      <c r="B43" s="11" t="s">
        <v>2486</v>
      </c>
      <c r="C43" s="11" t="s">
        <v>2487</v>
      </c>
      <c r="D43" s="11" t="s">
        <v>2488</v>
      </c>
      <c r="E43" s="11" t="s">
        <v>2489</v>
      </c>
      <c r="F43" s="12"/>
      <c r="G43" s="12"/>
      <c r="H43" s="25"/>
      <c r="I43" s="11" t="str">
        <f>IFERROR(__xludf.DUMMYFUNCTION("GOOGLETRANSLATE(B43, ""en"", ""zh"")"),"太极拳与其他武术有何不同？")</f>
        <v>太极拳与其他武术有何不同？</v>
      </c>
      <c r="J43" s="11" t="str">
        <f>IFERROR(__xludf.DUMMYFUNCTION("GOOGLETRANSLATE(C43, ""en"", ""zh"")"),"A) 它注重快速打击，B) 它练习缓慢以达到专注，C) 它大量使用武器，D) 它强调速度和力量")</f>
        <v>A) 它注重快速打击，B) 它练习缓慢以达到专注，C) 它大量使用武器，D) 它强调速度和力量</v>
      </c>
      <c r="K43" s="11" t="str">
        <f>IFERROR(__xludf.DUMMYFUNCTION("GOOGLETRANSLATE(D43, ""en"", ""zh"")"),"B) 练习时要缓慢进行，以保持正念。")</f>
        <v>B) 练习时要缓慢进行，以保持正念。</v>
      </c>
      <c r="L43" s="11" t="str">
        <f>IFERROR(__xludf.DUMMYFUNCTION("GOOGLETRANSLATE(E43, ""en"", ""zh"")"),"与其他武术不同，太极拳强调缓慢、专注的动作，以促进精神清晰和身体平衡。")</f>
        <v>与其他武术不同，太极拳强调缓慢、专注的动作，以促进精神清晰和身体平衡。</v>
      </c>
      <c r="M43" s="13"/>
      <c r="N43" s="13"/>
      <c r="O43" s="13"/>
      <c r="P43" s="12"/>
    </row>
    <row r="44">
      <c r="A44" s="29">
        <v>43.0</v>
      </c>
      <c r="B44" s="11" t="s">
        <v>2490</v>
      </c>
      <c r="C44" s="11" t="s">
        <v>2491</v>
      </c>
      <c r="D44" s="11" t="s">
        <v>2492</v>
      </c>
      <c r="E44" s="11" t="s">
        <v>2493</v>
      </c>
      <c r="F44" s="12"/>
      <c r="G44" s="12"/>
      <c r="H44" s="25"/>
      <c r="I44" s="11" t="str">
        <f>IFERROR(__xludf.DUMMYFUNCTION("GOOGLETRANSLATE(B44, ""en"", ""zh"")"),"太极拳练习中强调哪种呼吸方式？")</f>
        <v>太极拳练习中强调哪种呼吸方式？</v>
      </c>
      <c r="J44" s="11" t="str">
        <f>IFERROR(__xludf.DUMMYFUNCTION("GOOGLETRANSLATE(C44, ""en"", ""zh"")"),"A) 浅呼吸，B) 急呼吸，C) 深而慢的呼吸，D) 停止呼吸")</f>
        <v>A) 浅呼吸，B) 急呼吸，C) 深而慢的呼吸，D) 停止呼吸</v>
      </c>
      <c r="K44" s="11" t="str">
        <f>IFERROR(__xludf.DUMMYFUNCTION("GOOGLETRANSLATE(D44, ""en"", ""zh"")"),"C) 深而慢的呼吸")</f>
        <v>C) 深而慢的呼吸</v>
      </c>
      <c r="L44" s="11" t="str">
        <f>IFERROR(__xludf.DUMMYFUNCTION("GOOGLETRANSLATE(E44, ""en"", ""zh"")"),"太极拳练习者强调深长、缓慢和有控制的呼吸，以增强放松和能量流动。")</f>
        <v>太极拳练习者强调深长、缓慢和有控制的呼吸，以增强放松和能量流动。</v>
      </c>
      <c r="M44" s="13"/>
      <c r="N44" s="13"/>
      <c r="O44" s="13"/>
      <c r="P44" s="13"/>
    </row>
    <row r="45">
      <c r="A45" s="29">
        <v>44.0</v>
      </c>
      <c r="B45" s="11" t="s">
        <v>2494</v>
      </c>
      <c r="C45" s="11" t="s">
        <v>2495</v>
      </c>
      <c r="D45" s="11" t="s">
        <v>2496</v>
      </c>
      <c r="E45" s="11" t="s">
        <v>2497</v>
      </c>
      <c r="F45" s="12"/>
      <c r="G45" s="12"/>
      <c r="H45" s="25"/>
      <c r="I45" s="11" t="str">
        <f>IFERROR(__xludf.DUMMYFUNCTION("GOOGLETRANSLATE(B45, ""en"", ""zh"")"),"太极拳练习的主要目的是什么？")</f>
        <v>太极拳练习的主要目的是什么？</v>
      </c>
      <c r="J45" s="11" t="str">
        <f>IFERROR(__xludf.DUMMYFUNCTION("GOOGLETRANSLATE(C45, ""en"", ""zh"")"),"A) 自卫，B) 体能训练，C) 精神启迪，D) 格斗训练")</f>
        <v>A) 自卫，B) 体能训练，C) 精神启迪，D) 格斗训练</v>
      </c>
      <c r="K45" s="11" t="str">
        <f>IFERROR(__xludf.DUMMYFUNCTION("GOOGLETRANSLATE(D45, ""en"", ""zh"")"),"B) 身体素质")</f>
        <v>B) 身体素质</v>
      </c>
      <c r="L45" s="11" t="str">
        <f>IFERROR(__xludf.DUMMYFUNCTION("GOOGLETRANSLATE(E45, ""en"", ""zh"")"),"虽然太极拳可以用于自卫，但对大多数练习者来说，其主要目的是增强体质和身心健康。")</f>
        <v>虽然太极拳可以用于自卫，但对大多数练习者来说，其主要目的是增强体质和身心健康。</v>
      </c>
      <c r="M45" s="13"/>
      <c r="N45" s="13"/>
      <c r="O45" s="13"/>
      <c r="P45" s="13"/>
    </row>
    <row r="46">
      <c r="A46" s="29">
        <v>45.0</v>
      </c>
      <c r="B46" s="11" t="s">
        <v>2498</v>
      </c>
      <c r="C46" s="11" t="s">
        <v>2499</v>
      </c>
      <c r="D46" s="11" t="s">
        <v>2500</v>
      </c>
      <c r="E46" s="11" t="s">
        <v>2501</v>
      </c>
      <c r="F46" s="12"/>
      <c r="G46" s="12"/>
      <c r="H46" s="25"/>
      <c r="I46" s="11" t="str">
        <f>IFERROR(__xludf.DUMMYFUNCTION("GOOGLETRANSLATE(B46, ""en"", ""zh"")"),"太极拳动作通常与哪种类型的音乐一起练习？")</f>
        <v>太极拳动作通常与哪种类型的音乐一起练习？</v>
      </c>
      <c r="J46" s="11" t="str">
        <f>IFERROR(__xludf.DUMMYFUNCTION("GOOGLETRANSLATE(C46, ""en"", ""zh"")"),"A) 中国古典音乐，B) 快节奏器乐，C) 爵士乐，D) 寂静")</f>
        <v>A) 中国古典音乐，B) 快节奏器乐，C) 爵士乐，D) 寂静</v>
      </c>
      <c r="K46" s="11" t="str">
        <f>IFERROR(__xludf.DUMMYFUNCTION("GOOGLETRANSLATE(D46, ""en"", ""zh"")"),"A) 中国古典音乐")</f>
        <v>A) 中国古典音乐</v>
      </c>
      <c r="L46" s="11" t="str">
        <f>IFERROR(__xludf.DUMMYFUNCTION("GOOGLETRANSLATE(E46, ""en"", ""zh"")"),"太极拳通常伴以舒缓的中国古典音乐节奏进行练习，以增强放松和专注力。")</f>
        <v>太极拳通常伴以舒缓的中国古典音乐节奏进行练习，以增强放松和专注力。</v>
      </c>
      <c r="M46" s="13"/>
      <c r="N46" s="12"/>
      <c r="O46" s="13"/>
      <c r="P46" s="13"/>
    </row>
    <row r="47">
      <c r="A47" s="29">
        <v>46.0</v>
      </c>
      <c r="B47" s="11" t="s">
        <v>2502</v>
      </c>
      <c r="C47" s="11" t="s">
        <v>2503</v>
      </c>
      <c r="D47" s="11" t="s">
        <v>2504</v>
      </c>
      <c r="E47" s="11" t="s">
        <v>2505</v>
      </c>
      <c r="F47" s="12"/>
      <c r="G47" s="12"/>
      <c r="H47" s="25"/>
      <c r="I47" s="11" t="str">
        <f>IFERROR(__xludf.DUMMYFUNCTION("GOOGLETRANSLATE(B47, ""en"", ""zh"")"),"下列哪种动物也被用来象征太极拳的原理？")</f>
        <v>下列哪种动物也被用来象征太极拳的原理？</v>
      </c>
      <c r="J47" s="11" t="str">
        <f>IFERROR(__xludf.DUMMYFUNCTION("GOOGLETRANSLATE(C47, ""en"", ""zh"")"),"A) 马，B) 猴子，C) 老虎，D) 大象")</f>
        <v>A) 马，B) 猴子，C) 老虎，D) 大象</v>
      </c>
      <c r="K47" s="11" t="str">
        <f>IFERROR(__xludf.DUMMYFUNCTION("GOOGLETRANSLATE(D47, ""en"", ""zh"")"),"C) 老虎")</f>
        <v>C) 老虎</v>
      </c>
      <c r="L47" s="11" t="str">
        <f>IFERROR(__xludf.DUMMYFUNCTION("GOOGLETRANSLATE(E47, ""en"", ""zh"")"),"在太极拳中，老虎经常被用来代表力量、权力和自信，以平衡练习中较为柔和的方面。")</f>
        <v>在太极拳中，老虎经常被用来代表力量、权力和自信，以平衡练习中较为柔和的方面。</v>
      </c>
      <c r="M47" s="13"/>
      <c r="N47" s="12"/>
      <c r="O47" s="13"/>
      <c r="P47" s="12"/>
    </row>
    <row r="48">
      <c r="A48" s="29">
        <v>47.0</v>
      </c>
      <c r="B48" s="11" t="s">
        <v>2506</v>
      </c>
      <c r="C48" s="11" t="s">
        <v>2507</v>
      </c>
      <c r="D48" s="11" t="s">
        <v>2508</v>
      </c>
      <c r="E48" s="11" t="s">
        <v>2509</v>
      </c>
      <c r="F48" s="12"/>
      <c r="G48" s="12"/>
      <c r="H48" s="25"/>
      <c r="I48" s="11" t="str">
        <f>IFERROR(__xludf.DUMMYFUNCTION("GOOGLETRANSLATE(B48, ""en"", ""zh"")"),"太极拳中缓慢、沉稳的动作该如何称呼？")</f>
        <v>太极拳中缓慢、沉稳的动作该如何称呼？</v>
      </c>
      <c r="J48" s="11" t="str">
        <f>IFERROR(__xludf.DUMMYFUNCTION("GOOGLETRANSLATE(C48, ""en"", ""zh"")"),"A) 形式，B) 姿势，C) 技术，D) 体式")</f>
        <v>A) 形式，B) 姿势，C) 技术，D) 体式</v>
      </c>
      <c r="K48" s="11" t="str">
        <f>IFERROR(__xludf.DUMMYFUNCTION("GOOGLETRANSLATE(D48, ""en"", ""zh"")"),"A) 表格")</f>
        <v>A) 表格</v>
      </c>
      <c r="L48" s="11" t="str">
        <f>IFERROR(__xludf.DUMMYFUNCTION("GOOGLETRANSLATE(E48, ""en"", ""zh"")"),"太极拳的动作被组织成“套路”，即练习者学习和重复的动作序列。")</f>
        <v>太极拳的动作被组织成“套路”，即练习者学习和重复的动作序列。</v>
      </c>
      <c r="M48" s="13"/>
      <c r="N48" s="13"/>
      <c r="O48" s="13"/>
      <c r="P48" s="13"/>
    </row>
    <row r="49">
      <c r="A49" s="29">
        <v>48.0</v>
      </c>
      <c r="B49" s="11" t="s">
        <v>2510</v>
      </c>
      <c r="C49" s="11" t="s">
        <v>2511</v>
      </c>
      <c r="D49" s="11" t="s">
        <v>2512</v>
      </c>
      <c r="E49" s="11" t="s">
        <v>2513</v>
      </c>
      <c r="F49" s="12"/>
      <c r="G49" s="12"/>
      <c r="H49" s="25"/>
      <c r="I49" s="11" t="str">
        <f>IFERROR(__xludf.DUMMYFUNCTION("GOOGLETRANSLATE(B49, ""en"", ""zh"")"),"太极拳中“推手”练习的主要目的是什么？")</f>
        <v>太极拳中“推手”练习的主要目的是什么？</v>
      </c>
      <c r="J49" s="11" t="str">
        <f>IFERROR(__xludf.DUMMYFUNCTION("GOOGLETRANSLATE(C49, ""en"", ""zh"")"),"A) 增强柔韧性，B) 练习平衡和敏感度，C) 学习快速打击技巧，D) 改善呼吸")</f>
        <v>A) 增强柔韧性，B) 练习平衡和敏感度，C) 学习快速打击技巧，D) 改善呼吸</v>
      </c>
      <c r="K49" s="11" t="str">
        <f>IFERROR(__xludf.DUMMYFUNCTION("GOOGLETRANSLATE(D49, ""en"", ""zh"")"),"B) 练习平衡和敏感度")</f>
        <v>B) 练习平衡和敏感度</v>
      </c>
      <c r="L49" s="11" t="str">
        <f>IFERROR(__xludf.DUMMYFUNCTION("GOOGLETRANSLATE(E49, ""en"", ""zh"")"),"“推手”是太极拳中的一种练习，有助于培养对对手动作的敏感度和平衡感。")</f>
        <v>“推手”是太极拳中的一种练习，有助于培养对对手动作的敏感度和平衡感。</v>
      </c>
      <c r="M49" s="13"/>
      <c r="N49" s="13"/>
      <c r="O49" s="13"/>
      <c r="P49" s="12"/>
    </row>
    <row r="50">
      <c r="A50" s="29">
        <v>49.0</v>
      </c>
      <c r="B50" s="11" t="s">
        <v>2514</v>
      </c>
      <c r="C50" s="11" t="s">
        <v>2515</v>
      </c>
      <c r="D50" s="11" t="s">
        <v>2516</v>
      </c>
      <c r="E50" s="11" t="s">
        <v>2517</v>
      </c>
      <c r="F50" s="12"/>
      <c r="G50" s="12"/>
      <c r="H50" s="25"/>
      <c r="I50" s="11" t="str">
        <f>IFERROR(__xludf.DUMMYFUNCTION("GOOGLETRANSLATE(B50, ""en"", ""zh"")"),"太极拳的符号代表什么？")</f>
        <v>太极拳的符号代表什么？</v>
      </c>
      <c r="J50" s="11" t="str">
        <f>IFERROR(__xludf.DUMMYFUNCTION("GOOGLETRANSLATE(C50, ""en"", ""zh"")"),"A) 和平，B) 阴阳平衡，C) 力量与权力，D) 天地和谐")</f>
        <v>A) 和平，B) 阴阳平衡，C) 力量与权力，D) 天地和谐</v>
      </c>
      <c r="K50" s="11" t="str">
        <f>IFERROR(__xludf.DUMMYFUNCTION("GOOGLETRANSLATE(D50, ""en"", ""zh"")"),"B) 阴阳平衡")</f>
        <v>B) 阴阳平衡</v>
      </c>
      <c r="L50" s="11" t="str">
        <f>IFERROR(__xludf.DUMMYFUNCTION("GOOGLETRANSLATE(E50, ""en"", ""zh"")"),"太极拳的符号代表阴阳平衡，这是道教的核心概念。")</f>
        <v>太极拳的符号代表阴阳平衡，这是道教的核心概念。</v>
      </c>
      <c r="M50" s="13"/>
      <c r="N50" s="12"/>
      <c r="O50" s="13"/>
      <c r="P50" s="13"/>
    </row>
    <row r="51">
      <c r="A51" s="29">
        <v>50.0</v>
      </c>
      <c r="B51" s="11" t="s">
        <v>2518</v>
      </c>
      <c r="C51" s="11" t="s">
        <v>2519</v>
      </c>
      <c r="D51" s="11" t="s">
        <v>2484</v>
      </c>
      <c r="E51" s="11" t="s">
        <v>2520</v>
      </c>
      <c r="F51" s="12"/>
      <c r="G51" s="12"/>
      <c r="H51" s="25"/>
      <c r="I51" s="11" t="str">
        <f>IFERROR(__xludf.DUMMYFUNCTION("GOOGLETRANSLATE(B51, ""en"", ""zh"")"),"在太极拳中，“气”被认为代表什么？")</f>
        <v>在太极拳中，“气”被认为代表什么？</v>
      </c>
      <c r="J51" s="11" t="str">
        <f>IFERROR(__xludf.DUMMYFUNCTION("GOOGLETRANSLATE(C51, ""en"", ""zh"")"),"A) 空气，B) 能量，C) 力量，D) 精神")</f>
        <v>A) 空气，B) 能量，C) 力量，D) 精神</v>
      </c>
      <c r="K51" s="11" t="str">
        <f>IFERROR(__xludf.DUMMYFUNCTION("GOOGLETRANSLATE(D51, ""en"", ""zh"")"),"B) 能量")</f>
        <v>B) 能量</v>
      </c>
      <c r="L51" s="11" t="str">
        <f>IFERROR(__xludf.DUMMYFUNCTION("GOOGLETRANSLATE(E51, ""en"", ""zh"")"),"气是流经人体的生命力或能量，是太极拳练习的核心。")</f>
        <v>气是流经人体的生命力或能量，是太极拳练习的核心。</v>
      </c>
      <c r="M51" s="13"/>
      <c r="N51" s="13"/>
      <c r="O51" s="13"/>
      <c r="P51" s="12"/>
    </row>
    <row r="52">
      <c r="A52" s="29">
        <v>51.0</v>
      </c>
      <c r="B52" s="11" t="s">
        <v>2521</v>
      </c>
      <c r="C52" s="11" t="s">
        <v>2522</v>
      </c>
      <c r="D52" s="11" t="s">
        <v>2523</v>
      </c>
      <c r="E52" s="11" t="s">
        <v>2524</v>
      </c>
      <c r="F52" s="12"/>
      <c r="G52" s="12"/>
      <c r="H52" s="25"/>
      <c r="I52" s="11" t="str">
        <f>IFERROR(__xludf.DUMMYFUNCTION("GOOGLETRANSLATE(B52, ""en"", ""zh"")"),"太极拳中哪种流派强调动作的柔和与顺从？")</f>
        <v>太极拳中哪种流派强调动作的柔和与顺从？</v>
      </c>
      <c r="J52" s="11" t="str">
        <f>IFERROR(__xludf.DUMMYFUNCTION("GOOGLETRANSLATE(C52, ""en"", ""zh"")"),"A）陈式，B）杨式，C）吴式，D）孙式")</f>
        <v>A）陈式，B）杨式，C）吴式，D）孙式</v>
      </c>
      <c r="K52" s="11" t="str">
        <f>IFERROR(__xludf.DUMMYFUNCTION("GOOGLETRANSLATE(D52, ""en"", ""zh"")"),"C) 吴式")</f>
        <v>C) 吴式</v>
      </c>
      <c r="L52" s="11" t="str">
        <f>IFERROR(__xludf.DUMMYFUNCTION("GOOGLETRANSLATE(E52, ""en"", ""zh"")"),"吴式武术注重小而紧凑的动作，强调柔和与灵活，尤其是在近身搏斗中。")</f>
        <v>吴式武术注重小而紧凑的动作，强调柔和与灵活，尤其是在近身搏斗中。</v>
      </c>
      <c r="M52" s="13"/>
      <c r="N52" s="12"/>
      <c r="O52" s="13"/>
      <c r="P52" s="13"/>
    </row>
    <row r="53">
      <c r="A53" s="29">
        <v>52.0</v>
      </c>
      <c r="B53" s="11" t="s">
        <v>2525</v>
      </c>
      <c r="C53" s="11" t="s">
        <v>2526</v>
      </c>
      <c r="D53" s="11" t="s">
        <v>2527</v>
      </c>
      <c r="E53" s="11" t="s">
        <v>2528</v>
      </c>
      <c r="F53" s="12"/>
      <c r="G53" s="12"/>
      <c r="H53" s="25"/>
      <c r="I53" s="11" t="str">
        <f>IFERROR(__xludf.DUMMYFUNCTION("GOOGLETRANSLATE(B53, ""en"", ""zh"")"),"以下哪项是太极拳练习的核心原则？")</f>
        <v>以下哪项是太极拳练习的核心原则？</v>
      </c>
      <c r="J53" s="11" t="str">
        <f>IFERROR(__xludf.DUMMYFUNCTION("GOOGLETRANSLATE(C53, ""en"", ""zh"")"),"A) 速度，B) 力，C) 放松，D) 强度")</f>
        <v>A) 速度，B) 力，C) 放松，D) 强度</v>
      </c>
      <c r="K53" s="11" t="str">
        <f>IFERROR(__xludf.DUMMYFUNCTION("GOOGLETRANSLATE(D53, ""en"", ""zh"")"),"C) 放松")</f>
        <v>C) 放松</v>
      </c>
      <c r="L53" s="11" t="str">
        <f>IFERROR(__xludf.DUMMYFUNCTION("GOOGLETRANSLATE(E53, ""en"", ""zh"")"),"放松是太极拳的关键，因为它可以让身体自由活动，并与能量的流动和谐一致。")</f>
        <v>放松是太极拳的关键，因为它可以让身体自由活动，并与能量的流动和谐一致。</v>
      </c>
      <c r="M53" s="13"/>
      <c r="N53" s="12"/>
      <c r="O53" s="13"/>
      <c r="P53" s="13"/>
    </row>
    <row r="54">
      <c r="A54" s="29">
        <v>53.0</v>
      </c>
      <c r="B54" s="11" t="s">
        <v>2529</v>
      </c>
      <c r="C54" s="11" t="s">
        <v>2530</v>
      </c>
      <c r="D54" s="11" t="s">
        <v>2531</v>
      </c>
      <c r="E54" s="11" t="s">
        <v>2532</v>
      </c>
      <c r="F54" s="12"/>
      <c r="G54" s="12"/>
      <c r="H54" s="25"/>
      <c r="I54" s="11" t="str">
        <f>IFERROR(__xludf.DUMMYFUNCTION("GOOGLETRANSLATE(B54, ""en"", ""zh"")"),"太极拳与哪种中国武术关系最为密切？")</f>
        <v>太极拳与哪种中国武术关系最为密切？</v>
      </c>
      <c r="J54" s="11" t="str">
        <f>IFERROR(__xludf.DUMMYFUNCTION("GOOGLETRANSLATE(C54, ""en"", ""zh"")"),"A）功夫，B）柔术，C）空手道，D）咏春拳")</f>
        <v>A）功夫，B）柔术，C）空手道，D）咏春拳</v>
      </c>
      <c r="K54" s="11" t="str">
        <f>IFERROR(__xludf.DUMMYFUNCTION("GOOGLETRANSLATE(D54, ""en"", ""zh"")"),"A) 功夫")</f>
        <v>A) 功夫</v>
      </c>
      <c r="L54" s="11" t="str">
        <f>IFERROR(__xludf.DUMMYFUNCTION("GOOGLETRANSLATE(E54, ""en"", ""zh"")"),"太极拳是一种内家拳，注重内在能量和柔和的动作。")</f>
        <v>太极拳是一种内家拳，注重内在能量和柔和的动作。</v>
      </c>
      <c r="M54" s="13"/>
      <c r="N54" s="12"/>
      <c r="O54" s="13"/>
      <c r="P54" s="13"/>
    </row>
    <row r="55">
      <c r="A55" s="29">
        <v>54.0</v>
      </c>
      <c r="B55" s="11" t="s">
        <v>2533</v>
      </c>
      <c r="C55" s="11" t="s">
        <v>2534</v>
      </c>
      <c r="D55" s="11" t="s">
        <v>2535</v>
      </c>
      <c r="E55" s="11" t="s">
        <v>2536</v>
      </c>
      <c r="F55" s="12"/>
      <c r="G55" s="12"/>
      <c r="H55" s="25"/>
      <c r="I55" s="11" t="str">
        <f>IFERROR(__xludf.DUMMYFUNCTION("GOOGLETRANSLATE(B55, ""en"", ""zh"")"),"在太极拳中，“扎根”的概念是什么？")</f>
        <v>在太极拳中，“扎根”的概念是什么？</v>
      </c>
      <c r="J55" s="11" t="str">
        <f>IFERROR(__xludf.DUMMYFUNCTION("GOOGLETRANSLATE(C55, ""en"", ""zh"")"),"A) 将能量集中在双手，B) 将能量集中在双腿，C) 保持稳定的站姿，D) 收紧核心肌群")</f>
        <v>A) 将能量集中在双手，B) 将能量集中在双腿，C) 保持稳定的站姿，D) 收紧核心肌群</v>
      </c>
      <c r="K55" s="11" t="str">
        <f>IFERROR(__xludf.DUMMYFUNCTION("GOOGLETRANSLATE(D55, ""en"", ""zh"")"),"C）保持稳定的站姿")</f>
        <v>C）保持稳定的站姿</v>
      </c>
      <c r="L55" s="11" t="str">
        <f>IFERROR(__xludf.DUMMYFUNCTION("GOOGLETRANSLATE(E55, ""en"", ""zh"")"),"“扎根”指的是保持稳固、踏实的姿态，这对于保持平衡和能量流动至关重要。")</f>
        <v>“扎根”指的是保持稳固、踏实的姿态，这对于保持平衡和能量流动至关重要。</v>
      </c>
      <c r="M55" s="13"/>
      <c r="N55" s="12"/>
      <c r="O55" s="13"/>
      <c r="P55" s="13"/>
    </row>
    <row r="56">
      <c r="A56" s="29">
        <v>55.0</v>
      </c>
      <c r="B56" s="11" t="s">
        <v>2537</v>
      </c>
      <c r="C56" s="11" t="s">
        <v>2538</v>
      </c>
      <c r="D56" s="11" t="s">
        <v>2539</v>
      </c>
      <c r="E56" s="11" t="s">
        <v>2540</v>
      </c>
      <c r="F56" s="12"/>
      <c r="G56" s="12"/>
      <c r="H56" s="25"/>
      <c r="I56" s="11" t="str">
        <f>IFERROR(__xludf.DUMMYFUNCTION("GOOGLETRANSLATE(B56, ""en"", ""zh"")"),"太极拳练习中经常使用哪种类型的武器？")</f>
        <v>太极拳练习中经常使用哪种类型的武器？</v>
      </c>
      <c r="J56" s="11" t="str">
        <f>IFERROR(__xludf.DUMMYFUNCTION("GOOGLETRANSLATE(C56, ""en"", ""zh"")"),"A) 剑，B) 矛，C) 棍，D) 双节棍")</f>
        <v>A) 剑，B) 矛，C) 棍，D) 双节棍</v>
      </c>
      <c r="K56" s="11" t="str">
        <f>IFERROR(__xludf.DUMMYFUNCTION("GOOGLETRANSLATE(D56, ""en"", ""zh"")"),"A) 剑")</f>
        <v>A) 剑</v>
      </c>
      <c r="L56" s="11" t="str">
        <f>IFERROR(__xludf.DUMMYFUNCTION("GOOGLETRANSLATE(E56, ""en"", ""zh"")"),"太极拳练习者经常使用剑进行训练，通过缓慢、沉稳的动作来驾驭能量。")</f>
        <v>太极拳练习者经常使用剑进行训练，通过缓慢、沉稳的动作来驾驭能量。</v>
      </c>
      <c r="M56" s="13"/>
      <c r="N56" s="12"/>
      <c r="O56" s="13"/>
      <c r="P56" s="13"/>
    </row>
    <row r="57">
      <c r="A57" s="29">
        <v>56.0</v>
      </c>
      <c r="B57" s="11" t="s">
        <v>2541</v>
      </c>
      <c r="C57" s="11" t="s">
        <v>2542</v>
      </c>
      <c r="D57" s="11" t="s">
        <v>2543</v>
      </c>
      <c r="E57" s="11" t="s">
        <v>2544</v>
      </c>
      <c r="F57" s="12"/>
      <c r="G57" s="12"/>
      <c r="H57" s="25"/>
      <c r="I57" s="11" t="str">
        <f>IFERROR(__xludf.DUMMYFUNCTION("GOOGLETRANSLATE(B57, ""en"", ""zh"")"),"在太极拳中，“掤”指的是什么？")</f>
        <v>在太极拳中，“掤”指的是什么？</v>
      </c>
      <c r="J57" s="11" t="str">
        <f>IFERROR(__xludf.DUMMYFUNCTION("GOOGLETRANSLATE(C57, ""en"", ""zh"")"),"A) 柔软度，B) 扩张力，C) 屈服力，D) 聚焦力")</f>
        <v>A) 柔软度，B) 扩张力，C) 屈服力，D) 聚焦力</v>
      </c>
      <c r="K57" s="11" t="str">
        <f>IFERROR(__xludf.DUMMYFUNCTION("GOOGLETRANSLATE(D57, ""en"", ""zh"")"),"B) 膨胀力")</f>
        <v>B) 膨胀力</v>
      </c>
      <c r="L57" s="11" t="str">
        <f>IFERROR(__xludf.DUMMYFUNCTION("GOOGLETRANSLATE(E57, ""en"", ""zh"")"),"“Peng”指的是一种不断扩张、轻柔的力量，用于抵挡攻击和保持平衡。")</f>
        <v>“Peng”指的是一种不断扩张、轻柔的力量，用于抵挡攻击和保持平衡。</v>
      </c>
      <c r="M57" s="13"/>
      <c r="N57" s="13"/>
      <c r="O57" s="13"/>
      <c r="P57" s="13"/>
    </row>
    <row r="58">
      <c r="A58" s="29">
        <v>57.0</v>
      </c>
      <c r="B58" s="11" t="s">
        <v>2545</v>
      </c>
      <c r="C58" s="11" t="s">
        <v>2546</v>
      </c>
      <c r="D58" s="11" t="s">
        <v>2547</v>
      </c>
      <c r="E58" s="11" t="s">
        <v>2548</v>
      </c>
      <c r="F58" s="12"/>
      <c r="G58" s="12"/>
      <c r="H58" s="25"/>
      <c r="I58" s="11" t="str">
        <f>IFERROR(__xludf.DUMMYFUNCTION("GOOGLETRANSLATE(B58, ""en"", ""zh"")"),"“气”在太极拳中扮演什么角色？")</f>
        <v>“气”在太极拳中扮演什么角色？</v>
      </c>
      <c r="J58" s="11" t="str">
        <f>IFERROR(__xludf.DUMMYFUNCTION("GOOGLETRANSLATE(C58, ""en"", ""zh"")"),"A) 它代表外力，B) 它侧重于改进技术，C) 它代表内能，D) 它增强力量")</f>
        <v>A) 它代表外力，B) 它侧重于改进技术，C) 它代表内能，D) 它增强力量</v>
      </c>
      <c r="K58" s="11" t="str">
        <f>IFERROR(__xludf.DUMMYFUNCTION("GOOGLETRANSLATE(D58, ""en"", ""zh"")"),"C) 它代表内能")</f>
        <v>C) 它代表内能</v>
      </c>
      <c r="L58" s="11" t="str">
        <f>IFERROR(__xludf.DUMMYFUNCTION("GOOGLETRANSLATE(E58, ""en"", ""zh"")"),"“气”（或“炁”）是生命能量，太极拳练习者旨在培养和平衡这种能量。")</f>
        <v>“气”（或“炁”）是生命能量，太极拳练习者旨在培养和平衡这种能量。</v>
      </c>
      <c r="M58" s="13"/>
      <c r="N58" s="13"/>
      <c r="O58" s="13"/>
      <c r="P58" s="13"/>
    </row>
    <row r="59">
      <c r="A59" s="29">
        <v>58.0</v>
      </c>
      <c r="B59" s="11" t="s">
        <v>2549</v>
      </c>
      <c r="C59" s="11" t="s">
        <v>2550</v>
      </c>
      <c r="D59" s="11" t="s">
        <v>2551</v>
      </c>
      <c r="E59" s="11" t="s">
        <v>2552</v>
      </c>
      <c r="F59" s="12"/>
      <c r="G59" s="12"/>
      <c r="H59" s="25"/>
      <c r="I59" s="11" t="str">
        <f>IFERROR(__xludf.DUMMYFUNCTION("GOOGLETRANSLATE(B59, ""en"", ""zh"")"),"以下哪项原则对太极拳动作至关重要？")</f>
        <v>以下哪项原则对太极拳动作至关重要？</v>
      </c>
      <c r="J59" s="11" t="str">
        <f>IFERROR(__xludf.DUMMYFUNCTION("GOOGLETRANSLATE(C59, ""en"", ""zh"")"),"A) 轻盈度，B) 锐利度，C) 圆度，D) 快速度")</f>
        <v>A) 轻盈度，B) 锐利度，C) 圆度，D) 快速度</v>
      </c>
      <c r="K59" s="11" t="str">
        <f>IFERROR(__xludf.DUMMYFUNCTION("GOOGLETRANSLATE(D59, ""en"", ""zh"")"),"C）循环性")</f>
        <v>C）循环性</v>
      </c>
      <c r="L59" s="11" t="str">
        <f>IFERROR(__xludf.DUMMYFUNCTION("GOOGLETRANSLATE(E59, ""en"", ""zh"")"),"圆润是太极拳的一个关键原则，因为动作通常以圆形轨迹进行，以促进流畅的动作。")</f>
        <v>圆润是太极拳的一个关键原则，因为动作通常以圆形轨迹进行，以促进流畅的动作。</v>
      </c>
      <c r="M59" s="13"/>
      <c r="N59" s="13"/>
      <c r="O59" s="13"/>
      <c r="P59" s="13"/>
    </row>
    <row r="60">
      <c r="A60" s="29">
        <v>59.0</v>
      </c>
      <c r="B60" s="11" t="s">
        <v>2553</v>
      </c>
      <c r="C60" s="11" t="s">
        <v>2554</v>
      </c>
      <c r="D60" s="11" t="s">
        <v>2555</v>
      </c>
      <c r="E60" s="11" t="s">
        <v>2556</v>
      </c>
      <c r="F60" s="12"/>
      <c r="G60" s="12"/>
      <c r="H60" s="25"/>
      <c r="I60" s="11" t="str">
        <f>IFERROR(__xludf.DUMMYFUNCTION("GOOGLETRANSLATE(B60, ""en"", ""zh"")"),"以下哪种太极拳套路最短？")</f>
        <v>以下哪种太极拳套路最短？</v>
      </c>
      <c r="J60" s="11" t="str">
        <f>IFERROR(__xludf.DUMMYFUNCTION("GOOGLETRANSLATE(C60, ""en"", ""zh"")"),"A) 24 表格，B) 48 表格，C) 108 表格，D) 10 表格")</f>
        <v>A) 24 表格，B) 48 表格，C) 108 表格，D) 10 表格</v>
      </c>
      <c r="K60" s="11" t="str">
        <f>IFERROR(__xludf.DUMMYFUNCTION("GOOGLETRANSLATE(D60, ""en"", ""zh"")"),"D) 10 型表格")</f>
        <v>D) 10 型表格</v>
      </c>
      <c r="L60" s="11" t="str">
        <f>IFERROR(__xludf.DUMMYFUNCTION("GOOGLETRANSLATE(E60, ""en"", ""zh"")"),"十式太极拳是太极拳的简化版，非常适合初学者学习基本原理。")</f>
        <v>十式太极拳是太极拳的简化版，非常适合初学者学习基本原理。</v>
      </c>
      <c r="M60" s="13"/>
      <c r="N60" s="13"/>
      <c r="O60" s="13"/>
      <c r="P60" s="12"/>
    </row>
    <row r="61">
      <c r="A61" s="29">
        <v>60.0</v>
      </c>
      <c r="B61" s="11" t="s">
        <v>2557</v>
      </c>
      <c r="C61" s="11" t="s">
        <v>2558</v>
      </c>
      <c r="D61" s="11" t="s">
        <v>2559</v>
      </c>
      <c r="E61" s="11" t="s">
        <v>2560</v>
      </c>
      <c r="F61" s="12"/>
      <c r="G61" s="12"/>
      <c r="H61" s="25"/>
      <c r="I61" s="11" t="str">
        <f>IFERROR(__xludf.DUMMYFUNCTION("GOOGLETRANSLATE(B61, ""en"", ""zh"")"),"以下哪项益处最常与经常练习太极拳联系在一起？")</f>
        <v>以下哪项益处最常与经常练习太极拳联系在一起？</v>
      </c>
      <c r="J61" s="11" t="str">
        <f>IFERROR(__xludf.DUMMYFUNCTION("GOOGLETRANSLATE(C61, ""en"", ""zh"")"),"A) 减轻体重，B) 改善心血管健康，C) 增加骨密度，D) 增强注意力")</f>
        <v>A) 减轻体重，B) 改善心血管健康，C) 增加骨密度，D) 增强注意力</v>
      </c>
      <c r="K61" s="11" t="str">
        <f>IFERROR(__xludf.DUMMYFUNCTION("GOOGLETRANSLATE(D61, ""en"", ""zh"")"),"D) 增强精神专注力")</f>
        <v>D) 增强精神专注力</v>
      </c>
      <c r="L61" s="11" t="str">
        <f>IFERROR(__xludf.DUMMYFUNCTION("GOOGLETRANSLATE(E61, ""en"", ""zh"")"),"经常练习太极拳可以提高思维清晰度、专注力和整体心理健康。")</f>
        <v>经常练习太极拳可以提高思维清晰度、专注力和整体心理健康。</v>
      </c>
      <c r="M61" s="13"/>
      <c r="N61" s="13"/>
      <c r="O61" s="13"/>
      <c r="P61" s="12"/>
    </row>
    <row r="62">
      <c r="A62" s="29">
        <v>61.0</v>
      </c>
      <c r="B62" s="11" t="s">
        <v>2561</v>
      </c>
      <c r="C62" s="11" t="s">
        <v>2562</v>
      </c>
      <c r="D62" s="11" t="s">
        <v>2563</v>
      </c>
      <c r="E62" s="11" t="s">
        <v>2564</v>
      </c>
      <c r="F62" s="12"/>
      <c r="G62" s="12"/>
      <c r="H62" s="25"/>
      <c r="I62" s="11" t="str">
        <f>IFERROR(__xludf.DUMMYFUNCTION("GOOGLETRANSLATE(B62, ""en"", ""zh"")"),"太极拳中的“站桩”是什么？")</f>
        <v>太极拳中的“站桩”是什么？</v>
      </c>
      <c r="J62" s="11" t="str">
        <f>IFERROR(__xludf.DUMMYFUNCTION("GOOGLETRANSLATE(C62, ""en"", ""zh"")"),"A) 一种太极拳法，B) 一种站桩冥想姿势，C) 一种呼吸技巧，D) 一种太极拳兵器")</f>
        <v>A) 一种太极拳法，B) 一种站桩冥想姿势，C) 一种呼吸技巧，D) 一种太极拳兵器</v>
      </c>
      <c r="K62" s="11" t="str">
        <f>IFERROR(__xludf.DUMMYFUNCTION("GOOGLETRANSLATE(D62, ""en"", ""zh"")"),"B) 站立冥想姿势")</f>
        <v>B) 站立冥想姿势</v>
      </c>
      <c r="L62" s="11" t="str">
        <f>IFERROR(__xludf.DUMMYFUNCTION("GOOGLETRANSLATE(E62, ""en"", ""zh"")"),"站桩是一种站立冥想练习，对于增强内在力量和能量流动至关重要。")</f>
        <v>站桩是一种站立冥想练习，对于增强内在力量和能量流动至关重要。</v>
      </c>
      <c r="M62" s="13"/>
      <c r="N62" s="12"/>
      <c r="O62" s="13"/>
      <c r="P62" s="12"/>
    </row>
    <row r="63">
      <c r="A63" s="29">
        <v>62.0</v>
      </c>
      <c r="B63" s="11" t="s">
        <v>2565</v>
      </c>
      <c r="C63" s="11" t="s">
        <v>2566</v>
      </c>
      <c r="D63" s="11" t="s">
        <v>2567</v>
      </c>
      <c r="E63" s="11" t="s">
        <v>2568</v>
      </c>
      <c r="F63" s="12"/>
      <c r="G63" s="12"/>
      <c r="H63" s="25"/>
      <c r="I63" s="11" t="str">
        <f>IFERROR(__xludf.DUMMYFUNCTION("GOOGLETRANSLATE(B63, ""en"", ""zh"")"),"在太极拳中，“空姿”指的是什么？")</f>
        <v>在太极拳中，“空姿”指的是什么？</v>
      </c>
      <c r="J63" s="11" t="str">
        <f>IFERROR(__xludf.DUMMYFUNCTION("GOOGLETRANSLATE(C63, ""en"", ""zh"")"),"A) 单腿不着地的姿势，B) 双臂伸展的姿势，C) 仅用于实战练习的姿势，D) 双脚着地的姿势")</f>
        <v>A) 单腿不着地的姿势，B) 双臂伸展的姿势，C) 仅用于实战练习的姿势，D) 双脚着地的姿势</v>
      </c>
      <c r="K63" s="11" t="str">
        <f>IFERROR(__xludf.DUMMYFUNCTION("GOOGLETRANSLATE(D63, ""en"", ""zh"")"),"A) 单腿不承重的姿势")</f>
        <v>A) 单腿不承重的姿势</v>
      </c>
      <c r="L63" s="11" t="str">
        <f>IFERROR(__xludf.DUMMYFUNCTION("GOOGLETRANSLATE(E63, ""en"", ""zh"")"),"“空站”是太极拳中的一种姿势，身体的大部分重量都集中在一条腿上，另一条腿轻轻地触地。")</f>
        <v>“空站”是太极拳中的一种姿势，身体的大部分重量都集中在一条腿上，另一条腿轻轻地触地。</v>
      </c>
      <c r="M63" s="13"/>
      <c r="N63" s="12"/>
      <c r="O63" s="13"/>
      <c r="P63" s="13"/>
    </row>
    <row r="64">
      <c r="A64" s="29">
        <v>63.0</v>
      </c>
      <c r="B64" s="11" t="s">
        <v>2569</v>
      </c>
      <c r="C64" s="11" t="s">
        <v>2570</v>
      </c>
      <c r="D64" s="11" t="s">
        <v>2571</v>
      </c>
      <c r="E64" s="11" t="s">
        <v>2572</v>
      </c>
      <c r="F64" s="12"/>
      <c r="G64" s="12"/>
      <c r="H64" s="25"/>
      <c r="I64" s="11" t="str">
        <f>IFERROR(__xludf.DUMMYFUNCTION("GOOGLETRANSLATE(B64, ""en"", ""zh"")"),"太极拳缓慢动作的主要目的是什么？")</f>
        <v>太极拳缓慢动作的主要目的是什么？</v>
      </c>
      <c r="J64" s="11" t="str">
        <f>IFERROR(__xludf.DUMMYFUNCTION("GOOGLETRANSLATE(C64, ""en"", ""zh"")"),"A) 增强肌肉力量，B) 促进体内能量流动，C) 展示格斗技巧，D) 提高柔韧性")</f>
        <v>A) 增强肌肉力量，B) 促进体内能量流动，C) 展示格斗技巧，D) 提高柔韧性</v>
      </c>
      <c r="K64" s="11" t="str">
        <f>IFERROR(__xludf.DUMMYFUNCTION("GOOGLETRANSLATE(D64, ""en"", ""zh"")"),"B) 促进内能流动")</f>
        <v>B) 促进内能流动</v>
      </c>
      <c r="L64" s="11" t="str">
        <f>IFERROR(__xludf.DUMMYFUNCTION("GOOGLETRANSLATE(E64, ""en"", ""zh"")"),"太极拳的缓慢动作旨在培养和平衡体内能量（“气”）。")</f>
        <v>太极拳的缓慢动作旨在培养和平衡体内能量（“气”）。</v>
      </c>
      <c r="M64" s="13"/>
      <c r="N64" s="13"/>
      <c r="O64" s="13"/>
      <c r="P64" s="12"/>
    </row>
    <row r="65">
      <c r="A65" s="29">
        <v>64.0</v>
      </c>
      <c r="B65" s="11" t="s">
        <v>2573</v>
      </c>
      <c r="C65" s="11" t="s">
        <v>2574</v>
      </c>
      <c r="D65" s="11" t="s">
        <v>2575</v>
      </c>
      <c r="E65" s="11" t="s">
        <v>2576</v>
      </c>
      <c r="F65" s="12"/>
      <c r="G65" s="12"/>
      <c r="H65" s="25"/>
      <c r="I65" s="11" t="str">
        <f>IFERROR(__xludf.DUMMYFUNCTION("GOOGLETRANSLATE(B65, ""en"", ""zh"")"),"哪种太极拳流派以其优美舒展的动作而闻名？")</f>
        <v>哪种太极拳流派以其优美舒展的动作而闻名？</v>
      </c>
      <c r="J65" s="11" t="str">
        <f>IFERROR(__xludf.DUMMYFUNCTION("GOOGLETRANSLATE(C65, ""en"", ""zh"")"),"A) 杨式，B) 吴式，C) 陈式，D) 孙式")</f>
        <v>A) 杨式，B) 吴式，C) 陈式，D) 孙式</v>
      </c>
      <c r="K65" s="11" t="str">
        <f>IFERROR(__xludf.DUMMYFUNCTION("GOOGLETRANSLATE(D65, ""en"", ""zh"")"),"A) 杨氏风格")</f>
        <v>A) 杨氏风格</v>
      </c>
      <c r="L65" s="11" t="str">
        <f>IFERROR(__xludf.DUMMYFUNCTION("GOOGLETRANSLATE(E65, ""en"", ""zh"")"),"杨氏太极拳以其优美、幅度大、舒展的动作而闻名，是太极拳中最受欢迎的形式。")</f>
        <v>杨氏太极拳以其优美、幅度大、舒展的动作而闻名，是太极拳中最受欢迎的形式。</v>
      </c>
      <c r="M65" s="13"/>
      <c r="N65" s="12"/>
      <c r="O65" s="13"/>
      <c r="P65" s="12"/>
    </row>
    <row r="66">
      <c r="A66" s="29">
        <v>65.0</v>
      </c>
      <c r="B66" s="11" t="s">
        <v>2577</v>
      </c>
      <c r="C66" s="11" t="s">
        <v>2578</v>
      </c>
      <c r="D66" s="11" t="s">
        <v>2579</v>
      </c>
      <c r="E66" s="11" t="s">
        <v>2580</v>
      </c>
      <c r="F66" s="12"/>
      <c r="G66" s="12"/>
      <c r="H66" s="25"/>
      <c r="I66" s="11" t="str">
        <f>IFERROR(__xludf.DUMMYFUNCTION("GOOGLETRANSLATE(B66, ""en"", ""zh"")"),"以下哪项最能描述太极拳中的“阴阳”原理？")</f>
        <v>以下哪项最能描述太极拳中的“阴阳”原理？</v>
      </c>
      <c r="J66" s="11" t="str">
        <f>IFERROR(__xludf.DUMMYFUNCTION("GOOGLETRANSLATE(C66, ""en"", ""zh"")"),"A) 对立统一的平衡，B) 力量的运用，C) 能量流动的概念，D) 缓慢运动的练习")</f>
        <v>A) 对立统一的平衡，B) 力量的运用，C) 能量流动的概念，D) 缓慢运动的练习</v>
      </c>
      <c r="K66" s="11" t="str">
        <f>IFERROR(__xludf.DUMMYFUNCTION("GOOGLETRANSLATE(D66, ""en"", ""zh"")"),"A) 对立统一")</f>
        <v>A) 对立统一</v>
      </c>
      <c r="L66" s="11" t="str">
        <f>IFERROR(__xludf.DUMMYFUNCTION("GOOGLETRANSLATE(E66, ""en"", ""zh"")"),"“阴阳”是太极拳的一个基本概念，代表着光明与黑暗、主动与被动等对立力量之间的平衡，而这些力量通过太极拳的动作得以协调。")</f>
        <v>“阴阳”是太极拳的一个基本概念，代表着光明与黑暗、主动与被动等对立力量之间的平衡，而这些力量通过太极拳的动作得以协调。</v>
      </c>
      <c r="M66" s="13"/>
      <c r="N66" s="13"/>
      <c r="O66" s="13"/>
      <c r="P66" s="12"/>
    </row>
    <row r="67">
      <c r="A67" s="29">
        <v>66.0</v>
      </c>
      <c r="B67" s="30" t="s">
        <v>2581</v>
      </c>
      <c r="C67" s="30" t="s">
        <v>2582</v>
      </c>
      <c r="D67" s="30" t="s">
        <v>2583</v>
      </c>
      <c r="E67" s="30" t="s">
        <v>2584</v>
      </c>
      <c r="F67" s="31"/>
      <c r="G67" s="31"/>
      <c r="H67" s="25"/>
      <c r="I67" s="11" t="str">
        <f>IFERROR(__xludf.DUMMYFUNCTION("GOOGLETRANSLATE(B67, ""en"", ""zh"")"),"在太极拳练习中，“扎根”的概念指的是下列哪一项？")</f>
        <v>在太极拳练习中，“扎根”的概念指的是下列哪一项？</v>
      </c>
      <c r="J67" s="11" t="str">
        <f>IFERROR(__xludf.DUMMYFUNCTION("GOOGLETRANSLATE(C67, ""en"", ""zh"")"),"A) 与大地建立深厚的联系，B) 快速移动，C) 运用外力，D) 头脑清晰")</f>
        <v>A) 与大地建立深厚的联系，B) 快速移动，C) 运用外力，D) 头脑清晰</v>
      </c>
      <c r="K67" s="11" t="str">
        <f>IFERROR(__xludf.DUMMYFUNCTION("GOOGLETRANSLATE(D67, ""en"", ""zh"")"),"A）与地球建立深厚的联系")</f>
        <v>A）与地球建立深厚的联系</v>
      </c>
      <c r="L67" s="11" t="str">
        <f>IFERROR(__xludf.DUMMYFUNCTION("GOOGLETRANSLATE(E67, ""en"", ""zh"")"),"太极拳中的“扎根”指的是练习者与地面保持紧密联系的能力，从而在动作中产生稳定性和控制力。")</f>
        <v>太极拳中的“扎根”指的是练习者与地面保持紧密联系的能力，从而在动作中产生稳定性和控制力。</v>
      </c>
      <c r="M67" s="33"/>
      <c r="N67" s="33"/>
      <c r="O67" s="33"/>
      <c r="P67" s="31"/>
    </row>
    <row r="68">
      <c r="A68" s="29">
        <v>67.0</v>
      </c>
      <c r="B68" s="11" t="s">
        <v>2585</v>
      </c>
      <c r="C68" s="11" t="s">
        <v>2586</v>
      </c>
      <c r="D68" s="11" t="s">
        <v>2587</v>
      </c>
      <c r="E68" s="11" t="s">
        <v>2588</v>
      </c>
      <c r="F68" s="12"/>
      <c r="G68" s="12"/>
      <c r="H68" s="25"/>
      <c r="I68" s="11" t="str">
        <f>IFERROR(__xludf.DUMMYFUNCTION("GOOGLETRANSLATE(B68, ""en"", ""zh"")"),"“气”在太极拳练习中扮演什么角色？")</f>
        <v>“气”在太极拳练习中扮演什么角色？</v>
      </c>
      <c r="J68" s="11" t="str">
        <f>IFERROR(__xludf.DUMMYFUNCTION("GOOGLETRANSLATE(C68, ""en"", ""zh"")"),"A) 它是武术技巧中使用的物理能量；B) 它是人体内部流动且可以修炼的能量；C) 它是侵略的概念；D) 它是运动过程中施加的力量")</f>
        <v>A) 它是武术技巧中使用的物理能量；B) 它是人体内部流动且可以修炼的能量；C) 它是侵略的概念；D) 它是运动过程中施加的力量</v>
      </c>
      <c r="K68" s="11" t="str">
        <f>IFERROR(__xludf.DUMMYFUNCTION("GOOGLETRANSLATE(D68, ""en"", ""zh"")"),"B）它是人体内部流动且可以修炼的能量。")</f>
        <v>B）它是人体内部流动且可以修炼的能量。</v>
      </c>
      <c r="L68" s="11" t="str">
        <f>IFERROR(__xludf.DUMMYFUNCTION("GOOGLETRANSLATE(E68, ""en"", ""zh"")"),"“气”指的是人体内的生命力或能量，太极拳练习者旨在通过运动来培养、平衡和引导这种能量。")</f>
        <v>“气”指的是人体内的生命力或能量，太极拳练习者旨在通过运动来培养、平衡和引导这种能量。</v>
      </c>
      <c r="M68" s="13"/>
      <c r="N68" s="13"/>
      <c r="O68" s="13"/>
      <c r="P68" s="12"/>
    </row>
    <row r="69">
      <c r="A69" s="29">
        <v>68.0</v>
      </c>
      <c r="B69" s="11" t="s">
        <v>2589</v>
      </c>
      <c r="C69" s="11" t="s">
        <v>2590</v>
      </c>
      <c r="D69" s="11" t="s">
        <v>2591</v>
      </c>
      <c r="E69" s="11" t="s">
        <v>2592</v>
      </c>
      <c r="F69" s="12"/>
      <c r="G69" s="12"/>
      <c r="H69" s="25"/>
      <c r="I69" s="11" t="str">
        <f>IFERROR(__xludf.DUMMYFUNCTION("GOOGLETRANSLATE(B69, ""en"", ""zh"")"),"以下哪项太极拳原则能够帮助练习者通过灵活应变来适应不同的情况？")</f>
        <v>以下哪项太极拳原则能够帮助练习者通过灵活应变来适应不同的情况？</v>
      </c>
      <c r="J69" s="11" t="str">
        <f>IFERROR(__xludf.DUMMYFUNCTION("GOOGLETRANSLATE(C69, ""en"", ""zh"")"),"A) 粘着，B) 屈服，C) 关闭，D) 扩张")</f>
        <v>A) 粘着，B) 屈服，C) 关闭，D) 扩张</v>
      </c>
      <c r="K69" s="11" t="str">
        <f>IFERROR(__xludf.DUMMYFUNCTION("GOOGLETRANSLATE(D69, ""en"", ""zh"")"),"B）屈服")</f>
        <v>B）屈服</v>
      </c>
      <c r="L69" s="11" t="str">
        <f>IFERROR(__xludf.DUMMYFUNCTION("GOOGLETRANSLATE(E69, ""en"", ""zh"")"),"太极拳中的“屈服”是指灵活适应外力，使练习者能够以平衡和控制来应对，而不是抵抗。")</f>
        <v>太极拳中的“屈服”是指灵活适应外力，使练习者能够以平衡和控制来应对，而不是抵抗。</v>
      </c>
      <c r="M69" s="13"/>
      <c r="N69" s="13"/>
      <c r="O69" s="13"/>
      <c r="P69" s="13"/>
    </row>
    <row r="70">
      <c r="A70" s="29">
        <v>69.0</v>
      </c>
      <c r="B70" s="11" t="s">
        <v>2593</v>
      </c>
      <c r="C70" s="11" t="s">
        <v>2594</v>
      </c>
      <c r="D70" s="11" t="s">
        <v>2595</v>
      </c>
      <c r="E70" s="11" t="s">
        <v>2596</v>
      </c>
      <c r="F70" s="12"/>
      <c r="G70" s="12"/>
      <c r="H70" s="25"/>
      <c r="I70" s="11" t="str">
        <f>IFERROR(__xludf.DUMMYFUNCTION("GOOGLETRANSLATE(B70, ""en"", ""zh"")"),"以下哪项益处通常与经常练习太极拳有关？")</f>
        <v>以下哪项益处通常与经常练习太极拳有关？</v>
      </c>
      <c r="J70" s="11" t="str">
        <f>IFERROR(__xludf.DUMMYFUNCTION("GOOGLETRANSLATE(C70, ""en"", ""zh"")"),"A) 心肺功能改善，B) 肌肉量增加，C) 肌肉耐力增强，D) 关节灵活性提高")</f>
        <v>A) 心肺功能改善，B) 肌肉量增加，C) 肌肉耐力增强，D) 关节灵活性提高</v>
      </c>
      <c r="K70" s="11" t="str">
        <f>IFERROR(__xludf.DUMMYFUNCTION("GOOGLETRANSLATE(D70, ""en"", ""zh"")"),"D) 关节灵活性提高")</f>
        <v>D) 关节灵活性提高</v>
      </c>
      <c r="L70" s="11" t="str">
        <f>IFERROR(__xludf.DUMMYFUNCTION("GOOGLETRANSLATE(E70, ""en"", ""zh"")"),"经常练习太极拳有助于通过控制流畅的动作来提高关节的灵活性，从而增强整体的活动能力。")</f>
        <v>经常练习太极拳有助于通过控制流畅的动作来提高关节的灵活性，从而增强整体的活动能力。</v>
      </c>
      <c r="M70" s="13"/>
      <c r="N70" s="12"/>
      <c r="O70" s="13"/>
      <c r="P70" s="13"/>
    </row>
    <row r="71">
      <c r="A71" s="29">
        <v>70.0</v>
      </c>
      <c r="B71" s="11" t="s">
        <v>2597</v>
      </c>
      <c r="C71" s="11" t="s">
        <v>2598</v>
      </c>
      <c r="D71" s="11" t="s">
        <v>2599</v>
      </c>
      <c r="E71" s="11" t="s">
        <v>2600</v>
      </c>
      <c r="F71" s="12"/>
      <c r="G71" s="12"/>
      <c r="H71" s="25"/>
      <c r="I71" s="11" t="str">
        <f>IFERROR(__xludf.DUMMYFUNCTION("GOOGLETRANSLATE(B71, ""en"", ""zh"")"),"在太极拳练习中，“太极圈”代表什么？")</f>
        <v>在太极拳练习中，“太极圈”代表什么？</v>
      </c>
      <c r="J71" s="11" t="str">
        <f>IFERROR(__xludf.DUMMYFUNCTION("GOOGLETRANSLATE(C71, ""en"", ""zh"")"),"A) 能量的流动，B) 修行者的动作，C) 宇宙的和谐，D) 对立统一的平衡")</f>
        <v>A) 能量的流动，B) 修行者的动作，C) 宇宙的和谐，D) 对立统一的平衡</v>
      </c>
      <c r="K71" s="11" t="str">
        <f>IFERROR(__xludf.DUMMYFUNCTION("GOOGLETRANSLATE(D71, ""en"", ""zh"")"),"D) 对立统一")</f>
        <v>D) 对立统一</v>
      </c>
      <c r="L71" s="11" t="str">
        <f>IFERROR(__xludf.DUMMYFUNCTION("GOOGLETRANSLATE(E71, ""en"", ""zh"")"),"太极圈代表了对立力量之间的动态平衡，这是太极拳练习的核心，也是阴阳概念的体现。")</f>
        <v>太极圈代表了对立力量之间的动态平衡，这是太极拳练习的核心，也是阴阳概念的体现。</v>
      </c>
      <c r="M71" s="13"/>
      <c r="N71" s="13"/>
      <c r="O71" s="13"/>
      <c r="P71" s="13"/>
    </row>
    <row r="72">
      <c r="A72" s="29">
        <v>71.0</v>
      </c>
      <c r="B72" s="11" t="s">
        <v>2601</v>
      </c>
      <c r="C72" s="11" t="s">
        <v>2602</v>
      </c>
      <c r="D72" s="11" t="s">
        <v>2603</v>
      </c>
      <c r="E72" s="11" t="s">
        <v>2604</v>
      </c>
      <c r="F72" s="12"/>
      <c r="G72" s="12"/>
      <c r="H72" s="25"/>
      <c r="I72" s="11" t="str">
        <f>IFERROR(__xludf.DUMMYFUNCTION("GOOGLETRANSLATE(B72, ""en"", ""zh"")"),"在太极拳中，“推手”练习的主要目标是什么？")</f>
        <v>在太极拳中，“推手”练习的主要目标是什么？</v>
      </c>
      <c r="J72" s="11" t="str">
        <f>IFERROR(__xludf.DUMMYFUNCTION("GOOGLETRANSLATE(C72, ""en"", ""zh"")"),"A) 增强体魄，B) 开发内力，C) 提高对对手动作的反应能力和敏感度，D) 提高速度")</f>
        <v>A) 增强体魄，B) 开发内力，C) 提高对对手动作的反应能力和敏感度，D) 提高速度</v>
      </c>
      <c r="K72" s="11" t="str">
        <f>IFERROR(__xludf.DUMMYFUNCTION("GOOGLETRANSLATE(D72, ""en"", ""zh"")"),"C) 提高对对手动作的反应速度和敏感度")</f>
        <v>C) 提高对对手动作的反应速度和敏感度</v>
      </c>
      <c r="L72" s="11" t="str">
        <f>IFERROR(__xludf.DUMMYFUNCTION("GOOGLETRANSLATE(E72, ""en"", ""zh"")"),"推手是太极拳中的一种双人练习，可以帮助练习者培养对力量和方向的敏感度，从而在武术应用中做出灵敏的反应。")</f>
        <v>推手是太极拳中的一种双人练习，可以帮助练习者培养对力量和方向的敏感度，从而在武术应用中做出灵敏的反应。</v>
      </c>
      <c r="M72" s="13"/>
      <c r="N72" s="12"/>
      <c r="O72" s="13"/>
      <c r="P72" s="13"/>
    </row>
    <row r="73">
      <c r="A73" s="29">
        <v>72.0</v>
      </c>
      <c r="B73" s="11" t="s">
        <v>2605</v>
      </c>
      <c r="C73" s="11" t="s">
        <v>2606</v>
      </c>
      <c r="D73" s="11" t="s">
        <v>2607</v>
      </c>
      <c r="E73" s="11" t="s">
        <v>2608</v>
      </c>
      <c r="F73" s="12"/>
      <c r="G73" s="12"/>
      <c r="H73" s="25"/>
      <c r="I73" s="11" t="str">
        <f>IFERROR(__xludf.DUMMYFUNCTION("GOOGLETRANSLATE(B73, ""en"", ""zh"")"),"太极拳的哪个姿势通常用来开始一个套路或动作？")</f>
        <v>太极拳的哪个姿势通常用来开始一个套路或动作？</v>
      </c>
      <c r="J73" s="11" t="str">
        <f>IFERROR(__xludf.DUMMYFUNCTION("GOOGLETRANSLATE(C73, ""en"", ""zh"")"),"A）驱赶，B）白鹤展翅，C）起势，D）击退猴")</f>
        <v>A）驱赶，B）白鹤展翅，C）起势，D）击退猴</v>
      </c>
      <c r="K73" s="11" t="str">
        <f>IFERROR(__xludf.DUMMYFUNCTION("GOOGLETRANSLATE(D73, ""en"", ""zh"")"),"C) 起始表格")</f>
        <v>C) 起始表格</v>
      </c>
      <c r="L73" s="11" t="str">
        <f>IFERROR(__xludf.DUMMYFUNCTION("GOOGLETRANSLATE(E73, ""en"", ""zh"")"),"起始姿势通常是太极拳的起始姿势，练习者在开始动作之前会设定自己的意图和注意力。")</f>
        <v>起始姿势通常是太极拳的起始姿势，练习者在开始动作之前会设定自己的意图和注意力。</v>
      </c>
      <c r="M73" s="13"/>
      <c r="N73" s="13"/>
      <c r="O73" s="13"/>
      <c r="P73" s="13"/>
    </row>
    <row r="74">
      <c r="A74" s="29">
        <v>73.0</v>
      </c>
      <c r="B74" s="30" t="s">
        <v>2609</v>
      </c>
      <c r="C74" s="30" t="s">
        <v>2610</v>
      </c>
      <c r="D74" s="30" t="s">
        <v>2611</v>
      </c>
      <c r="E74" s="30" t="s">
        <v>2612</v>
      </c>
      <c r="F74" s="31"/>
      <c r="G74" s="31"/>
      <c r="H74" s="25"/>
      <c r="I74" s="11" t="str">
        <f>IFERROR(__xludf.DUMMYFUNCTION("GOOGLETRANSLATE(B74, ""en"", ""zh"")"),"在太极拳中，“无为”原则指的是下列哪一项？")</f>
        <v>在太极拳中，“无为”原则指的是下列哪一项？</v>
      </c>
      <c r="J74" s="11" t="str">
        <f>IFERROR(__xludf.DUMMYFUNCTION("GOOGLETRANSLATE(C74, ""en"", ""zh"")"),"A) 用力动作，B) 不作为或轻松动作，C) 呼吸技巧，D) 姿势调整")</f>
        <v>A) 用力动作，B) 不作为或轻松动作，C) 呼吸技巧，D) 姿势调整</v>
      </c>
      <c r="K74" s="11" t="str">
        <f>IFERROR(__xludf.DUMMYFUNCTION("GOOGLETRANSLATE(D74, ""en"", ""zh"")"),"B) 不作为或毫不费力的行动")</f>
        <v>B) 不作为或毫不费力的行动</v>
      </c>
      <c r="L74" s="11" t="str">
        <f>IFERROR(__xludf.DUMMYFUNCTION("GOOGLETRANSLATE(E74, ""en"", ""zh"")"),"“无为”指的是不作为或不费力的行动原则，太极拳的动作要自然流畅，不强迫或刻意为之。")</f>
        <v>“无为”指的是不作为或不费力的行动原则，太极拳的动作要自然流畅，不强迫或刻意为之。</v>
      </c>
      <c r="M74" s="33"/>
      <c r="N74" s="33"/>
      <c r="O74" s="33"/>
      <c r="P74" s="33"/>
    </row>
    <row r="75">
      <c r="A75" s="29">
        <v>74.0</v>
      </c>
      <c r="B75" s="30" t="s">
        <v>2613</v>
      </c>
      <c r="C75" s="30" t="s">
        <v>2614</v>
      </c>
      <c r="D75" s="30" t="s">
        <v>2615</v>
      </c>
      <c r="E75" s="30" t="s">
        <v>2616</v>
      </c>
      <c r="F75" s="31"/>
      <c r="G75" s="31"/>
      <c r="H75" s="25"/>
      <c r="I75" s="11" t="str">
        <f>IFERROR(__xludf.DUMMYFUNCTION("GOOGLETRANSLATE(B75, ""en"", ""zh"")"),"下列哪个动作体现了太极拳中“丹田”作为能量中心的概念？")</f>
        <v>下列哪个动作体现了太极拳中“丹田”作为能量中心的概念？</v>
      </c>
      <c r="J75" s="11" t="str">
        <f>IFERROR(__xludf.DUMMYFUNCTION("GOOGLETRANSLATE(C75, ""en"", ""zh"")"),"A）轻拂膝盖，B）抓住鸟尾，C）拨开野马鬃毛，D）挥动双手如云")</f>
        <v>A）轻拂膝盖，B）抓住鸟尾，C）拨开野马鬃毛，D）挥动双手如云</v>
      </c>
      <c r="K75" s="11" t="str">
        <f>IFERROR(__xludf.DUMMYFUNCTION("GOOGLETRANSLATE(D75, ""en"", ""zh"")"),"B）抓住鸟的尾巴")</f>
        <v>B）抓住鸟的尾巴</v>
      </c>
      <c r="L75" s="11" t="str">
        <f>IFERROR(__xludf.DUMMYFUNCTION("GOOGLETRANSLATE(E75, ""en"", ""zh"")"),"抓鸟尾式需要旋转腰部，并定位“丹田”，丹田在太极拳练习中被认为是人体的能量中心。")</f>
        <v>抓鸟尾式需要旋转腰部，并定位“丹田”，丹田在太极拳练习中被认为是人体的能量中心。</v>
      </c>
      <c r="M75" s="33"/>
      <c r="N75" s="33"/>
      <c r="O75" s="33"/>
      <c r="P75" s="33"/>
    </row>
    <row r="76">
      <c r="A76" s="29">
        <v>75.0</v>
      </c>
      <c r="B76" s="11" t="s">
        <v>2617</v>
      </c>
      <c r="C76" s="11" t="s">
        <v>2618</v>
      </c>
      <c r="D76" s="11" t="s">
        <v>2619</v>
      </c>
      <c r="E76" s="11" t="s">
        <v>2620</v>
      </c>
      <c r="F76" s="12"/>
      <c r="G76" s="12"/>
      <c r="H76" s="25"/>
      <c r="I76" s="11" t="str">
        <f>IFERROR(__xludf.DUMMYFUNCTION("GOOGLETRANSLATE(B76, ""en"", ""zh"")"),"就武术应用而言，太极拳强调以下哪一点？")</f>
        <v>就武术应用而言，太极拳强调以下哪一点？</v>
      </c>
      <c r="J76" s="11" t="str">
        <f>IFERROR(__xludf.DUMMYFUNCTION("GOOGLETRANSLATE(C76, ""en"", ""zh"")"),"A) 速度，B) 力量，C) 灵敏度，D) 敏捷性")</f>
        <v>A) 速度，B) 力量，C) 灵敏度，D) 敏捷性</v>
      </c>
      <c r="K76" s="11" t="str">
        <f>IFERROR(__xludf.DUMMYFUNCTION("GOOGLETRANSLATE(D76, ""en"", ""zh"")"),"C）灵敏度")</f>
        <v>C）灵敏度</v>
      </c>
      <c r="L76" s="11" t="str">
        <f>IFERROR(__xludf.DUMMYFUNCTION("GOOGLETRANSLATE(E76, ""en"", ""zh"")"),"太极拳强调武术中的感知力，让练习者能够感受并回应对手的动作和能量，而不是仅仅依靠速度或力量。")</f>
        <v>太极拳强调武术中的感知力，让练习者能够感受并回应对手的动作和能量，而不是仅仅依靠速度或力量。</v>
      </c>
      <c r="M76" s="13"/>
      <c r="N76" s="12"/>
      <c r="O76" s="13"/>
      <c r="P76" s="12"/>
    </row>
    <row r="77">
      <c r="A77" s="29">
        <v>76.0</v>
      </c>
      <c r="B77" s="11" t="s">
        <v>2621</v>
      </c>
      <c r="C77" s="11" t="s">
        <v>2622</v>
      </c>
      <c r="D77" s="11" t="s">
        <v>2623</v>
      </c>
      <c r="E77" s="11" t="s">
        <v>2624</v>
      </c>
      <c r="F77" s="12"/>
      <c r="G77" s="12"/>
      <c r="H77" s="25"/>
      <c r="I77" s="11" t="str">
        <f>IFERROR(__xludf.DUMMYFUNCTION("GOOGLETRANSLATE(B77, ""en"", ""zh"")"),"在太极拳的武术应用中，“黐手”起什么作用？")</f>
        <v>在太极拳的武术应用中，“黐手”起什么作用？</v>
      </c>
      <c r="J77" s="11" t="str">
        <f>IFERROR(__xludf.DUMMYFUNCTION("GOOGLETRANSLATE(C77, ""en"", ""zh"")"),"A) 确立优势，B) 与对手保持接触并感知其移动，C) 拉开距离，D) 迷惑对手")</f>
        <v>A) 确立优势，B) 与对手保持接触并感知其移动，C) 拉开距离，D) 迷惑对手</v>
      </c>
      <c r="K77" s="11" t="str">
        <f>IFERROR(__xludf.DUMMYFUNCTION("GOOGLETRANSLATE(D77, ""en"", ""zh"")"),"B) 与对手保持联系并感知其移动")</f>
        <v>B) 与对手保持联系并感知其移动</v>
      </c>
      <c r="L77" s="11" t="str">
        <f>IFERROR(__xludf.DUMMYFUNCTION("GOOGLETRANSLATE(E77, ""en"", ""zh"")"),"“粘着”可以让练习者与对手保持接触，感知对手的力量和方向，并做出相应的反应。")</f>
        <v>“粘着”可以让练习者与对手保持接触，感知对手的力量和方向，并做出相应的反应。</v>
      </c>
      <c r="M77" s="13"/>
      <c r="N77" s="13"/>
      <c r="O77" s="13"/>
      <c r="P77" s="13"/>
    </row>
    <row r="78">
      <c r="A78" s="29">
        <v>77.0</v>
      </c>
      <c r="B78" s="11" t="s">
        <v>2625</v>
      </c>
      <c r="C78" s="11" t="s">
        <v>2626</v>
      </c>
      <c r="D78" s="11" t="s">
        <v>2627</v>
      </c>
      <c r="E78" s="11" t="s">
        <v>2628</v>
      </c>
      <c r="F78" s="12"/>
      <c r="G78" s="12"/>
      <c r="H78" s="25"/>
      <c r="I78" s="11" t="str">
        <f>IFERROR(__xludf.DUMMYFUNCTION("GOOGLETRANSLATE(B78, ""en"", ""zh"")"),"太极拳中“推手”练习的目的是什么？")</f>
        <v>太极拳中“推手”练习的目的是什么？</v>
      </c>
      <c r="J78" s="11" t="str">
        <f>IFERROR(__xludf.DUMMYFUNCTION("GOOGLETRANSLATE(C78, ""en"", ""zh"")"),"A) 练习进攻技巧，B) 练习化解和转移力量，C) 增强体能，D) 学习呼吸技巧")</f>
        <v>A) 练习进攻技巧，B) 练习化解和转移力量，C) 增强体能，D) 学习呼吸技巧</v>
      </c>
      <c r="K78" s="11" t="str">
        <f>IFERROR(__xludf.DUMMYFUNCTION("GOOGLETRANSLATE(D78, ""en"", ""zh"")"),"B）练习屈服和转移力量")</f>
        <v>B）练习屈服和转移力量</v>
      </c>
      <c r="L78" s="11" t="str">
        <f>IFERROR(__xludf.DUMMYFUNCTION("GOOGLETRANSLATE(E78, ""en"", ""zh"")"),"推手是一种双人练习，旨在培养对对手动作的敏感度，并教会练习者如何化解和转移力量。")</f>
        <v>推手是一种双人练习，旨在培养对对手动作的敏感度，并教会练习者如何化解和转移力量。</v>
      </c>
      <c r="M78" s="13"/>
      <c r="N78" s="13"/>
      <c r="O78" s="13"/>
      <c r="P78" s="13"/>
    </row>
    <row r="79">
      <c r="A79" s="29">
        <v>78.0</v>
      </c>
      <c r="B79" s="11" t="s">
        <v>2629</v>
      </c>
      <c r="C79" s="11" t="s">
        <v>2630</v>
      </c>
      <c r="D79" s="11" t="s">
        <v>2631</v>
      </c>
      <c r="E79" s="11" t="s">
        <v>2632</v>
      </c>
      <c r="F79" s="12"/>
      <c r="G79" s="12"/>
      <c r="H79" s="25"/>
      <c r="I79" s="11" t="str">
        <f>IFERROR(__xludf.DUMMYFUNCTION("GOOGLETRANSLATE(B79, ""en"", ""zh"")"),"在太极拳中，“发劲”的概念指的是下列哪一项？")</f>
        <v>在太极拳中，“发劲”的概念指的是下列哪一项？</v>
      </c>
      <c r="J79" s="11" t="str">
        <f>IFERROR(__xludf.DUMMYFUNCTION("GOOGLETRANSLATE(C79, ""en"", ""zh"")"),"A) 以快速爆发的方式释放内能；B) 轻柔的推力；C) 缓慢而可控的动作；D) 使用外力")</f>
        <v>A) 以快速爆发的方式释放内能；B) 轻柔的推力；C) 缓慢而可控的动作；D) 使用外力</v>
      </c>
      <c r="K79" s="11" t="str">
        <f>IFERROR(__xludf.DUMMYFUNCTION("GOOGLETRANSLATE(D79, ""en"", ""zh"")"),"A) 以快速、爆发性运动的方式释放内能")</f>
        <v>A) 以快速、爆发性运动的方式释放内能</v>
      </c>
      <c r="L79" s="11" t="str">
        <f>IFERROR(__xludf.DUMMYFUNCTION("GOOGLETRANSLATE(E79, ""en"", ""zh"")"),"发劲是太极拳中的一种技巧，通过动作将体内的能量爆发性地释放出来，常用于武术应用中。")</f>
        <v>发劲是太极拳中的一种技巧，通过动作将体内的能量爆发性地释放出来，常用于武术应用中。</v>
      </c>
      <c r="M79" s="13"/>
      <c r="N79" s="13"/>
      <c r="O79" s="13"/>
      <c r="P79" s="12"/>
    </row>
    <row r="80">
      <c r="A80" s="29">
        <v>79.0</v>
      </c>
      <c r="B80" s="11" t="s">
        <v>2633</v>
      </c>
      <c r="C80" s="11" t="s">
        <v>2634</v>
      </c>
      <c r="D80" s="11" t="s">
        <v>2635</v>
      </c>
      <c r="E80" s="11" t="s">
        <v>2636</v>
      </c>
      <c r="F80" s="12"/>
      <c r="G80" s="12"/>
      <c r="H80" s="25"/>
      <c r="I80" s="11" t="str">
        <f>IFERROR(__xludf.DUMMYFUNCTION("GOOGLETRANSLATE(B80, ""en"", ""zh"")"),"太极拳作为一种武术，其主要目标是什么？")</f>
        <v>太极拳作为一种武术，其主要目标是什么？</v>
      </c>
      <c r="J80" s="11" t="str">
        <f>IFERROR(__xludf.DUMMYFUNCTION("GOOGLETRANSLATE(C80, ""en"", ""zh"")"),"A) 增强蛮力，B) 掌握快速、高效的技巧，C) 化解并转移对手的力量，D) 拉开与对手的距离")</f>
        <v>A) 增强蛮力，B) 掌握快速、高效的技巧，C) 化解并转移对手的力量，D) 拉开与对手的距离</v>
      </c>
      <c r="K80" s="11" t="str">
        <f>IFERROR(__xludf.DUMMYFUNCTION("GOOGLETRANSLATE(D80, ""en"", ""zh"")"),"C) 抵消并转移对手的力量")</f>
        <v>C) 抵消并转移对手的力量</v>
      </c>
      <c r="L80" s="11" t="str">
        <f>IFERROR(__xludf.DUMMYFUNCTION("GOOGLETRANSLATE(E80, ""en"", ""zh"")"),"太极拳作为一种武术，其重点在于运用感觉和控制来中和并引导对手的能量，而不是依靠蛮力。")</f>
        <v>太极拳作为一种武术，其重点在于运用感觉和控制来中和并引导对手的能量，而不是依靠蛮力。</v>
      </c>
      <c r="M80" s="13"/>
      <c r="N80" s="13"/>
      <c r="O80" s="13"/>
      <c r="P80" s="13"/>
    </row>
    <row r="81">
      <c r="A81" s="29">
        <v>80.0</v>
      </c>
      <c r="B81" s="11" t="s">
        <v>2637</v>
      </c>
      <c r="C81" s="11" t="s">
        <v>2638</v>
      </c>
      <c r="D81" s="11" t="s">
        <v>2639</v>
      </c>
      <c r="E81" s="11" t="s">
        <v>2640</v>
      </c>
      <c r="F81" s="12"/>
      <c r="G81" s="12"/>
      <c r="H81" s="25"/>
      <c r="I81" s="11" t="str">
        <f>IFERROR(__xludf.DUMMYFUNCTION("GOOGLETRANSLATE(B81, ""en"", ""zh"")"),"太极拳中“推手”练习的目的是什么？")</f>
        <v>太极拳中“推手”练习的目的是什么？</v>
      </c>
      <c r="J81" s="11" t="str">
        <f>IFERROR(__xludf.DUMMYFUNCTION("GOOGLETRANSLATE(C81, ""en"", ""zh"")"),"A) 学习武术打击技巧 B) 培养对对手动作的敏感度 C) 练习快速攻击 D) 练习呼吸技巧")</f>
        <v>A) 学习武术打击技巧 B) 培养对对手动作的敏感度 C) 练习快速攻击 D) 练习呼吸技巧</v>
      </c>
      <c r="K81" s="11" t="str">
        <f>IFERROR(__xludf.DUMMYFUNCTION("GOOGLETRANSLATE(D81, ""en"", ""zh"")"),"B) 培养对对手动作的敏感度")</f>
        <v>B) 培养对对手动作的敏感度</v>
      </c>
      <c r="L81" s="11" t="str">
        <f>IFERROR(__xludf.DUMMYFUNCTION("GOOGLETRANSLATE(E81, ""en"", ""zh"")"),"“推手”是一种旨在培养敏感度以及在武术环境中感受和应对对手力量的能力的练习。")</f>
        <v>“推手”是一种旨在培养敏感度以及在武术环境中感受和应对对手力量的能力的练习。</v>
      </c>
      <c r="M81" s="13"/>
      <c r="N81" s="13"/>
      <c r="O81" s="13"/>
      <c r="P81" s="12"/>
    </row>
    <row r="82">
      <c r="A82" s="29">
        <v>81.0</v>
      </c>
      <c r="B82" s="11" t="s">
        <v>2641</v>
      </c>
      <c r="C82" s="11" t="s">
        <v>2642</v>
      </c>
      <c r="D82" s="11" t="s">
        <v>2643</v>
      </c>
      <c r="E82" s="11" t="s">
        <v>2644</v>
      </c>
      <c r="F82" s="12"/>
      <c r="G82" s="12"/>
      <c r="H82" s="25"/>
      <c r="I82" s="11" t="str">
        <f>IFERROR(__xludf.DUMMYFUNCTION("GOOGLETRANSLATE(B82, ""en"", ""zh"")"),"太极拳中的“发劲”指的是什么？")</f>
        <v>太极拳中的“发劲”指的是什么？</v>
      </c>
      <c r="J82" s="11" t="str">
        <f>IFERROR(__xludf.DUMMYFUNCTION("GOOGLETRANSLATE(C82, ""en"", ""zh"")"),"A) 缓慢、受控的动作 B) 产生爆发性能量用于自卫 C) 专注的呼吸 D) 加快动作速度")</f>
        <v>A) 缓慢、受控的动作 B) 产生爆发性能量用于自卫 C) 专注的呼吸 D) 加快动作速度</v>
      </c>
      <c r="K82" s="11" t="str">
        <f>IFERROR(__xludf.DUMMYFUNCTION("GOOGLETRANSLATE(D82, ""en"", ""zh"")"),"B) 产生爆炸能量用于自卫")</f>
        <v>B) 产生爆炸能量用于自卫</v>
      </c>
      <c r="L82" s="11" t="str">
        <f>IFERROR(__xludf.DUMMYFUNCTION("GOOGLETRANSLATE(E82, ""en"", ""zh"")"),"发劲是指以突然、爆发性的动作释放体内能量，常用于太极拳的自卫技巧中。")</f>
        <v>发劲是指以突然、爆发性的动作释放体内能量，常用于太极拳的自卫技巧中。</v>
      </c>
      <c r="M82" s="13"/>
      <c r="N82" s="13"/>
      <c r="O82" s="13"/>
      <c r="P82" s="13"/>
    </row>
    <row r="83">
      <c r="A83" s="29">
        <v>82.0</v>
      </c>
      <c r="B83" s="11" t="s">
        <v>2645</v>
      </c>
      <c r="C83" s="11" t="s">
        <v>2646</v>
      </c>
      <c r="D83" s="11" t="s">
        <v>2647</v>
      </c>
      <c r="E83" s="11" t="s">
        <v>2648</v>
      </c>
      <c r="F83" s="12"/>
      <c r="G83" s="12"/>
      <c r="H83" s="25"/>
      <c r="I83" s="11" t="str">
        <f>IFERROR(__xludf.DUMMYFUNCTION("GOOGLETRANSLATE(B83, ""en"", ""zh"")"),"在太极拳中，“劲”的概念非常重要。“劲”指的是什么？")</f>
        <v>在太极拳中，“劲”的概念非常重要。“劲”指的是什么？</v>
      </c>
      <c r="J83" s="11" t="str">
        <f>IFERROR(__xludf.DUMMYFUNCTION("GOOGLETRANSLATE(C83, ""en"", ""zh"")"),"A) 内能 B) 扩张力 C) 外力 D) 运动的柔和性")</f>
        <v>A) 内能 B) 扩张力 C) 外力 D) 运动的柔和性</v>
      </c>
      <c r="K83" s="11" t="str">
        <f>IFERROR(__xludf.DUMMYFUNCTION("GOOGLETRANSLATE(D83, ""en"", ""zh"")"),"B) 膨胀力")</f>
        <v>B) 膨胀力</v>
      </c>
      <c r="L83" s="11" t="str">
        <f>IFERROR(__xludf.DUMMYFUNCTION("GOOGLETRANSLATE(E83, ""en"", ""zh"")"),"“劲”指的是太极拳中产生的内部扩张力，它有助于打击和引导能量。")</f>
        <v>“劲”指的是太极拳中产生的内部扩张力，它有助于打击和引导能量。</v>
      </c>
      <c r="M83" s="13"/>
      <c r="N83" s="37"/>
      <c r="O83" s="13"/>
      <c r="P83" s="13"/>
    </row>
    <row r="84">
      <c r="A84" s="29">
        <v>83.0</v>
      </c>
      <c r="B84" s="11" t="s">
        <v>2649</v>
      </c>
      <c r="C84" s="11" t="s">
        <v>2650</v>
      </c>
      <c r="D84" s="11" t="s">
        <v>2651</v>
      </c>
      <c r="E84" s="11" t="s">
        <v>2652</v>
      </c>
      <c r="F84" s="12"/>
      <c r="G84" s="12"/>
      <c r="H84" s="25"/>
      <c r="I84" s="11" t="str">
        <f>IFERROR(__xludf.DUMMYFUNCTION("GOOGLETRANSLATE(B84, ""en"", ""zh"")"),"哪种太极拳流派以其快速的动作和实战应用而闻名？")</f>
        <v>哪种太极拳流派以其快速的动作和实战应用而闻名？</v>
      </c>
      <c r="J84" s="11" t="str">
        <f>IFERROR(__xludf.DUMMYFUNCTION("GOOGLETRANSLATE(C84, ""en"", ""zh"")"),"A) 杨式，B) 陈式，C) 吴式，D) 孙式")</f>
        <v>A) 杨式，B) 陈式，C) 吴式，D) 孙式</v>
      </c>
      <c r="K84" s="11" t="str">
        <f>IFERROR(__xludf.DUMMYFUNCTION("GOOGLETRANSLATE(D84, ""en"", ""zh"")"),"B) 陈氏风格")</f>
        <v>B) 陈氏风格</v>
      </c>
      <c r="L84" s="11" t="str">
        <f>IFERROR(__xludf.DUMMYFUNCTION("GOOGLETRANSLATE(E84, ""en"", ""zh"")"),"陈式拳法以其缓慢的动作和快速爆发的力量相结合的武术应用而闻名。")</f>
        <v>陈式拳法以其缓慢的动作和快速爆发的力量相结合的武术应用而闻名。</v>
      </c>
      <c r="M84" s="13"/>
      <c r="N84" s="12"/>
      <c r="O84" s="13"/>
      <c r="P84" s="13"/>
    </row>
    <row r="85">
      <c r="A85" s="29">
        <v>84.0</v>
      </c>
      <c r="B85" s="11" t="s">
        <v>2653</v>
      </c>
      <c r="C85" s="11" t="s">
        <v>2654</v>
      </c>
      <c r="D85" s="11" t="s">
        <v>2655</v>
      </c>
      <c r="E85" s="11" t="s">
        <v>2656</v>
      </c>
      <c r="F85" s="12"/>
      <c r="G85" s="12"/>
      <c r="H85" s="25"/>
      <c r="I85" s="11" t="str">
        <f>IFERROR(__xludf.DUMMYFUNCTION("GOOGLETRANSLATE(B85, ""en"", ""zh"")"),"在太极拳中，练习缓慢、可控的动作的主要目的是什么？")</f>
        <v>在太极拳中，练习缓慢、可控的动作的主要目的是什么？</v>
      </c>
      <c r="J85" s="11" t="str">
        <f>IFERROR(__xludf.DUMMYFUNCTION("GOOGLETRANSLATE(C85, ""en"", ""zh"")"),"A) 增强肌肉，B) 提高柔韧性，C) 培养内在平衡和专注力，D) 提高心率")</f>
        <v>A) 增强肌肉，B) 提高柔韧性，C) 培养内在平衡和专注力，D) 提高心率</v>
      </c>
      <c r="K85" s="11" t="str">
        <f>IFERROR(__xludf.DUMMYFUNCTION("GOOGLETRANSLATE(D85, ""en"", ""zh"")"),"C) 培养内心的平衡和专注力")</f>
        <v>C) 培养内心的平衡和专注力</v>
      </c>
      <c r="L85" s="11" t="str">
        <f>IFERROR(__xludf.DUMMYFUNCTION("GOOGLETRANSLATE(E85, ""en"", ""zh"")"),"太极拳的缓慢动作旨在协调身心。")</f>
        <v>太极拳的缓慢动作旨在协调身心。</v>
      </c>
      <c r="M85" s="13"/>
      <c r="N85" s="13"/>
      <c r="O85" s="13"/>
      <c r="P85" s="13"/>
    </row>
    <row r="86">
      <c r="A86" s="21">
        <v>85.0</v>
      </c>
      <c r="B86" s="17" t="s">
        <v>2657</v>
      </c>
      <c r="C86" s="17" t="s">
        <v>2658</v>
      </c>
      <c r="D86" s="17" t="s">
        <v>2659</v>
      </c>
      <c r="I86" s="11" t="str">
        <f>IFERROR(__xludf.DUMMYFUNCTION("GOOGLETRANSLATE(B86, ""en"", ""zh"")"),"太极拳的主要目标是什么？")</f>
        <v>太极拳的主要目标是什么？</v>
      </c>
      <c r="J86" s="11" t="str">
        <f>IFERROR(__xludf.DUMMYFUNCTION("GOOGLETRANSLATE(C86, ""en"", ""zh"")"),"A) 冥想与平衡 B) 高速攻击 C) 仅力量 D) 竞技得分")</f>
        <v>A) 冥想与平衡 B) 高速攻击 C) 仅力量 D) 竞技得分</v>
      </c>
      <c r="K86" s="11" t="str">
        <f>IFERROR(__xludf.DUMMYFUNCTION("GOOGLETRANSLATE(D86, ""en"", ""zh"")"),"A) 冥想与平衡")</f>
        <v>A) 冥想与平衡</v>
      </c>
      <c r="L86" s="11" t="str">
        <f>IFERROR(__xludf.DUMMYFUNCTION("GOOGLETRANSLATE(E86, ""en"", ""zh"")"),"#VALUE!")</f>
        <v>#VALUE!</v>
      </c>
    </row>
    <row r="87">
      <c r="A87" s="21">
        <v>86.0</v>
      </c>
      <c r="B87" s="17" t="s">
        <v>2660</v>
      </c>
      <c r="C87" s="17" t="s">
        <v>2661</v>
      </c>
      <c r="D87" s="17" t="s">
        <v>2662</v>
      </c>
      <c r="I87" s="11" t="str">
        <f>IFERROR(__xludf.DUMMYFUNCTION("GOOGLETRANSLATE(B87, ""en"", ""zh"")"),"太极拳动作中，身体的哪个部位产生力量？")</f>
        <v>太极拳动作中，身体的哪个部位产生力量？</v>
      </c>
      <c r="J87" s="11" t="str">
        <f>IFERROR(__xludf.DUMMYFUNCTION("GOOGLETRANSLATE(C87, ""en"", ""zh"")"),"A) 腿部和核心肌群 B) 仅手臂 C) 仅手部 D) 仅脚部")</f>
        <v>A) 腿部和核心肌群 B) 仅手臂 C) 仅手部 D) 仅脚部</v>
      </c>
      <c r="K87" s="11" t="str">
        <f>IFERROR(__xludf.DUMMYFUNCTION("GOOGLETRANSLATE(D87, ""en"", ""zh"")"),"A) 腿部和核心肌群")</f>
        <v>A) 腿部和核心肌群</v>
      </c>
      <c r="L87" s="11" t="str">
        <f>IFERROR(__xludf.DUMMYFUNCTION("GOOGLETRANSLATE(E87, ""en"", ""zh"")"),"#VALUE!")</f>
        <v>#VALUE!</v>
      </c>
    </row>
    <row r="88">
      <c r="A88" s="21">
        <v>87.0</v>
      </c>
      <c r="B88" s="17" t="s">
        <v>2663</v>
      </c>
      <c r="C88" s="17" t="s">
        <v>2664</v>
      </c>
      <c r="D88" s="17" t="s">
        <v>2665</v>
      </c>
      <c r="I88" s="11" t="str">
        <f>IFERROR(__xludf.DUMMYFUNCTION("GOOGLETRANSLATE(B88, ""en"", ""zh"")"),"太极拳练习中应该如何呼吸？")</f>
        <v>太极拳练习中应该如何呼吸？</v>
      </c>
      <c r="J88" s="11" t="str">
        <f>IFERROR(__xludf.DUMMYFUNCTION("GOOGLETRANSLATE(C88, ""en"", ""zh"")"),"A) 深呼吸，动作协调 B) 随机呼吸 C) 屏住呼吸 D) 浅呼吸")</f>
        <v>A) 深呼吸，动作协调 B) 随机呼吸 C) 屏住呼吸 D) 浅呼吸</v>
      </c>
      <c r="K88" s="11" t="str">
        <f>IFERROR(__xludf.DUMMYFUNCTION("GOOGLETRANSLATE(D88, ""en"", ""zh"")"),"A) 深沉且与动作协调")</f>
        <v>A) 深沉且与动作协调</v>
      </c>
      <c r="L88" s="11" t="str">
        <f>IFERROR(__xludf.DUMMYFUNCTION("GOOGLETRANSLATE(E88, ""en"", ""zh"")"),"#VALUE!")</f>
        <v>#VALUE!</v>
      </c>
    </row>
    <row r="89">
      <c r="A89" s="21">
        <v>88.0</v>
      </c>
      <c r="B89" s="17" t="s">
        <v>2666</v>
      </c>
      <c r="C89" s="17" t="s">
        <v>2667</v>
      </c>
      <c r="D89" s="17" t="s">
        <v>2668</v>
      </c>
      <c r="I89" s="11" t="str">
        <f>IFERROR(__xludf.DUMMYFUNCTION("GOOGLETRANSLATE(B89, ""en"", ""zh"")"),"太极拳中的“气”是什么？")</f>
        <v>太极拳中的“气”是什么？</v>
      </c>
      <c r="J89" s="11" t="str">
        <f>IFERROR(__xludf.DUMMYFUNCTION("GOOGLETRANSLATE(C89, ""en"", ""zh"")"),"A) 生命能量 B) 速度 C) 力量 D) 对手策略")</f>
        <v>A) 生命能量 B) 速度 C) 力量 D) 对手策略</v>
      </c>
      <c r="K89" s="11" t="str">
        <f>IFERROR(__xludf.DUMMYFUNCTION("GOOGLETRANSLATE(D89, ""en"", ""zh"")"),"A) 生命能量")</f>
        <v>A) 生命能量</v>
      </c>
      <c r="L89" s="11" t="str">
        <f>IFERROR(__xludf.DUMMYFUNCTION("GOOGLETRANSLATE(E89, ""en"", ""zh"")"),"#VALUE!")</f>
        <v>#VALUE!</v>
      </c>
    </row>
    <row r="90">
      <c r="A90" s="21">
        <v>89.0</v>
      </c>
      <c r="B90" s="17" t="s">
        <v>2669</v>
      </c>
      <c r="C90" s="17" t="s">
        <v>2670</v>
      </c>
      <c r="D90" s="17" t="s">
        <v>2671</v>
      </c>
      <c r="I90" s="11" t="str">
        <f>IFERROR(__xludf.DUMMYFUNCTION("GOOGLETRANSLATE(B90, ""en"", ""zh"")"),"太极拳中常用的站姿是什么？")</f>
        <v>太极拳中常用的站姿是什么？</v>
      </c>
      <c r="J90" s="11" t="str">
        <f>IFERROR(__xludf.DUMMYFUNCTION("GOOGLETRANSLATE(C90, ""en"", ""zh"")"),"A) 弓步 B) 马步 C) 鹤步 D) 虎步")</f>
        <v>A) 弓步 B) 马步 C) 鹤步 D) 虎步</v>
      </c>
      <c r="K90" s="11" t="str">
        <f>IFERROR(__xludf.DUMMYFUNCTION("GOOGLETRANSLATE(D90, ""en"", ""zh"")"),"A) 弓步姿势")</f>
        <v>A) 弓步姿势</v>
      </c>
      <c r="L90" s="11" t="str">
        <f>IFERROR(__xludf.DUMMYFUNCTION("GOOGLETRANSLATE(E90, ""en"", ""zh"")"),"#VALUE!")</f>
        <v>#VALUE!</v>
      </c>
    </row>
    <row r="91">
      <c r="A91" s="21">
        <v>90.0</v>
      </c>
      <c r="B91" s="17" t="s">
        <v>2672</v>
      </c>
      <c r="C91" s="17" t="s">
        <v>2673</v>
      </c>
      <c r="D91" s="17" t="s">
        <v>2674</v>
      </c>
      <c r="I91" s="11" t="str">
        <f>IFERROR(__xludf.DUMMYFUNCTION("GOOGLETRANSLATE(B91, ""en"", ""zh"")"),"太极拳的套路通常是如何练习的？")</f>
        <v>太极拳的套路通常是如何练习的？</v>
      </c>
      <c r="J91" s="11" t="str">
        <f>IFERROR(__xludf.DUMMYFUNCTION("GOOGLETRANSLATE(C91, ""en"", ""zh"")"),"A) 缓慢而平稳地 B) 快速而猛烈地 C) 随机地 D) 仅在群体中")</f>
        <v>A) 缓慢而平稳地 B) 快速而猛烈地 C) 随机地 D) 仅在群体中</v>
      </c>
      <c r="K91" s="11" t="str">
        <f>IFERROR(__xludf.DUMMYFUNCTION("GOOGLETRANSLATE(D91, ""en"", ""zh"")"),"A) 缓慢而平稳地")</f>
        <v>A) 缓慢而平稳地</v>
      </c>
      <c r="L91" s="11" t="str">
        <f>IFERROR(__xludf.DUMMYFUNCTION("GOOGLETRANSLATE(E91, ""en"", ""zh"")"),"#VALUE!")</f>
        <v>#VALUE!</v>
      </c>
    </row>
    <row r="92">
      <c r="A92" s="21">
        <v>91.0</v>
      </c>
      <c r="B92" s="17" t="s">
        <v>2675</v>
      </c>
      <c r="C92" s="17" t="s">
        <v>2676</v>
      </c>
      <c r="D92" s="17" t="s">
        <v>1968</v>
      </c>
      <c r="I92" s="11" t="str">
        <f>IFERROR(__xludf.DUMMYFUNCTION("GOOGLETRANSLATE(B92, ""en"", ""zh"")"),"哪种技法被认为是太极拳的高级技巧？")</f>
        <v>哪种技法被认为是太极拳的高级技巧？</v>
      </c>
      <c r="J92" s="11" t="str">
        <f>IFERROR(__xludf.DUMMYFUNCTION("GOOGLETRANSLATE(C92, ""en"", ""zh"")"),"A) 推手 B) 基本步 C) 慢走 D) 摆臂")</f>
        <v>A) 推手 B) 基本步 C) 慢走 D) 摆臂</v>
      </c>
      <c r="K92" s="11" t="str">
        <f>IFERROR(__xludf.DUMMYFUNCTION("GOOGLETRANSLATE(D92, ""en"", ""zh"")"),"A) 推手")</f>
        <v>A) 推手</v>
      </c>
      <c r="L92" s="11" t="str">
        <f>IFERROR(__xludf.DUMMYFUNCTION("GOOGLETRANSLATE(E92, ""en"", ""zh"")"),"#VALUE!")</f>
        <v>#VALUE!</v>
      </c>
    </row>
    <row r="93">
      <c r="A93" s="21">
        <v>92.0</v>
      </c>
      <c r="B93" s="17" t="s">
        <v>2677</v>
      </c>
      <c r="C93" s="17" t="s">
        <v>2678</v>
      </c>
      <c r="D93" s="17" t="s">
        <v>2679</v>
      </c>
      <c r="I93" s="11" t="str">
        <f>IFERROR(__xludf.DUMMYFUNCTION("GOOGLETRANSLATE(B93, ""en"", ""zh"")"),"太极比赛如何计分？")</f>
        <v>太极比赛如何计分？</v>
      </c>
      <c r="J93" s="11" t="str">
        <f>IFERROR(__xludf.DUMMYFUNCTION("GOOGLETRANSLATE(C93, ""en"", ""zh"")"),"A) 控制力和姿势评分 B) 仅限击倒 C) 仅限速度 D) 观众投票")</f>
        <v>A) 控制力和姿势评分 B) 仅限击倒 C) 仅限速度 D) 观众投票</v>
      </c>
      <c r="K93" s="11" t="str">
        <f>IFERROR(__xludf.DUMMYFUNCTION("GOOGLETRANSLATE(D93, ""en"", ""zh"")"),"A) 控制和形式的要点")</f>
        <v>A) 控制和形式的要点</v>
      </c>
      <c r="L93" s="11" t="str">
        <f>IFERROR(__xludf.DUMMYFUNCTION("GOOGLETRANSLATE(E93, ""en"", ""zh"")"),"#VALUE!")</f>
        <v>#VALUE!</v>
      </c>
    </row>
    <row r="94">
      <c r="A94" s="21">
        <v>93.0</v>
      </c>
      <c r="B94" s="17" t="s">
        <v>2680</v>
      </c>
      <c r="C94" s="17" t="s">
        <v>2681</v>
      </c>
      <c r="D94" s="17" t="s">
        <v>2682</v>
      </c>
      <c r="I94" s="11" t="str">
        <f>IFERROR(__xludf.DUMMYFUNCTION("GOOGLETRANSLATE(B94, ""en"", ""zh"")"),"哪种动作强调稳定性？")</f>
        <v>哪种动作强调稳定性？</v>
      </c>
      <c r="J94" s="11" t="str">
        <f>IFERROR(__xludf.DUMMYFUNCTION("GOOGLETRANSLATE(C94, ""en"", ""zh"")"),"A) 扎根 B) 跳跃 C) 踢腿 D) 出拳")</f>
        <v>A) 扎根 B) 跳跃 C) 踢腿 D) 出拳</v>
      </c>
      <c r="K94" s="11" t="str">
        <f>IFERROR(__xludf.DUMMYFUNCTION("GOOGLETRANSLATE(D94, ""en"", ""zh"")"),"A) 生根")</f>
        <v>A) 生根</v>
      </c>
      <c r="L94" s="11" t="str">
        <f>IFERROR(__xludf.DUMMYFUNCTION("GOOGLETRANSLATE(E94, ""en"", ""zh"")"),"#VALUE!")</f>
        <v>#VALUE!</v>
      </c>
    </row>
    <row r="95">
      <c r="A95" s="21">
        <v>94.0</v>
      </c>
      <c r="B95" s="17" t="s">
        <v>2683</v>
      </c>
      <c r="C95" s="17" t="s">
        <v>2684</v>
      </c>
      <c r="D95" s="17" t="s">
        <v>2685</v>
      </c>
      <c r="I95" s="11" t="str">
        <f>IFERROR(__xludf.DUMMYFUNCTION("GOOGLETRANSLATE(B95, ""en"", ""zh"")"),"太极拳练习的主要重点是什么？")</f>
        <v>太极拳练习的主要重点是什么？</v>
      </c>
      <c r="J95" s="11" t="str">
        <f>IFERROR(__xludf.DUMMYFUNCTION("GOOGLETRANSLATE(C95, ""en"", ""zh"")"),"A) 平衡与内能 B) 仅力量 C) 仅速度 D) 实战")</f>
        <v>A) 平衡与内能 B) 仅力量 C) 仅速度 D) 实战</v>
      </c>
      <c r="K95" s="11" t="str">
        <f>IFERROR(__xludf.DUMMYFUNCTION("GOOGLETRANSLATE(D95, ""en"", ""zh"")"),"A) 平衡与内能")</f>
        <v>A) 平衡与内能</v>
      </c>
      <c r="L95" s="11" t="str">
        <f>IFERROR(__xludf.DUMMYFUNCTION("GOOGLETRANSLATE(E95, ""en"", ""zh"")"),"#VALUE!")</f>
        <v>#VALUE!</v>
      </c>
    </row>
    <row r="96">
      <c r="A96" s="21">
        <v>95.0</v>
      </c>
      <c r="B96" s="17" t="s">
        <v>2686</v>
      </c>
      <c r="C96" s="17" t="s">
        <v>2687</v>
      </c>
      <c r="D96" s="17" t="s">
        <v>2688</v>
      </c>
      <c r="I96" s="11" t="str">
        <f>IFERROR(__xludf.DUMMYFUNCTION("GOOGLETRANSLATE(B96, ""en"", ""zh"")"),"一套太极拳套路通常应该持续多久？")</f>
        <v>一套太极拳套路通常应该持续多久？</v>
      </c>
      <c r="J96" s="11" t="str">
        <f>IFERROR(__xludf.DUMMYFUNCTION("GOOGLETRANSLATE(C96, ""en"", ""zh"")"),"A) 5-10分钟 B) 1分钟 C) 2分钟 D) 30分钟")</f>
        <v>A) 5-10分钟 B) 1分钟 C) 2分钟 D) 30分钟</v>
      </c>
      <c r="K96" s="11" t="str">
        <f>IFERROR(__xludf.DUMMYFUNCTION("GOOGLETRANSLATE(D96, ""en"", ""zh"")"),"A) 5-10分钟")</f>
        <v>A) 5-10分钟</v>
      </c>
      <c r="L96" s="11" t="str">
        <f>IFERROR(__xludf.DUMMYFUNCTION("GOOGLETRANSLATE(E96, ""en"", ""zh"")"),"#VALUE!")</f>
        <v>#VALUE!</v>
      </c>
    </row>
    <row r="97">
      <c r="A97" s="21">
        <v>96.0</v>
      </c>
      <c r="B97" s="17" t="s">
        <v>2689</v>
      </c>
      <c r="C97" s="17" t="s">
        <v>2690</v>
      </c>
      <c r="D97" s="17" t="s">
        <v>2691</v>
      </c>
      <c r="I97" s="11" t="str">
        <f>IFERROR(__xludf.DUMMYFUNCTION("GOOGLETRANSLATE(B97, ""en"", ""zh"")"),"哪种手部技巧是最基本的？")</f>
        <v>哪种手部技巧是最基本的？</v>
      </c>
      <c r="J97" s="11" t="str">
        <f>IFERROR(__xludf.DUMMYFUNCTION("GOOGLETRANSLATE(C97, ""en"", ""zh"")"),"A) 手掌推击 B) 拳击 C) 肘击 D) 劈砍")</f>
        <v>A) 手掌推击 B) 拳击 C) 肘击 D) 劈砍</v>
      </c>
      <c r="K97" s="11" t="str">
        <f>IFERROR(__xludf.DUMMYFUNCTION("GOOGLETRANSLATE(D97, ""en"", ""zh"")"),"A) 手掌推")</f>
        <v>A) 手掌推</v>
      </c>
      <c r="L97" s="11" t="str">
        <f>IFERROR(__xludf.DUMMYFUNCTION("GOOGLETRANSLATE(E97, ""en"", ""zh"")"),"#VALUE!")</f>
        <v>#VALUE!</v>
      </c>
    </row>
    <row r="98">
      <c r="A98" s="21">
        <v>97.0</v>
      </c>
      <c r="B98" s="17" t="s">
        <v>2692</v>
      </c>
      <c r="C98" s="17" t="s">
        <v>2693</v>
      </c>
      <c r="D98" s="17" t="s">
        <v>2694</v>
      </c>
      <c r="I98" s="11" t="str">
        <f>IFERROR(__xludf.DUMMYFUNCTION("GOOGLETRANSLATE(B98, ""en"", ""zh"")"),"如何进行推手练习？")</f>
        <v>如何进行推手练习？</v>
      </c>
      <c r="J98" s="11" t="str">
        <f>IFERROR(__xludf.DUMMYFUNCTION("GOOGLETRANSLATE(C98, ""en"", ""zh"")"),"A) 双人练习 B) 单人练习 C) 武器训练 D) 仅跳伞")</f>
        <v>A) 双人练习 B) 单人练习 C) 武器训练 D) 仅跳伞</v>
      </c>
      <c r="K98" s="11" t="str">
        <f>IFERROR(__xludf.DUMMYFUNCTION("GOOGLETRANSLATE(D98, ""en"", ""zh"")"),"A) 合伙事务所")</f>
        <v>A) 合伙事务所</v>
      </c>
      <c r="L98" s="11" t="str">
        <f>IFERROR(__xludf.DUMMYFUNCTION("GOOGLETRANSLATE(E98, ""en"", ""zh"")"),"#VALUE!")</f>
        <v>#VALUE!</v>
      </c>
    </row>
    <row r="99">
      <c r="A99" s="21">
        <v>98.0</v>
      </c>
      <c r="B99" s="17" t="s">
        <v>2695</v>
      </c>
      <c r="C99" s="17" t="s">
        <v>2696</v>
      </c>
      <c r="D99" s="17" t="s">
        <v>2697</v>
      </c>
      <c r="I99" s="11" t="str">
        <f>IFERROR(__xludf.DUMMYFUNCTION("GOOGLETRANSLATE(B99, ""en"", ""zh"")"),"太极拳中的“缠丝”是什么？")</f>
        <v>太极拳中的“缠丝”是什么？</v>
      </c>
      <c r="J99" s="11" t="str">
        <f>IFERROR(__xludf.DUMMYFUNCTION("GOOGLETRANSLATE(C99, ""en"", ""zh"")"),"A) 手臂和身体的圆周运动 B) 快速出拳 C) 踢腿 D) 跳跃")</f>
        <v>A) 手臂和身体的圆周运动 B) 快速出拳 C) 踢腿 D) 跳跃</v>
      </c>
      <c r="K99" s="11" t="str">
        <f>IFERROR(__xludf.DUMMYFUNCTION("GOOGLETRANSLATE(D99, ""en"", ""zh"")"),"A) 手臂和身体的圆周运动")</f>
        <v>A) 手臂和身体的圆周运动</v>
      </c>
      <c r="L99" s="11" t="str">
        <f>IFERROR(__xludf.DUMMYFUNCTION("GOOGLETRANSLATE(E99, ""en"", ""zh"")"),"#VALUE!")</f>
        <v>#VALUE!</v>
      </c>
    </row>
    <row r="100">
      <c r="A100" s="21">
        <v>99.0</v>
      </c>
      <c r="B100" s="17" t="s">
        <v>2698</v>
      </c>
      <c r="C100" s="17" t="s">
        <v>2699</v>
      </c>
      <c r="D100" s="17" t="s">
        <v>2700</v>
      </c>
      <c r="I100" s="11" t="str">
        <f>IFERROR(__xludf.DUMMYFUNCTION("GOOGLETRANSLATE(B100, ""en"", ""zh"")"),"太极拳比赛中哪些动作是被禁止的？")</f>
        <v>太极拳比赛中哪些动作是被禁止的？</v>
      </c>
      <c r="J100" s="11" t="str">
        <f>IFERROR(__xludf.DUMMYFUNCTION("GOOGLETRANSLATE(C100, ""en"", ""zh"")"),"A) 全力击打 B) 控制推搡 C) 轻柔接触 D) 与伙伴练习")</f>
        <v>A) 全力击打 B) 控制推搡 C) 轻柔接触 D) 与伙伴练习</v>
      </c>
      <c r="K100" s="11" t="str">
        <f>IFERROR(__xludf.DUMMYFUNCTION("GOOGLETRANSLATE(D100, ""en"", ""zh"")"),"A) 全力攻击")</f>
        <v>A) 全力攻击</v>
      </c>
      <c r="L100" s="11" t="str">
        <f>IFERROR(__xludf.DUMMYFUNCTION("GOOGLETRANSLATE(E100, ""en"", ""zh"")"),"#VALUE!")</f>
        <v>#VALUE!</v>
      </c>
    </row>
    <row r="101">
      <c r="A101" s="21">
        <v>100.0</v>
      </c>
      <c r="B101" s="17" t="s">
        <v>2701</v>
      </c>
      <c r="C101" s="17" t="s">
        <v>2702</v>
      </c>
      <c r="D101" s="17" t="s">
        <v>2703</v>
      </c>
      <c r="I101" s="11" t="str">
        <f>IFERROR(__xludf.DUMMYFUNCTION("GOOGLETRANSLATE(B101, ""en"", ""zh"")"),"太极拳中如何引导能量流动？")</f>
        <v>太极拳中如何引导能量流动？</v>
      </c>
      <c r="J101" s="11" t="str">
        <f>IFERROR(__xludf.DUMMYFUNCTION("GOOGLETRANSLATE(C101, ""en"", ""zh"")"),"A) 身体姿态 B) 仅手速 C) 跳跃高度 D) 仅力量")</f>
        <v>A) 身体姿态 B) 仅手速 C) 跳跃高度 D) 仅力量</v>
      </c>
      <c r="K101" s="11" t="str">
        <f>IFERROR(__xludf.DUMMYFUNCTION("GOOGLETRANSLATE(D101, ""en"", ""zh"")"),"A) 身体姿势")</f>
        <v>A) 身体姿势</v>
      </c>
      <c r="L101" s="11" t="str">
        <f>IFERROR(__xludf.DUMMYFUNCTION("GOOGLETRANSLATE(E101, ""en"", ""zh"")"),"#VALUE!")</f>
        <v>#VALUE!</v>
      </c>
    </row>
    <row r="102">
      <c r="A102" s="21">
        <v>101.0</v>
      </c>
      <c r="B102" s="17" t="s">
        <v>2704</v>
      </c>
      <c r="C102" s="17" t="s">
        <v>2705</v>
      </c>
      <c r="D102" s="17" t="s">
        <v>2706</v>
      </c>
      <c r="I102" s="11" t="str">
        <f>IFERROR(__xludf.DUMMYFUNCTION("GOOGLETRANSLATE(B102, ""en"", ""zh"")"),"哪种太极拳强调速度和力量？")</f>
        <v>哪种太极拳强调速度和力量？</v>
      </c>
      <c r="J102" s="11" t="str">
        <f>IFERROR(__xludf.DUMMYFUNCTION("GOOGLETRANSLATE(C102, ""en"", ""zh"")"),"A) 陈式 B) 杨式 C) 孙式 D) 吴式")</f>
        <v>A) 陈式 B) 杨式 C) 孙式 D) 吴式</v>
      </c>
      <c r="K102" s="11" t="str">
        <f>IFERROR(__xludf.DUMMYFUNCTION("GOOGLETRANSLATE(D102, ""en"", ""zh"")"),"A) 陈式")</f>
        <v>A) 陈式</v>
      </c>
      <c r="L102" s="11" t="str">
        <f>IFERROR(__xludf.DUMMYFUNCTION("GOOGLETRANSLATE(E102, ""en"", ""zh"")"),"#VALUE!")</f>
        <v>#VALUE!</v>
      </c>
    </row>
    <row r="103">
      <c r="A103" s="21">
        <v>102.0</v>
      </c>
      <c r="B103" s="17" t="s">
        <v>2707</v>
      </c>
      <c r="C103" s="17" t="s">
        <v>2708</v>
      </c>
      <c r="D103" s="17" t="s">
        <v>2709</v>
      </c>
      <c r="I103" s="11" t="str">
        <f>IFERROR(__xludf.DUMMYFUNCTION("GOOGLETRANSLATE(B103, ""en"", ""zh"")"),"通常如何学习字形？")</f>
        <v>通常如何学习字形？</v>
      </c>
      <c r="J103" s="11" t="str">
        <f>IFERROR(__xludf.DUMMYFUNCTION("GOOGLETRANSLATE(C103, ""en"", ""zh"")"),"A) 循序渐进 B) 随机练习 C) 快速对练 D) 仅从书本学习")</f>
        <v>A) 循序渐进 B) 随机练习 C) 快速对练 D) 仅从书本学习</v>
      </c>
      <c r="K103" s="11" t="str">
        <f>IFERROR(__xludf.DUMMYFUNCTION("GOOGLETRANSLATE(D103, ""en"", ""zh"")"),"A) 逐步进行")</f>
        <v>A) 逐步进行</v>
      </c>
      <c r="L103" s="11" t="str">
        <f>IFERROR(__xludf.DUMMYFUNCTION("GOOGLETRANSLATE(E103, ""en"", ""zh"")"),"#VALUE!")</f>
        <v>#VALUE!</v>
      </c>
    </row>
    <row r="104">
      <c r="A104" s="21">
        <v>103.0</v>
      </c>
      <c r="B104" s="17" t="s">
        <v>2710</v>
      </c>
      <c r="C104" s="17" t="s">
        <v>2711</v>
      </c>
      <c r="D104" s="17" t="s">
        <v>2712</v>
      </c>
      <c r="I104" s="11" t="str">
        <f>IFERROR(__xludf.DUMMYFUNCTION("GOOGLETRANSLATE(B104, ""en"", ""zh"")"),"什么是“抵御”技巧？")</f>
        <v>什么是“抵御”技巧？</v>
      </c>
      <c r="J104" s="11" t="str">
        <f>IFERROR(__xludf.DUMMYFUNCTION("GOOGLETRANSLATE(C104, ""en"", ""zh"")"),"A) 防御性手部动作 B) 拳击 C) 踢腿 D) 跳跃")</f>
        <v>A) 防御性手部动作 B) 拳击 C) 踢腿 D) 跳跃</v>
      </c>
      <c r="K104" s="11" t="str">
        <f>IFERROR(__xludf.DUMMYFUNCTION("GOOGLETRANSLATE(D104, ""en"", ""zh"")"),"A) 防御性手部动作")</f>
        <v>A) 防御性手部动作</v>
      </c>
      <c r="L104" s="11" t="str">
        <f>IFERROR(__xludf.DUMMYFUNCTION("GOOGLETRANSLATE(E104, ""en"", ""zh"")"),"#VALUE!")</f>
        <v>#VALUE!</v>
      </c>
    </row>
    <row r="105">
      <c r="A105" s="21">
        <v>104.0</v>
      </c>
      <c r="B105" s="17" t="s">
        <v>2713</v>
      </c>
      <c r="C105" s="17" t="s">
        <v>2714</v>
      </c>
      <c r="D105" s="17" t="s">
        <v>2715</v>
      </c>
      <c r="I105" s="11" t="str">
        <f>IFERROR(__xludf.DUMMYFUNCTION("GOOGLETRANSLATE(B105, ""en"", ""zh"")"),"太极拳对健康有哪些益处？")</f>
        <v>太极拳对健康有哪些益处？</v>
      </c>
      <c r="J105" s="11" t="str">
        <f>IFERROR(__xludf.DUMMYFUNCTION("GOOGLETRANSLATE(C105, ""en"", ""zh"")"),"A) 改善平衡和血液循环 B) 仅增强力量 C) 仅增强速度 D) 竞争优势")</f>
        <v>A) 改善平衡和血液循环 B) 仅增强力量 C) 仅增强速度 D) 竞争优势</v>
      </c>
      <c r="K105" s="11" t="str">
        <f>IFERROR(__xludf.DUMMYFUNCTION("GOOGLETRANSLATE(D105, ""en"", ""zh"")"),"A) 改善平衡和血液循环")</f>
        <v>A) 改善平衡和血液循环</v>
      </c>
      <c r="L105" s="11" t="str">
        <f>IFERROR(__xludf.DUMMYFUNCTION("GOOGLETRANSLATE(E105, ""en"", ""zh"")"),"#VALUE!")</f>
        <v>#VALUE!</v>
      </c>
    </row>
    <row r="106">
      <c r="A106" s="21">
        <v>105.0</v>
      </c>
      <c r="B106" s="17" t="s">
        <v>2716</v>
      </c>
      <c r="C106" s="17" t="s">
        <v>2717</v>
      </c>
      <c r="D106" s="17" t="s">
        <v>2718</v>
      </c>
      <c r="I106" s="11" t="str">
        <f>IFERROR(__xludf.DUMMYFUNCTION("GOOGLETRANSLATE(B106, ""en"", ""zh"")"),"哪种站姿能实现流畅的过渡？")</f>
        <v>哪种站姿能实现流畅的过渡？</v>
      </c>
      <c r="J106" s="11" t="str">
        <f>IFERROR(__xludf.DUMMYFUNCTION("GOOGLETRANSLATE(C106, ""en"", ""zh"")"),"A) 空弓步 B) 马步 C) 弓步 D) 虎步")</f>
        <v>A) 空弓步 B) 马步 C) 弓步 D) 虎步</v>
      </c>
      <c r="K106" s="11" t="str">
        <f>IFERROR(__xludf.DUMMYFUNCTION("GOOGLETRANSLATE(D106, ""en"", ""zh"")"),"A) 空站姿势")</f>
        <v>A) 空站姿势</v>
      </c>
      <c r="L106" s="11" t="str">
        <f>IFERROR(__xludf.DUMMYFUNCTION("GOOGLETRANSLATE(E106, ""en"", ""zh"")"),"#VALUE!")</f>
        <v>#VALUE!</v>
      </c>
    </row>
    <row r="107">
      <c r="A107" s="21">
        <v>106.0</v>
      </c>
      <c r="B107" s="17" t="s">
        <v>2719</v>
      </c>
      <c r="C107" s="17" t="s">
        <v>2720</v>
      </c>
      <c r="D107" s="17" t="s">
        <v>2721</v>
      </c>
      <c r="I107" s="11" t="str">
        <f>IFERROR(__xludf.DUMMYFUNCTION("GOOGLETRANSLATE(B107, ""en"", ""zh"")"),"太极拳的动作应该如何进行？")</f>
        <v>太极拳的动作应该如何进行？</v>
      </c>
      <c r="J107" s="11" t="str">
        <f>IFERROR(__xludf.DUMMYFUNCTION("GOOGLETRANSLATE(C107, ""en"", ""zh"")"),"A) 放松且持续的 B) 紧张的 C) 快速且突然的 D) 仅用力的")</f>
        <v>A) 放松且持续的 B) 紧张的 C) 快速且突然的 D) 仅用力的</v>
      </c>
      <c r="K107" s="11" t="str">
        <f>IFERROR(__xludf.DUMMYFUNCTION("GOOGLETRANSLATE(D107, ""en"", ""zh"")"),"A) 放松且连续")</f>
        <v>A) 放松且连续</v>
      </c>
      <c r="L107" s="11" t="str">
        <f>IFERROR(__xludf.DUMMYFUNCTION("GOOGLETRANSLATE(E107, ""en"", ""zh"")"),"#VALUE!")</f>
        <v>#VALUE!</v>
      </c>
    </row>
    <row r="108">
      <c r="A108" s="21">
        <v>107.0</v>
      </c>
      <c r="B108" s="17" t="s">
        <v>2722</v>
      </c>
      <c r="C108" s="17" t="s">
        <v>2723</v>
      </c>
      <c r="D108" s="17" t="s">
        <v>2724</v>
      </c>
      <c r="I108" s="11" t="str">
        <f>IFERROR(__xludf.DUMMYFUNCTION("GOOGLETRANSLATE(B108, ""en"", ""zh"")"),"什么是“云手”动作？")</f>
        <v>什么是“云手”动作？</v>
      </c>
      <c r="J108" s="11" t="str">
        <f>IFERROR(__xludf.DUMMYFUNCTION("GOOGLETRANSLATE(C108, ""en"", ""zh"")"),"A) 手部圆周运动 B) 跳踢 C) 拳击 D) 仅站姿")</f>
        <v>A) 手部圆周运动 B) 跳踢 C) 拳击 D) 仅站姿</v>
      </c>
      <c r="K108" s="11" t="str">
        <f>IFERROR(__xludf.DUMMYFUNCTION("GOOGLETRANSLATE(D108, ""en"", ""zh"")"),"A) 手部做圆周运动")</f>
        <v>A) 手部做圆周运动</v>
      </c>
      <c r="L108" s="11" t="str">
        <f>IFERROR(__xludf.DUMMYFUNCTION("GOOGLETRANSLATE(E108, ""en"", ""zh"")"),"#VALUE!")</f>
        <v>#VALUE!</v>
      </c>
    </row>
    <row r="109">
      <c r="A109" s="21">
        <v>108.0</v>
      </c>
      <c r="B109" s="17" t="s">
        <v>2725</v>
      </c>
      <c r="C109" s="17" t="s">
        <v>2726</v>
      </c>
      <c r="D109" s="17" t="s">
        <v>2727</v>
      </c>
      <c r="I109" s="11" t="str">
        <f>IFERROR(__xludf.DUMMYFUNCTION("GOOGLETRANSLATE(B109, ""en"", ""zh"")"),"哪种呼吸方法是正确的？")</f>
        <v>哪种呼吸方法是正确的？</v>
      </c>
      <c r="J109" s="11" t="str">
        <f>IFERROR(__xludf.DUMMYFUNCTION("GOOGLETRANSLATE(C109, ""en"", ""zh"")"),"A) 扩张时吸气，收缩时呼气 B) 屏住呼吸 C) 随机呼吸 D) 快速浅呼吸")</f>
        <v>A) 扩张时吸气，收缩时呼气 B) 屏住呼吸 C) 随机呼吸 D) 快速浅呼吸</v>
      </c>
      <c r="K109" s="11" t="str">
        <f>IFERROR(__xludf.DUMMYFUNCTION("GOOGLETRANSLATE(D109, ""en"", ""zh"")"),"A) 扩张时吸气，收缩时呼气")</f>
        <v>A) 扩张时吸气，收缩时呼气</v>
      </c>
      <c r="L109" s="11" t="str">
        <f>IFERROR(__xludf.DUMMYFUNCTION("GOOGLETRANSLATE(E109, ""en"", ""zh"")"),"#VALUE!")</f>
        <v>#VALUE!</v>
      </c>
    </row>
    <row r="110">
      <c r="A110" s="21">
        <v>109.0</v>
      </c>
      <c r="B110" s="17" t="s">
        <v>2728</v>
      </c>
      <c r="C110" s="17" t="s">
        <v>2729</v>
      </c>
      <c r="D110" s="17" t="s">
        <v>2730</v>
      </c>
      <c r="I110" s="11" t="str">
        <f>IFERROR(__xludf.DUMMYFUNCTION("GOOGLETRANSLATE(B110, ""en"", ""zh"")"),"什么是“沉气”原理？")</f>
        <v>什么是“沉气”原理？</v>
      </c>
      <c r="J110" s="11" t="str">
        <f>IFERROR(__xludf.DUMMYFUNCTION("GOOGLETRANSLATE(C110, ""en"", ""zh"")"),"A) 下半身放松 B) 快速移动 C) 跳跃 D) 打击")</f>
        <v>A) 下半身放松 B) 快速移动 C) 跳跃 D) 打击</v>
      </c>
      <c r="K110" s="11" t="str">
        <f>IFERROR(__xludf.DUMMYFUNCTION("GOOGLETRANSLATE(D110, ""en"", ""zh"")"),"A) 下半身放松")</f>
        <v>A) 下半身放松</v>
      </c>
      <c r="L110" s="11" t="str">
        <f>IFERROR(__xludf.DUMMYFUNCTION("GOOGLETRANSLATE(E110, ""en"", ""zh"")"),"#VALUE!")</f>
        <v>#VALUE!</v>
      </c>
    </row>
    <row r="111">
      <c r="A111" s="21">
        <v>110.0</v>
      </c>
      <c r="B111" s="17" t="s">
        <v>2731</v>
      </c>
      <c r="C111" s="17" t="s">
        <v>2732</v>
      </c>
      <c r="D111" s="17" t="s">
        <v>2733</v>
      </c>
      <c r="I111" s="11" t="str">
        <f>IFERROR(__xludf.DUMMYFUNCTION("GOOGLETRANSLATE(B111, ""en"", ""zh"")"),"如何保持专注？")</f>
        <v>如何保持专注？</v>
      </c>
      <c r="J111" s="11" t="str">
        <f>IFERROR(__xludf.DUMMYFUNCTION("GOOGLETRANSLATE(C111, ""en"", ""zh"")"),"A) 专注的思维和受控的动作 B) 闭上眼睛 C) 随机的 D) 大喊大叫")</f>
        <v>A) 专注的思维和受控的动作 B) 闭上眼睛 C) 随机的 D) 大喊大叫</v>
      </c>
      <c r="K111" s="11" t="str">
        <f>IFERROR(__xludf.DUMMYFUNCTION("GOOGLETRANSLATE(D111, ""en"", ""zh"")"),"A) 专注的思维和控制的动作")</f>
        <v>A) 专注的思维和控制的动作</v>
      </c>
      <c r="L111" s="11" t="str">
        <f>IFERROR(__xludf.DUMMYFUNCTION("GOOGLETRANSLATE(E111, ""en"", ""zh"")"),"#VALUE!")</f>
        <v>#VALUE!</v>
      </c>
    </row>
    <row r="112">
      <c r="A112" s="21">
        <v>111.0</v>
      </c>
      <c r="B112" s="17" t="s">
        <v>2734</v>
      </c>
      <c r="C112" s="17" t="s">
        <v>2735</v>
      </c>
      <c r="D112" s="17" t="s">
        <v>2736</v>
      </c>
      <c r="I112" s="11" t="str">
        <f>IFERROR(__xludf.DUMMYFUNCTION("GOOGLETRANSLATE(B112, ""en"", ""zh"")"),"哪种技术能提高稳定性？")</f>
        <v>哪种技术能提高稳定性？</v>
      </c>
      <c r="J112" s="11" t="str">
        <f>IFERROR(__xludf.DUMMYFUNCTION("GOOGLETRANSLATE(C112, ""en"", ""zh"")"),"A) 扎根式低站姿 B) 跳跃 C) 仅出拳 D) 快速步法")</f>
        <v>A) 扎根式低站姿 B) 跳跃 C) 仅出拳 D) 快速步法</v>
      </c>
      <c r="K112" s="11" t="str">
        <f>IFERROR(__xludf.DUMMYFUNCTION("GOOGLETRANSLATE(D112, ""en"", ""zh"")"),"A) 扎根和低姿态")</f>
        <v>A) 扎根和低姿态</v>
      </c>
      <c r="L112" s="11" t="str">
        <f>IFERROR(__xludf.DUMMYFUNCTION("GOOGLETRANSLATE(E112, ""en"", ""zh"")"),"#VALUE!")</f>
        <v>#VALUE!</v>
      </c>
    </row>
    <row r="113">
      <c r="A113" s="21">
        <v>112.0</v>
      </c>
      <c r="B113" s="17" t="s">
        <v>2737</v>
      </c>
      <c r="C113" s="17" t="s">
        <v>2738</v>
      </c>
      <c r="D113" s="17" t="s">
        <v>2739</v>
      </c>
      <c r="I113" s="11" t="str">
        <f>IFERROR(__xludf.DUMMYFUNCTION("GOOGLETRANSLATE(B113, ""en"", ""zh"")"),"太极拳练习者应该如何移动？")</f>
        <v>太极拳练习者应该如何移动？</v>
      </c>
      <c r="J113" s="11" t="str">
        <f>IFERROR(__xludf.DUMMYFUNCTION("GOOGLETRANSLATE(C113, ""en"", ""zh"")"),"A) 平稳优雅地 B) 快速地 C) 突然地 D) 随机地")</f>
        <v>A) 平稳优雅地 B) 快速地 C) 突然地 D) 随机地</v>
      </c>
      <c r="K113" s="11" t="str">
        <f>IFERROR(__xludf.DUMMYFUNCTION("GOOGLETRANSLATE(D113, ""en"", ""zh"")"),"A) 流畅而优雅")</f>
        <v>A) 流畅而优雅</v>
      </c>
      <c r="L113" s="11" t="str">
        <f>IFERROR(__xludf.DUMMYFUNCTION("GOOGLETRANSLATE(E113, ""en"", ""zh"")"),"#VALUE!")</f>
        <v>#VALUE!</v>
      </c>
    </row>
    <row r="114">
      <c r="A114" s="21">
        <v>113.0</v>
      </c>
      <c r="B114" s="17" t="s">
        <v>2740</v>
      </c>
      <c r="C114" s="17" t="s">
        <v>2741</v>
      </c>
      <c r="D114" s="17" t="s">
        <v>2742</v>
      </c>
      <c r="I114" s="11" t="str">
        <f>IFERROR(__xludf.DUMMYFUNCTION("GOOGLETRANSLATE(B114, ""en"", ""zh"")"),"太极拳中“刷手”是如何运用的？")</f>
        <v>太极拳中“刷手”是如何运用的？</v>
      </c>
      <c r="J114" s="11" t="str">
        <f>IFERROR(__xludf.DUMMYFUNCTION("GOOGLETRANSLATE(C114, ""en"", ""zh"")"),"A) 格挡对手的推搡 B) 击打 C) 踢 D) 跳跃")</f>
        <v>A) 格挡对手的推搡 B) 击打 C) 踢 D) 跳跃</v>
      </c>
      <c r="K114" s="11" t="str">
        <f>IFERROR(__xludf.DUMMYFUNCTION("GOOGLETRANSLATE(D114, ""en"", ""zh"")"),"A) 化解对手的推力")</f>
        <v>A) 化解对手的推力</v>
      </c>
      <c r="L114" s="11" t="str">
        <f>IFERROR(__xludf.DUMMYFUNCTION("GOOGLETRANSLATE(E114, ""en"", ""zh"")"),"#VALUE!")</f>
        <v>#VALUE!</v>
      </c>
    </row>
    <row r="115">
      <c r="A115" s="21">
        <v>114.0</v>
      </c>
      <c r="B115" s="17" t="s">
        <v>2743</v>
      </c>
      <c r="C115" s="17" t="s">
        <v>2744</v>
      </c>
      <c r="D115" s="17" t="s">
        <v>2745</v>
      </c>
      <c r="I115" s="11" t="str">
        <f>IFERROR(__xludf.DUMMYFUNCTION("GOOGLETRANSLATE(B115, ""en"", ""zh"")"),"哪种太极拳流派强调柔和？")</f>
        <v>哪种太极拳流派强调柔和？</v>
      </c>
      <c r="J115" s="11" t="str">
        <f>IFERROR(__xludf.DUMMYFUNCTION("GOOGLETRANSLATE(C115, ""en"", ""zh"")"),"A) 杨 B) 陈 C) 吴 D) 孙")</f>
        <v>A) 杨 B) 陈 C) 吴 D) 孙</v>
      </c>
      <c r="K115" s="11" t="str">
        <f>IFERROR(__xludf.DUMMYFUNCTION("GOOGLETRANSLATE(D115, ""en"", ""zh"")"),"A) 杨")</f>
        <v>A) 杨</v>
      </c>
      <c r="L115" s="11" t="str">
        <f>IFERROR(__xludf.DUMMYFUNCTION("GOOGLETRANSLATE(E115, ""en"", ""zh"")"),"#VALUE!")</f>
        <v>#VALUE!</v>
      </c>
    </row>
    <row r="116">
      <c r="A116" s="21">
        <v>115.0</v>
      </c>
      <c r="B116" s="17" t="s">
        <v>2746</v>
      </c>
      <c r="C116" s="17" t="s">
        <v>2747</v>
      </c>
      <c r="D116" s="17" t="s">
        <v>2748</v>
      </c>
      <c r="I116" s="11" t="str">
        <f>IFERROR(__xludf.DUMMYFUNCTION("GOOGLETRANSLATE(B116, ""en"", ""zh"")"),"太极拳比赛如何评判？")</f>
        <v>太极拳比赛如何评判？</v>
      </c>
      <c r="J116" s="11" t="str">
        <f>IFERROR(__xludf.DUMMYFUNCTION("GOOGLETRANSLATE(C116, ""en"", ""zh"")"),"A) 精准、流畅、稳定 B) 仅速度 C) 仅力量 D) 观众掌声")</f>
        <v>A) 精准、流畅、稳定 B) 仅速度 C) 仅力量 D) 观众掌声</v>
      </c>
      <c r="K116" s="11" t="str">
        <f>IFERROR(__xludf.DUMMYFUNCTION("GOOGLETRANSLATE(D116, ""en"", ""zh"")"),"A) 精确度、流动性和稳定性")</f>
        <v>A) 精确度、流动性和稳定性</v>
      </c>
      <c r="L116" s="11" t="str">
        <f>IFERROR(__xludf.DUMMYFUNCTION("GOOGLETRANSLATE(E116, ""en"", ""zh"")"),"#VALUE!")</f>
        <v>#VALUE!</v>
      </c>
    </row>
    <row r="117">
      <c r="A117" s="21">
        <v>116.0</v>
      </c>
      <c r="B117" s="17" t="s">
        <v>2749</v>
      </c>
      <c r="C117" s="17" t="s">
        <v>2750</v>
      </c>
      <c r="D117" s="17" t="s">
        <v>2751</v>
      </c>
      <c r="I117" s="11" t="str">
        <f>IFERROR(__xludf.DUMMYFUNCTION("GOOGLETRANSLATE(B117, ""en"", ""zh"")"),"太极武器的用途是什么？")</f>
        <v>太极武器的用途是什么？</v>
      </c>
      <c r="J117" s="11" t="str">
        <f>IFERROR(__xludf.DUMMYFUNCTION("GOOGLETRANSLATE(C117, ""en"", ""zh"")"),"A) 强化套路练习 B) 只攻击对手 C) 仅作表演用途 D) 力量训练")</f>
        <v>A) 强化套路练习 B) 只攻击对手 C) 仅作表演用途 D) 力量训练</v>
      </c>
      <c r="K117" s="11" t="str">
        <f>IFERROR(__xludf.DUMMYFUNCTION("GOOGLETRANSLATE(D117, ""en"", ""zh"")"),"A) 加强表格练习")</f>
        <v>A) 加强表格练习</v>
      </c>
      <c r="L117" s="11" t="str">
        <f>IFERROR(__xludf.DUMMYFUNCTION("GOOGLETRANSLATE(E117, ""en"", ""zh"")"),"#VALUE!")</f>
        <v>#VALUE!</v>
      </c>
    </row>
    <row r="118">
      <c r="A118" s="21">
        <v>117.0</v>
      </c>
      <c r="B118" s="17" t="s">
        <v>2752</v>
      </c>
      <c r="C118" s="17" t="s">
        <v>2753</v>
      </c>
      <c r="D118" s="17" t="s">
        <v>62</v>
      </c>
      <c r="I118" s="11" t="str">
        <f>IFERROR(__xludf.DUMMYFUNCTION("GOOGLETRANSLATE(B118, ""en"", ""zh"")"),"常用的武器是什么？")</f>
        <v>常用的武器是什么？</v>
      </c>
      <c r="J118" s="11" t="str">
        <f>IFERROR(__xludf.DUMMYFUNCTION("GOOGLETRANSLATE(C118, ""en"", ""zh"")"),"A) 剑 B) 矛 C) 杖 D) 以上全部")</f>
        <v>A) 剑 B) 矛 C) 杖 D) 以上全部</v>
      </c>
      <c r="K118" s="11" t="str">
        <f>IFERROR(__xludf.DUMMYFUNCTION("GOOGLETRANSLATE(D118, ""en"", ""zh"")"),"D) 以上所有选项")</f>
        <v>D) 以上所有选项</v>
      </c>
      <c r="L118" s="11" t="str">
        <f>IFERROR(__xludf.DUMMYFUNCTION("GOOGLETRANSLATE(E118, ""en"", ""zh"")"),"#VALUE!")</f>
        <v>#VALUE!</v>
      </c>
    </row>
    <row r="119">
      <c r="A119" s="21">
        <v>118.0</v>
      </c>
      <c r="B119" s="17" t="s">
        <v>2754</v>
      </c>
      <c r="C119" s="17" t="s">
        <v>2755</v>
      </c>
      <c r="D119" s="17" t="s">
        <v>2756</v>
      </c>
      <c r="I119" s="11" t="str">
        <f>IFERROR(__xludf.DUMMYFUNCTION("GOOGLETRANSLATE(B119, ""en"", ""zh"")"),"腿部应该如何摆放？")</f>
        <v>腿部应该如何摆放？</v>
      </c>
      <c r="J119" s="11" t="str">
        <f>IFERROR(__xludf.DUMMYFUNCTION("GOOGLETRANSLATE(C119, ""en"", ""zh"")"),"A) 略微弯曲以增加灵活性 B) 锁定 C) 笔直且紧张 D) 交叉")</f>
        <v>A) 略微弯曲以增加灵活性 B) 锁定 C) 笔直且紧张 D) 交叉</v>
      </c>
      <c r="K119" s="11" t="str">
        <f>IFERROR(__xludf.DUMMYFUNCTION("GOOGLETRANSLATE(D119, ""en"", ""zh"")"),"A) 略微弯曲以增加柔韧性")</f>
        <v>A) 略微弯曲以增加柔韧性</v>
      </c>
      <c r="L119" s="11" t="str">
        <f>IFERROR(__xludf.DUMMYFUNCTION("GOOGLETRANSLATE(E119, ""en"", ""zh"")"),"#VALUE!")</f>
        <v>#VALUE!</v>
      </c>
    </row>
    <row r="120">
      <c r="A120" s="21">
        <v>119.0</v>
      </c>
      <c r="B120" s="17" t="s">
        <v>2757</v>
      </c>
      <c r="C120" s="17" t="s">
        <v>2758</v>
      </c>
      <c r="D120" s="17" t="s">
        <v>2759</v>
      </c>
      <c r="I120" s="11" t="str">
        <f>IFERROR(__xludf.DUMMYFUNCTION("GOOGLETRANSLATE(B120, ""en"", ""zh"")"),"什么是“单鞭”技术？")</f>
        <v>什么是“单鞭”技术？</v>
      </c>
      <c r="J120" s="11" t="str">
        <f>IFERROR(__xludf.DUMMYFUNCTION("GOOGLETRANSLATE(C120, ""en"", ""zh"")"),"A) 手部和手臂协调运动 B) 踢腿 C) 拳击 D) 擒抱")</f>
        <v>A) 手部和手臂协调运动 B) 踢腿 C) 拳击 D) 擒抱</v>
      </c>
      <c r="K120" s="11" t="str">
        <f>IFERROR(__xludf.DUMMYFUNCTION("GOOGLETRANSLATE(D120, ""en"", ""zh"")"),"A) 协调的手部和手臂运动")</f>
        <v>A) 协调的手部和手臂运动</v>
      </c>
      <c r="L120" s="11" t="str">
        <f>IFERROR(__xludf.DUMMYFUNCTION("GOOGLETRANSLATE(E120, ""en"", ""zh"")"),"#VALUE!")</f>
        <v>#VALUE!</v>
      </c>
    </row>
    <row r="121">
      <c r="A121" s="21">
        <v>120.0</v>
      </c>
      <c r="B121" s="17" t="s">
        <v>2760</v>
      </c>
      <c r="C121" s="17" t="s">
        <v>2761</v>
      </c>
      <c r="D121" s="17" t="s">
        <v>2762</v>
      </c>
      <c r="I121" s="11" t="str">
        <f>IFERROR(__xludf.DUMMYFUNCTION("GOOGLETRANSLATE(B121, ""en"", ""zh"")"),"哪种站姿能使前进动作更加流畅？")</f>
        <v>哪种站姿能使前进动作更加流畅？</v>
      </c>
      <c r="J121" s="11" t="str">
        <f>IFERROR(__xludf.DUMMYFUNCTION("GOOGLETRANSLATE(C121, ""en"", ""zh"")"),"A) 前弓步 B) 马步 C) 弓步 D) 空弓步")</f>
        <v>A) 前弓步 B) 马步 C) 弓步 D) 空弓步</v>
      </c>
      <c r="K121" s="11" t="str">
        <f>IFERROR(__xludf.DUMMYFUNCTION("GOOGLETRANSLATE(D121, ""en"", ""zh"")"),"A) 前倾姿势")</f>
        <v>A) 前倾姿势</v>
      </c>
      <c r="L121" s="11" t="str">
        <f>IFERROR(__xludf.DUMMYFUNCTION("GOOGLETRANSLATE(E121, ""en"", ""zh"")"),"#VALUE!")</f>
        <v>#VALUE!</v>
      </c>
    </row>
    <row r="122">
      <c r="A122" s="21">
        <v>121.0</v>
      </c>
      <c r="B122" s="17" t="s">
        <v>2763</v>
      </c>
      <c r="C122" s="17" t="s">
        <v>2764</v>
      </c>
      <c r="D122" s="17" t="s">
        <v>2765</v>
      </c>
      <c r="I122" s="11" t="str">
        <f>IFERROR(__xludf.DUMMYFUNCTION("GOOGLETRANSLATE(B122, ""en"", ""zh"")"),"如何执行“防御”动作？")</f>
        <v>如何执行“防御”动作？</v>
      </c>
      <c r="J122" s="11" t="str">
        <f>IFERROR(__xludf.DUMMYFUNCTION("GOOGLETRANSLATE(C122, ""en"", ""zh"")"),"A) 控制推力 B) 快速出拳 C) 踢腿 D) 跳跃")</f>
        <v>A) 控制推力 B) 快速出拳 C) 踢腿 D) 跳跃</v>
      </c>
      <c r="K122" s="11" t="str">
        <f>IFERROR(__xludf.DUMMYFUNCTION("GOOGLETRANSLATE(D122, ""en"", ""zh"")"),"A) 控制推力")</f>
        <v>A) 控制推力</v>
      </c>
      <c r="L122" s="11" t="str">
        <f>IFERROR(__xludf.DUMMYFUNCTION("GOOGLETRANSLATE(E122, ""en"", ""zh"")"),"#VALUE!")</f>
        <v>#VALUE!</v>
      </c>
    </row>
    <row r="123">
      <c r="A123" s="21">
        <v>122.0</v>
      </c>
      <c r="B123" s="17" t="s">
        <v>2766</v>
      </c>
      <c r="C123" s="17" t="s">
        <v>2767</v>
      </c>
      <c r="D123" s="17" t="s">
        <v>2768</v>
      </c>
      <c r="I123" s="11" t="str">
        <f>IFERROR(__xludf.DUMMYFUNCTION("GOOGLETRANSLATE(B123, ""en"", ""zh"")"),"什么是“驱猴”技巧？")</f>
        <v>什么是“驱猴”技巧？</v>
      </c>
      <c r="J123" s="11" t="str">
        <f>IFERROR(__xludf.DUMMYFUNCTION("GOOGLETRANSLATE(C123, ""en"", ""zh"")"),"A) 后撤步 B) 拳击 C) 踢腿 D) 擒抱")</f>
        <v>A) 后撤步 B) 拳击 C) 踢腿 D) 擒抱</v>
      </c>
      <c r="K123" s="11" t="str">
        <f>IFERROR(__xludf.DUMMYFUNCTION("GOOGLETRANSLATE(D123, ""en"", ""zh"")"),"A) 后退步动作")</f>
        <v>A) 后退步动作</v>
      </c>
      <c r="L123" s="11" t="str">
        <f>IFERROR(__xludf.DUMMYFUNCTION("GOOGLETRANSLATE(E123, ""en"", ""zh"")"),"#VALUE!")</f>
        <v>#VALUE!</v>
      </c>
    </row>
    <row r="124">
      <c r="A124" s="21">
        <v>123.0</v>
      </c>
      <c r="B124" s="17" t="s">
        <v>2769</v>
      </c>
      <c r="C124" s="17" t="s">
        <v>2770</v>
      </c>
      <c r="D124" s="17" t="s">
        <v>2771</v>
      </c>
      <c r="I124" s="11" t="str">
        <f>IFERROR(__xludf.DUMMYFUNCTION("GOOGLETRANSLATE(B124, ""en"", ""zh"")"),"如何衡量太极拳练习者的专注力？")</f>
        <v>如何衡量太极拳练习者的专注力？</v>
      </c>
      <c r="J124" s="11" t="str">
        <f>IFERROR(__xludf.DUMMYFUNCTION("GOOGLETRANSLATE(C124, ""en"", ""zh"")"),"A) 保持平衡的能力 B) 速度 C) 力量 D) 攻击性")</f>
        <v>A) 保持平衡的能力 B) 速度 C) 力量 D) 攻击性</v>
      </c>
      <c r="K124" s="11" t="str">
        <f>IFERROR(__xludf.DUMMYFUNCTION("GOOGLETRANSLATE(D124, ""en"", ""zh"")"),"A) 保持平衡的能力")</f>
        <v>A) 保持平衡的能力</v>
      </c>
      <c r="L124" s="11" t="str">
        <f>IFERROR(__xludf.DUMMYFUNCTION("GOOGLETRANSLATE(E124, ""en"", ""zh"")"),"#VALUE!")</f>
        <v>#VALUE!</v>
      </c>
    </row>
    <row r="125">
      <c r="A125" s="21">
        <v>124.0</v>
      </c>
      <c r="B125" s="17" t="s">
        <v>2772</v>
      </c>
      <c r="C125" s="17" t="s">
        <v>2773</v>
      </c>
      <c r="D125" s="17" t="s">
        <v>2774</v>
      </c>
      <c r="I125" s="11" t="str">
        <f>IFERROR(__xludf.DUMMYFUNCTION("GOOGLETRANSLATE(B125, ""en"", ""zh"")"),"太极拳比赛中如何进行回合制比赛？")</f>
        <v>太极拳比赛中如何进行回合制比赛？</v>
      </c>
      <c r="J125" s="11" t="str">
        <f>IFERROR(__xludf.DUMMYFUNCTION("GOOGLETRANSLATE(C125, ""en"", ""zh"")"),"A）固定套路 B）随机攻击 C）仅对练 D）跳跃")</f>
        <v>A）固定套路 B）随机攻击 C）仅对练 D）跳跃</v>
      </c>
      <c r="K125" s="11" t="str">
        <f>IFERROR(__xludf.DUMMYFUNCTION("GOOGLETRANSLATE(D125, ""en"", ""zh"")"),"A) 设置表单序列")</f>
        <v>A) 设置表单序列</v>
      </c>
      <c r="L125" s="11" t="str">
        <f>IFERROR(__xludf.DUMMYFUNCTION("GOOGLETRANSLATE(E125, ""en"", ""zh"")"),"#VALUE!")</f>
        <v>#VALUE!</v>
      </c>
    </row>
    <row r="126">
      <c r="A126" s="21">
        <v>125.0</v>
      </c>
      <c r="B126" s="17" t="s">
        <v>2775</v>
      </c>
      <c r="C126" s="17" t="s">
        <v>2776</v>
      </c>
      <c r="D126" s="17" t="s">
        <v>2777</v>
      </c>
      <c r="I126" s="11" t="str">
        <f>IFERROR(__xludf.DUMMYFUNCTION("GOOGLETRANSLATE(B126, ""en"", ""zh"")"),"什么是“循序渐进”学习？")</f>
        <v>什么是“循序渐进”学习？</v>
      </c>
      <c r="J126" s="11" t="str">
        <f>IFERROR(__xludf.DUMMYFUNCTION("GOOGLETRANSLATE(C126, ""en"", ""zh"")"),"A) 逐步掌握动作 B) 快速对练 C) 随机踢腿 D) 仅跳跃")</f>
        <v>A) 逐步掌握动作 B) 快速对练 C) 随机踢腿 D) 仅跳跃</v>
      </c>
      <c r="K126" s="11" t="str">
        <f>IFERROR(__xludf.DUMMYFUNCTION("GOOGLETRANSLATE(D126, ""en"", ""zh"")"),"A) 逐步掌握动作")</f>
        <v>A) 逐步掌握动作</v>
      </c>
      <c r="L126" s="11" t="str">
        <f>IFERROR(__xludf.DUMMYFUNCTION("GOOGLETRANSLATE(E126, ""en"", ""zh"")"),"#VALUE!")</f>
        <v>#VALUE!</v>
      </c>
    </row>
    <row r="127">
      <c r="A127" s="21">
        <v>126.0</v>
      </c>
      <c r="B127" s="17" t="s">
        <v>2778</v>
      </c>
      <c r="C127" s="17" t="s">
        <v>2779</v>
      </c>
      <c r="D127" s="17" t="s">
        <v>2780</v>
      </c>
      <c r="I127" s="11" t="str">
        <f>IFERROR(__xludf.DUMMYFUNCTION("GOOGLETRANSLATE(B127, ""en"", ""zh"")"),"在推手比赛中，哪些动作是被禁止的？")</f>
        <v>在推手比赛中，哪些动作是被禁止的？</v>
      </c>
      <c r="J127" s="11" t="str">
        <f>IFERROR(__xludf.DUMMYFUNCTION("GOOGLETRANSLATE(C127, ""en"", ""zh"")"),"A) 用力击打 B) 轻柔接触 C) 控制推力 D) 平衡测试")</f>
        <v>A) 用力击打 B) 轻柔接触 C) 控制推力 D) 平衡测试</v>
      </c>
      <c r="K127" s="11" t="str">
        <f>IFERROR(__xludf.DUMMYFUNCTION("GOOGLETRANSLATE(D127, ""en"", ""zh"")"),"A) 猛击")</f>
        <v>A) 猛击</v>
      </c>
      <c r="L127" s="11" t="str">
        <f>IFERROR(__xludf.DUMMYFUNCTION("GOOGLETRANSLATE(E127, ""en"", ""zh"")"),"#VALUE!")</f>
        <v>#VALUE!</v>
      </c>
    </row>
    <row r="128">
      <c r="A128" s="21">
        <v>127.0</v>
      </c>
      <c r="B128" s="17" t="s">
        <v>2781</v>
      </c>
      <c r="C128" s="17" t="s">
        <v>2782</v>
      </c>
      <c r="D128" s="17" t="s">
        <v>2783</v>
      </c>
      <c r="I128" s="11" t="str">
        <f>IFERROR(__xludf.DUMMYFUNCTION("GOOGLETRANSLATE(B128, ""en"", ""zh"")"),"如何运用“彭”技法？")</f>
        <v>如何运用“彭”技法？</v>
      </c>
      <c r="J128" s="11" t="str">
        <f>IFERROR(__xludf.DUMMYFUNCTION("GOOGLETRANSLATE(C128, ""en"", ""zh"")"),"A) 向上发力以偏转推力 B) 踢击 C) 拳击 D) 仅保持姿势")</f>
        <v>A) 向上发力以偏转推力 B) 踢击 C) 拳击 D) 仅保持姿势</v>
      </c>
      <c r="K128" s="11" t="str">
        <f>IFERROR(__xludf.DUMMYFUNCTION("GOOGLETRANSLATE(D128, ""en"", ""zh"")"),"A) 向上的能量用于偏转推力")</f>
        <v>A) 向上的能量用于偏转推力</v>
      </c>
      <c r="L128" s="11" t="str">
        <f>IFERROR(__xludf.DUMMYFUNCTION("GOOGLETRANSLATE(E128, ""en"", ""zh"")"),"#VALUE!")</f>
        <v>#VALUE!</v>
      </c>
    </row>
    <row r="129">
      <c r="A129" s="21">
        <v>128.0</v>
      </c>
      <c r="B129" s="17" t="s">
        <v>2784</v>
      </c>
      <c r="C129" s="17" t="s">
        <v>2785</v>
      </c>
      <c r="D129" s="17" t="s">
        <v>2786</v>
      </c>
      <c r="I129" s="11" t="str">
        <f>IFERROR(__xludf.DUMMYFUNCTION("GOOGLETRANSLATE(B129, ""en"", ""zh"")"),"哪项原则强调放松？")</f>
        <v>哪项原则强调放松？</v>
      </c>
      <c r="J129" s="11" t="str">
        <f>IFERROR(__xludf.DUMMYFUNCTION("GOOGLETRANSLATE(C129, ""en"", ""zh"")"),"A) 歌曲 B) 力量 C) 速度 D) 跳跃")</f>
        <v>A) 歌曲 B) 力量 C) 速度 D) 跳跃</v>
      </c>
      <c r="K129" s="11" t="str">
        <f>IFERROR(__xludf.DUMMYFUNCTION("GOOGLETRANSLATE(D129, ""en"", ""zh"")"),"A) 歌曲")</f>
        <v>A) 歌曲</v>
      </c>
      <c r="L129" s="11" t="str">
        <f>IFERROR(__xludf.DUMMYFUNCTION("GOOGLETRANSLATE(E129, ""en"", ""zh"")"),"#VALUE!")</f>
        <v>#VALUE!</v>
      </c>
    </row>
    <row r="130">
      <c r="A130" s="21">
        <v>129.0</v>
      </c>
      <c r="B130" s="17" t="s">
        <v>2787</v>
      </c>
      <c r="C130" s="17" t="s">
        <v>2788</v>
      </c>
      <c r="D130" s="17" t="s">
        <v>2789</v>
      </c>
      <c r="I130" s="11" t="str">
        <f>IFERROR(__xludf.DUMMYFUNCTION("GOOGLETRANSLATE(B130, ""en"", ""zh"")"),"太极鞋的主要用途是什么？")</f>
        <v>太极鞋的主要用途是什么？</v>
      </c>
      <c r="J130" s="11" t="str">
        <f>IFERROR(__xludf.DUMMYFUNCTION("GOOGLETRANSLATE(C130, ""en"", ""zh"")"),"A) 平衡性和舒适性 B) 速度 C) 仅保护性 D) 力量")</f>
        <v>A) 平衡性和舒适性 B) 速度 C) 仅保护性 D) 力量</v>
      </c>
      <c r="K130" s="11" t="str">
        <f>IFERROR(__xludf.DUMMYFUNCTION("GOOGLETRANSLATE(D130, ""en"", ""zh"")"),"A) 平衡与舒适")</f>
        <v>A) 平衡与舒适</v>
      </c>
      <c r="L130" s="11" t="str">
        <f>IFERROR(__xludf.DUMMYFUNCTION("GOOGLETRANSLATE(E130, ""en"", ""zh"")"),"#VALUE!")</f>
        <v>#VALUE!</v>
      </c>
    </row>
    <row r="131">
      <c r="A131" s="21">
        <v>130.0</v>
      </c>
      <c r="B131" s="17" t="s">
        <v>2790</v>
      </c>
      <c r="C131" s="17" t="s">
        <v>2791</v>
      </c>
      <c r="D131" s="17" t="s">
        <v>2792</v>
      </c>
      <c r="I131" s="11" t="str">
        <f>IFERROR(__xludf.DUMMYFUNCTION("GOOGLETRANSLATE(B131, ""en"", ""zh"")"),"如何练习推手？")</f>
        <v>如何练习推手？</v>
      </c>
      <c r="J131" s="11" t="str">
        <f>IFERROR(__xludf.DUMMYFUNCTION("GOOGLETRANSLATE(C131, ""en"", ""zh"")"),"A) 双人训练 B) 单人训练 C) 武器训练 D) 跳伞训练")</f>
        <v>A) 双人训练 B) 单人训练 C) 武器训练 D) 跳伞训练</v>
      </c>
      <c r="K131" s="11" t="str">
        <f>IFERROR(__xludf.DUMMYFUNCTION("GOOGLETRANSLATE(D131, ""en"", ""zh"")"),"A) 伙伴练习")</f>
        <v>A) 伙伴练习</v>
      </c>
      <c r="L131" s="11" t="str">
        <f>IFERROR(__xludf.DUMMYFUNCTION("GOOGLETRANSLATE(E131, ""en"", ""zh"")"),"#VALUE!")</f>
        <v>#VALUE!</v>
      </c>
    </row>
    <row r="132">
      <c r="A132" s="21">
        <v>131.0</v>
      </c>
      <c r="B132" s="17" t="s">
        <v>2793</v>
      </c>
      <c r="C132" s="17" t="s">
        <v>2794</v>
      </c>
      <c r="D132" s="17" t="s">
        <v>2795</v>
      </c>
      <c r="I132" s="11" t="str">
        <f>IFERROR(__xludf.DUMMYFUNCTION("GOOGLETRANSLATE(B132, ""en"", ""zh"")"),"如何培养柔韧性？")</f>
        <v>如何培养柔韧性？</v>
      </c>
      <c r="J132" s="11" t="str">
        <f>IFERROR(__xludf.DUMMYFUNCTION("GOOGLETRANSLATE(C132, ""en"", ""zh"")"),"A) 拉伸和慢速动作 B) 跳跃 C) 拳击 D) 仅力量训练")</f>
        <v>A) 拉伸和慢速动作 B) 跳跃 C) 拳击 D) 仅力量训练</v>
      </c>
      <c r="K132" s="11" t="str">
        <f>IFERROR(__xludf.DUMMYFUNCTION("GOOGLETRANSLATE(D132, ""en"", ""zh"")"),"A) 伸展和慢速形式")</f>
        <v>A) 伸展和慢速形式</v>
      </c>
      <c r="L132" s="11" t="str">
        <f>IFERROR(__xludf.DUMMYFUNCTION("GOOGLETRANSLATE(E132, ""en"", ""zh"")"),"#VALUE!")</f>
        <v>#VALUE!</v>
      </c>
    </row>
    <row r="133">
      <c r="A133" s="21">
        <v>132.0</v>
      </c>
      <c r="B133" s="17" t="s">
        <v>2796</v>
      </c>
      <c r="C133" s="17" t="s">
        <v>2797</v>
      </c>
      <c r="D133" s="17" t="s">
        <v>2798</v>
      </c>
      <c r="I133" s="11" t="str">
        <f>IFERROR(__xludf.DUMMYFUNCTION("GOOGLETRANSLATE(B133, ""en"", ""zh"")"),"打击过程中能量是如何分配的？")</f>
        <v>打击过程中能量是如何分配的？</v>
      </c>
      <c r="J133" s="11" t="str">
        <f>IFERROR(__xludf.DUMMYFUNCTION("GOOGLETRANSLATE(C133, ""en"", ""zh"")"),"A) 全身协调 B) 仅手臂协调 C) 仅腿部协调 D) 快速手部协调")</f>
        <v>A) 全身协调 B) 仅手臂协调 C) 仅腿部协调 D) 快速手部协调</v>
      </c>
      <c r="K133" s="11" t="str">
        <f>IFERROR(__xludf.DUMMYFUNCTION("GOOGLETRANSLATE(D133, ""en"", ""zh"")"),"A) 全身协调")</f>
        <v>A) 全身协调</v>
      </c>
      <c r="L133" s="11" t="str">
        <f>IFERROR(__xludf.DUMMYFUNCTION("GOOGLETRANSLATE(E133, ""en"", ""zh"")"),"#VALUE!")</f>
        <v>#VALUE!</v>
      </c>
    </row>
    <row r="134">
      <c r="A134" s="21">
        <v>133.0</v>
      </c>
      <c r="B134" s="17" t="s">
        <v>2799</v>
      </c>
      <c r="C134" s="17" t="s">
        <v>2800</v>
      </c>
      <c r="D134" s="17" t="s">
        <v>2801</v>
      </c>
      <c r="I134" s="11" t="str">
        <f>IFERROR(__xludf.DUMMYFUNCTION("GOOGLETRANSLATE(B134, ""en"", ""zh"")"),"什么是“交叉手”动作？")</f>
        <v>什么是“交叉手”动作？</v>
      </c>
      <c r="J134" s="11" t="str">
        <f>IFERROR(__xludf.DUMMYFUNCTION("GOOGLETRANSLATE(C134, ""en"", ""zh"")"),"A) 换臂格挡 B) 踢腿 C) 出拳 D) 跳跃")</f>
        <v>A) 换臂格挡 B) 踢腿 C) 出拳 D) 跳跃</v>
      </c>
      <c r="K134" s="11" t="str">
        <f>IFERROR(__xludf.DUMMYFUNCTION("GOOGLETRANSLATE(D134, ""en"", ""zh"")"),"A) 切换手臂以偏转")</f>
        <v>A) 切换手臂以偏转</v>
      </c>
      <c r="L134" s="11" t="str">
        <f>IFERROR(__xludf.DUMMYFUNCTION("GOOGLETRANSLATE(E134, ""en"", ""zh"")"),"#VALUE!")</f>
        <v>#VALUE!</v>
      </c>
    </row>
    <row r="135">
      <c r="A135" s="21">
        <v>134.0</v>
      </c>
      <c r="B135" s="17" t="s">
        <v>2802</v>
      </c>
      <c r="C135" s="17" t="s">
        <v>2803</v>
      </c>
      <c r="D135" s="17" t="s">
        <v>2804</v>
      </c>
      <c r="I135" s="11" t="str">
        <f>IFERROR(__xludf.DUMMYFUNCTION("GOOGLETRANSLATE(B135, ""en"", ""zh"")"),"太极拳的套路通常是如何安排的？")</f>
        <v>太极拳的套路通常是如何安排的？</v>
      </c>
      <c r="J135" s="11" t="str">
        <f>IFERROR(__xludf.DUMMYFUNCTION("GOOGLETRANSLATE(C135, ""en"", ""zh"")"),"A) 开头、中间、结尾 B) 随机 C) 单步 D) 仅快速")</f>
        <v>A) 开头、中间、结尾 B) 随机 C) 单步 D) 仅快速</v>
      </c>
      <c r="K135" s="11" t="str">
        <f>IFERROR(__xludf.DUMMYFUNCTION("GOOGLETRANSLATE(D135, ""en"", ""zh"")"),"A) 开头、中间、结尾")</f>
        <v>A) 开头、中间、结尾</v>
      </c>
      <c r="L135" s="11" t="str">
        <f>IFERROR(__xludf.DUMMYFUNCTION("GOOGLETRANSLATE(E135, ""en"", ""zh"")"),"#VALUE!")</f>
        <v>#VALUE!</v>
      </c>
    </row>
    <row r="136">
      <c r="A136" s="21">
        <v>135.0</v>
      </c>
      <c r="B136" s="17" t="s">
        <v>2295</v>
      </c>
      <c r="C136" s="17" t="s">
        <v>2805</v>
      </c>
      <c r="D136" s="17" t="s">
        <v>2806</v>
      </c>
      <c r="I136" s="11" t="str">
        <f>IFERROR(__xludf.DUMMYFUNCTION("GOOGLETRANSLATE(B136, ""en"", ""zh"")"),"如何训练计时能力？")</f>
        <v>如何训练计时能力？</v>
      </c>
      <c r="J136" s="11" t="str">
        <f>IFERROR(__xludf.DUMMYFUNCTION("GOOGLETRANSLATE(C136, ""en"", ""zh"")"),"A) 控制性练习 B) 仅跳跃 C) 拳击 D) 快速踢腿")</f>
        <v>A) 控制性练习 B) 仅跳跃 C) 拳击 D) 快速踢腿</v>
      </c>
      <c r="K136" s="11" t="str">
        <f>IFERROR(__xludf.DUMMYFUNCTION("GOOGLETRANSLATE(D136, ""en"", ""zh"")"),"A) 控制性实践")</f>
        <v>A) 控制性实践</v>
      </c>
      <c r="L136" s="11" t="str">
        <f>IFERROR(__xludf.DUMMYFUNCTION("GOOGLETRANSLATE(E136, ""en"", ""zh"")"),"#VALUE!")</f>
        <v>#VALUE!</v>
      </c>
    </row>
    <row r="137">
      <c r="A137" s="22">
        <v>136.0</v>
      </c>
      <c r="B137" s="17" t="s">
        <v>2807</v>
      </c>
      <c r="C137" s="17" t="s">
        <v>2808</v>
      </c>
      <c r="D137" s="17" t="s">
        <v>2809</v>
      </c>
      <c r="I137" s="11" t="str">
        <f>IFERROR(__xludf.DUMMYFUNCTION("GOOGLETRANSLATE(B137, ""en"", ""zh"")"),"“金鸡单腿站立”是什么意思？")</f>
        <v>“金鸡单腿站立”是什么意思？</v>
      </c>
      <c r="J137" s="11" t="str">
        <f>IFERROR(__xludf.DUMMYFUNCTION("GOOGLETRANSLATE(C137, ""en"", ""zh"")"),"A) 单腿平衡姿势 B) 拳击 C) 踢腿 D) 擒抱")</f>
        <v>A) 单腿平衡姿势 B) 拳击 C) 踢腿 D) 擒抱</v>
      </c>
      <c r="K137" s="11" t="str">
        <f>IFERROR(__xludf.DUMMYFUNCTION("GOOGLETRANSLATE(D137, ""en"", ""zh"")"),"A) 单腿平衡姿势")</f>
        <v>A) 单腿平衡姿势</v>
      </c>
      <c r="L137" s="11" t="str">
        <f>IFERROR(__xludf.DUMMYFUNCTION("GOOGLETRANSLATE(E137, ""en"", ""zh"")"),"#VALUE!")</f>
        <v>#VALUE!</v>
      </c>
    </row>
    <row r="138">
      <c r="A138" s="11">
        <v>138.0</v>
      </c>
      <c r="B138" s="17" t="s">
        <v>2810</v>
      </c>
      <c r="C138" s="17" t="s">
        <v>2811</v>
      </c>
      <c r="D138" s="17" t="s">
        <v>2812</v>
      </c>
      <c r="I138" s="11" t="str">
        <f>IFERROR(__xludf.DUMMYFUNCTION("GOOGLETRANSLATE(B138, ""en"", ""zh"")"),"如何培养协调能力？")</f>
        <v>如何培养协调能力？</v>
      </c>
      <c r="J138" s="11" t="str">
        <f>IFERROR(__xludf.DUMMYFUNCTION("GOOGLETRANSLATE(C138, ""en"", ""zh"")"),"A) 缓慢而持续的移动 B) 快速攻击 C) 仅力量 D) 仅跳跃")</f>
        <v>A) 缓慢而持续的移动 B) 快速攻击 C) 仅力量 D) 仅跳跃</v>
      </c>
      <c r="K138" s="11" t="str">
        <f>IFERROR(__xludf.DUMMYFUNCTION("GOOGLETRANSLATE(D138, ""en"", ""zh"")"),"A) 缓慢而持续的运动")</f>
        <v>A) 缓慢而持续的运动</v>
      </c>
      <c r="L138" s="11" t="str">
        <f>IFERROR(__xludf.DUMMYFUNCTION("GOOGLETRANSLATE(E138, ""en"", ""zh"")"),"#VALUE!")</f>
        <v>#VALUE!</v>
      </c>
    </row>
    <row r="139">
      <c r="A139" s="11">
        <v>139.0</v>
      </c>
      <c r="B139" s="17" t="s">
        <v>2813</v>
      </c>
      <c r="C139" s="17" t="s">
        <v>2814</v>
      </c>
      <c r="D139" s="17" t="s">
        <v>2815</v>
      </c>
      <c r="I139" s="11" t="str">
        <f>IFERROR(__xludf.DUMMYFUNCTION("GOOGLETRANSLATE(B139, ""en"", ""zh"")"),"如何修炼内力？")</f>
        <v>如何修炼内力？</v>
      </c>
      <c r="J139" s="11" t="str">
        <f>IFERROR(__xludf.DUMMYFUNCTION("GOOGLETRANSLATE(C139, ""en"", ""zh"")"),"A) 呼吸控制 B) 仅出拳 C) 仅踢腿 D) 使用武器")</f>
        <v>A) 呼吸控制 B) 仅出拳 C) 仅踢腿 D) 使用武器</v>
      </c>
      <c r="K139" s="11" t="str">
        <f>IFERROR(__xludf.DUMMYFUNCTION("GOOGLETRANSLATE(D139, ""en"", ""zh"")"),"A) 呼吸控制")</f>
        <v>A) 呼吸控制</v>
      </c>
      <c r="L139" s="11" t="str">
        <f>IFERROR(__xludf.DUMMYFUNCTION("GOOGLETRANSLATE(E139, ""en"", ""zh"")"),"#VALUE!")</f>
        <v>#VALUE!</v>
      </c>
    </row>
    <row r="140">
      <c r="A140" s="11">
        <v>140.0</v>
      </c>
      <c r="B140" s="17" t="s">
        <v>2816</v>
      </c>
      <c r="C140" s="17" t="s">
        <v>2817</v>
      </c>
      <c r="D140" s="17" t="s">
        <v>2724</v>
      </c>
      <c r="I140" s="11" t="str">
        <f>IFERROR(__xludf.DUMMYFUNCTION("GOOGLETRANSLATE(B140, ""en"", ""zh"")"),"“云端之手”是如何实现的？")</f>
        <v>“云端之手”是如何实现的？</v>
      </c>
      <c r="J140" s="11" t="str">
        <f>IFERROR(__xludf.DUMMYFUNCTION("GOOGLETRANSLATE(C140, ""en"", ""zh"")"),"A) 手部圆周运动 B) 跳跃 C) 踢腿 D) 拳击")</f>
        <v>A) 手部圆周运动 B) 跳跃 C) 踢腿 D) 拳击</v>
      </c>
      <c r="K140" s="11" t="str">
        <f>IFERROR(__xludf.DUMMYFUNCTION("GOOGLETRANSLATE(D140, ""en"", ""zh"")"),"A) 手部做圆周运动")</f>
        <v>A) 手部做圆周运动</v>
      </c>
      <c r="L140" s="11" t="str">
        <f>IFERROR(__xludf.DUMMYFUNCTION("GOOGLETRANSLATE(E140, ""en"", ""zh"")"),"#VALUE!")</f>
        <v>#VALUE!</v>
      </c>
    </row>
    <row r="141">
      <c r="A141" s="11">
        <v>141.0</v>
      </c>
      <c r="B141" s="17" t="s">
        <v>2818</v>
      </c>
      <c r="C141" s="17" t="s">
        <v>2819</v>
      </c>
      <c r="D141" s="17" t="s">
        <v>2820</v>
      </c>
      <c r="I141" s="11" t="str">
        <f>IFERROR(__xludf.DUMMYFUNCTION("GOOGLETRANSLATE(B141, ""en"", ""zh"")"),"初学者应该如何练习？")</f>
        <v>初学者应该如何练习？</v>
      </c>
      <c r="J141" s="11" t="str">
        <f>IFERROR(__xludf.DUMMYFUNCTION("GOOGLETRANSLATE(C141, ""en"", ""zh"")"),"A) 缓慢、精准的动作 B) 快速攻击 C) 仅跳跃 D) 随机")</f>
        <v>A) 缓慢、精准的动作 B) 快速攻击 C) 仅跳跃 D) 随机</v>
      </c>
      <c r="K141" s="11" t="str">
        <f>IFERROR(__xludf.DUMMYFUNCTION("GOOGLETRANSLATE(D141, ""en"", ""zh"")"),"A) 缓慢、精确的动作")</f>
        <v>A) 缓慢、精确的动作</v>
      </c>
      <c r="L141" s="11" t="str">
        <f>IFERROR(__xludf.DUMMYFUNCTION("GOOGLETRANSLATE(E141, ""en"", ""zh"")"),"#VALUE!")</f>
        <v>#VALUE!</v>
      </c>
    </row>
    <row r="142">
      <c r="A142" s="22">
        <v>142.0</v>
      </c>
      <c r="B142" s="17" t="s">
        <v>2821</v>
      </c>
      <c r="C142" s="17" t="s">
        <v>2822</v>
      </c>
      <c r="D142" s="17" t="s">
        <v>2823</v>
      </c>
      <c r="I142" s="11" t="str">
        <f>IFERROR(__xludf.DUMMYFUNCTION("GOOGLETRANSLATE(B142, ""en"", ""zh"")"),"哪种运动方式用于吸收力？")</f>
        <v>哪种运动方式用于吸收力？</v>
      </c>
      <c r="J142" s="11" t="str">
        <f>IFERROR(__xludf.DUMMYFUNCTION("GOOGLETRANSLATE(C142, ""en"", ""zh"")"),"A) 彭和卢 B) 拳击 C) 踢腿 D) 打击")</f>
        <v>A) 彭和卢 B) 拳击 C) 踢腿 D) 打击</v>
      </c>
      <c r="K142" s="11" t="str">
        <f>IFERROR(__xludf.DUMMYFUNCTION("GOOGLETRANSLATE(D142, ""en"", ""zh"")"),"A) 彭和卢")</f>
        <v>A) 彭和卢</v>
      </c>
      <c r="L142" s="11" t="str">
        <f>IFERROR(__xludf.DUMMYFUNCTION("GOOGLETRANSLATE(E142, ""en"", ""zh"")"),"#VALUE!")</f>
        <v>#VALUE!</v>
      </c>
    </row>
    <row r="143">
      <c r="A143" s="22">
        <v>143.0</v>
      </c>
      <c r="B143" s="17" t="s">
        <v>2824</v>
      </c>
      <c r="C143" s="17" t="s">
        <v>2825</v>
      </c>
      <c r="D143" s="17" t="s">
        <v>2826</v>
      </c>
      <c r="I143" s="11" t="str">
        <f>IFERROR(__xludf.DUMMYFUNCTION("GOOGLETRANSLATE(B143, ""en"", ""zh"")"),"如何遵守太极拳礼仪？")</f>
        <v>如何遵守太极拳礼仪？</v>
      </c>
      <c r="J143" s="11" t="str">
        <f>IFERROR(__xludf.DUMMYFUNCTION("GOOGLETRANSLATE(C143, ""en"", ""zh"")"),"A) 练习前后鞠躬 B) 喊叫 C) 踢腿 D) 跳跃")</f>
        <v>A) 练习前后鞠躬 B) 喊叫 C) 踢腿 D) 跳跃</v>
      </c>
      <c r="K143" s="11" t="str">
        <f>IFERROR(__xludf.DUMMYFUNCTION("GOOGLETRANSLATE(D143, ""en"", ""zh"")"),"A) 练习前后鞠躬")</f>
        <v>A) 练习前后鞠躬</v>
      </c>
      <c r="L143" s="11" t="str">
        <f>IFERROR(__xludf.DUMMYFUNCTION("GOOGLETRANSLATE(E143, ""en"", ""zh"")"),"#VALUE!")</f>
        <v>#VALUE!</v>
      </c>
    </row>
    <row r="144">
      <c r="A144" s="22">
        <v>144.0</v>
      </c>
      <c r="B144" s="17" t="s">
        <v>2827</v>
      </c>
      <c r="C144" s="17" t="s">
        <v>2828</v>
      </c>
      <c r="D144" s="17" t="s">
        <v>2829</v>
      </c>
      <c r="I144" s="11" t="str">
        <f>IFERROR(__xludf.DUMMYFUNCTION("GOOGLETRANSLATE(B144, ""en"", ""zh"")"),"“推手”的主要目标是什么？")</f>
        <v>“推手”的主要目标是什么？</v>
      </c>
      <c r="J144" s="11" t="str">
        <f>IFERROR(__xludf.DUMMYFUNCTION("GOOGLETRANSLATE(C144, ""en"", ""zh"")"),"A) 敏感度和平衡感 B) 仅力量 C) 仅速度 D) 跳跃")</f>
        <v>A) 敏感度和平衡感 B) 仅力量 C) 仅速度 D) 跳跃</v>
      </c>
      <c r="K144" s="11" t="str">
        <f>IFERROR(__xludf.DUMMYFUNCTION("GOOGLETRANSLATE(D144, ""en"", ""zh"")"),"A) 敏感性和平衡")</f>
        <v>A) 敏感性和平衡</v>
      </c>
      <c r="L144" s="11" t="str">
        <f>IFERROR(__xludf.DUMMYFUNCTION("GOOGLETRANSLATE(E144, ""en"", ""zh"")"),"#VALUE!")</f>
        <v>#VALUE!</v>
      </c>
    </row>
    <row r="145">
      <c r="A145" s="22">
        <v>145.0</v>
      </c>
      <c r="B145" s="17" t="s">
        <v>2830</v>
      </c>
      <c r="C145" s="17" t="s">
        <v>2831</v>
      </c>
      <c r="D145" s="17" t="s">
        <v>2185</v>
      </c>
      <c r="I145" s="11" t="str">
        <f>IFERROR(__xludf.DUMMYFUNCTION("GOOGLETRANSLATE(B145, ""en"", ""zh"")"),"太极拳中是如何运用“铁布衫”原理的？")</f>
        <v>太极拳中是如何运用“铁布衫”原理的？</v>
      </c>
      <c r="J145" s="11" t="str">
        <f>IFERROR(__xludf.DUMMYFUNCTION("GOOGLETRANSLATE(C145, ""en"", ""zh"")"),"A) 体能训练 B) 仅拳击 C) 仅踢腿 D) 仅跳跃")</f>
        <v>A) 体能训练 B) 仅拳击 C) 仅踢腿 D) 仅跳跃</v>
      </c>
      <c r="K145" s="11" t="str">
        <f>IFERROR(__xludf.DUMMYFUNCTION("GOOGLETRANSLATE(D145, ""en"", ""zh"")"),"A) 身体调理")</f>
        <v>A) 身体调理</v>
      </c>
      <c r="L145" s="11" t="str">
        <f>IFERROR(__xludf.DUMMYFUNCTION("GOOGLETRANSLATE(E145, ""en"", ""zh"")"),"#VALUE!")</f>
        <v>#VALUE!</v>
      </c>
    </row>
    <row r="146">
      <c r="A146" s="22">
        <v>146.0</v>
      </c>
      <c r="B146" s="17" t="s">
        <v>2832</v>
      </c>
      <c r="C146" s="17" t="s">
        <v>2744</v>
      </c>
      <c r="D146" s="17" t="s">
        <v>2745</v>
      </c>
      <c r="I146" s="11" t="str">
        <f>IFERROR(__xludf.DUMMYFUNCTION("GOOGLETRANSLATE(B146, ""en"", ""zh"")"),"哪种风格强调柔和流畅？")</f>
        <v>哪种风格强调柔和流畅？</v>
      </c>
      <c r="J146" s="11" t="str">
        <f>IFERROR(__xludf.DUMMYFUNCTION("GOOGLETRANSLATE(C146, ""en"", ""zh"")"),"A) 杨 B) 陈 C) 吴 D) 孙")</f>
        <v>A) 杨 B) 陈 C) 吴 D) 孙</v>
      </c>
      <c r="K146" s="11" t="str">
        <f>IFERROR(__xludf.DUMMYFUNCTION("GOOGLETRANSLATE(D146, ""en"", ""zh"")"),"A) 杨")</f>
        <v>A) 杨</v>
      </c>
      <c r="L146" s="11" t="str">
        <f>IFERROR(__xludf.DUMMYFUNCTION("GOOGLETRANSLATE(E146, ""en"", ""zh"")"),"#VALUE!")</f>
        <v>#VALUE!</v>
      </c>
    </row>
    <row r="147">
      <c r="A147" s="22">
        <v>147.0</v>
      </c>
      <c r="B147" s="17" t="s">
        <v>2833</v>
      </c>
      <c r="C147" s="17" t="s">
        <v>2834</v>
      </c>
      <c r="D147" s="17" t="s">
        <v>2835</v>
      </c>
      <c r="I147" s="11" t="str">
        <f>IFERROR(__xludf.DUMMYFUNCTION("GOOGLETRANSLATE(B147, ""en"", ""zh"")"),"太极拳中是如何运用“旋转”的？")</f>
        <v>太极拳中是如何运用“旋转”的？</v>
      </c>
      <c r="J147" s="11" t="str">
        <f>IFERROR(__xludf.DUMMYFUNCTION("GOOGLETRANSLATE(C147, ""en"", ""zh"")"),"A) 圆周运动进行能量传递 B) 仅出拳 C) 仅踢腿 D) 跳跃")</f>
        <v>A) 圆周运动进行能量传递 B) 仅出拳 C) 仅踢腿 D) 跳跃</v>
      </c>
      <c r="K147" s="11" t="str">
        <f>IFERROR(__xludf.DUMMYFUNCTION("GOOGLETRANSLATE(D147, ""en"", ""zh"")"),"A) 圆周运动用于能量传递")</f>
        <v>A) 圆周运动用于能量传递</v>
      </c>
      <c r="L147" s="11" t="str">
        <f>IFERROR(__xludf.DUMMYFUNCTION("GOOGLETRANSLATE(E147, ""en"", ""zh"")"),"#VALUE!")</f>
        <v>#VALUE!</v>
      </c>
    </row>
    <row r="148">
      <c r="A148" s="17">
        <v>148.0</v>
      </c>
      <c r="B148" s="17" t="s">
        <v>2836</v>
      </c>
      <c r="C148" s="17" t="s">
        <v>2837</v>
      </c>
      <c r="D148" s="17" t="s">
        <v>2838</v>
      </c>
      <c r="I148" s="11" t="str">
        <f>IFERROR(__xludf.DUMMYFUNCTION("GOOGLETRANSLATE(B148, ""en"", ""zh"")"),"“金风吹肘”是什么意思？")</f>
        <v>“金风吹肘”是什么意思？</v>
      </c>
      <c r="J148" s="11" t="str">
        <f>IFERROR(__xludf.DUMMYFUNCTION("GOOGLETRANSLATE(C148, ""en"", ""zh"")"),"A) 肘击技术 B) 拳击 C) 踢击 D) 擒抱")</f>
        <v>A) 肘击技术 B) 拳击 C) 踢击 D) 擒抱</v>
      </c>
      <c r="K148" s="11" t="str">
        <f>IFERROR(__xludf.DUMMYFUNCTION("GOOGLETRANSLATE(D148, ""en"", ""zh"")"),"A)肘击技术")</f>
        <v>A)肘击技术</v>
      </c>
      <c r="L148" s="11" t="str">
        <f>IFERROR(__xludf.DUMMYFUNCTION("GOOGLETRANSLATE(E148, ""en"", ""zh"")"),"#VALUE!")</f>
        <v>#VALUE!</v>
      </c>
    </row>
    <row r="149">
      <c r="A149" s="17">
        <v>149.0</v>
      </c>
      <c r="B149" s="17" t="s">
        <v>2839</v>
      </c>
      <c r="C149" s="17" t="s">
        <v>2840</v>
      </c>
      <c r="D149" s="17" t="s">
        <v>2841</v>
      </c>
      <c r="I149" s="11" t="str">
        <f>IFERROR(__xludf.DUMMYFUNCTION("GOOGLETRANSLATE(B149, ""en"", ""zh"")"),"运动前能量是如何储存的？")</f>
        <v>运动前能量是如何储存的？</v>
      </c>
      <c r="J149" s="11" t="str">
        <f>IFERROR(__xludf.DUMMYFUNCTION("GOOGLETRANSLATE(C149, ""en"", ""zh"")"),"A) 站立姿势 B) 跳跃 C) 踢腿 D) 拳击")</f>
        <v>A) 站立姿势 B) 跳跃 C) 踢腿 D) 拳击</v>
      </c>
      <c r="K149" s="11" t="str">
        <f>IFERROR(__xludf.DUMMYFUNCTION("GOOGLETRANSLATE(D149, ""en"", ""zh"")"),"A) 稳固的站姿")</f>
        <v>A) 稳固的站姿</v>
      </c>
      <c r="L149" s="11" t="str">
        <f>IFERROR(__xludf.DUMMYFUNCTION("GOOGLETRANSLATE(E149, ""en"", ""zh"")"),"#VALUE!")</f>
        <v>#VALUE!</v>
      </c>
    </row>
    <row r="150">
      <c r="A150" s="17">
        <v>150.0</v>
      </c>
      <c r="B150" s="17" t="s">
        <v>2842</v>
      </c>
      <c r="C150" s="17" t="s">
        <v>2843</v>
      </c>
      <c r="D150" s="17" t="s">
        <v>2844</v>
      </c>
      <c r="I150" s="11" t="str">
        <f>IFERROR(__xludf.DUMMYFUNCTION("GOOGLETRANSLATE(B150, ""en"", ""zh"")"),"“向前迈一步”是如何执行的？")</f>
        <v>“向前迈一步”是如何执行的？</v>
      </c>
      <c r="J150" s="11" t="str">
        <f>IFERROR(__xludf.DUMMYFUNCTION("GOOGLETRANSLATE(C150, ""en"", ""zh"")"),"A) 脚跟先着地并保持平衡 B) 跳跃 C) 出拳 D) 踢腿")</f>
        <v>A) 脚跟先着地并保持平衡 B) 跳跃 C) 出拳 D) 踢腿</v>
      </c>
      <c r="K150" s="11" t="str">
        <f>IFERROR(__xludf.DUMMYFUNCTION("GOOGLETRANSLATE(D150, ""en"", ""zh"")"),"A) 脚跟先着地并保持平衡")</f>
        <v>A) 脚跟先着地并保持平衡</v>
      </c>
      <c r="L150" s="11" t="str">
        <f>IFERROR(__xludf.DUMMYFUNCTION("GOOGLETRANSLATE(E150, ""en"", ""zh"")"),"#VALUE!")</f>
        <v>#VALUE!</v>
      </c>
    </row>
    <row r="151">
      <c r="A151" s="17">
        <v>151.0</v>
      </c>
      <c r="B151" s="17" t="s">
        <v>2845</v>
      </c>
      <c r="C151" s="17" t="s">
        <v>2846</v>
      </c>
      <c r="D151" s="17" t="s">
        <v>2847</v>
      </c>
      <c r="I151" s="11" t="str">
        <f>IFERROR(__xludf.DUMMYFUNCTION("GOOGLETRANSLATE(B151, ""en"", ""zh"")"),"什么是“开合”运动原理？")</f>
        <v>什么是“开合”运动原理？</v>
      </c>
      <c r="J151" s="11" t="str">
        <f>IFERROR(__xludf.DUMMYFUNCTION("GOOGLETRANSLATE(C151, ""en"", ""zh"")"),"A) 交替扩张和收缩 B) 拳击 C) 踢腿 D) 跳跃")</f>
        <v>A) 交替扩张和收缩 B) 拳击 C) 踢腿 D) 跳跃</v>
      </c>
      <c r="K151" s="11" t="str">
        <f>IFERROR(__xludf.DUMMYFUNCTION("GOOGLETRANSLATE(D151, ""en"", ""zh"")"),"A) 交替扩张和收缩")</f>
        <v>A) 交替扩张和收缩</v>
      </c>
      <c r="L151" s="11" t="str">
        <f>IFERROR(__xludf.DUMMYFUNCTION("GOOGLETRANSLATE(E151, ""en"", ""zh"")"),"#VALUE!")</f>
        <v>#VALUE!</v>
      </c>
    </row>
  </sheetData>
  <drawing r:id="rId1"/>
  <tableParts count="2">
    <tablePart r:id="rId4"/>
    <tablePart r:id="rId5"/>
  </tableParts>
</worksheet>
</file>